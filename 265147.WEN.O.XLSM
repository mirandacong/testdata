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25" yWindow="870" windowWidth="18780" windowHeight="10830" tabRatio="854" firstSheet="2" activeTab="2"/>
  </bookViews>
  <sheets>
    <sheet name="MW-Cache" sheetId="40867" state="veryHidden" r:id="rId1"/>
    <sheet name="__FDSCACHE__" sheetId="40878" state="veryHidden" r:id="rId2"/>
    <sheet name="ImportantDisclosures" sheetId="40921" r:id="rId3"/>
    <sheet name="Intro" sheetId="40877" r:id="rId4"/>
    <sheet name="IncomeStatement" sheetId="40872" r:id="rId5"/>
    <sheet name="Balance Sheet " sheetId="40875" r:id="rId6"/>
    <sheet name="CashFlow " sheetId="40876" r:id="rId7"/>
    <sheet name="IndexInformation" sheetId="40922" r:id="rId8"/>
    <sheet name="ModPubIndex" sheetId="40923" r:id="rId9"/>
  </sheets>
  <definedNames>
    <definedName name="__FDS_HYPERLINK_TOGGLE_STATE__" hidden="1">"ON"</definedName>
    <definedName name="_bdm.0328E21B350F4179A8F8AA414FCD792A.edm" localSheetId="6" hidden="1">'CashFlow '!$A$7:$CI$61</definedName>
    <definedName name="_bdm.0FF7B77332AF4F4E9F573A12EE694663.edm" localSheetId="6" hidden="1">'CashFlow '!$A$7:$BY$56</definedName>
    <definedName name="_bdm.163D85CD80834D23AC7A62BB434D1EDB.edm" localSheetId="5" hidden="1">'Balance Sheet '!$A$7:$CD$55</definedName>
    <definedName name="_bdm.208243EE304F40C5B061467252A2DD3D.edm" localSheetId="4" hidden="1">IncomeStatement!$A$7:$AZ$122</definedName>
    <definedName name="_bdm.2446531372C8422EB403B0E13455C396.edm" localSheetId="5" hidden="1">'Balance Sheet '!$A$7:$CI$55</definedName>
    <definedName name="_bdm.2C6048E82587484986A996644E54C90A.edm" localSheetId="5" hidden="1">'Balance Sheet '!$A$7:$BT$72</definedName>
    <definedName name="_bdm.2DADE4EF377B4F1895D0C59B5CAA1691.edm" localSheetId="5" hidden="1">'Balance Sheet '!$A$7:$CI$56</definedName>
    <definedName name="_bdm.350DB49B2F8E472BA6FF89352472EF0A.edm" localSheetId="5" hidden="1">'Balance Sheet '!$A$7:$CD$56</definedName>
    <definedName name="_bdm.414D87D302CE4873B3B7D7AEB9020698.edm" hidden="1">Intro!$1:$1048576</definedName>
    <definedName name="_bdm.594A5D6B8CB54EABB99A5576D188D601.edm" localSheetId="4" hidden="1">IncomeStatement!$A$7:$AP$122</definedName>
    <definedName name="_bdm.5D7E16D4B9E04E9DAD5B9366172650B0.edm" localSheetId="6" hidden="1">'CashFlow '!$A$7:$BT$56</definedName>
    <definedName name="_bdm.60171FF21BF74909915268DBFD33B879.edm" localSheetId="4" hidden="1">IncomeStatement!$A$7:$AU$130</definedName>
    <definedName name="_bdm.6ABF09DFD1AC41FCB00FC68300285A94.edm" localSheetId="5" hidden="1">'Balance Sheet '!$A$7:$BT$56</definedName>
    <definedName name="_bdm.766F40CDE25E4387A3B131943129692E.edm" localSheetId="3" hidden="1">Intro!$C$20:$J$33</definedName>
    <definedName name="_bdm.7BA67E5FE5414E169A5F22B11F4F9022.edm" localSheetId="4" hidden="1">IncomeStatement!$A$7:$AK$130</definedName>
    <definedName name="_bdm.85888ACDEF714D38910DF882F95E75E2.edm" localSheetId="4" hidden="1">IncomeStatement!$A$7:$AZ$122</definedName>
    <definedName name="_bdm.8EE2FA51D5B64C54BC952411939707CE.edm" hidden="1">'Balance Sheet '!$1:$1048576</definedName>
    <definedName name="_bdm.9874C8CAE8D04A9D9E7CA900EE35975F.edm" localSheetId="4" hidden="1">IncomeStatement!$A$7:$BE$122</definedName>
    <definedName name="_bdm.A2DB4942C0904231BDD0E4DF8CC8B0FA.edm" hidden="1">IncomeStatement!$1:$1048576</definedName>
    <definedName name="_bdm.AA37658456C4455FAB223DED9ADF2D55.edm" localSheetId="3" hidden="1">Intro!$C$20:$K$33</definedName>
    <definedName name="_bdm.AE017893ED95424880A35F9D607B5CC6.edm" localSheetId="4" hidden="1">IncomeStatement!$A$7:$AZ$130</definedName>
    <definedName name="_bdm.B282C34D6DAB47A5B5F04DA5BF82B54D.edm" localSheetId="4" hidden="1">IncomeStatement!$A$7:$AU$122</definedName>
    <definedName name="_bdm.B31567AAE81C4B6B80C60445157AAC0E.edm" localSheetId="5" hidden="1">'Balance Sheet '!$A$7:$CI$55</definedName>
    <definedName name="_bdm.D6D9FF49099143B983701E728CD7402C.edm" hidden="1">'CashFlow '!$1:$1048576</definedName>
    <definedName name="_bdm.DBA8F0664BD74D9284AE17C229428D7F.edm" localSheetId="6" hidden="1">'CashFlow '!$A$7:$CD$61</definedName>
    <definedName name="_bdm.DC0861ABD4CF421795AD7E88EACB5108.edm" localSheetId="4" hidden="1">IncomeStatement!$A$7:$BJ$130</definedName>
    <definedName name="_bdm.EB144463399D468AA767CCBAFED4FBE1.edm" localSheetId="6" hidden="1">'CashFlow '!$A$7:$CN$61</definedName>
    <definedName name="_bdm.EE91AB83AF804140A8C170217628D633.edm" localSheetId="5" hidden="1">'Balance Sheet '!$A$7:$CN$55</definedName>
    <definedName name="_bdm.F8740D322FD947B7A03E93114EDDABBB.edm" localSheetId="4" hidden="1">IncomeStatement!$CR$7:$CW$122</definedName>
    <definedName name="_Order1" hidden="1">255</definedName>
    <definedName name="a" localSheetId="5" hidden="1">{"Annual Income",#N/A,FALSE,"ANF"}</definedName>
    <definedName name="a" localSheetId="6" hidden="1">{"Annual Income",#N/A,FALSE,"ANF"}</definedName>
    <definedName name="a" localSheetId="3">{"Annual Income",#N/A,FALSE,"ANF"}</definedName>
    <definedName name="a" hidden="1">{"Annual Income",#N/A,FALSE,"ANF"}</definedName>
    <definedName name="abc"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localSheetId="5" hidden="1">{#N/A,#N/A,TRUE,"Historicals";#N/A,#N/A,TRUE,"Charts";#N/A,#N/A,TRUE,"Forecasts"}</definedName>
    <definedName name="Actual" localSheetId="6" hidden="1">{#N/A,#N/A,TRUE,"Historicals";#N/A,#N/A,TRUE,"Charts";#N/A,#N/A,TRUE,"Forecasts"}</definedName>
    <definedName name="Actual" localSheetId="3" hidden="1">{#N/A,#N/A,TRUE,"Historicals";#N/A,#N/A,TRUE,"Charts";#N/A,#N/A,TRUE,"Forecasts"}</definedName>
    <definedName name="Actual" hidden="1">{#N/A,#N/A,TRUE,"Historicals";#N/A,#N/A,TRUE,"Charts";#N/A,#N/A,TRUE,"Forecasts"}</definedName>
    <definedName name="AdditionalInstructions">IndexInformation!$B$42</definedName>
    <definedName name="Address" localSheetId="2">ImportantDisclosures!$A$2:$A$2</definedName>
    <definedName name="adf" localSheetId="5">#N/A</definedName>
    <definedName name="adf" localSheetId="6">#N/A</definedName>
    <definedName name="adf">[0]!val,[0]!INC,[0]!bal,[0]!CASH,[0]!int,[0]!assum1,[0]!assum2,[0]!dcf</definedName>
    <definedName name="adfasdfsd" localSheetId="5">#N/A</definedName>
    <definedName name="adfasdfsd" localSheetId="6">#N/A</definedName>
    <definedName name="adfasdfsd">[0]!val,[0]!INC,[0]!bal,[0]!CASH,[0]!int,[0]!assum1,[0]!assum2,[0]!dcf</definedName>
    <definedName name="adsf" localSheetId="5">#N/A</definedName>
    <definedName name="adsf" localSheetId="6">#N/A</definedName>
    <definedName name="adsf">[0]!val,[0]!INC,[0]!bal,[0]!CASH,[0]!int,[0]!assum1,[0]!assum2,[0]!dcf</definedName>
    <definedName name="adsfasdfasd" localSheetId="5">#N/A</definedName>
    <definedName name="adsfasdfasd" localSheetId="6">#N/A</definedName>
    <definedName name="adsfasdfasd">[0]!val,[0]!INC,[0]!bal,[0]!CASH,[0]!int,[0]!assum1,[0]!assum2,[0]!dcf,[0]!_dcf1</definedName>
    <definedName name="ANA" localSheetId="8">ModPubIndex!$A$7</definedName>
    <definedName name="anscount" hidden="1">2</definedName>
    <definedName name="Authors" localSheetId="2">ImportantDisclosures!$A$7</definedName>
    <definedName name="Authors" localSheetId="7">IndexInformation!$B$18</definedName>
    <definedName name="BRO" localSheetId="8">ModPubIndex!$A$1</definedName>
    <definedName name="conflict" localSheetId="5">#N/A</definedName>
    <definedName name="conflict" localSheetId="6">#N/A</definedName>
    <definedName name="conflict">[0]!val,[0]!INC,[0]!bal,[0]!CASH,[0]!int,[0]!assum1,[0]!assum2,[0]!dcf</definedName>
    <definedName name="CopyrightStamp">ImportantDisclosures!$A$27</definedName>
    <definedName name="COU" localSheetId="8">ModPubIndex!$A$5</definedName>
    <definedName name="CQEnd" localSheetId="7">IndexInformation!$B$31</definedName>
    <definedName name="Currency" localSheetId="7">IndexInformation!$B$24</definedName>
    <definedName name="CurrentStockPrice" localSheetId="7">IndexInformation!$B$23</definedName>
    <definedName name="CurrQtrEPS" localSheetId="7">IndexInformation!$B$29</definedName>
    <definedName name="CurrYearEPS" localSheetId="7">IndexInformation!$B$11</definedName>
    <definedName name="CurrYearTotalRevenue" localSheetId="7">IndexInformation!$B$10</definedName>
    <definedName name="CurrYearTotalRevenueActual" localSheetId="7">IndexInformation!$B$32</definedName>
    <definedName name="CUSIP" localSheetId="7">IndexInformation!$B$20</definedName>
    <definedName name="CYEnd" localSheetId="7">IndexInformation!$B$30</definedName>
    <definedName name="Date" localSheetId="2">ImportantDisclosures!$A$8</definedName>
    <definedName name="Deleted" localSheetId="7">IndexInformation!$B$27</definedName>
    <definedName name="Description" localSheetId="7">IndexInformation!$B$7</definedName>
    <definedName name="Discipline" localSheetId="7">IndexInformation!$B$3</definedName>
    <definedName name="DISCIPLINE" localSheetId="8">ModPubIndex!$A$12</definedName>
    <definedName name="DisclosuresText">ImportantDisclosures!$A$22</definedName>
    <definedName name="Distribution" localSheetId="7">IndexInformation!$B$26</definedName>
    <definedName name="DistTable" localSheetId="2">ImportantDisclosures!#REF!</definedName>
    <definedName name="DistTablePreamble" localSheetId="2">ImportantDisclosures!#REF!</definedName>
    <definedName name="DOCDAT" localSheetId="8">ModPubIndex!$A$2</definedName>
    <definedName name="DOCTIME" localSheetId="8">ModPubIndex!$A$3</definedName>
    <definedName name="DocType" localSheetId="7">IndexInformation!$B$5</definedName>
    <definedName name="EMAIL_ALERT" localSheetId="8">ModPubIndex!$A$10</definedName>
    <definedName name="EmailAlert" localSheetId="7">IndexInformation!$B$28</definedName>
    <definedName name="ev.Calculation" hidden="1">-4105</definedName>
    <definedName name="ev.Initialized" hidden="1">FALSE</definedName>
    <definedName name="f" localSheetId="5"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f" localSheetId="6"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f" localSheetId="3"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f"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ｆ" hidden="1">"iQShowAnnual"</definedName>
    <definedName name="FiveYearGrowthRate" localSheetId="7">IndexInformation!$B$16</definedName>
    <definedName name="FollowingYearEPS" localSheetId="7">IndexInformation!$B$15</definedName>
    <definedName name="FollowingYearTotalRevenue" localSheetId="7">IndexInformation!$B$14</definedName>
    <definedName name="FollowingYearTotalRevenueActual" localSheetId="7">IndexInformation!$B$34</definedName>
    <definedName name="Growth_ROIC" localSheetId="5">OFFSET([0]!XRange,10,0)</definedName>
    <definedName name="Growth_ROIC" localSheetId="6">OFFSET([0]!XRange,10,0)</definedName>
    <definedName name="Growth_ROIC">OFFSET([0]!XRange,10,0)</definedName>
    <definedName name="HL" localSheetId="8">ModPubIndex!$A$8</definedName>
    <definedName name="hn.ExtDb" hidden="1">FALSE</definedName>
    <definedName name="hn.ModelType" hidden="1">"DEAL"</definedName>
    <definedName name="hn.ModelVersion" hidden="1">1</definedName>
    <definedName name="hn.NoUpload" hidden="1">0</definedName>
    <definedName name="IND" localSheetId="8">ModPubIndex!$A$9</definedName>
    <definedName name="Industry" localSheetId="2">ImportantDisclosures!$A$12</definedName>
    <definedName name="IndustryId">IndexInformation!$B$40</definedName>
    <definedName name="IndustryRating" localSheetId="2">ImportantDisclosures!$A$13</definedName>
    <definedName name="InvestCapGrowth" localSheetId="5">OFFSET([0]!XRange2,4,0)</definedName>
    <definedName name="InvestCapGrowth" localSheetId="6">OFFSET([0]!XRange2,4,0)</definedName>
    <definedName name="InvestCapGrowth">OFFSET([0]!XRange2,4,0)</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AVG_PRICE_TARGET" hidden="1">"c82"</definedName>
    <definedName name="IQ_CAPEX_BR" hidden="1">"c111"</definedName>
    <definedName name="IQ_CHANGE_AP_BR" hidden="1">"c135"</definedName>
    <definedName name="IQ_CHANGE_AR_BR" hidden="1">"c142"</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 hidden="1">5000</definedName>
    <definedName name="IQ_CURRENCY_GAIN_BR" hidden="1">"c236"</definedName>
    <definedName name="IQ_CURRENT_PORT_DEBT_BR" hidden="1">"c1567"</definedName>
    <definedName name="IQ_CY" hidden="1">10000</definedName>
    <definedName name="IQ_DA_BR" hidden="1">"c248"</definedName>
    <definedName name="IQ_DA_CF_BR" hidden="1">"c251"</definedName>
    <definedName name="IQ_DA_SUPPL_BR" hidden="1">"c260"</definedName>
    <definedName name="IQ_DA_SUPPL_CF_BR" hidden="1">"c263"</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EBT_BR" hidden="1">"c378"</definedName>
    <definedName name="IQ_EBT_EXCL_BR" hidden="1">"c381"</definedName>
    <definedName name="IQ_EXTRA_ACC_ITEMS_BR" hidden="1">"c412"</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INC_EQUITY_BR" hidden="1">"c550"</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 hidden="1">2000</definedName>
    <definedName name="IQ_MERGER_BR" hidden="1">"c715"</definedName>
    <definedName name="IQ_MERGER_RESTRUCTURE_BR" hidden="1">"c721"</definedName>
    <definedName name="IQ_MINORITY_INTEREST_BR" hidden="1">"c729"</definedName>
    <definedName name="IQ_NET_DEBT_ISSUED_BR" hidden="1">"c753"</definedName>
    <definedName name="IQ_NET_INT_INC_BR" hidden="1">"c765"</definedName>
    <definedName name="IQ_NTM" hidden="1">6000</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RESIDENTIAL_LOANS" hidden="1">"c1102"</definedName>
    <definedName name="IQ_RESTRUCTURE_BR" hidden="1">"c1106"</definedName>
    <definedName name="IQ_RETURN_ASSETS_BROK" hidden="1">"c1115"</definedName>
    <definedName name="IQ_RETURN_EQUITY_BROK" hidden="1">"c1120"</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PENSION_OBLIGATION" hidden="1">"c1292"</definedName>
    <definedName name="IQ_TOTAL_REV_BR" hidden="1">"c1303"</definedName>
    <definedName name="IQ_TREASURY_OTHER_EQUITY_BR" hidden="1">"c1314"</definedName>
    <definedName name="IQ_UNEARN_REV_CURRENT_BR" hidden="1">"c1324"</definedName>
    <definedName name="IQ_YTD" hidden="1">3000</definedName>
    <definedName name="IsColHidden" hidden="1">FALSE</definedName>
    <definedName name="IsLTMColHidden" hidden="1">FALSE</definedName>
    <definedName name="j" localSheetId="5" hidden="1">{"Breakdown1",#N/A,FALSE,"LTD";"Breakdown2",#N/A,FALSE,"LTD";"Breakdown3",#N/A,FALSE,"LTD";"D Op. Profit",#N/A,FALSE,"LTD";"D Op Profit Continued",#N/A,FALSE,"LTD"}</definedName>
    <definedName name="j" localSheetId="6" hidden="1">{"Breakdown1",#N/A,FALSE,"LTD";"Breakdown2",#N/A,FALSE,"LTD";"Breakdown3",#N/A,FALSE,"LTD";"D Op. Profit",#N/A,FALSE,"LTD";"D Op Profit Continued",#N/A,FALSE,"LTD"}</definedName>
    <definedName name="j" localSheetId="3" hidden="1">{"Breakdown1",#N/A,FALSE,"LTD";"Breakdown2",#N/A,FALSE,"LTD";"Breakdown3",#N/A,FALSE,"LTD";"D Op. Profit",#N/A,FALSE,"LTD";"D Op Profit Continued",#N/A,FALSE,"LTD"}</definedName>
    <definedName name="j" hidden="1">{"Breakdown1",#N/A,FALSE,"LTD";"Breakdown2",#N/A,FALSE,"LTD";"Breakdown3",#N/A,FALSE,"LTD";"D Op. Profit",#N/A,FALSE,"LTD";"D Op Profit Continued",#N/A,FALSE,"LTD"}</definedName>
    <definedName name="k" localSheetId="5" hidden="1">{"Annual Income",#N/A,FALSE,"ANF"}</definedName>
    <definedName name="k" localSheetId="6" hidden="1">{"Annual Income",#N/A,FALSE,"ANF"}</definedName>
    <definedName name="k" localSheetId="3" hidden="1">{"Annual Income",#N/A,FALSE,"ANF"}</definedName>
    <definedName name="k" hidden="1">{"Annual Income",#N/A,FALSE,"ANF"}</definedName>
    <definedName name="KeepVersions" localSheetId="7">IndexInformation!$B$8</definedName>
    <definedName name="L_\LIBRARY\LONG\FMC\Aug98\_fbpd_model1.xls_5_Year_DCF__07_28_98__10_03_AM">"DCF2"</definedName>
    <definedName name="L_\LIBRARY\LONG\FMC\Aug98\_fbpd_model1.xls_Combined__PF_BS__07_28_98__10_01_AM">"DCF1"</definedName>
    <definedName name="LanguageCode">IndexInformation!$B$38</definedName>
    <definedName name="LastCell" localSheetId="2">ImportantDisclosures!$A$22</definedName>
    <definedName name="limcount" hidden="1">2</definedName>
    <definedName name="Linking_1">IncomeStatement!$A$5:$BT$131</definedName>
    <definedName name="Linking_10">IncomeStatement!$A$7:$BY$113</definedName>
    <definedName name="Linking_11">IncomeStatement!$A$7:$CD$113</definedName>
    <definedName name="Linking_12">'Balance Sheet '!$A$7:$DM$64</definedName>
    <definedName name="Linking_13">'CashFlow '!$A$7:$DM$62</definedName>
    <definedName name="Linking_14">IncomeStatement!$A$7:$CD$130</definedName>
    <definedName name="Linking_15">'Balance Sheet '!$A$7:$DM$55</definedName>
    <definedName name="Linking_16">'CashFlow '!$A$7:$DM$66</definedName>
    <definedName name="Linking_17">IncomeStatement!$A$5:$CI$112</definedName>
    <definedName name="Linking_18">IncomeStatement!$A$7:$CI$68</definedName>
    <definedName name="Linking_19">IncomeStatement!$A$7:$CJ$68</definedName>
    <definedName name="Linking_2">'Balance Sheet '!$A$5:$DC$73</definedName>
    <definedName name="Linking_20">'Balance Sheet '!$A$7:$DR$56</definedName>
    <definedName name="Linking_21">'CashFlow '!$A$7:$DR$61</definedName>
    <definedName name="Linking_22">IncomeStatement!$A$7:$CD$122</definedName>
    <definedName name="Linking_23">'CashFlow '!$A$7:$DM$61</definedName>
    <definedName name="Linking_24">IncomeStatement!$A$7:$CN$131</definedName>
    <definedName name="Linking_25">IncomeStatement!$A$7:$CI$131</definedName>
    <definedName name="Linking_3">'CashFlow '!$A$5:$DC$72</definedName>
    <definedName name="Linking_4">IncomeStatement!$A$5:$BY$130</definedName>
    <definedName name="Linking_5">'Balance Sheet '!$A$5:$DH$55</definedName>
    <definedName name="Linking_6">'CashFlow '!$A$5:$DH$71</definedName>
    <definedName name="Linking_7">IncomeStatement!$A$5:$BY$131</definedName>
    <definedName name="Linking_8">'CashFlow '!$A$5:$DH$72</definedName>
    <definedName name="Linking_9">IncomeStatement!$A$5:$CD$113</definedName>
    <definedName name="Linking_Range_1">IncomeStatement!$A$7:$BE$122</definedName>
    <definedName name="Linking_Range_10">'Balance Sheet '!$A$7:$CS$72</definedName>
    <definedName name="Linking_Range_11">'CashFlow '!$A$7:$CS$71</definedName>
    <definedName name="Linking_Range_12">IncomeStatement!$A$7:$BJ$112</definedName>
    <definedName name="Linking_Range_13">'CashFlow '!$A$7:$CS$66</definedName>
    <definedName name="Linking_Range_14">IncomeStatement!$CR$7:$CW$112</definedName>
    <definedName name="Linking_Range_15">IncomeStatement!$A$7:$BO$122</definedName>
    <definedName name="Linking_Range_16">'Balance Sheet '!$A$7:$CX$65</definedName>
    <definedName name="Linking_Range_17">'CashFlow '!$A$7:$CX$66</definedName>
    <definedName name="Linking_Range_18">'Balance Sheet '!$A$7:$CX$72</definedName>
    <definedName name="Linking_Range_19">'Balance Sheet '!$A$7:$CX$64</definedName>
    <definedName name="Linking_Range_2">'Balance Sheet '!$A$7:$CN$55</definedName>
    <definedName name="Linking_Range_20">'CashFlow '!$A$7:$CX$71</definedName>
    <definedName name="Linking_Range_21">IncomeStatement!$A$7:$BO$130</definedName>
    <definedName name="Linking_Range_22">IncomeStatement!$A$7:$BO$112</definedName>
    <definedName name="Linking_Range_23">IncomeStatement!$A$7:$BT$122</definedName>
    <definedName name="Linking_Range_24">'Balance Sheet '!$A$7:$DC$72</definedName>
    <definedName name="Linking_Range_25">'CashFlow '!$A$7:$DC$71</definedName>
    <definedName name="Linking_Range_26">IncomeStatement!$A$7:$BT$131</definedName>
    <definedName name="Linking_Range_27">'Balance Sheet '!$A$7:$DC$55</definedName>
    <definedName name="Linking_Range_28">'CashFlow '!$A$7:$DC$72</definedName>
    <definedName name="Linking_Range_3">'CashFlow '!$A$7:$CN$61</definedName>
    <definedName name="Linking_Range_4">IncomeStatement!$A$7:$BJ$122</definedName>
    <definedName name="Linking_Range_5">'Balance Sheet '!$A$7:$CS$55</definedName>
    <definedName name="Linking_Range_6">'CashFlow '!$A$7:$CS$61</definedName>
    <definedName name="Linking_Range_7">IncomeStatement!$A$5:$BJ$130</definedName>
    <definedName name="Linking_Range_8">IncomeStatement!$A$5:$BJ$67</definedName>
    <definedName name="Linking_Range_9">IncomeStatement!$A$7:$BJ$118</definedName>
    <definedName name="Linking_Range_NEW">IncomeStatement!$A$7:$BT$131</definedName>
    <definedName name="ltdquarter" localSheetId="5"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ltdquarter" localSheetId="6"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ltdquarter" localSheetId="3"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ltdquarter"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MacroVersion" localSheetId="7">IndexInformation!$B$1</definedName>
    <definedName name="ModelPrice" localSheetId="2">ImportantDisclosures!$A$14</definedName>
    <definedName name="Multiplier" localSheetId="7">IndexInformation!$B$35</definedName>
    <definedName name="NextYearEPS" localSheetId="7">IndexInformation!$B$13</definedName>
    <definedName name="NextYearTotalRevenue" localSheetId="7">IndexInformation!$B$12</definedName>
    <definedName name="NextYearTotalRevenueActual" localSheetId="7">IndexInformation!$B$33</definedName>
    <definedName name="NM">"NM"</definedName>
    <definedName name="ObjectType">IndexInformation!$B$37</definedName>
    <definedName name="OpMargin" localSheetId="5">OFFSET([0]!XRange2,5,0)</definedName>
    <definedName name="OpMargin" localSheetId="6">OFFSET([0]!XRange2,5,0)</definedName>
    <definedName name="OpMargin">OFFSET([0]!XRange2,5,0)</definedName>
    <definedName name="PANA" localSheetId="8">ModPubIndex!$A$11</definedName>
    <definedName name="PathName" localSheetId="7">IndexInformation!$B$25</definedName>
    <definedName name="Phase1NPVFCF" localSheetId="5">OFFSET([0]!XRange,39,0)</definedName>
    <definedName name="Phase1NPVFCF" localSheetId="6">OFFSET([0]!XRange,39,0)</definedName>
    <definedName name="Phase1NPVFCF">OFFSET([0]!XRange,39,0)</definedName>
    <definedName name="Phase2NPVFCF" localSheetId="5">OFFSET([0]!XRange,40,0)</definedName>
    <definedName name="Phase2NPVFCF" localSheetId="6">OFFSET([0]!XRange,40,0)</definedName>
    <definedName name="Phase2NPVFCF">OFFSET([0]!XRange,40,0)</definedName>
    <definedName name="Phase3NPVFCF" localSheetId="5">OFFSET([0]!XRange,41,0)</definedName>
    <definedName name="Phase3NPVFCF" localSheetId="6">OFFSET([0]!XRange,41,0)</definedName>
    <definedName name="Phase3NPVFCF">OFFSET([0]!XRange,41,0)</definedName>
    <definedName name="_xlnm.Print_Area" localSheetId="5">'Balance Sheet '!$A$5:$CS$72</definedName>
    <definedName name="_xlnm.Print_Area" localSheetId="6">'CashFlow '!$A$5:$CS$71</definedName>
    <definedName name="_xlnm.Print_Area" localSheetId="4">IncomeStatement!$A$5:$BT$122</definedName>
    <definedName name="_xlnm.Print_Area" localSheetId="3">Intro!$C$1:$K$33</definedName>
    <definedName name="_xlnm.Print_Area">#REF!</definedName>
    <definedName name="print_full" localSheetId="5">#N/A</definedName>
    <definedName name="print_full" localSheetId="6">#N/A</definedName>
    <definedName name="print_full">[0]!val,[0]!INC,[0]!bal,[0]!CASH,[0]!int,[0]!assum1,[0]!assum2,[0]!dcf,[0]!_dcf1</definedName>
    <definedName name="print_full1" localSheetId="5">#N/A</definedName>
    <definedName name="print_full1" localSheetId="6">#N/A</definedName>
    <definedName name="print_full1">[0]!val,[0]!INC,[0]!bal,[0]!CASH,[0]!int,[0]!assum1,[0]!assum2,[0]!dcf</definedName>
    <definedName name="_xlnm.Print_Titles">#REF!</definedName>
    <definedName name="printareafull" localSheetId="5">#N/A</definedName>
    <definedName name="printareafull" localSheetId="6">#N/A</definedName>
    <definedName name="printareafull">[0]!val,[0]!INC,[0]!bal,[0]!CASH,[0]!int,[0]!assum1,[0]!assum2,[0]!dcf,[0]!_dcf1</definedName>
    <definedName name="printfull2" localSheetId="5">#N/A</definedName>
    <definedName name="printfull2" localSheetId="6">#N/A</definedName>
    <definedName name="printfull2">[0]!val,[0]!INC,[0]!bal,[0]!CASH,[0]!int,[0]!assum1,[0]!assum2,[0]!dcf</definedName>
    <definedName name="PRODUCT" localSheetId="8">ModPubIndex!$A$6</definedName>
    <definedName name="ProjectName" localSheetId="5">{"Cereva Networks, Inc"}</definedName>
    <definedName name="ProjectName" localSheetId="6">{"Cereva Networks, Inc"}</definedName>
    <definedName name="ProjectName" localSheetId="3">{"Cereva Networks, Inc"}</definedName>
    <definedName name="ProjectName">{"Cereva Networks, Inc"}</definedName>
    <definedName name="PSYM" localSheetId="8">ModPubIndex!$A$4</definedName>
    <definedName name="PublishDate" localSheetId="7">IndexInformation!$B$2</definedName>
    <definedName name="Rating" localSheetId="7">IndexInformation!$B$9</definedName>
    <definedName name="RatingsDefined" localSheetId="2">ImportantDisclosures!$A$21</definedName>
    <definedName name="RatingsDefs" localSheetId="2">ImportantDisclosures!#REF!</definedName>
    <definedName name="RegACDisclosure" localSheetId="2">ImportantDisclosures!#REF!</definedName>
    <definedName name="Rem_Bus_ROIC" localSheetId="5">OFFSET([0]!XRange,11,0)</definedName>
    <definedName name="Rem_Bus_ROIC" localSheetId="6">OFFSET([0]!XRange,11,0)</definedName>
    <definedName name="Rem_Bus_ROIC">OFFSET([0]!XRange,11,0)</definedName>
    <definedName name="ResearchTopic" localSheetId="7">IndexInformation!$B$4</definedName>
    <definedName name="RIC" localSheetId="7">IndexInformation!$B$21</definedName>
    <definedName name="SECSettlement" localSheetId="2">ImportantDisclosures!#REF!</definedName>
    <definedName name="SEDOL" localSheetId="7">IndexInformation!$B$22</definedName>
    <definedName name="sencount" hidden="1">2</definedName>
    <definedName name="SourceDefined" localSheetId="2">ImportantDisclosures!$A$19</definedName>
    <definedName name="StockRating" localSheetId="2">ImportantDisclosures!$A$11</definedName>
    <definedName name="SubjectCode" localSheetId="7">IndexInformation!$B$6</definedName>
    <definedName name="SubmitterUserId">IndexInformation!$B$39</definedName>
    <definedName name="SUPPRESSED" localSheetId="8">ModPubIndex!$A$13</definedName>
    <definedName name="t" localSheetId="5"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t" localSheetId="6"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t" localSheetId="3"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t"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TargetPrice" localSheetId="2">ImportantDisclosures!$A$15</definedName>
    <definedName name="TemplateRegion">IndexInformation!$B$36</definedName>
    <definedName name="Ticker" localSheetId="2">ImportantDisclosures!$A$10</definedName>
    <definedName name="TickerRegion">IndexInformation!$B$41</definedName>
    <definedName name="Tickers" localSheetId="7">IndexInformation!$B$19</definedName>
    <definedName name="Total_Bus_ROIC" localSheetId="5">OFFSET([0]!XRange,12,0)</definedName>
    <definedName name="Total_Bus_ROIC" localSheetId="6">OFFSET([0]!XRange,12,0)</definedName>
    <definedName name="Total_Bus_ROIC">OFFSET([0]!XRange,12,0)</definedName>
    <definedName name="unsure2" localSheetId="5"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unsure2" localSheetId="6"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unsure2"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UpdateReason" localSheetId="7">IndexInformation!$B$17</definedName>
    <definedName name="USRegDisclosures" localSheetId="2">ImportantDisclosures!#REF!</definedName>
    <definedName name="Version">"June 29, 2004"</definedName>
    <definedName name="WACC" localSheetId="5">OFFSET([0]!XRange,13,0)</definedName>
    <definedName name="WACC" localSheetId="6">OFFSET([0]!XRange,13,0)</definedName>
    <definedName name="WACC">OFFSET([0]!XRange,13,0)</definedName>
    <definedName name="wrn.____EVERYTHING____." localSheetId="5" hidden="1">{"PRICES",#N/A,TRUE,"PRICES";"RESULTS",#N/A,TRUE,"RESULTS";"SECTOR1",#N/A,TRUE,"SECTOR 1";"SECTOR2",#N/A,TRUE,"SECTOR 2";"SECTOR3",#N/A,TRUE,"SECTOR 3";"SECTOR4",#N/A,TRUE,"SECTOR 4";"Sector 5",#N/A,TRUE,"SECTOR 5";"Normalized_Potential",#N/A,TRUE,"SECTOR 5";"SECTOR6",#N/A,TRUE,"SECTOR 6";"KEY_OPER",#N/A,TRUE,"BARDON";"P_AND_L",#N/A,TRUE,"BARDON";"Val_Cash",#N/A,TRUE,"BARDON";"ANALYSIS",#N/A,TRUE,"BARDON";"FRONT",#N/A,TRUE,"BCI";"PRO_LOSS",#N/A,TRUE,"BCI";"CASH_VAL",#N/A,TRUE,"BCI";"CASH_VAL",#N/A,TRUE,"BPB";"ANAYLSIS",#N/A,TRUE,"BPB";"PROF_LOSS",#N/A,TRUE,"BPB";"BUILDING",#N/A,TRUE,"BPB";"GEOGRAPHY",#N/A,TRUE,"BPB";"FRONT",#N/A,TRUE,"CARADON";"PROF_LOSS",#N/A,TRUE,"CARADON";"CASHFLOW",#N/A,TRUE,"CARADON";"OPER_SUMMURY",#N/A,TRUE,"CARADON";"ANALYSIS",#N/A,TRUE,"CARADON";"FRONT",#N/A,TRUE,"CRH";"P_AND_L",#N/A,TRUE,"CRH";"CASH_AND_VAL",#N/A,TRUE,"CRH";"FRONT",#N/A,TRUE,"GRAHAM";"P_AND_L",#N/A,TRUE,"GRAHAM";"CASH_AND_VAL",#N/A,TRUE,"GRAHAM";"HISTORIC_PERFORMANCE",#N/A,TRUE,"GRAHAM";"FRONT",#N/A,TRUE,"HEPWORTH";"P_AND_L",#N/A,TRUE,"HEPWORTH";"CASH_AND_VAL",#N/A,TRUE,"HEPWORTH";"MODELS",#N/A,TRUE,"HEPWORTH";"FRONT",#N/A,TRUE,"HEYWOOD W";"P_AND_L",#N/A,TRUE,"HEYWOOD W";"CASH_AND_VAL",#N/A,TRUE,"HEYWOOD W";"UK_BRICKS",#N/A,TRUE,"IBSTOCK";"FRONT",#N/A,TRUE,"MARLEY";"P_AND_L",#N/A,TRUE,"MARLEY";"CASH_AND_VAL",#N/A,TRUE,"MARLEY";"FRONT",#N/A,TRUE,"MEYER";"P AND L",#N/A,TRUE,"MEYER";"CASH AND VAL",#N/A,TRUE,"MEYER";"FRONT",#N/A,TRUE,"NORCROS";"FRONT",#N/A,TRUE,"NORCROS";"CASH_AND_VAL",#N/A,TRUE,"NORCROS";"FRONT",#N/A,TRUE,"PILKINGTON";"P_AND_L",#N/A,TRUE,"PILKINGTON";#N/A,#N/A,TRUE,"PILKINGTON";"FRONT",#N/A,TRUE,"REDLAND";"P_AND_L",#N/A,TRUE,"REDLAND";"CASH_AND_VAL",#N/A,TRUE,"REDLAND";"OPERATIONAL_FORCASTS",#N/A,TRUE,"REDLAND";"MODELS",#N/A,TRUE,"REDLAND";"P_AND_L",#N/A,TRUE,"RMC";"CASH_AND_VAL",#N/A,TRUE,"RMC";"HALF_YEAR",#N/A,TRUE,"RMC";"P_AND_L",#N/A,TRUE,"RUGBY";"CASH_AND_VAL",#N/A,TRUE,"RUGBY";"P_AND_L",#N/A,TRUE,"A. RUSSELL";"CASH_AND_VAL",#N/A,TRUE,"A. RUSSELL";"FRONT",#N/A,TRUE,"SPRING RAM";"P_AND_L",#N/A,TRUE,"SPRING RAM";"CASH_AND_VAL",#N/A,TRUE,"SPRING RAM";"FRONT",#N/A,TRUE,"TARMAC";"P_AND_L",#N/A,TRUE,"TARMAC";"CASH_AND_VAL",#N/A,TRUE,"TARMAC";"MODELS",#N/A,TRUE,"TARMAC";"FRONT",#N/A,TRUE,"TRAVIS PERK";"P_AND_L",#N/A,TRUE,"TRAVIS PERK";"CASH_AND_VAL",#N/A,TRUE,"TRAVIS PERK";"P AND L",#N/A,TRUE,"WOLSELEY";"CASH AND VAL",#N/A,TRUE,"WOLSELEY";"FRONT",#N/A,TRUE,"IBSTOCK - NEW";"P_AND_L",#N/A,TRUE,"IBSTOCK - NEW";"UK_BRICKS",#N/A,TRUE,"IBSTOCK - NEW";"CASH_AND_VAL",#N/A,TRUE,"IBSTOCK - NEW"}</definedName>
    <definedName name="wrn.____EVERYTHING____." localSheetId="6" hidden="1">{"PRICES",#N/A,TRUE,"PRICES";"RESULTS",#N/A,TRUE,"RESULTS";"SECTOR1",#N/A,TRUE,"SECTOR 1";"SECTOR2",#N/A,TRUE,"SECTOR 2";"SECTOR3",#N/A,TRUE,"SECTOR 3";"SECTOR4",#N/A,TRUE,"SECTOR 4";"Sector 5",#N/A,TRUE,"SECTOR 5";"Normalized_Potential",#N/A,TRUE,"SECTOR 5";"SECTOR6",#N/A,TRUE,"SECTOR 6";"KEY_OPER",#N/A,TRUE,"BARDON";"P_AND_L",#N/A,TRUE,"BARDON";"Val_Cash",#N/A,TRUE,"BARDON";"ANALYSIS",#N/A,TRUE,"BARDON";"FRONT",#N/A,TRUE,"BCI";"PRO_LOSS",#N/A,TRUE,"BCI";"CASH_VAL",#N/A,TRUE,"BCI";"CASH_VAL",#N/A,TRUE,"BPB";"ANAYLSIS",#N/A,TRUE,"BPB";"PROF_LOSS",#N/A,TRUE,"BPB";"BUILDING",#N/A,TRUE,"BPB";"GEOGRAPHY",#N/A,TRUE,"BPB";"FRONT",#N/A,TRUE,"CARADON";"PROF_LOSS",#N/A,TRUE,"CARADON";"CASHFLOW",#N/A,TRUE,"CARADON";"OPER_SUMMURY",#N/A,TRUE,"CARADON";"ANALYSIS",#N/A,TRUE,"CARADON";"FRONT",#N/A,TRUE,"CRH";"P_AND_L",#N/A,TRUE,"CRH";"CASH_AND_VAL",#N/A,TRUE,"CRH";"FRONT",#N/A,TRUE,"GRAHAM";"P_AND_L",#N/A,TRUE,"GRAHAM";"CASH_AND_VAL",#N/A,TRUE,"GRAHAM";"HISTORIC_PERFORMANCE",#N/A,TRUE,"GRAHAM";"FRONT",#N/A,TRUE,"HEPWORTH";"P_AND_L",#N/A,TRUE,"HEPWORTH";"CASH_AND_VAL",#N/A,TRUE,"HEPWORTH";"MODELS",#N/A,TRUE,"HEPWORTH";"FRONT",#N/A,TRUE,"HEYWOOD W";"P_AND_L",#N/A,TRUE,"HEYWOOD W";"CASH_AND_VAL",#N/A,TRUE,"HEYWOOD W";"UK_BRICKS",#N/A,TRUE,"IBSTOCK";"FRONT",#N/A,TRUE,"MARLEY";"P_AND_L",#N/A,TRUE,"MARLEY";"CASH_AND_VAL",#N/A,TRUE,"MARLEY";"FRONT",#N/A,TRUE,"MEYER";"P AND L",#N/A,TRUE,"MEYER";"CASH AND VAL",#N/A,TRUE,"MEYER";"FRONT",#N/A,TRUE,"NORCROS";"FRONT",#N/A,TRUE,"NORCROS";"CASH_AND_VAL",#N/A,TRUE,"NORCROS";"FRONT",#N/A,TRUE,"PILKINGTON";"P_AND_L",#N/A,TRUE,"PILKINGTON";#N/A,#N/A,TRUE,"PILKINGTON";"FRONT",#N/A,TRUE,"REDLAND";"P_AND_L",#N/A,TRUE,"REDLAND";"CASH_AND_VAL",#N/A,TRUE,"REDLAND";"OPERATIONAL_FORCASTS",#N/A,TRUE,"REDLAND";"MODELS",#N/A,TRUE,"REDLAND";"P_AND_L",#N/A,TRUE,"RMC";"CASH_AND_VAL",#N/A,TRUE,"RMC";"HALF_YEAR",#N/A,TRUE,"RMC";"P_AND_L",#N/A,TRUE,"RUGBY";"CASH_AND_VAL",#N/A,TRUE,"RUGBY";"P_AND_L",#N/A,TRUE,"A. RUSSELL";"CASH_AND_VAL",#N/A,TRUE,"A. RUSSELL";"FRONT",#N/A,TRUE,"SPRING RAM";"P_AND_L",#N/A,TRUE,"SPRING RAM";"CASH_AND_VAL",#N/A,TRUE,"SPRING RAM";"FRONT",#N/A,TRUE,"TARMAC";"P_AND_L",#N/A,TRUE,"TARMAC";"CASH_AND_VAL",#N/A,TRUE,"TARMAC";"MODELS",#N/A,TRUE,"TARMAC";"FRONT",#N/A,TRUE,"TRAVIS PERK";"P_AND_L",#N/A,TRUE,"TRAVIS PERK";"CASH_AND_VAL",#N/A,TRUE,"TRAVIS PERK";"P AND L",#N/A,TRUE,"WOLSELEY";"CASH AND VAL",#N/A,TRUE,"WOLSELEY";"FRONT",#N/A,TRUE,"IBSTOCK - NEW";"P_AND_L",#N/A,TRUE,"IBSTOCK - NEW";"UK_BRICKS",#N/A,TRUE,"IBSTOCK - NEW";"CASH_AND_VAL",#N/A,TRUE,"IBSTOCK - NEW"}</definedName>
    <definedName name="wrn.____EVERYTHING____." hidden="1">{"PRICES",#N/A,TRUE,"PRICES";"RESULTS",#N/A,TRUE,"RESULTS";"SECTOR1",#N/A,TRUE,"SECTOR 1";"SECTOR2",#N/A,TRUE,"SECTOR 2";"SECTOR3",#N/A,TRUE,"SECTOR 3";"SECTOR4",#N/A,TRUE,"SECTOR 4";"Sector 5",#N/A,TRUE,"SECTOR 5";"Normalized_Potential",#N/A,TRUE,"SECTOR 5";"SECTOR6",#N/A,TRUE,"SECTOR 6";"KEY_OPER",#N/A,TRUE,"BARDON";"P_AND_L",#N/A,TRUE,"BARDON";"Val_Cash",#N/A,TRUE,"BARDON";"ANALYSIS",#N/A,TRUE,"BARDON";"FRONT",#N/A,TRUE,"BCI";"PRO_LOSS",#N/A,TRUE,"BCI";"CASH_VAL",#N/A,TRUE,"BCI";"CASH_VAL",#N/A,TRUE,"BPB";"ANAYLSIS",#N/A,TRUE,"BPB";"PROF_LOSS",#N/A,TRUE,"BPB";"BUILDING",#N/A,TRUE,"BPB";"GEOGRAPHY",#N/A,TRUE,"BPB";"FRONT",#N/A,TRUE,"CARADON";"PROF_LOSS",#N/A,TRUE,"CARADON";"CASHFLOW",#N/A,TRUE,"CARADON";"OPER_SUMMURY",#N/A,TRUE,"CARADON";"ANALYSIS",#N/A,TRUE,"CARADON";"FRONT",#N/A,TRUE,"CRH";"P_AND_L",#N/A,TRUE,"CRH";"CASH_AND_VAL",#N/A,TRUE,"CRH";"FRONT",#N/A,TRUE,"GRAHAM";"P_AND_L",#N/A,TRUE,"GRAHAM";"CASH_AND_VAL",#N/A,TRUE,"GRAHAM";"HISTORIC_PERFORMANCE",#N/A,TRUE,"GRAHAM";"FRONT",#N/A,TRUE,"HEPWORTH";"P_AND_L",#N/A,TRUE,"HEPWORTH";"CASH_AND_VAL",#N/A,TRUE,"HEPWORTH";"MODELS",#N/A,TRUE,"HEPWORTH";"FRONT",#N/A,TRUE,"HEYWOOD W";"P_AND_L",#N/A,TRUE,"HEYWOOD W";"CASH_AND_VAL",#N/A,TRUE,"HEYWOOD W";"UK_BRICKS",#N/A,TRUE,"IBSTOCK";"FRONT",#N/A,TRUE,"MARLEY";"P_AND_L",#N/A,TRUE,"MARLEY";"CASH_AND_VAL",#N/A,TRUE,"MARLEY";"FRONT",#N/A,TRUE,"MEYER";"P AND L",#N/A,TRUE,"MEYER";"CASH AND VAL",#N/A,TRUE,"MEYER";"FRONT",#N/A,TRUE,"NORCROS";"FRONT",#N/A,TRUE,"NORCROS";"CASH_AND_VAL",#N/A,TRUE,"NORCROS";"FRONT",#N/A,TRUE,"PILKINGTON";"P_AND_L",#N/A,TRUE,"PILKINGTON";#N/A,#N/A,TRUE,"PILKINGTON";"FRONT",#N/A,TRUE,"REDLAND";"P_AND_L",#N/A,TRUE,"REDLAND";"CASH_AND_VAL",#N/A,TRUE,"REDLAND";"OPERATIONAL_FORCASTS",#N/A,TRUE,"REDLAND";"MODELS",#N/A,TRUE,"REDLAND";"P_AND_L",#N/A,TRUE,"RMC";"CASH_AND_VAL",#N/A,TRUE,"RMC";"HALF_YEAR",#N/A,TRUE,"RMC";"P_AND_L",#N/A,TRUE,"RUGBY";"CASH_AND_VAL",#N/A,TRUE,"RUGBY";"P_AND_L",#N/A,TRUE,"A. RUSSELL";"CASH_AND_VAL",#N/A,TRUE,"A. RUSSELL";"FRONT",#N/A,TRUE,"SPRING RAM";"P_AND_L",#N/A,TRUE,"SPRING RAM";"CASH_AND_VAL",#N/A,TRUE,"SPRING RAM";"FRONT",#N/A,TRUE,"TARMAC";"P_AND_L",#N/A,TRUE,"TARMAC";"CASH_AND_VAL",#N/A,TRUE,"TARMAC";"MODELS",#N/A,TRUE,"TARMAC";"FRONT",#N/A,TRUE,"TRAVIS PERK";"P_AND_L",#N/A,TRUE,"TRAVIS PERK";"CASH_AND_VAL",#N/A,TRUE,"TRAVIS PERK";"P AND L",#N/A,TRUE,"WOLSELEY";"CASH AND VAL",#N/A,TRUE,"WOLSELEY";"FRONT",#N/A,TRUE,"IBSTOCK - NEW";"P_AND_L",#N/A,TRUE,"IBSTOCK - NEW";"UK_BRICKS",#N/A,TRUE,"IBSTOCK - NEW";"CASH_AND_VAL",#N/A,TRUE,"IBSTOCK - NEW"}</definedName>
    <definedName name="wrn.____OVERVIEW____." localSheetId="5" hidden="1">{"PRICES",#N/A,TRUE,"PRICES";"RESULTS",#N/A,TRUE,"RESULTS";"SECTOR1",#N/A,TRUE,"SECTOR 1";"SECTOR2",#N/A,TRUE,"SECTOR 2";"SECTOR3",#N/A,TRUE,"SECTOR 3";"SECTOR4",#N/A,TRUE,"SECTOR 4";"Sector 5",#N/A,TRUE,"SECTOR 5";"Normalized_Potential",#N/A,TRUE,"SECTOR 5";"SECTOR6",#N/A,TRUE,"SECTOR 6";"TOP",#N/A,TRUE,"PERATIOS";"BOTTOM",#N/A,TRUE,"PERATIOS"}</definedName>
    <definedName name="wrn.____OVERVIEW____." localSheetId="6" hidden="1">{"PRICES",#N/A,TRUE,"PRICES";"RESULTS",#N/A,TRUE,"RESULTS";"SECTOR1",#N/A,TRUE,"SECTOR 1";"SECTOR2",#N/A,TRUE,"SECTOR 2";"SECTOR3",#N/A,TRUE,"SECTOR 3";"SECTOR4",#N/A,TRUE,"SECTOR 4";"Sector 5",#N/A,TRUE,"SECTOR 5";"Normalized_Potential",#N/A,TRUE,"SECTOR 5";"SECTOR6",#N/A,TRUE,"SECTOR 6";"TOP",#N/A,TRUE,"PERATIOS";"BOTTOM",#N/A,TRUE,"PERATIOS"}</definedName>
    <definedName name="wrn.____OVERVIEW____." hidden="1">{"PRICES",#N/A,TRUE,"PRICES";"RESULTS",#N/A,TRUE,"RESULTS";"SECTOR1",#N/A,TRUE,"SECTOR 1";"SECTOR2",#N/A,TRUE,"SECTOR 2";"SECTOR3",#N/A,TRUE,"SECTOR 3";"SECTOR4",#N/A,TRUE,"SECTOR 4";"Sector 5",#N/A,TRUE,"SECTOR 5";"Normalized_Potential",#N/A,TRUE,"SECTOR 5";"SECTOR6",#N/A,TRUE,"SECTOR 6";"TOP",#N/A,TRUE,"PERATIOS";"BOTTOM",#N/A,TRUE,"PERATIOS"}</definedName>
    <definedName name="wrn.___EVERYTHING___." localSheetId="5"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wrn.___EVERYTHING___." localSheetId="6"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wrn.___EVERYTHING___."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wrn.2._.pagers." localSheetId="5" hidden="1">{"Cover",#N/A,FALSE,"Cover";"Summary",#N/A,FALSE,"Summarpage"}</definedName>
    <definedName name="wrn.2._.pagers." localSheetId="6" hidden="1">{"Cover",#N/A,FALSE,"Cover";"Summary",#N/A,FALSE,"Summarpage"}</definedName>
    <definedName name="wrn.2._.pagers." localSheetId="3" hidden="1">{"Cover",#N/A,FALSE,"Cover";"Summary",#N/A,FALSE,"Summarpage"}</definedName>
    <definedName name="wrn.2._.pagers." hidden="1">{"Cover",#N/A,FALSE,"Cover";"Summary",#N/A,FALSE,"Summarpage"}</definedName>
    <definedName name="wrn.96_model." localSheetId="5" hidden="1">{"qtr_is_94_95",#N/A,FALSE,"MA";"ann_is_96",#N/A,FALSE,"MA";"seg_sales_96",#N/A,FALSE,"MA";"seg_inc_96",#N/A,FALSE,"MA";"divisional_91_95",#N/A,FALSE,"MA";"ann_bs_96",#N/A,FALSE,"MA";"ann_cf_96",#N/A,FALSE,"MA"}</definedName>
    <definedName name="wrn.96_model." localSheetId="6" hidden="1">{"qtr_is_94_95",#N/A,FALSE,"MA";"ann_is_96",#N/A,FALSE,"MA";"seg_sales_96",#N/A,FALSE,"MA";"seg_inc_96",#N/A,FALSE,"MA";"divisional_91_95",#N/A,FALSE,"MA";"ann_bs_96",#N/A,FALSE,"MA";"ann_cf_96",#N/A,FALSE,"MA"}</definedName>
    <definedName name="wrn.96_model." localSheetId="3" hidden="1">{"qtr_is_94_95",#N/A,FALSE,"MA";"ann_is_96",#N/A,FALSE,"MA";"seg_sales_96",#N/A,FALSE,"MA";"seg_inc_96",#N/A,FALSE,"MA";"divisional_91_95",#N/A,FALSE,"MA";"ann_bs_96",#N/A,FALSE,"MA";"ann_cf_96",#N/A,FALSE,"MA"}</definedName>
    <definedName name="wrn.96_model." hidden="1">{"qtr_is_94_95",#N/A,FALSE,"MA";"ann_is_96",#N/A,FALSE,"MA";"seg_sales_96",#N/A,FALSE,"MA";"seg_inc_96",#N/A,FALSE,"MA";"divisional_91_95",#N/A,FALSE,"MA";"ann_bs_96",#N/A,FALSE,"MA";"ann_cf_96",#N/A,FALSE,"MA"}</definedName>
    <definedName name="wrn.allpages." localSheetId="5" hidden="1">{#N/A,#N/A,TRUE,"Historicals";#N/A,#N/A,TRUE,"Charts";#N/A,#N/A,TRUE,"Forecasts"}</definedName>
    <definedName name="wrn.allpages." localSheetId="6" hidden="1">{#N/A,#N/A,TRUE,"Historicals";#N/A,#N/A,TRUE,"Charts";#N/A,#N/A,TRUE,"Forecasts"}</definedName>
    <definedName name="wrn.allpages." localSheetId="3" hidden="1">{#N/A,#N/A,TRUE,"Historicals";#N/A,#N/A,TRUE,"Charts";#N/A,#N/A,TRUE,"Forecasts"}</definedName>
    <definedName name="wrn.allpages." hidden="1">{#N/A,#N/A,TRUE,"Historicals";#N/A,#N/A,TRUE,"Charts";#N/A,#N/A,TRUE,"Forecasts"}</definedName>
    <definedName name="wrn.annual." localSheetId="5" hidden="1">{"Annual Income",#N/A,FALSE,"ANF"}</definedName>
    <definedName name="wrn.annual." localSheetId="6" hidden="1">{"Annual Income",#N/A,FALSE,"ANF"}</definedName>
    <definedName name="wrn.annual." localSheetId="3" hidden="1">{"Annual Income",#N/A,FALSE,"ANF"}</definedName>
    <definedName name="wrn.annual." hidden="1">{"Annual Income",#N/A,FALSE,"ANF"}</definedName>
    <definedName name="wrn.BUILDING._.VALUE." localSheetId="5" hidden="1">{"BUILD VALUE 1",#N/A,FALSE,"VALUE";"BUILD VALUE 2",#N/A,FALSE,"VALUE";"BUILD VALUE 3",#N/A,FALSE,"VALUE";"BUILD VALUE 4",#N/A,FALSE,"VALUE";"BUILD VALUE 5",#N/A,FALSE,"VALUE";"BUILD VALUE 6",#N/A,FALSE,"VALUE";"BUILD VALUE 7",#N/A,FALSE,"VALUE";"BUILD VALUE 8",#N/A,FALSE,"VALUE";"BUILD VALUE 9",#N/A,FALSE,"VALUE";"BUILD VALUE 10",#N/A,FALSE,"VALUE"}</definedName>
    <definedName name="wrn.BUILDING._.VALUE." localSheetId="6" hidden="1">{"BUILD VALUE 1",#N/A,FALSE,"VALUE";"BUILD VALUE 2",#N/A,FALSE,"VALUE";"BUILD VALUE 3",#N/A,FALSE,"VALUE";"BUILD VALUE 4",#N/A,FALSE,"VALUE";"BUILD VALUE 5",#N/A,FALSE,"VALUE";"BUILD VALUE 6",#N/A,FALSE,"VALUE";"BUILD VALUE 7",#N/A,FALSE,"VALUE";"BUILD VALUE 8",#N/A,FALSE,"VALUE";"BUILD VALUE 9",#N/A,FALSE,"VALUE";"BUILD VALUE 10",#N/A,FALSE,"VALUE"}</definedName>
    <definedName name="wrn.BUILDING._.VALUE." hidden="1">{"BUILD VALUE 1",#N/A,FALSE,"VALUE";"BUILD VALUE 2",#N/A,FALSE,"VALUE";"BUILD VALUE 3",#N/A,FALSE,"VALUE";"BUILD VALUE 4",#N/A,FALSE,"VALUE";"BUILD VALUE 5",#N/A,FALSE,"VALUE";"BUILD VALUE 6",#N/A,FALSE,"VALUE";"BUILD VALUE 7",#N/A,FALSE,"VALUE";"BUILD VALUE 8",#N/A,FALSE,"VALUE";"BUILD VALUE 9",#N/A,FALSE,"VALUE";"BUILD VALUE 10",#N/A,FALSE,"VALUE"}</definedName>
    <definedName name="wrn.cns" localSheetId="5"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ns" localSheetId="6"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ns" localSheetId="3"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n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omplete."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Report." localSheetId="5"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_.Report."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_.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localSheetId="5"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DG" localSheetId="5"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localSheetId="6"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localSheetId="3"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localSheetId="5"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DG." localSheetId="6"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DG." localSheetId="3"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DG."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FTS." localSheetId="5"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TS." localSheetId="6"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TS." localSheetId="3"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T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UZ_REP." localSheetId="5" hidden="1">{"FUZ_INC_A",#N/A,FALSE,"NOBE";"FUZ_INC_Q",#N/A,FALSE,"NOBE";"FUZ_BAL_A",#N/A,FALSE,"NOBE";"FUZ_CASH_A",#N/A,FALSE,"NOBE";"FUZ_PROD_A",#N/A,FALSE,"NOBE"}</definedName>
    <definedName name="wrn.FUZ_REP." localSheetId="6" hidden="1">{"FUZ_INC_A",#N/A,FALSE,"NOBE";"FUZ_INC_Q",#N/A,FALSE,"NOBE";"FUZ_BAL_A",#N/A,FALSE,"NOBE";"FUZ_CASH_A",#N/A,FALSE,"NOBE";"FUZ_PROD_A",#N/A,FALSE,"NOBE"}</definedName>
    <definedName name="wrn.FUZ_REP." localSheetId="3" hidden="1">{"FUZ_INC_A",#N/A,FALSE,"NOBE";"FUZ_INC_Q",#N/A,FALSE,"NOBE";"FUZ_BAL_A",#N/A,FALSE,"NOBE";"FUZ_CASH_A",#N/A,FALSE,"NOBE";"FUZ_PROD_A",#N/A,FALSE,"NOBE"}</definedName>
    <definedName name="wrn.FUZ_REP." hidden="1">{"FUZ_INC_A",#N/A,FALSE,"NOBE";"FUZ_INC_Q",#N/A,FALSE,"NOBE";"FUZ_BAL_A",#N/A,FALSE,"NOBE";"FUZ_CASH_A",#N/A,FALSE,"NOBE";"FUZ_PROD_A",#N/A,FALSE,"NOBE"}</definedName>
    <definedName name="wrn.fuz_report." localSheetId="5" hidden="1">{"fuz_inc_a",#N/A,FALSE,"BKS";"fuz_inc_q",#N/A,FALSE,"BKS";"fuz_bal_a",#N/A,FALSE,"BKS";"fuz_cash_a",#N/A,FALSE,"BKS";"fuz_prod_a",#N/A,FALSE,"BKS";"fuz_div_a",#N/A,FALSE,"BKS";"fuz_div2_a",#N/A,FALSE,"BKS"}</definedName>
    <definedName name="wrn.fuz_report." localSheetId="6" hidden="1">{"fuz_inc_a",#N/A,FALSE,"BKS";"fuz_inc_q",#N/A,FALSE,"BKS";"fuz_bal_a",#N/A,FALSE,"BKS";"fuz_cash_a",#N/A,FALSE,"BKS";"fuz_prod_a",#N/A,FALSE,"BKS";"fuz_div_a",#N/A,FALSE,"BKS";"fuz_div2_a",#N/A,FALSE,"BKS"}</definedName>
    <definedName name="wrn.fuz_report." localSheetId="3" hidden="1">{"fuz_inc_a",#N/A,FALSE,"BKS";"fuz_inc_q",#N/A,FALSE,"BKS";"fuz_bal_a",#N/A,FALSE,"BKS";"fuz_cash_a",#N/A,FALSE,"BKS";"fuz_prod_a",#N/A,FALSE,"BKS";"fuz_div_a",#N/A,FALSE,"BKS";"fuz_div2_a",#N/A,FALSE,"BKS"}</definedName>
    <definedName name="wrn.fuz_report." hidden="1">{"fuz_inc_a",#N/A,FALSE,"BKS";"fuz_inc_q",#N/A,FALSE,"BKS";"fuz_bal_a",#N/A,FALSE,"BKS";"fuz_cash_a",#N/A,FALSE,"BKS";"fuz_prod_a",#N/A,FALSE,"BKS";"fuz_div_a",#N/A,FALSE,"BKS";"fuz_div2_a",#N/A,FALSE,"BKS"}</definedName>
    <definedName name="wrn.IBI." localSheetId="5" hidden="1">{"IBI Annual",#N/A,FALSE,"IBI";"Quarterly",#N/A,FALSE,"IBI";"Divisional",#N/A,FALSE,"IBI";"Divisional II",#N/A,FALSE,"IBI";"IBI Balance Sheet",#N/A,FALSE,"IBI";"IBI Funds",#N/A,FALSE,"IBI"}</definedName>
    <definedName name="wrn.IBI." localSheetId="6" hidden="1">{"IBI Annual",#N/A,FALSE,"IBI";"Quarterly",#N/A,FALSE,"IBI";"Divisional",#N/A,FALSE,"IBI";"Divisional II",#N/A,FALSE,"IBI";"IBI Balance Sheet",#N/A,FALSE,"IBI";"IBI Funds",#N/A,FALSE,"IBI"}</definedName>
    <definedName name="wrn.IBI." localSheetId="3" hidden="1">{"IBI Annual",#N/A,FALSE,"IBI";"Quarterly",#N/A,FALSE,"IBI";"Divisional",#N/A,FALSE,"IBI";"Divisional II",#N/A,FALSE,"IBI";"IBI Balance Sheet",#N/A,FALSE,"IBI";"IBI Funds",#N/A,FALSE,"IBI"}</definedName>
    <definedName name="wrn.IBI." hidden="1">{"IBI Annual",#N/A,FALSE,"IBI";"Quarterly",#N/A,FALSE,"IBI";"Divisional",#N/A,FALSE,"IBI";"Divisional II",#N/A,FALSE,"IBI";"IBI Balance Sheet",#N/A,FALSE,"IBI";"IBI Funds",#N/A,FALSE,"IBI"}</definedName>
    <definedName name="wrn.IBI._.Divisional." localSheetId="5" hidden="1">{"Divisional",#N/A,FALSE,"IBI";"Divisional II",#N/A,FALSE,"IBI";"Breakdown",#N/A,FALSE,"IBI"}</definedName>
    <definedName name="wrn.IBI._.Divisional." localSheetId="6" hidden="1">{"Divisional",#N/A,FALSE,"IBI";"Divisional II",#N/A,FALSE,"IBI";"Breakdown",#N/A,FALSE,"IBI"}</definedName>
    <definedName name="wrn.IBI._.Divisional." localSheetId="3" hidden="1">{"Divisional",#N/A,FALSE,"IBI";"Divisional II",#N/A,FALSE,"IBI";"Breakdown",#N/A,FALSE,"IBI"}</definedName>
    <definedName name="wrn.IBI._.Divisional." hidden="1">{"Divisional",#N/A,FALSE,"IBI";"Divisional II",#N/A,FALSE,"IBI";"Breakdown",#N/A,FALSE,"IBI"}</definedName>
    <definedName name="wrn.Industry.xls." localSheetId="5" hidden="1">{#N/A,#N/A,FALSE,"Earnings";#N/A,#N/A,FALSE,"Overview";#N/A,#N/A,FALSE,"Summary";#N/A,#N/A,FALSE,"Summary II";#N/A,#N/A,FALSE,"R&amp;D";#N/A,#N/A,FALSE,"R&amp;D Forecast";#N/A,#N/A,FALSE,"Tax Adj";#N/A,#N/A,FALSE,"Goodwill";#N/A,#N/A,FALSE,"FX ";#N/A,#N/A,FALSE,"Consolidation";#N/A,#N/A,FALSE,"Provisions"}</definedName>
    <definedName name="wrn.Industry.xls." localSheetId="6" hidden="1">{#N/A,#N/A,FALSE,"Earnings";#N/A,#N/A,FALSE,"Overview";#N/A,#N/A,FALSE,"Summary";#N/A,#N/A,FALSE,"Summary II";#N/A,#N/A,FALSE,"R&amp;D";#N/A,#N/A,FALSE,"R&amp;D Forecast";#N/A,#N/A,FALSE,"Tax Adj";#N/A,#N/A,FALSE,"Goodwill";#N/A,#N/A,FALSE,"FX ";#N/A,#N/A,FALSE,"Consolidation";#N/A,#N/A,FALSE,"Provisions"}</definedName>
    <definedName name="wrn.Industry.xls." localSheetId="3"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Leases.xls." localSheetId="5" hidden="1">{#N/A,#N/A,FALSE,"Initial Year";#N/A,#N/A,FALSE,"Historical";#N/A,#N/A,FALSE,"balsheet";#N/A,#N/A,FALSE,"incstate";#N/A,#N/A,FALSE,"Fleet"}</definedName>
    <definedName name="wrn.Leases.xls." localSheetId="6" hidden="1">{#N/A,#N/A,FALSE,"Initial Year";#N/A,#N/A,FALSE,"Historical";#N/A,#N/A,FALSE,"balsheet";#N/A,#N/A,FALSE,"incstate";#N/A,#N/A,FALSE,"Fleet"}</definedName>
    <definedName name="wrn.Leases.xls." localSheetId="3" hidden="1">{#N/A,#N/A,FALSE,"Initial Year";#N/A,#N/A,FALSE,"Historical";#N/A,#N/A,FALSE,"balsheet";#N/A,#N/A,FALSE,"incstate";#N/A,#N/A,FALSE,"Fleet"}</definedName>
    <definedName name="wrn.Leases.xls." hidden="1">{#N/A,#N/A,FALSE,"Initial Year";#N/A,#N/A,FALSE,"Historical";#N/A,#N/A,FALSE,"balsheet";#N/A,#N/A,FALSE,"incstate";#N/A,#N/A,FALSE,"Fleet"}</definedName>
    <definedName name="wrn.LTD." localSheetId="5" hidden="1">{"Annual Income",#N/A,FALSE,"LTD";"D Op. Profit",#N/A,FALSE,"LTD";"D Op. Profit Continued",#N/A,FALSE,"LTD";"Segment Analysis",#N/A,FALSE,"LTD";"Segment Analysis Continued",#N/A,FALSE,"LTD";"Breakdown1",#N/A,FALSE,"LTD";"Breakdown2",#N/A,FALSE,"LTD";"Breakdown3",#N/A,FALSE,"LTD";"p",#N/A,FALSE,"LTD";"pp",#N/A,FALSE,"LTD";"ppp",#N/A,FALSE,"LTD";"Before",#N/A,FALSE,"LTD";"After",#N/A,FALSE,"LTD";"Credit",#N/A,FALSE,"LTD";"Segment Analysis Continued",#N/A,FALSE,"LTD"}</definedName>
    <definedName name="wrn.LTD." localSheetId="6" hidden="1">{"Annual Income",#N/A,FALSE,"LTD";"D Op. Profit",#N/A,FALSE,"LTD";"D Op. Profit Continued",#N/A,FALSE,"LTD";"Segment Analysis",#N/A,FALSE,"LTD";"Segment Analysis Continued",#N/A,FALSE,"LTD";"Breakdown1",#N/A,FALSE,"LTD";"Breakdown2",#N/A,FALSE,"LTD";"Breakdown3",#N/A,FALSE,"LTD";"p",#N/A,FALSE,"LTD";"pp",#N/A,FALSE,"LTD";"ppp",#N/A,FALSE,"LTD";"Before",#N/A,FALSE,"LTD";"After",#N/A,FALSE,"LTD";"Credit",#N/A,FALSE,"LTD";"Segment Analysis Continued",#N/A,FALSE,"LTD"}</definedName>
    <definedName name="wrn.LTD." localSheetId="3" hidden="1">{"Annual Income",#N/A,FALSE,"LTD";"D Op. Profit",#N/A,FALSE,"LTD";"D Op. Profit Continued",#N/A,FALSE,"LTD";"Segment Analysis",#N/A,FALSE,"LTD";"Segment Analysis Continued",#N/A,FALSE,"LTD";"Breakdown1",#N/A,FALSE,"LTD";"Breakdown2",#N/A,FALSE,"LTD";"Breakdown3",#N/A,FALSE,"LTD";"p",#N/A,FALSE,"LTD";"pp",#N/A,FALSE,"LTD";"ppp",#N/A,FALSE,"LTD";"Before",#N/A,FALSE,"LTD";"After",#N/A,FALSE,"LTD";"Credit",#N/A,FALSE,"LTD";"Segment Analysis Continued",#N/A,FALSE,"LTD"}</definedName>
    <definedName name="wrn.LTD." hidden="1">{"Annual Income",#N/A,FALSE,"LTD";"D Op. Profit",#N/A,FALSE,"LTD";"D Op. Profit Continued",#N/A,FALSE,"LTD";"Segment Analysis",#N/A,FALSE,"LTD";"Segment Analysis Continued",#N/A,FALSE,"LTD";"Breakdown1",#N/A,FALSE,"LTD";"Breakdown2",#N/A,FALSE,"LTD";"Breakdown3",#N/A,FALSE,"LTD";"p",#N/A,FALSE,"LTD";"pp",#N/A,FALSE,"LTD";"ppp",#N/A,FALSE,"LTD";"Before",#N/A,FALSE,"LTD";"After",#N/A,FALSE,"LTD";"Credit",#N/A,FALSE,"LTD";"Segment Analysis Continued",#N/A,FALSE,"LTD"}</definedName>
    <definedName name="wrn.MOBIL." localSheetId="5" hidden="1">{"quarter",#N/A,FALSE,"MOB"}</definedName>
    <definedName name="wrn.MOBIL." localSheetId="6" hidden="1">{"quarter",#N/A,FALSE,"MOB"}</definedName>
    <definedName name="wrn.MOBIL." localSheetId="3" hidden="1">{"quarter",#N/A,FALSE,"MOB"}</definedName>
    <definedName name="wrn.MOBIL." hidden="1">{"quarter",#N/A,FALSE,"MOB"}</definedName>
    <definedName name="wrn.Op._.inc.." localSheetId="5" hidden="1">{"D Op. Profit",#N/A,FALSE,"LTD";"D Op Profit Continued",#N/A,FALSE,"LTD"}</definedName>
    <definedName name="wrn.Op._.inc.." localSheetId="6" hidden="1">{"D Op. Profit",#N/A,FALSE,"LTD";"D Op Profit Continued",#N/A,FALSE,"LTD"}</definedName>
    <definedName name="wrn.Op._.inc.." localSheetId="3" hidden="1">{"D Op. Profit",#N/A,FALSE,"LTD";"D Op Profit Continued",#N/A,FALSE,"LTD"}</definedName>
    <definedName name="wrn.Op._.inc.." hidden="1">{"D Op. Profit",#N/A,FALSE,"LTD";"D Op Profit Continued",#N/A,FALSE,"LTD"}</definedName>
    <definedName name="wrn.PETC." localSheetId="5"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ETC." localSheetId="6"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ETC." localSheetId="3"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ETC."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SS." localSheetId="5" hidden="1">{"Annual",#N/A,FALSE,"PSS";"Quarterly Earnings",#N/A,FALSE,"PSS";"Quarterly Margins",#N/A,FALSE,"PSS";"Balance Sheet",#N/A,FALSE,"PSS";"Funds Flow",#N/A,FALSE,"PSS";"Q Sales",#N/A,FALSE,"PSS";"Unit Analysis",#N/A,FALSE,"PSS";"Ratio Analysis",#N/A,FALSE,"PSS";"Comps",#N/A,FALSE,"PSS";"Valuation",#N/A,FALSE,"PSS";"Inventory Analysis",#N/A,FALSE,"PSS"}</definedName>
    <definedName name="wrn.PSS." localSheetId="6" hidden="1">{"Annual",#N/A,FALSE,"PSS";"Quarterly Earnings",#N/A,FALSE,"PSS";"Quarterly Margins",#N/A,FALSE,"PSS";"Balance Sheet",#N/A,FALSE,"PSS";"Funds Flow",#N/A,FALSE,"PSS";"Q Sales",#N/A,FALSE,"PSS";"Unit Analysis",#N/A,FALSE,"PSS";"Ratio Analysis",#N/A,FALSE,"PSS";"Comps",#N/A,FALSE,"PSS";"Valuation",#N/A,FALSE,"PSS";"Inventory Analysis",#N/A,FALSE,"PSS"}</definedName>
    <definedName name="wrn.PSS." localSheetId="3" hidden="1">{"Annual",#N/A,FALSE,"PSS";"Quarterly Earnings",#N/A,FALSE,"PSS";"Quarterly Margins",#N/A,FALSE,"PSS";"Balance Sheet",#N/A,FALSE,"PSS";"Funds Flow",#N/A,FALSE,"PSS";"Q Sales",#N/A,FALSE,"PSS";"Unit Analysis",#N/A,FALSE,"PSS";"Ratio Analysis",#N/A,FALSE,"PSS";"Comps",#N/A,FALSE,"PSS";"Valuation",#N/A,FALSE,"PSS";"Inventory Analysis",#N/A,FALSE,"PSS"}</definedName>
    <definedName name="wrn.PSS." hidden="1">{"Annual",#N/A,FALSE,"PSS";"Quarterly Earnings",#N/A,FALSE,"PSS";"Quarterly Margins",#N/A,FALSE,"PSS";"Balance Sheet",#N/A,FALSE,"PSS";"Funds Flow",#N/A,FALSE,"PSS";"Q Sales",#N/A,FALSE,"PSS";"Unit Analysis",#N/A,FALSE,"PSS";"Ratio Analysis",#N/A,FALSE,"PSS";"Comps",#N/A,FALSE,"PSS";"Valuation",#N/A,FALSE,"PSS";"Inventory Analysis",#N/A,FALSE,"PSS"}</definedName>
    <definedName name="wrn.Pulp." localSheetId="5" hidden="1">{"Pulp Production",#N/A,FALSE,"Pulp";"Pulp Earnings",#N/A,FALSE,"Pulp"}</definedName>
    <definedName name="wrn.Pulp." localSheetId="6" hidden="1">{"Pulp Production",#N/A,FALSE,"Pulp";"Pulp Earnings",#N/A,FALSE,"Pulp"}</definedName>
    <definedName name="wrn.Pulp." localSheetId="3" hidden="1">{"Pulp Production",#N/A,FALSE,"Pulp";"Pulp Earnings",#N/A,FALSE,"Pulp"}</definedName>
    <definedName name="wrn.Pulp." hidden="1">{"Pulp Production",#N/A,FALSE,"Pulp";"Pulp Earnings",#N/A,FALSE,"Pulp"}</definedName>
    <definedName name="wrn.Q._.Report." localSheetId="5" hidden="1">{"Quarterly Earnings",#N/A,FALSE,"FTS";"Quarterly Margins",#N/A,FALSE,"FTS";"Q Sales",#N/A,FALSE,"FTS";"Q EBIT",#N/A,FALSE,"FTS";"Unit Analysis",#N/A,FALSE,"FTS";"Inventory Analysis",#N/A,FALSE,"FTS"}</definedName>
    <definedName name="wrn.Q._.Report." localSheetId="6" hidden="1">{"Quarterly Earnings",#N/A,FALSE,"FTS";"Quarterly Margins",#N/A,FALSE,"FTS";"Q Sales",#N/A,FALSE,"FTS";"Q EBIT",#N/A,FALSE,"FTS";"Unit Analysis",#N/A,FALSE,"FTS";"Inventory Analysis",#N/A,FALSE,"FTS"}</definedName>
    <definedName name="wrn.Q._.Report." localSheetId="3" hidden="1">{"Quarterly Earnings",#N/A,FALSE,"FTS";"Quarterly Margins",#N/A,FALSE,"FTS";"Q Sales",#N/A,FALSE,"FTS";"Q EBIT",#N/A,FALSE,"FTS";"Unit Analysis",#N/A,FALSE,"FTS";"Inventory Analysis",#N/A,FALSE,"FTS"}</definedName>
    <definedName name="wrn.Q._.Report." hidden="1">{"Quarterly Earnings",#N/A,FALSE,"FTS";"Quarterly Margins",#N/A,FALSE,"FTS";"Q Sales",#N/A,FALSE,"FTS";"Q EBIT",#N/A,FALSE,"FTS";"Unit Analysis",#N/A,FALSE,"FTS";"Inventory Analysis",#N/A,FALSE,"FTS"}</definedName>
    <definedName name="wrn.rep." localSheetId="5" hidden="1">{"Quarterly Income",#N/A,FALSE,"TLB";"Quarterly Margins",#N/A,FALSE,"TLB";"Q Sales",#N/A,FALSE,"TLB";"SQFT",#N/A,FALSE,"TLB";"Units",#N/A,FALSE,"TLB";"Comps",#N/A,FALSE,"TLB"}</definedName>
    <definedName name="wrn.rep." localSheetId="6" hidden="1">{"Quarterly Income",#N/A,FALSE,"TLB";"Quarterly Margins",#N/A,FALSE,"TLB";"Q Sales",#N/A,FALSE,"TLB";"SQFT",#N/A,FALSE,"TLB";"Units",#N/A,FALSE,"TLB";"Comps",#N/A,FALSE,"TLB"}</definedName>
    <definedName name="wrn.rep." localSheetId="3" hidden="1">{"Quarterly Income",#N/A,FALSE,"TLB";"Quarterly Margins",#N/A,FALSE,"TLB";"Q Sales",#N/A,FALSE,"TLB";"SQFT",#N/A,FALSE,"TLB";"Units",#N/A,FALSE,"TLB";"Comps",#N/A,FALSE,"TLB"}</definedName>
    <definedName name="wrn.rep." hidden="1">{"Quarterly Income",#N/A,FALSE,"TLB";"Quarterly Margins",#N/A,FALSE,"TLB";"Q Sales",#N/A,FALSE,"TLB";"SQFT",#N/A,FALSE,"TLB";"Units",#N/A,FALSE,"TLB";"Comps",#N/A,FALSE,"TLB"}</definedName>
    <definedName name="wrn.Report." localSheetId="5" hidden="1">{"Breakdown1",#N/A,FALSE,"LTD";"Breakdown2",#N/A,FALSE,"LTD";"Breakdown3",#N/A,FALSE,"LTD";"D Op. Profit",#N/A,FALSE,"LTD";"D Op Profit Continued",#N/A,FALSE,"LTD"}</definedName>
    <definedName name="wrn.Report." localSheetId="6" hidden="1">{"Breakdown1",#N/A,FALSE,"LTD";"Breakdown2",#N/A,FALSE,"LTD";"Breakdown3",#N/A,FALSE,"LTD";"D Op. Profit",#N/A,FALSE,"LTD";"D Op Profit Continued",#N/A,FALSE,"LTD"}</definedName>
    <definedName name="wrn.Report." localSheetId="3" hidden="1">{"Breakdown1",#N/A,FALSE,"LTD";"Breakdown2",#N/A,FALSE,"LTD";"Breakdown3",#N/A,FALSE,"LTD";"D Op. Profit",#N/A,FALSE,"LTD";"D Op Profit Continued",#N/A,FALSE,"LTD"}</definedName>
    <definedName name="wrn.Report." hidden="1">{"Breakdown1",#N/A,FALSE,"LTD";"Breakdown2",#N/A,FALSE,"LTD";"Breakdown3",#N/A,FALSE,"LTD";"D Op. Profit",#N/A,FALSE,"LTD";"D Op Profit Continued",#N/A,FALSE,"LTD"}</definedName>
    <definedName name="wrn.RETURNS." localSheetId="5" hidden="1">{"BETAS",#N/A,FALSE,"RETURNS";"THEOR KE",#N/A,FALSE,"RETURNS";"IMPLIED KE",#N/A,FALSE,"RETURNS";"THEO GR",#N/A,FALSE,"RETURNS";"IMPLIED GR",#N/A,FALSE,"RETURNS";"IMPLIED KE PORD",#N/A,FALSE,"RETURNS";"ROE",#N/A,FALSE,"RETURNS";"RETENTIONS",#N/A,FALSE,"RETURNS";"RISK FREE",#N/A,FALSE,"RETURNS";"GRISKADJPER",#N/A,FALSE,"RETURNS";"THEOR PER",#N/A,FALSE,"RETURNS"}</definedName>
    <definedName name="wrn.RETURNS." localSheetId="6" hidden="1">{"BETAS",#N/A,FALSE,"RETURNS";"THEOR KE",#N/A,FALSE,"RETURNS";"IMPLIED KE",#N/A,FALSE,"RETURNS";"THEO GR",#N/A,FALSE,"RETURNS";"IMPLIED GR",#N/A,FALSE,"RETURNS";"IMPLIED KE PORD",#N/A,FALSE,"RETURNS";"ROE",#N/A,FALSE,"RETURNS";"RETENTIONS",#N/A,FALSE,"RETURNS";"RISK FREE",#N/A,FALSE,"RETURNS";"GRISKADJPER",#N/A,FALSE,"RETURNS";"THEOR PER",#N/A,FALSE,"RETURNS"}</definedName>
    <definedName name="wrn.RETURNS." hidden="1">{"BETAS",#N/A,FALSE,"RETURNS";"THEOR KE",#N/A,FALSE,"RETURNS";"IMPLIED KE",#N/A,FALSE,"RETURNS";"THEO GR",#N/A,FALSE,"RETURNS";"IMPLIED GR",#N/A,FALSE,"RETURNS";"IMPLIED KE PORD",#N/A,FALSE,"RETURNS";"ROE",#N/A,FALSE,"RETURNS";"RETENTIONS",#N/A,FALSE,"RETURNS";"RISK FREE",#N/A,FALSE,"RETURNS";"GRISKADJPER",#N/A,FALSE,"RETURNS";"THEOR PER",#N/A,FALSE,"RETURNS"}</definedName>
    <definedName name="wrn.TIF." localSheetId="5" hidden="1">{"Quarterly Income",#N/A,FALSE,"TIF";"Annual Income",#N/A,FALSE,"TIF";"Quarterly Margins",#N/A,FALSE,"TIF";"Balance Sheet",#N/A,FALSE,"TIF";"Funds Flow",#N/A,FALSE,"TIF";"Q Sales",#N/A,FALSE,"TIF";"Units",#N/A,FALSE,"TIF";"SQFT",#N/A,FALSE,"TIF";"Inventory",#N/A,FALSE,"TIF";"Sales Analysis",#N/A,FALSE,"TIF"}</definedName>
    <definedName name="wrn.TIF." localSheetId="6" hidden="1">{"Quarterly Income",#N/A,FALSE,"TIF";"Annual Income",#N/A,FALSE,"TIF";"Quarterly Margins",#N/A,FALSE,"TIF";"Balance Sheet",#N/A,FALSE,"TIF";"Funds Flow",#N/A,FALSE,"TIF";"Q Sales",#N/A,FALSE,"TIF";"Units",#N/A,FALSE,"TIF";"SQFT",#N/A,FALSE,"TIF";"Inventory",#N/A,FALSE,"TIF";"Sales Analysis",#N/A,FALSE,"TIF"}</definedName>
    <definedName name="wrn.TIF." localSheetId="3" hidden="1">{"Quarterly Income",#N/A,FALSE,"TIF";"Annual Income",#N/A,FALSE,"TIF";"Quarterly Margins",#N/A,FALSE,"TIF";"Balance Sheet",#N/A,FALSE,"TIF";"Funds Flow",#N/A,FALSE,"TIF";"Q Sales",#N/A,FALSE,"TIF";"Units",#N/A,FALSE,"TIF";"SQFT",#N/A,FALSE,"TIF";"Inventory",#N/A,FALSE,"TIF";"Sales Analysis",#N/A,FALSE,"TIF"}</definedName>
    <definedName name="wrn.TIF." hidden="1">{"Quarterly Income",#N/A,FALSE,"TIF";"Annual Income",#N/A,FALSE,"TIF";"Quarterly Margins",#N/A,FALSE,"TIF";"Balance Sheet",#N/A,FALSE,"TIF";"Funds Flow",#N/A,FALSE,"TIF";"Q Sales",#N/A,FALSE,"TIF";"Units",#N/A,FALSE,"TIF";"SQFT",#N/A,FALSE,"TIF";"Inventory",#N/A,FALSE,"TIF";"Sales Analysis",#N/A,FALSE,"TIF"}</definedName>
    <definedName name="wrn.Valuation." localSheetId="5" hidden="1">{"Before",#N/A,FALSE,"LTD";"After",#N/A,FALSE,"LTD";"Credit",#N/A,FALSE,"LTD"}</definedName>
    <definedName name="wrn.Valuation." localSheetId="6" hidden="1">{"Before",#N/A,FALSE,"LTD";"After",#N/A,FALSE,"LTD";"Credit",#N/A,FALSE,"LTD"}</definedName>
    <definedName name="wrn.Valuation." localSheetId="3" hidden="1">{"Before",#N/A,FALSE,"LTD";"After",#N/A,FALSE,"LTD";"Credit",#N/A,FALSE,"LTD"}</definedName>
    <definedName name="wrn.Valuation." hidden="1">{"Before",#N/A,FALSE,"LTD";"After",#N/A,FALSE,"LTD";"Credit",#N/A,FALSE,"LTD"}</definedName>
    <definedName name="wrn.wag." localSheetId="5" hidden="1">{"inc.ann",#N/A,FALSE,"WAG";"inc.quart",#N/A,FALSE,"WAG"}</definedName>
    <definedName name="wrn.wag." localSheetId="6" hidden="1">{"inc.ann",#N/A,FALSE,"WAG";"inc.quart",#N/A,FALSE,"WAG"}</definedName>
    <definedName name="wrn.wag." localSheetId="3" hidden="1">{"inc.ann",#N/A,FALSE,"WAG";"inc.quart",#N/A,FALSE,"WAG"}</definedName>
    <definedName name="wrn.wag." hidden="1">{"inc.ann",#N/A,FALSE,"WAG";"inc.quart",#N/A,FALSE,"WAG"}</definedName>
  </definedNames>
  <calcPr calcId="145621" iterate="1"/>
</workbook>
</file>

<file path=xl/calcChain.xml><?xml version="1.0" encoding="utf-8"?>
<calcChain xmlns="http://schemas.openxmlformats.org/spreadsheetml/2006/main">
  <c r="BX22" i="40872" l="1"/>
  <c r="BX72" i="40872" s="1"/>
  <c r="BX21" i="40872"/>
  <c r="BX71" i="40872" s="1"/>
  <c r="BX20" i="40872"/>
  <c r="BX70" i="40872" s="1"/>
  <c r="CC70" i="40872" s="1"/>
  <c r="D24" i="40877" l="1"/>
  <c r="D22" i="40877"/>
  <c r="D23" i="40877" s="1"/>
  <c r="D25" i="40877" s="1"/>
  <c r="BX192" i="40872" l="1"/>
  <c r="BX193" i="40872" s="1"/>
  <c r="BX177" i="40872" l="1"/>
  <c r="DH58" i="40876"/>
  <c r="DH54" i="40876"/>
  <c r="DH55" i="40876" s="1"/>
  <c r="DH45" i="40876"/>
  <c r="DH36" i="40876"/>
  <c r="DH30" i="40876"/>
  <c r="DH29" i="40876"/>
  <c r="DG13" i="40876"/>
  <c r="DG12" i="40876"/>
  <c r="DG39" i="40875"/>
  <c r="DG33" i="40875"/>
  <c r="DG28" i="40875"/>
  <c r="DG20" i="40875"/>
  <c r="BX17" i="40872" l="1"/>
  <c r="BY371" i="40872" l="1"/>
  <c r="BX371" i="40872"/>
  <c r="BX353" i="40872"/>
  <c r="BX349" i="40872"/>
  <c r="BX363" i="40872" s="1"/>
  <c r="BX348" i="40872"/>
  <c r="BX365" i="40872" s="1"/>
  <c r="BX347" i="40872"/>
  <c r="BX367" i="40872" s="1"/>
  <c r="BX346" i="40872"/>
  <c r="BX83" i="40872"/>
  <c r="BX68" i="40872"/>
  <c r="CS13" i="40872"/>
  <c r="BX12" i="40872"/>
  <c r="BX84" i="40872"/>
  <c r="CV104" i="40872"/>
  <c r="CV96" i="40872"/>
  <c r="CV89" i="40872"/>
  <c r="CV88" i="40872"/>
  <c r="CV87" i="40872"/>
  <c r="CV82" i="40872"/>
  <c r="CV67" i="40872"/>
  <c r="CV66" i="40872"/>
  <c r="CV61" i="40872"/>
  <c r="CV56" i="40872"/>
  <c r="CV54" i="40872"/>
  <c r="CV51" i="40872"/>
  <c r="CV49" i="40872"/>
  <c r="CV48" i="40872"/>
  <c r="CV47" i="40872"/>
  <c r="CV45" i="40872"/>
  <c r="CV44" i="40872"/>
  <c r="CV37" i="40872"/>
  <c r="CV36" i="40872"/>
  <c r="CV35" i="40872"/>
  <c r="CV33" i="40872"/>
  <c r="CV32" i="40872"/>
  <c r="CV31" i="40872"/>
  <c r="CV29" i="40872"/>
  <c r="CV28" i="40872"/>
  <c r="CV23" i="40872"/>
  <c r="CV14" i="40872"/>
  <c r="CV8" i="40872"/>
  <c r="CV7" i="40872"/>
  <c r="CS104" i="40872"/>
  <c r="CS96" i="40872"/>
  <c r="CS89" i="40872"/>
  <c r="CS88" i="40872"/>
  <c r="CS87" i="40872"/>
  <c r="CS82" i="40872"/>
  <c r="CS56" i="40872"/>
  <c r="CS54" i="40872"/>
  <c r="CS48" i="40872"/>
  <c r="CS47" i="40872"/>
  <c r="CS45" i="40872"/>
  <c r="CS36" i="40872"/>
  <c r="CS35" i="40872"/>
  <c r="CS34" i="40872"/>
  <c r="CS33" i="40872"/>
  <c r="CS32" i="40872"/>
  <c r="CS31" i="40872"/>
  <c r="CS30" i="40872"/>
  <c r="CS16" i="40872"/>
  <c r="CS15" i="40872"/>
  <c r="CS14" i="40872"/>
  <c r="CS8" i="40872"/>
  <c r="CS7" i="40872"/>
  <c r="BX86" i="40872" l="1"/>
  <c r="BX90" i="40872"/>
  <c r="BX370" i="40872"/>
  <c r="BX58" i="40872" l="1"/>
  <c r="BX59" i="40872" s="1"/>
  <c r="BW192" i="40872" l="1"/>
  <c r="BV192" i="40872"/>
  <c r="BU192" i="40872"/>
  <c r="BW142" i="40872" l="1"/>
  <c r="BW141" i="40872" s="1"/>
  <c r="BW167" i="40872"/>
  <c r="BW177" i="40872" l="1"/>
  <c r="DF40" i="40876"/>
  <c r="DF38" i="40875"/>
  <c r="DF28" i="40875"/>
  <c r="DF20" i="40875"/>
  <c r="BW145" i="40872"/>
  <c r="BW150" i="40872" l="1"/>
  <c r="BW12" i="40872"/>
  <c r="BW83" i="40872"/>
  <c r="BW353" i="40872"/>
  <c r="BW68" i="40872"/>
  <c r="BW17" i="40872"/>
  <c r="BW84" i="40872" s="1"/>
  <c r="BW86" i="40872" l="1"/>
  <c r="BW90" i="40872"/>
  <c r="DH89" i="40876" l="1"/>
  <c r="BV142" i="40872" l="1"/>
  <c r="BV139" i="40872"/>
  <c r="DE70" i="40876"/>
  <c r="DE56" i="40876"/>
  <c r="DF56" i="40876" s="1"/>
  <c r="DE53" i="40876"/>
  <c r="DF53" i="40876" s="1"/>
  <c r="DE51" i="40876"/>
  <c r="DE50" i="40876"/>
  <c r="DE49" i="40876"/>
  <c r="DF49" i="40876" s="1"/>
  <c r="DE43" i="40876"/>
  <c r="DF43" i="40876" s="1"/>
  <c r="DE44" i="40876"/>
  <c r="DE39" i="40876"/>
  <c r="DE35" i="40876"/>
  <c r="DF35" i="40876" s="1"/>
  <c r="DE34" i="40876"/>
  <c r="DF34" i="40876" s="1"/>
  <c r="DE33" i="40876"/>
  <c r="DF33" i="40876" s="1"/>
  <c r="DE32" i="40876"/>
  <c r="DF32" i="40876" s="1"/>
  <c r="DE21" i="40876"/>
  <c r="DF21" i="40876" s="1"/>
  <c r="DE29" i="40876"/>
  <c r="DF29" i="40876" s="1"/>
  <c r="DE19" i="40876"/>
  <c r="DF19" i="40876" s="1"/>
  <c r="DE23" i="40876"/>
  <c r="DF23" i="40876" s="1"/>
  <c r="DE18" i="40876"/>
  <c r="DF18" i="40876" s="1"/>
  <c r="DE17" i="40876"/>
  <c r="DE15" i="40876"/>
  <c r="DF15" i="40876" s="1"/>
  <c r="DE14" i="40876"/>
  <c r="DF14" i="40876" s="1"/>
  <c r="DE10" i="40876"/>
  <c r="DF10" i="40876" s="1"/>
  <c r="DD187" i="40875"/>
  <c r="DE191" i="40875"/>
  <c r="DE190" i="40875"/>
  <c r="DE187" i="40875"/>
  <c r="DE78" i="40875"/>
  <c r="DE58" i="40875"/>
  <c r="DE28" i="40875"/>
  <c r="DE65" i="40876" l="1"/>
  <c r="DF39" i="40876"/>
  <c r="DF82" i="40876" s="1"/>
  <c r="DE67" i="40876"/>
  <c r="DF50" i="40876"/>
  <c r="DE69" i="40876"/>
  <c r="DF44" i="40876"/>
  <c r="DE68" i="40876"/>
  <c r="DF51" i="40876"/>
  <c r="DF17" i="40876"/>
  <c r="BW174" i="40872" s="1"/>
  <c r="BV174" i="40872"/>
  <c r="BV135" i="40872"/>
  <c r="BV177" i="40872"/>
  <c r="BU174" i="40872"/>
  <c r="BV167" i="40872"/>
  <c r="BV145" i="40872"/>
  <c r="BW349" i="40872"/>
  <c r="BW363" i="40872" s="1"/>
  <c r="BW348" i="40872"/>
  <c r="BW365" i="40872" s="1"/>
  <c r="BW347" i="40872"/>
  <c r="BW367" i="40872" s="1"/>
  <c r="BV12" i="40872"/>
  <c r="BW370" i="40872" l="1"/>
  <c r="BW58" i="40872" s="1"/>
  <c r="BW59" i="40872" s="1"/>
  <c r="BV71" i="40872"/>
  <c r="BV150" i="40872"/>
  <c r="BV72" i="40872"/>
  <c r="BV70" i="40872"/>
  <c r="CA70" i="40872" s="1"/>
  <c r="BV73" i="40872" l="1"/>
  <c r="BV74" i="40872" s="1"/>
  <c r="DM30" i="40876" l="1"/>
  <c r="BY31" i="40872" l="1"/>
  <c r="BY348" i="40872" s="1"/>
  <c r="BY365" i="40872" s="1"/>
  <c r="BY32" i="40872"/>
  <c r="BY33" i="40872"/>
  <c r="BY349" i="40872" s="1"/>
  <c r="BY363" i="40872" s="1"/>
  <c r="BY34" i="40872"/>
  <c r="BY35" i="40872"/>
  <c r="BY36" i="40872"/>
  <c r="BY30" i="40872"/>
  <c r="BY347" i="40872" s="1"/>
  <c r="BY367" i="40872" s="1"/>
  <c r="BV346" i="40872"/>
  <c r="BV347" i="40872"/>
  <c r="BV367" i="40872" s="1"/>
  <c r="BV348" i="40872"/>
  <c r="BV365" i="40872" s="1"/>
  <c r="BV349" i="40872"/>
  <c r="BV363" i="40872" s="1"/>
  <c r="BY370" i="40872" l="1"/>
  <c r="BV370" i="40872"/>
  <c r="BV58" i="40872" s="1"/>
  <c r="BV59" i="40872" s="1"/>
  <c r="DW89" i="40876" l="1"/>
  <c r="DR89" i="40876"/>
  <c r="DM89" i="40876"/>
  <c r="DH94" i="40876"/>
  <c r="DM94" i="40876"/>
  <c r="DR94" i="40876"/>
  <c r="DW94" i="40876"/>
  <c r="DH87" i="40876"/>
  <c r="DN99" i="40876"/>
  <c r="DO99" i="40876"/>
  <c r="DP99" i="40876"/>
  <c r="DQ99" i="40876"/>
  <c r="DC89" i="40876" l="1"/>
  <c r="DW91" i="40876" l="1"/>
  <c r="BJ8" i="40872" l="1"/>
  <c r="CF70" i="40872" l="1"/>
  <c r="CK70" i="40872" s="1"/>
  <c r="CA72" i="40872"/>
  <c r="BU167" i="40872" l="1"/>
  <c r="BU177" i="40872"/>
  <c r="BU145" i="40872"/>
  <c r="DD54" i="40876"/>
  <c r="DD45" i="40876"/>
  <c r="DD30" i="40876"/>
  <c r="DD36" i="40876"/>
  <c r="DV15" i="40876"/>
  <c r="DU15" i="40876"/>
  <c r="DT15" i="40876"/>
  <c r="DS15" i="40876"/>
  <c r="DQ15" i="40876"/>
  <c r="DP15" i="40876"/>
  <c r="DO15" i="40876"/>
  <c r="DN15" i="40876"/>
  <c r="DL15" i="40876"/>
  <c r="DK15" i="40876"/>
  <c r="DJ15" i="40876"/>
  <c r="DI15" i="40876"/>
  <c r="DD78" i="40875"/>
  <c r="DD31" i="40876" l="1"/>
  <c r="DE30" i="40876"/>
  <c r="DE45" i="40876"/>
  <c r="DE36" i="40876"/>
  <c r="DE31" i="40876" s="1"/>
  <c r="DE54" i="40876"/>
  <c r="BU193" i="40872"/>
  <c r="DF30" i="40876" l="1"/>
  <c r="DF54" i="40876"/>
  <c r="DF45" i="40876"/>
  <c r="DF36" i="40876"/>
  <c r="BU12" i="40872"/>
  <c r="BU346" i="40872"/>
  <c r="BU347" i="40872"/>
  <c r="BU367" i="40872" s="1"/>
  <c r="BU348" i="40872"/>
  <c r="BU365" i="40872" s="1"/>
  <c r="BU349" i="40872"/>
  <c r="BU363" i="40872" s="1"/>
  <c r="BU353" i="40872"/>
  <c r="BU142" i="40872"/>
  <c r="BU141" i="40872" s="1"/>
  <c r="BU370" i="40872" l="1"/>
  <c r="BU58" i="40872" s="1"/>
  <c r="BU59" i="40872" l="1"/>
  <c r="BS12" i="40872" l="1"/>
  <c r="DB98" i="40876"/>
  <c r="DA98" i="40876"/>
  <c r="CZ98" i="40876"/>
  <c r="BS22" i="40872"/>
  <c r="CV22" i="40872" s="1"/>
  <c r="BS21" i="40872"/>
  <c r="CV21" i="40872" s="1"/>
  <c r="BS20" i="40872"/>
  <c r="CV20" i="40872" s="1"/>
  <c r="BS142" i="40872"/>
  <c r="BS141" i="40872" s="1"/>
  <c r="BR142" i="40872"/>
  <c r="BN192" i="40872"/>
  <c r="BM192" i="40872"/>
  <c r="BL192" i="40872"/>
  <c r="BL193" i="40872" s="1"/>
  <c r="BK192" i="40872"/>
  <c r="BK193" i="40872" s="1"/>
  <c r="BS177" i="40872"/>
  <c r="BX178" i="40872" s="1"/>
  <c r="BR177" i="40872"/>
  <c r="BW178" i="40872" s="1"/>
  <c r="BS159" i="40872"/>
  <c r="BS158" i="40872"/>
  <c r="BS149" i="40872"/>
  <c r="BS145" i="40872" s="1"/>
  <c r="BR145" i="40872"/>
  <c r="DB131" i="40875"/>
  <c r="DV68" i="40876"/>
  <c r="DU68" i="40876"/>
  <c r="DT68" i="40876"/>
  <c r="DS68" i="40876"/>
  <c r="DF130" i="40875"/>
  <c r="DE130" i="40875"/>
  <c r="DD130" i="40875"/>
  <c r="DF129" i="40875"/>
  <c r="DE129" i="40875"/>
  <c r="DD129" i="40875"/>
  <c r="DD113" i="40875"/>
  <c r="DE113" i="40875" s="1"/>
  <c r="DF113" i="40875" s="1"/>
  <c r="DD112" i="40875"/>
  <c r="DD128" i="40875" s="1"/>
  <c r="DD108" i="40875"/>
  <c r="DE108" i="40875" s="1"/>
  <c r="DD107" i="40875"/>
  <c r="DD126" i="40875" s="1"/>
  <c r="DD106" i="40875"/>
  <c r="DD125" i="40875" s="1"/>
  <c r="DQ68" i="40876"/>
  <c r="DP68" i="40876"/>
  <c r="DO68" i="40876"/>
  <c r="DN68" i="40876"/>
  <c r="DL68" i="40876"/>
  <c r="DK68" i="40876"/>
  <c r="DJ68" i="40876"/>
  <c r="DI68" i="40876"/>
  <c r="DF68" i="40876"/>
  <c r="DD68" i="40876"/>
  <c r="CY68" i="40876"/>
  <c r="DB52" i="40876"/>
  <c r="DC54" i="40876"/>
  <c r="CX54" i="40876"/>
  <c r="DC45" i="40876"/>
  <c r="DC36" i="40876"/>
  <c r="DC31" i="40876" s="1"/>
  <c r="DC30" i="40876"/>
  <c r="DC29" i="40876"/>
  <c r="CW191" i="40875"/>
  <c r="CV191" i="40875"/>
  <c r="CU191" i="40875"/>
  <c r="CR191" i="40875"/>
  <c r="CZ191" i="40875"/>
  <c r="DA191" i="40875"/>
  <c r="DB191" i="40875"/>
  <c r="DB78" i="40875"/>
  <c r="CV12" i="40872" l="1"/>
  <c r="BW146" i="40872"/>
  <c r="BW153" i="40872"/>
  <c r="DE106" i="40875"/>
  <c r="DF106" i="40875" s="1"/>
  <c r="DF125" i="40875" s="1"/>
  <c r="DE127" i="40875"/>
  <c r="DF108" i="40875"/>
  <c r="DF127" i="40875" s="1"/>
  <c r="DE107" i="40875"/>
  <c r="DE112" i="40875"/>
  <c r="DD127" i="40875"/>
  <c r="BP16" i="40872"/>
  <c r="BQ16" i="40872"/>
  <c r="BR16" i="40872"/>
  <c r="DE125" i="40875" l="1"/>
  <c r="BR17" i="40872"/>
  <c r="BQ17" i="40872"/>
  <c r="BP17" i="40872"/>
  <c r="DF107" i="40875"/>
  <c r="DE126" i="40875"/>
  <c r="DE128" i="40875"/>
  <c r="DF112" i="40875"/>
  <c r="DF128" i="40875" s="1"/>
  <c r="BY160" i="40872"/>
  <c r="CY82" i="40876" l="1"/>
  <c r="DF126" i="40875"/>
  <c r="BQ192" i="40872" l="1"/>
  <c r="BQ193" i="40872" s="1"/>
  <c r="BR192" i="40872"/>
  <c r="BR193" i="40872" s="1"/>
  <c r="BS192" i="40872"/>
  <c r="BS193" i="40872" s="1"/>
  <c r="BP192" i="40872"/>
  <c r="BS83" i="40872"/>
  <c r="BT15" i="40872" l="1"/>
  <c r="BS16" i="40872"/>
  <c r="CV16" i="40872" l="1"/>
  <c r="BS17" i="40872"/>
  <c r="CV17" i="40872" s="1"/>
  <c r="BS167" i="40872"/>
  <c r="BY149" i="40872"/>
  <c r="BT45" i="40872"/>
  <c r="BT23" i="40872"/>
  <c r="BT16" i="40872"/>
  <c r="BT14" i="40872"/>
  <c r="BT25" i="40872"/>
  <c r="BT83" i="40872" s="1"/>
  <c r="BS353" i="40872"/>
  <c r="BS349" i="40872"/>
  <c r="BS363" i="40872" s="1"/>
  <c r="BS348" i="40872"/>
  <c r="BS365" i="40872" s="1"/>
  <c r="BS347" i="40872"/>
  <c r="BS367" i="40872" s="1"/>
  <c r="BS346" i="40872"/>
  <c r="BR346" i="40872"/>
  <c r="BS370" i="40872" l="1"/>
  <c r="BS58" i="40872" s="1"/>
  <c r="DB76" i="40875"/>
  <c r="DB81" i="40875" s="1"/>
  <c r="BT17" i="40872"/>
  <c r="BS59" i="40872" l="1"/>
  <c r="CV59" i="40872" s="1"/>
  <c r="CV58" i="40872"/>
  <c r="CE95" i="40872" l="1"/>
  <c r="DR51" i="40876" l="1"/>
  <c r="DM51" i="40876"/>
  <c r="R20" i="40877" l="1"/>
  <c r="BR139" i="40872" l="1"/>
  <c r="BR167" i="40872"/>
  <c r="CZ131" i="40875"/>
  <c r="DA131" i="40875"/>
  <c r="CY131" i="40875"/>
  <c r="BR12" i="40872"/>
  <c r="BR73" i="40872"/>
  <c r="BR72" i="40872"/>
  <c r="BR71" i="40872"/>
  <c r="BR70" i="40872"/>
  <c r="BR370" i="40872"/>
  <c r="BR58" i="40872" s="1"/>
  <c r="BR347" i="40872"/>
  <c r="BR348" i="40872"/>
  <c r="BR349" i="40872"/>
  <c r="BR353" i="40872"/>
  <c r="CU96" i="40872"/>
  <c r="CU88" i="40872"/>
  <c r="CU35" i="40872"/>
  <c r="CS121" i="40872"/>
  <c r="CS120" i="40872"/>
  <c r="CM58" i="40872"/>
  <c r="CL58" i="40872"/>
  <c r="CK58" i="40872"/>
  <c r="CJ58" i="40872"/>
  <c r="CN36" i="40872"/>
  <c r="CN35" i="40872"/>
  <c r="CN33" i="40872"/>
  <c r="CN32" i="40872"/>
  <c r="CN31" i="40872"/>
  <c r="CN8" i="40872"/>
  <c r="CH58" i="40872"/>
  <c r="CG58" i="40872"/>
  <c r="CF58" i="40872"/>
  <c r="CE58" i="40872"/>
  <c r="CI36" i="40872"/>
  <c r="CI35" i="40872"/>
  <c r="CI33" i="40872"/>
  <c r="CI32" i="40872"/>
  <c r="CI31" i="40872"/>
  <c r="CI8" i="40872"/>
  <c r="BQ12" i="40872"/>
  <c r="BQ24" i="40872" s="1"/>
  <c r="CN174" i="40872"/>
  <c r="CI174" i="40872"/>
  <c r="CD174" i="40872"/>
  <c r="CH160" i="40872"/>
  <c r="CG160" i="40872"/>
  <c r="CL160" i="40872" s="1"/>
  <c r="CF160" i="40872"/>
  <c r="CK160" i="40872" s="1"/>
  <c r="CE160" i="40872"/>
  <c r="CF159" i="40872"/>
  <c r="CK159" i="40872" s="1"/>
  <c r="CN158" i="40872"/>
  <c r="CI158" i="40872"/>
  <c r="CD158" i="40872"/>
  <c r="BY158" i="40872"/>
  <c r="CN149" i="40872"/>
  <c r="CI149" i="40872"/>
  <c r="CD149" i="40872"/>
  <c r="BT31" i="40872"/>
  <c r="BT348" i="40872" s="1"/>
  <c r="BT365" i="40872" s="1"/>
  <c r="BQ177" i="40872"/>
  <c r="BV178" i="40872" s="1"/>
  <c r="CZ26" i="40876"/>
  <c r="CZ27" i="40876"/>
  <c r="CZ28" i="40876"/>
  <c r="CZ25" i="40876"/>
  <c r="CZ22" i="40876"/>
  <c r="CZ16" i="40876"/>
  <c r="DB16" i="40876" s="1"/>
  <c r="CZ20" i="40876"/>
  <c r="CZ13" i="40876"/>
  <c r="DB13" i="40876" s="1"/>
  <c r="CZ12" i="40876"/>
  <c r="DB12" i="40876" s="1"/>
  <c r="CZ23" i="40876"/>
  <c r="DA23" i="40876" s="1"/>
  <c r="CZ56" i="40876"/>
  <c r="CZ50" i="40876"/>
  <c r="CZ53" i="40876"/>
  <c r="CZ51" i="40876"/>
  <c r="BQ135" i="40872" s="1"/>
  <c r="BQ136" i="40872" s="1"/>
  <c r="CZ49" i="40876"/>
  <c r="CZ48" i="40876"/>
  <c r="DB48" i="40876" s="1"/>
  <c r="CZ43" i="40876"/>
  <c r="CZ44" i="40876"/>
  <c r="CZ40" i="40876"/>
  <c r="CZ39" i="40876"/>
  <c r="CZ32" i="40876"/>
  <c r="CZ35" i="40876"/>
  <c r="CZ34" i="40876"/>
  <c r="CZ33" i="40876"/>
  <c r="CZ21" i="40876"/>
  <c r="CZ18" i="40876"/>
  <c r="CZ24" i="40876"/>
  <c r="CZ15" i="40876"/>
  <c r="CZ19" i="40876"/>
  <c r="CZ17" i="40876"/>
  <c r="CZ14" i="40876"/>
  <c r="CZ10" i="40876"/>
  <c r="BQ167" i="40872"/>
  <c r="BQ139" i="40872"/>
  <c r="BQ138" i="40872" s="1"/>
  <c r="BQ73" i="40872"/>
  <c r="BQ72" i="40872"/>
  <c r="BQ71" i="40872"/>
  <c r="BQ70" i="40872"/>
  <c r="BQ142" i="40872"/>
  <c r="BQ141" i="40872" s="1"/>
  <c r="BQ145" i="40872"/>
  <c r="BV153" i="40872" s="1"/>
  <c r="BQ370" i="40872"/>
  <c r="BP346" i="40872"/>
  <c r="BQ346" i="40872"/>
  <c r="BP347" i="40872"/>
  <c r="BQ347" i="40872"/>
  <c r="BP348" i="40872"/>
  <c r="BQ348" i="40872"/>
  <c r="BP349" i="40872"/>
  <c r="BQ349" i="40872"/>
  <c r="BP353" i="40872"/>
  <c r="BQ353" i="40872"/>
  <c r="CW82" i="40872"/>
  <c r="BT30" i="40872"/>
  <c r="BT347" i="40872" s="1"/>
  <c r="BT367" i="40872" s="1"/>
  <c r="BF162" i="40872"/>
  <c r="BG162" i="40872"/>
  <c r="BH162" i="40872"/>
  <c r="BI162" i="40872"/>
  <c r="BL162" i="40872"/>
  <c r="BM162" i="40872"/>
  <c r="BN162" i="40872"/>
  <c r="BP162" i="40872"/>
  <c r="BG167" i="40872"/>
  <c r="BH167" i="40872"/>
  <c r="BJ167" i="40872"/>
  <c r="BK167" i="40872"/>
  <c r="BL167" i="40872"/>
  <c r="BM167" i="40872"/>
  <c r="BO167" i="40872"/>
  <c r="BP167" i="40872"/>
  <c r="BE167" i="40872"/>
  <c r="BI159" i="40872"/>
  <c r="BF160" i="40872"/>
  <c r="BI160" i="40872" s="1"/>
  <c r="BF157" i="40872"/>
  <c r="BF167" i="40872" s="1"/>
  <c r="BG161" i="40872"/>
  <c r="BN160" i="40872"/>
  <c r="BN159" i="40872"/>
  <c r="BN158" i="40872"/>
  <c r="BN157" i="40872"/>
  <c r="BN167" i="40872" s="1"/>
  <c r="BL161" i="40872"/>
  <c r="BH161" i="40872"/>
  <c r="BH163" i="40872" s="1"/>
  <c r="BM161" i="40872"/>
  <c r="BE161" i="40872"/>
  <c r="BJ161" i="40872"/>
  <c r="BO161" i="40872"/>
  <c r="BK161" i="40872"/>
  <c r="BP161" i="40872"/>
  <c r="BN58" i="40872"/>
  <c r="BM58" i="40872"/>
  <c r="BL58" i="40872"/>
  <c r="BO45" i="40872"/>
  <c r="BK58" i="40872"/>
  <c r="BN22" i="40872"/>
  <c r="BN21" i="40872"/>
  <c r="BN20" i="40872"/>
  <c r="BO33" i="40872"/>
  <c r="BO30" i="40872"/>
  <c r="BO347" i="40872" s="1"/>
  <c r="BO29" i="40872"/>
  <c r="BO346" i="40872" s="1"/>
  <c r="BO28" i="40872"/>
  <c r="BO26" i="40872"/>
  <c r="BO36" i="40872"/>
  <c r="BK14" i="40872"/>
  <c r="BP145" i="40872"/>
  <c r="BL145" i="40872"/>
  <c r="BM145" i="40872"/>
  <c r="BN149" i="40872"/>
  <c r="BN145" i="40872" s="1"/>
  <c r="BP142" i="40872"/>
  <c r="BP140" i="40872"/>
  <c r="BN142" i="40872"/>
  <c r="BP135" i="40872"/>
  <c r="BP174" i="40872"/>
  <c r="BP177" i="40872"/>
  <c r="BU178" i="40872" s="1"/>
  <c r="CY54" i="40876"/>
  <c r="CZ54" i="40876" s="1"/>
  <c r="CY45" i="40876"/>
  <c r="CZ45" i="40876" s="1"/>
  <c r="CY30" i="40876"/>
  <c r="CZ30" i="40876" s="1"/>
  <c r="CY36" i="40876"/>
  <c r="CY31" i="40876" s="1"/>
  <c r="DW32" i="40876"/>
  <c r="DR32" i="40876"/>
  <c r="DM32" i="40876"/>
  <c r="CY29" i="40876"/>
  <c r="DW24" i="40876"/>
  <c r="DR24" i="40876"/>
  <c r="DM24" i="40876"/>
  <c r="CY38" i="40875"/>
  <c r="BP58" i="40872"/>
  <c r="BP59" i="40872" s="1"/>
  <c r="BP64" i="40872" s="1"/>
  <c r="BP12" i="40872"/>
  <c r="CU54" i="40872"/>
  <c r="CU47" i="40872"/>
  <c r="G17" i="40877"/>
  <c r="H17" i="40877"/>
  <c r="I17" i="40877"/>
  <c r="J17" i="40877"/>
  <c r="K17" i="40877"/>
  <c r="L17" i="40877"/>
  <c r="M17" i="40877"/>
  <c r="N17" i="40877"/>
  <c r="L20" i="40877"/>
  <c r="M20" i="40877"/>
  <c r="N20" i="40877"/>
  <c r="O20" i="40877"/>
  <c r="P20" i="40877"/>
  <c r="Q20" i="40877"/>
  <c r="CX30" i="40876"/>
  <c r="CW24" i="40876"/>
  <c r="CX29" i="40876"/>
  <c r="CU76" i="40876"/>
  <c r="CV76" i="40876" s="1"/>
  <c r="CW76" i="40876" s="1"/>
  <c r="CU75" i="40876"/>
  <c r="CV75" i="40876" s="1"/>
  <c r="CW75" i="40876" s="1"/>
  <c r="CP76" i="40876"/>
  <c r="CQ76" i="40876" s="1"/>
  <c r="CR76" i="40876" s="1"/>
  <c r="CP75" i="40876"/>
  <c r="CQ75" i="40876" s="1"/>
  <c r="CR75" i="40876" s="1"/>
  <c r="CW28" i="40876"/>
  <c r="CW27" i="40876"/>
  <c r="CW26" i="40876"/>
  <c r="CW25" i="40876"/>
  <c r="CW22" i="40876"/>
  <c r="CW20" i="40876"/>
  <c r="CW13" i="40876"/>
  <c r="CW52" i="40876"/>
  <c r="CW42" i="40876"/>
  <c r="CW41" i="40876"/>
  <c r="CX45" i="40876"/>
  <c r="CX36" i="40876"/>
  <c r="AU68" i="40872"/>
  <c r="AV68" i="40872"/>
  <c r="AW68" i="40872"/>
  <c r="AX68" i="40872"/>
  <c r="AY68" i="40872"/>
  <c r="AZ68" i="40872"/>
  <c r="BA68" i="40872"/>
  <c r="BB68" i="40872"/>
  <c r="BD68" i="40872"/>
  <c r="BE68" i="40872"/>
  <c r="BF68" i="40872"/>
  <c r="BG68" i="40872"/>
  <c r="BI68" i="40872"/>
  <c r="BK68" i="40872"/>
  <c r="BL68" i="40872"/>
  <c r="BM68" i="40872"/>
  <c r="BN68" i="40872"/>
  <c r="CZ130" i="40875"/>
  <c r="DA130" i="40875"/>
  <c r="DB130" i="40875"/>
  <c r="CY130" i="40875"/>
  <c r="CY98" i="40876"/>
  <c r="BT33" i="40872"/>
  <c r="BN12" i="40872"/>
  <c r="BN177" i="40872"/>
  <c r="BK177" i="40872"/>
  <c r="BN73" i="40872"/>
  <c r="BO16" i="40872"/>
  <c r="BN370" i="40872"/>
  <c r="BN359" i="40872"/>
  <c r="BN54" i="40872" s="1"/>
  <c r="CU48" i="40872"/>
  <c r="AO42" i="40872"/>
  <c r="BZ201" i="40875"/>
  <c r="BM177" i="40872"/>
  <c r="BM142" i="40872"/>
  <c r="BM141" i="40872" s="1"/>
  <c r="BM139" i="40872"/>
  <c r="BN140" i="40872" s="1"/>
  <c r="BN141" i="40872" s="1"/>
  <c r="CV32" i="40876"/>
  <c r="CV15" i="40876"/>
  <c r="CW15" i="40876" s="1"/>
  <c r="BO41" i="40872"/>
  <c r="BO35" i="40872"/>
  <c r="BO32" i="40872"/>
  <c r="BJ30" i="40872"/>
  <c r="BK139" i="40872"/>
  <c r="BL142" i="40872"/>
  <c r="BL139" i="40872"/>
  <c r="BM349" i="40872"/>
  <c r="BL177" i="40872"/>
  <c r="BM370" i="40872"/>
  <c r="BN349" i="40872"/>
  <c r="BN348" i="40872"/>
  <c r="BN347" i="40872"/>
  <c r="BM359" i="40872"/>
  <c r="BM54" i="40872" s="1"/>
  <c r="BM348" i="40872"/>
  <c r="BM347" i="40872"/>
  <c r="BL60" i="40872"/>
  <c r="BL370" i="40872"/>
  <c r="BL359" i="40872"/>
  <c r="BL54" i="40872" s="1"/>
  <c r="BL353" i="40872"/>
  <c r="BL349" i="40872"/>
  <c r="BL348" i="40872"/>
  <c r="BL347" i="40872"/>
  <c r="BL346" i="40872"/>
  <c r="BD344" i="40872"/>
  <c r="BC344" i="40872"/>
  <c r="BB344" i="40872"/>
  <c r="BA344" i="40872"/>
  <c r="CU56" i="40876"/>
  <c r="CU51" i="40876"/>
  <c r="CU53" i="40876"/>
  <c r="CU50" i="40876"/>
  <c r="CV50" i="40876" s="1"/>
  <c r="CU49" i="40876"/>
  <c r="CU48" i="40876"/>
  <c r="CU43" i="40876"/>
  <c r="CU40" i="40876"/>
  <c r="CU45" i="40876"/>
  <c r="CV45" i="40876" s="1"/>
  <c r="CU44" i="40876"/>
  <c r="CU39" i="40876"/>
  <c r="CU65" i="40876" s="1"/>
  <c r="CU35" i="40876"/>
  <c r="CV35" i="40876" s="1"/>
  <c r="CU34" i="40876"/>
  <c r="CU33" i="40876"/>
  <c r="CU29" i="40876"/>
  <c r="CU19" i="40876"/>
  <c r="CU18" i="40876"/>
  <c r="CU23" i="40876"/>
  <c r="CU16" i="40876"/>
  <c r="CU17" i="40876"/>
  <c r="CU14" i="40876"/>
  <c r="CV14" i="40876" s="1"/>
  <c r="CU10" i="40876"/>
  <c r="CV10" i="40876" s="1"/>
  <c r="BK72" i="40872"/>
  <c r="BK71" i="40872"/>
  <c r="BK70" i="40872"/>
  <c r="BL12" i="40872"/>
  <c r="BL71" i="40872"/>
  <c r="BL72" i="40872"/>
  <c r="BL70" i="40872"/>
  <c r="CU33" i="40872"/>
  <c r="CU32" i="40872"/>
  <c r="DW51" i="40876"/>
  <c r="BI338" i="40872"/>
  <c r="BI337" i="40872"/>
  <c r="BI336" i="40872"/>
  <c r="BI335" i="40872"/>
  <c r="BF339" i="40872"/>
  <c r="BG339" i="40872"/>
  <c r="BH339" i="40872"/>
  <c r="BJ37" i="40872"/>
  <c r="BJ339" i="40872"/>
  <c r="BE339" i="40872"/>
  <c r="AZ339" i="40872"/>
  <c r="CF95" i="40872"/>
  <c r="CF60" i="40872" s="1"/>
  <c r="CG95" i="40872"/>
  <c r="CG60" i="40872" s="1"/>
  <c r="CH95" i="40872"/>
  <c r="CH60" i="40872" s="1"/>
  <c r="BK31" i="40872"/>
  <c r="BO31" i="40872" s="1"/>
  <c r="BO348" i="40872" s="1"/>
  <c r="CU90" i="40875"/>
  <c r="CU113" i="40875" s="1"/>
  <c r="CU89" i="40875"/>
  <c r="CU112" i="40875" s="1"/>
  <c r="CW130" i="40875"/>
  <c r="CV130" i="40875"/>
  <c r="DB129" i="40875"/>
  <c r="DA129" i="40875"/>
  <c r="CZ129" i="40875"/>
  <c r="CY129" i="40875"/>
  <c r="CW129" i="40875"/>
  <c r="CV129" i="40875"/>
  <c r="CW127" i="40875"/>
  <c r="CV127" i="40875"/>
  <c r="CW126" i="40875"/>
  <c r="CV126" i="40875"/>
  <c r="CW125" i="40875"/>
  <c r="CV125" i="40875"/>
  <c r="A129" i="40875"/>
  <c r="A113" i="40875"/>
  <c r="A112" i="40875"/>
  <c r="CY107" i="40875"/>
  <c r="CY108" i="40875"/>
  <c r="CZ108" i="40875" s="1"/>
  <c r="CY109" i="40875"/>
  <c r="CZ109" i="40875" s="1"/>
  <c r="DA109" i="40875" s="1"/>
  <c r="DB109" i="40875" s="1"/>
  <c r="DD109" i="40875" s="1"/>
  <c r="CY106" i="40875"/>
  <c r="CV90" i="40875"/>
  <c r="CW90" i="40875" s="1"/>
  <c r="CW89" i="40875"/>
  <c r="CY89" i="40875" s="1"/>
  <c r="CZ89" i="40875" s="1"/>
  <c r="DA89" i="40875" s="1"/>
  <c r="DB89" i="40875" s="1"/>
  <c r="CV89" i="40875"/>
  <c r="CV112" i="40875" s="1"/>
  <c r="CV128" i="40875" s="1"/>
  <c r="CT94" i="40875"/>
  <c r="CV110" i="40875"/>
  <c r="CW110" i="40875"/>
  <c r="CW116" i="40875" s="1"/>
  <c r="CU110" i="40875"/>
  <c r="BK142" i="40872"/>
  <c r="BK135" i="40872"/>
  <c r="BK174" i="40872"/>
  <c r="CT54" i="40876"/>
  <c r="CU54" i="40876" s="1"/>
  <c r="CV54" i="40876" s="1"/>
  <c r="CT46" i="40876"/>
  <c r="CT30" i="40876"/>
  <c r="CU30" i="40876" s="1"/>
  <c r="CV30" i="40876" s="1"/>
  <c r="CT36" i="40876"/>
  <c r="CU36" i="40876" s="1"/>
  <c r="CT21" i="40876"/>
  <c r="BF59" i="40872"/>
  <c r="BF64" i="40872" s="1"/>
  <c r="BK37" i="40872"/>
  <c r="BO37" i="40872" s="1"/>
  <c r="BO162" i="40872" s="1"/>
  <c r="CU31" i="40872"/>
  <c r="CU45" i="40872"/>
  <c r="CU36" i="40872"/>
  <c r="BI177" i="40872"/>
  <c r="BH177" i="40872"/>
  <c r="BM178" i="40872" s="1"/>
  <c r="BG177" i="40872"/>
  <c r="BF177" i="40872"/>
  <c r="BI139" i="40872"/>
  <c r="BI149" i="40872"/>
  <c r="BI145" i="40872" s="1"/>
  <c r="BI150" i="40872" s="1"/>
  <c r="BJ174" i="40872"/>
  <c r="CR52" i="40876"/>
  <c r="CR48" i="40876"/>
  <c r="CS49" i="40876"/>
  <c r="CS45" i="40876"/>
  <c r="CS39" i="40876"/>
  <c r="CS36" i="40876"/>
  <c r="CR16" i="40876"/>
  <c r="CR13" i="40876"/>
  <c r="CR12" i="40876"/>
  <c r="CS30" i="40876"/>
  <c r="CS29" i="40876"/>
  <c r="CR78" i="40875"/>
  <c r="CR77" i="40875"/>
  <c r="CR82" i="40875" s="1"/>
  <c r="CR75" i="40875"/>
  <c r="CR85" i="40875" s="1"/>
  <c r="CR58" i="40875"/>
  <c r="CR100" i="40875"/>
  <c r="CQ100" i="40875" s="1"/>
  <c r="CP100" i="40875" s="1"/>
  <c r="CO100" i="40875" s="1"/>
  <c r="CR99" i="40875"/>
  <c r="CQ99" i="40875" s="1"/>
  <c r="CP99" i="40875" s="1"/>
  <c r="CO99" i="40875" s="1"/>
  <c r="CR98" i="40875"/>
  <c r="CQ98" i="40875" s="1"/>
  <c r="CP98" i="40875" s="1"/>
  <c r="CO98" i="40875" s="1"/>
  <c r="CR97" i="40875"/>
  <c r="CQ97" i="40875" s="1"/>
  <c r="CP97" i="40875" s="1"/>
  <c r="CO97" i="40875" s="1"/>
  <c r="CS91" i="40875"/>
  <c r="CS90" i="40875"/>
  <c r="CS89" i="40875"/>
  <c r="CS88" i="40875"/>
  <c r="CS87" i="40875"/>
  <c r="CS86" i="40875"/>
  <c r="CR93" i="40875"/>
  <c r="CS93" i="40875" s="1"/>
  <c r="CR92" i="40875"/>
  <c r="BJ26" i="40872"/>
  <c r="BI26" i="40872" s="1"/>
  <c r="BI22" i="40872"/>
  <c r="BI21" i="40872"/>
  <c r="BI20" i="40872"/>
  <c r="BJ16" i="40872"/>
  <c r="BI12" i="40872"/>
  <c r="BI13" i="40872"/>
  <c r="Q39" i="40872"/>
  <c r="V39" i="40872"/>
  <c r="Z39" i="40872"/>
  <c r="Y39" i="40872"/>
  <c r="X39" i="40872"/>
  <c r="W39" i="40872"/>
  <c r="BT49" i="40872"/>
  <c r="BI142" i="40872"/>
  <c r="BI141" i="40872" s="1"/>
  <c r="BJ27" i="40872"/>
  <c r="BI59" i="40872"/>
  <c r="BI49" i="40872"/>
  <c r="BH192" i="40872"/>
  <c r="BG192" i="40872"/>
  <c r="BG193" i="40872" s="1"/>
  <c r="BF192" i="40872"/>
  <c r="BH175" i="40872"/>
  <c r="BI175" i="40872" s="1"/>
  <c r="BH145" i="40872"/>
  <c r="CQ93" i="40875"/>
  <c r="CQ94" i="40875" s="1"/>
  <c r="CQ95" i="40875" s="1"/>
  <c r="CP93" i="40875"/>
  <c r="CO93" i="40875"/>
  <c r="CQ92" i="40875"/>
  <c r="CP92" i="40875"/>
  <c r="CP94" i="40875" s="1"/>
  <c r="CP95" i="40875" s="1"/>
  <c r="CO92" i="40875"/>
  <c r="BH72" i="40872"/>
  <c r="BH71" i="40872"/>
  <c r="BH70" i="40872"/>
  <c r="BH142" i="40872"/>
  <c r="BH141" i="40872" s="1"/>
  <c r="BH139" i="40872"/>
  <c r="CQ78" i="40875"/>
  <c r="CQ77" i="40875"/>
  <c r="CQ75" i="40875"/>
  <c r="BH59" i="40872"/>
  <c r="BG139" i="40872"/>
  <c r="BG145" i="40872"/>
  <c r="CO95" i="40876"/>
  <c r="CD32" i="40872"/>
  <c r="CD33" i="40872"/>
  <c r="CD31" i="40872"/>
  <c r="CD35" i="40872"/>
  <c r="CD36" i="40872"/>
  <c r="BT32" i="40872"/>
  <c r="BT35" i="40872"/>
  <c r="BT36" i="40872"/>
  <c r="BG72" i="40872"/>
  <c r="BG71" i="40872"/>
  <c r="BG70" i="40872"/>
  <c r="BG23" i="40872"/>
  <c r="BG142" i="40872"/>
  <c r="BG141" i="40872" s="1"/>
  <c r="BF199" i="40872"/>
  <c r="CP56" i="40876"/>
  <c r="CQ56" i="40876" s="1"/>
  <c r="CP54" i="40876"/>
  <c r="CQ54" i="40876" s="1"/>
  <c r="CP53" i="40876"/>
  <c r="CP51" i="40876"/>
  <c r="CQ51" i="40876" s="1"/>
  <c r="CP50" i="40876"/>
  <c r="BG199" i="40872" s="1"/>
  <c r="CP49" i="40876"/>
  <c r="CP40" i="40876"/>
  <c r="CQ40" i="40876" s="1"/>
  <c r="CP44" i="40876"/>
  <c r="CP39" i="40876"/>
  <c r="CQ39" i="40876" s="1"/>
  <c r="CQ95" i="40876" s="1"/>
  <c r="CP35" i="40876"/>
  <c r="CQ35" i="40876" s="1"/>
  <c r="CR35" i="40876" s="1"/>
  <c r="CP34" i="40876"/>
  <c r="CP33" i="40876"/>
  <c r="CQ33" i="40876" s="1"/>
  <c r="CP23" i="40876"/>
  <c r="CP21" i="40876"/>
  <c r="CP19" i="40876"/>
  <c r="CP18" i="40876"/>
  <c r="CP17" i="40876"/>
  <c r="CP15" i="40876"/>
  <c r="CQ15" i="40876" s="1"/>
  <c r="CP14" i="40876"/>
  <c r="CP10" i="40876"/>
  <c r="BG82" i="40872"/>
  <c r="BB72" i="40872"/>
  <c r="BG58" i="40872"/>
  <c r="BB14" i="40872"/>
  <c r="BG100" i="40872" s="1"/>
  <c r="BA14" i="40872"/>
  <c r="CY27" i="40872" s="1"/>
  <c r="AY14" i="40872"/>
  <c r="AX14" i="40872"/>
  <c r="BC100" i="40872" s="1"/>
  <c r="BB125" i="40872"/>
  <c r="BB124" i="40872"/>
  <c r="AW14" i="40872"/>
  <c r="BB82" i="40872"/>
  <c r="AW72" i="40872"/>
  <c r="AW78" i="40872" s="1"/>
  <c r="BB71" i="40872"/>
  <c r="AW71" i="40872"/>
  <c r="AW77" i="40872" s="1"/>
  <c r="BB70" i="40872"/>
  <c r="AW70" i="40872"/>
  <c r="AW76" i="40872" s="1"/>
  <c r="BB58" i="40872"/>
  <c r="CV18" i="40872"/>
  <c r="BG17" i="40872"/>
  <c r="BG38" i="40872" s="1"/>
  <c r="BG40" i="40872" s="1"/>
  <c r="CP78" i="40875"/>
  <c r="CP77" i="40875"/>
  <c r="BG66" i="40872"/>
  <c r="BD27" i="40872"/>
  <c r="BG125" i="40872"/>
  <c r="BG124" i="40872"/>
  <c r="BG106" i="40872"/>
  <c r="BG105" i="40872"/>
  <c r="BG103" i="40872"/>
  <c r="BG101" i="40872"/>
  <c r="BG64" i="40872"/>
  <c r="CS18" i="40872"/>
  <c r="BE14" i="40872"/>
  <c r="BF58" i="40872"/>
  <c r="BD12" i="40872"/>
  <c r="CO22" i="40876"/>
  <c r="CS198" i="40875"/>
  <c r="CO198" i="40875"/>
  <c r="BF70" i="40872"/>
  <c r="BF174" i="40872"/>
  <c r="BF172" i="40872" s="1"/>
  <c r="BB177" i="40872"/>
  <c r="CK17" i="40876"/>
  <c r="BC177" i="40872"/>
  <c r="BD177" i="40872"/>
  <c r="BD175" i="40872"/>
  <c r="BF145" i="40872"/>
  <c r="BF150" i="40872" s="1"/>
  <c r="BB145" i="40872"/>
  <c r="BC145" i="40872"/>
  <c r="BC150" i="40872" s="1"/>
  <c r="BD149" i="40872"/>
  <c r="BD145" i="40872" s="1"/>
  <c r="BD150" i="40872" s="1"/>
  <c r="BJ32" i="40872"/>
  <c r="BJ33" i="40872"/>
  <c r="BJ31" i="40872"/>
  <c r="BJ35" i="40872"/>
  <c r="BJ36" i="40872"/>
  <c r="BD22" i="40872"/>
  <c r="BD72" i="40872" s="1"/>
  <c r="CN176" i="40872"/>
  <c r="CI176" i="40872"/>
  <c r="CD176" i="40872"/>
  <c r="BY176" i="40872"/>
  <c r="BT176" i="40872"/>
  <c r="BO176" i="40872"/>
  <c r="BO175" i="40872"/>
  <c r="BJ176" i="40872"/>
  <c r="CF17" i="40876"/>
  <c r="AY177" i="40872"/>
  <c r="AX177" i="40872"/>
  <c r="AW177" i="40872"/>
  <c r="AV174" i="40872"/>
  <c r="AV177" i="40872"/>
  <c r="BA174" i="40872"/>
  <c r="BA177" i="40872"/>
  <c r="BE174" i="40872"/>
  <c r="AZ174" i="40872"/>
  <c r="AU174" i="40872"/>
  <c r="CA17" i="40876"/>
  <c r="AQ174" i="40872"/>
  <c r="AP174" i="40872"/>
  <c r="CO91" i="40876"/>
  <c r="BF17" i="40872"/>
  <c r="BD17" i="40872"/>
  <c r="CK39" i="40876"/>
  <c r="CL39" i="40876" s="1"/>
  <c r="BF135" i="40872"/>
  <c r="DW53" i="40876"/>
  <c r="DR53" i="40876"/>
  <c r="DM53" i="40876"/>
  <c r="CO45" i="40876"/>
  <c r="CO46" i="40876" s="1"/>
  <c r="CO29" i="40876"/>
  <c r="CO36" i="40876"/>
  <c r="CO31" i="40876" s="1"/>
  <c r="CO30" i="40876"/>
  <c r="CP30" i="40876" s="1"/>
  <c r="BG194" i="40872"/>
  <c r="CO77" i="40875"/>
  <c r="CO82" i="40875" s="1"/>
  <c r="CO78" i="40875"/>
  <c r="BG135" i="40872"/>
  <c r="CP99" i="40876"/>
  <c r="CP100" i="40876" s="1"/>
  <c r="CO55" i="40876"/>
  <c r="BJ37" i="40876"/>
  <c r="BO55" i="40876"/>
  <c r="BO46" i="40876"/>
  <c r="BO31" i="40876"/>
  <c r="BO37" i="40876" s="1"/>
  <c r="BT46" i="40876"/>
  <c r="BT31" i="40876"/>
  <c r="BY58" i="40876"/>
  <c r="CA58" i="40876"/>
  <c r="CB58" i="40876" s="1"/>
  <c r="CN58" i="40876"/>
  <c r="BH194" i="40872"/>
  <c r="BH196" i="40872" s="1"/>
  <c r="BH200" i="40872"/>
  <c r="CQ99" i="40876"/>
  <c r="CQ100" i="40876" s="1"/>
  <c r="CS42" i="40875"/>
  <c r="CR99" i="40876"/>
  <c r="CR100" i="40876" s="1"/>
  <c r="CS58" i="40876"/>
  <c r="CT99" i="40876"/>
  <c r="CT100" i="40876" s="1"/>
  <c r="CT95" i="40876" s="1"/>
  <c r="CU99" i="40876"/>
  <c r="CU100" i="40876" s="1"/>
  <c r="CS35" i="40875"/>
  <c r="CV99" i="40876"/>
  <c r="CV100" i="40876" s="1"/>
  <c r="CW99" i="40876"/>
  <c r="CW100" i="40876" s="1"/>
  <c r="DG98" i="40876"/>
  <c r="DD97" i="40876"/>
  <c r="DI97" i="40876" s="1"/>
  <c r="DN97" i="40876" s="1"/>
  <c r="CY99" i="40876"/>
  <c r="DD98" i="40876"/>
  <c r="CZ99" i="40876"/>
  <c r="CZ100" i="40876" s="1"/>
  <c r="DE98" i="40876"/>
  <c r="DF97" i="40876"/>
  <c r="DK97" i="40876" s="1"/>
  <c r="DA99" i="40876"/>
  <c r="DA100" i="40876" s="1"/>
  <c r="DA95" i="40876" s="1"/>
  <c r="DF98" i="40876"/>
  <c r="DG97" i="40876"/>
  <c r="DL97" i="40876" s="1"/>
  <c r="DQ97" i="40876" s="1"/>
  <c r="DV97" i="40876" s="1"/>
  <c r="DB99" i="40876"/>
  <c r="DB100" i="40876" s="1"/>
  <c r="BU135" i="40872"/>
  <c r="DD99" i="40876"/>
  <c r="DE99" i="40876"/>
  <c r="BW135" i="40872"/>
  <c r="DF99" i="40876"/>
  <c r="DG99" i="40876"/>
  <c r="DI12" i="40876"/>
  <c r="BZ135" i="40872"/>
  <c r="DI99" i="40876"/>
  <c r="DJ12" i="40876"/>
  <c r="CA135" i="40872"/>
  <c r="DJ99" i="40876"/>
  <c r="DK12" i="40876"/>
  <c r="CB135" i="40872"/>
  <c r="DK99" i="40876"/>
  <c r="CN11" i="40875"/>
  <c r="CC135" i="40872"/>
  <c r="BC17" i="40872"/>
  <c r="BF142" i="40872"/>
  <c r="BF141" i="40872" s="1"/>
  <c r="BF139" i="40872"/>
  <c r="BF82" i="40872"/>
  <c r="BF23" i="40872"/>
  <c r="BF24" i="40872" s="1"/>
  <c r="BF72" i="40872"/>
  <c r="BF71" i="40872"/>
  <c r="CN15" i="40875"/>
  <c r="CN16" i="40875"/>
  <c r="CM78" i="40875"/>
  <c r="CN34" i="40875"/>
  <c r="CN39" i="40875"/>
  <c r="CC58" i="40872"/>
  <c r="CB58" i="40872"/>
  <c r="CA58" i="40872"/>
  <c r="BZ58" i="40872"/>
  <c r="CS58" i="40872"/>
  <c r="BA129" i="40872"/>
  <c r="AY23" i="40872"/>
  <c r="AY27" i="40872" s="1"/>
  <c r="AX23" i="40872"/>
  <c r="AX73" i="40872" s="1"/>
  <c r="AX74" i="40872" s="1"/>
  <c r="AW23" i="40872"/>
  <c r="BA125" i="40872"/>
  <c r="BA124" i="40872"/>
  <c r="AV14" i="40872"/>
  <c r="AV17" i="40872" s="1"/>
  <c r="AV23" i="40872"/>
  <c r="AV24" i="40872" s="1"/>
  <c r="BA105" i="40872"/>
  <c r="BA101" i="40872"/>
  <c r="BA82" i="40872"/>
  <c r="BA23" i="40872"/>
  <c r="BA72" i="40872"/>
  <c r="AV72" i="40872"/>
  <c r="BA71" i="40872"/>
  <c r="AV71" i="40872"/>
  <c r="BA70" i="40872"/>
  <c r="AV70" i="40872"/>
  <c r="BA66" i="40872"/>
  <c r="BA58" i="40872"/>
  <c r="BF129" i="40872"/>
  <c r="CN21" i="40875"/>
  <c r="CO21" i="40875" s="1"/>
  <c r="BF125" i="40872"/>
  <c r="BF105" i="40872"/>
  <c r="BF103" i="40872"/>
  <c r="BF101" i="40872"/>
  <c r="AZ95" i="40876"/>
  <c r="AZ82" i="40876"/>
  <c r="BE95" i="40876"/>
  <c r="BE82" i="40876"/>
  <c r="BJ95" i="40876"/>
  <c r="AA17" i="40872"/>
  <c r="F5" i="40877" s="1"/>
  <c r="BO95" i="40876"/>
  <c r="AF17" i="40872"/>
  <c r="BT95" i="40876"/>
  <c r="AK16" i="40872"/>
  <c r="AK101" i="40872" s="1"/>
  <c r="AK14" i="40872"/>
  <c r="BY95" i="40876"/>
  <c r="CD95" i="40876"/>
  <c r="BE139" i="40872"/>
  <c r="AP16" i="40872"/>
  <c r="AP14" i="40872"/>
  <c r="AU16" i="40872"/>
  <c r="BE16" i="40872"/>
  <c r="AF27" i="40872"/>
  <c r="AF28" i="40872"/>
  <c r="AF105" i="40872" s="1"/>
  <c r="AF29" i="40872"/>
  <c r="AF32" i="40872"/>
  <c r="AF33" i="40872"/>
  <c r="AF31" i="40872"/>
  <c r="AF35" i="40872"/>
  <c r="AF88" i="40872" s="1"/>
  <c r="AD36" i="40872"/>
  <c r="AK27" i="40872"/>
  <c r="AK37" i="40872"/>
  <c r="AK33" i="40872"/>
  <c r="AK31" i="40872"/>
  <c r="AK35" i="40872"/>
  <c r="AK36" i="40872"/>
  <c r="AP27" i="40872"/>
  <c r="AP28" i="40872"/>
  <c r="AP29" i="40872"/>
  <c r="AP37" i="40872"/>
  <c r="AP33" i="40872"/>
  <c r="AP31" i="40872"/>
  <c r="AP35" i="40872"/>
  <c r="AP36" i="40872"/>
  <c r="AS20" i="40872"/>
  <c r="AR20" i="40872"/>
  <c r="AS21" i="40872"/>
  <c r="AR21" i="40872"/>
  <c r="AS22" i="40872"/>
  <c r="AR22" i="40872"/>
  <c r="AU28" i="40872"/>
  <c r="AU29" i="40872"/>
  <c r="AU37" i="40872"/>
  <c r="AU33" i="40872"/>
  <c r="AU31" i="40872"/>
  <c r="AU35" i="40872"/>
  <c r="AU36" i="40872"/>
  <c r="BE23" i="40872"/>
  <c r="BE24" i="40872" s="1"/>
  <c r="BE28" i="40872"/>
  <c r="BE37" i="40872"/>
  <c r="BE32" i="40872"/>
  <c r="BE33" i="40872"/>
  <c r="BE35" i="40872"/>
  <c r="BE36" i="40872"/>
  <c r="AB17" i="40872"/>
  <c r="BK76" i="40875" s="1"/>
  <c r="BK81" i="40875" s="1"/>
  <c r="AC17" i="40872"/>
  <c r="AD17" i="40872"/>
  <c r="AE17" i="40872"/>
  <c r="AE38" i="40872" s="1"/>
  <c r="AG17" i="40872"/>
  <c r="AG90" i="40872" s="1"/>
  <c r="AH17" i="40872"/>
  <c r="AH96" i="40872" s="1"/>
  <c r="AM17" i="40872"/>
  <c r="AN17" i="40872"/>
  <c r="AN84" i="40872" s="1"/>
  <c r="AR14" i="40872"/>
  <c r="AR17" i="40872" s="1"/>
  <c r="AS17" i="40872"/>
  <c r="AT17" i="40872"/>
  <c r="AF51" i="40872"/>
  <c r="AF52" i="40872"/>
  <c r="AF54" i="40872"/>
  <c r="AB58" i="40872"/>
  <c r="AC58" i="40872"/>
  <c r="AE58" i="40872"/>
  <c r="AE59" i="40872" s="1"/>
  <c r="AK44" i="40872"/>
  <c r="AK49" i="40872"/>
  <c r="AK46" i="40872"/>
  <c r="AK47" i="40872"/>
  <c r="AK51" i="40872"/>
  <c r="AK52" i="40872"/>
  <c r="AK54" i="40872"/>
  <c r="AK67" i="40872"/>
  <c r="AP44" i="40872"/>
  <c r="AP49" i="40872"/>
  <c r="AP46" i="40872"/>
  <c r="AP45" i="40872"/>
  <c r="AP51" i="40872"/>
  <c r="AU44" i="40872"/>
  <c r="AU49" i="40872"/>
  <c r="AU46" i="40872"/>
  <c r="AQ17" i="40872"/>
  <c r="AQ86" i="40872" s="1"/>
  <c r="AU51" i="40872"/>
  <c r="BE44" i="40872"/>
  <c r="BE49" i="40872"/>
  <c r="BE46" i="40872"/>
  <c r="BE48" i="40872"/>
  <c r="BE45" i="40872"/>
  <c r="BE51" i="40872"/>
  <c r="BE54" i="40872"/>
  <c r="CN33" i="40875"/>
  <c r="CN35" i="40875"/>
  <c r="CN18" i="40875"/>
  <c r="CN42" i="40875"/>
  <c r="CN17" i="40875"/>
  <c r="CO99" i="40876"/>
  <c r="CO100" i="40876" s="1"/>
  <c r="BJ54" i="40872"/>
  <c r="BH58" i="40872"/>
  <c r="BI58" i="40872"/>
  <c r="BO49" i="40872"/>
  <c r="CX58" i="40876"/>
  <c r="BQ58" i="40872"/>
  <c r="F13" i="40877"/>
  <c r="H13" i="40877"/>
  <c r="I13" i="40877"/>
  <c r="L13" i="40877"/>
  <c r="M13" i="40877"/>
  <c r="BO65" i="40876"/>
  <c r="BT65" i="40876"/>
  <c r="BY65" i="40876"/>
  <c r="CD65" i="40876"/>
  <c r="CI65" i="40876"/>
  <c r="BE129" i="40872"/>
  <c r="DL12" i="40876"/>
  <c r="DL99" i="40876"/>
  <c r="CE135" i="40872"/>
  <c r="DM13" i="40876"/>
  <c r="DM15" i="40876"/>
  <c r="DM16" i="40876"/>
  <c r="DM18" i="40876"/>
  <c r="DM19" i="40876"/>
  <c r="DM20" i="40876"/>
  <c r="DM21" i="40876"/>
  <c r="DM25" i="40876"/>
  <c r="DM26" i="40876"/>
  <c r="DM27" i="40876"/>
  <c r="DM28" i="40876"/>
  <c r="DM29" i="40876"/>
  <c r="DM48" i="40876"/>
  <c r="DM49" i="40876"/>
  <c r="DM52" i="40876"/>
  <c r="DM54" i="40876"/>
  <c r="DM40" i="40876"/>
  <c r="DM41" i="40876"/>
  <c r="DM42" i="40876"/>
  <c r="DM43" i="40876"/>
  <c r="DM44" i="40876"/>
  <c r="DM45" i="40876"/>
  <c r="DM56" i="40876"/>
  <c r="DM58" i="40876"/>
  <c r="DN12" i="40876"/>
  <c r="CF135" i="40872"/>
  <c r="DO12" i="40876"/>
  <c r="CG135" i="40872"/>
  <c r="DP12" i="40876"/>
  <c r="CH135" i="40872"/>
  <c r="DQ12" i="40876"/>
  <c r="CJ135" i="40872"/>
  <c r="DR13" i="40876"/>
  <c r="DR15" i="40876"/>
  <c r="DR16" i="40876"/>
  <c r="DR18" i="40876"/>
  <c r="DR19" i="40876"/>
  <c r="DR20" i="40876"/>
  <c r="DR21" i="40876"/>
  <c r="DR25" i="40876"/>
  <c r="DR26" i="40876"/>
  <c r="DR27" i="40876"/>
  <c r="DR28" i="40876"/>
  <c r="DR29" i="40876"/>
  <c r="DR30" i="40876"/>
  <c r="DR48" i="40876"/>
  <c r="DR49" i="40876"/>
  <c r="DR52" i="40876"/>
  <c r="DR54" i="40876"/>
  <c r="DR40" i="40876"/>
  <c r="DR41" i="40876"/>
  <c r="DR42" i="40876"/>
  <c r="DR43" i="40876"/>
  <c r="DR44" i="40876"/>
  <c r="DR45" i="40876"/>
  <c r="DR56" i="40876"/>
  <c r="DR58" i="40876"/>
  <c r="DS12" i="40876"/>
  <c r="DS99" i="40876"/>
  <c r="CK135" i="40872"/>
  <c r="DT12" i="40876"/>
  <c r="DT99" i="40876"/>
  <c r="CL135" i="40872"/>
  <c r="DU12" i="40876"/>
  <c r="DU99" i="40876"/>
  <c r="CM135" i="40872"/>
  <c r="AF6" i="40872"/>
  <c r="AP6" i="40872"/>
  <c r="AU6" i="40872"/>
  <c r="AF8" i="40872"/>
  <c r="AK8" i="40872"/>
  <c r="AP8" i="40872"/>
  <c r="AU8" i="40872"/>
  <c r="AZ8" i="40872"/>
  <c r="BE8" i="40872"/>
  <c r="BO8" i="40872"/>
  <c r="BT8" i="40872"/>
  <c r="BY8" i="40872"/>
  <c r="CD8" i="40872"/>
  <c r="AZ12" i="40872"/>
  <c r="AZ13" i="40872"/>
  <c r="BD13" i="40872"/>
  <c r="Q14" i="40872"/>
  <c r="V14" i="40872"/>
  <c r="Q16" i="40872"/>
  <c r="V16" i="40872"/>
  <c r="AZ16" i="40872"/>
  <c r="B17" i="40872"/>
  <c r="B38" i="40872" s="1"/>
  <c r="B40" i="40872" s="1"/>
  <c r="G17" i="40872"/>
  <c r="G38" i="40872" s="1"/>
  <c r="G40" i="40872" s="1"/>
  <c r="L17" i="40872"/>
  <c r="L38" i="40872" s="1"/>
  <c r="L40" i="40872" s="1"/>
  <c r="AI17" i="40872"/>
  <c r="AJ17" i="40872"/>
  <c r="AJ94" i="40872" s="1"/>
  <c r="AL17" i="40872"/>
  <c r="AO17" i="40872"/>
  <c r="AO84" i="40872" s="1"/>
  <c r="AZ20" i="40872"/>
  <c r="BD20" i="40872"/>
  <c r="AZ21" i="40872"/>
  <c r="BD21" i="40872"/>
  <c r="AZ22" i="40872"/>
  <c r="AQ23" i="40872"/>
  <c r="AQ24" i="40872" s="1"/>
  <c r="BB23" i="40872"/>
  <c r="BB24" i="40872" s="1"/>
  <c r="BC23" i="40872"/>
  <c r="BC24" i="40872" s="1"/>
  <c r="AZ26" i="40872"/>
  <c r="BE26" i="40872"/>
  <c r="Q27" i="40872"/>
  <c r="V27" i="40872"/>
  <c r="CZ27" i="40872"/>
  <c r="Q28" i="40872"/>
  <c r="V28" i="40872"/>
  <c r="AG28" i="40872"/>
  <c r="AK28" i="40872" s="1"/>
  <c r="AZ28" i="40872"/>
  <c r="AG29" i="40872"/>
  <c r="AZ29" i="40872"/>
  <c r="BA29" i="40872"/>
  <c r="AZ33" i="40872"/>
  <c r="AZ31" i="40872"/>
  <c r="BD31" i="40872"/>
  <c r="BE31" i="40872" s="1"/>
  <c r="AZ35" i="40872"/>
  <c r="AZ36" i="40872"/>
  <c r="Q37" i="40872"/>
  <c r="V37" i="40872"/>
  <c r="AC37" i="40872"/>
  <c r="AZ37" i="40872"/>
  <c r="V40" i="40872"/>
  <c r="AM43" i="40872"/>
  <c r="AL43" i="40872" s="1"/>
  <c r="V44" i="40872"/>
  <c r="AF44" i="40872"/>
  <c r="AZ44" i="40872"/>
  <c r="AF45" i="40872"/>
  <c r="AZ45" i="40872"/>
  <c r="V46" i="40872"/>
  <c r="AF46" i="40872"/>
  <c r="AZ46" i="40872"/>
  <c r="AF47" i="40872"/>
  <c r="AP47" i="40872"/>
  <c r="BE47" i="40872"/>
  <c r="AZ48" i="40872"/>
  <c r="AF49" i="40872"/>
  <c r="AZ49" i="40872"/>
  <c r="Q50" i="40872"/>
  <c r="V50" i="40872"/>
  <c r="Q51" i="40872"/>
  <c r="V51" i="40872"/>
  <c r="AZ51" i="40872"/>
  <c r="Q53" i="40872"/>
  <c r="Q54" i="40872"/>
  <c r="V54" i="40872"/>
  <c r="AA54" i="40872"/>
  <c r="AR54" i="40872"/>
  <c r="AS54" i="40872"/>
  <c r="AX54" i="40872"/>
  <c r="AY54" i="40872"/>
  <c r="AY59" i="40872" s="1"/>
  <c r="Q55" i="40872"/>
  <c r="W57" i="40872"/>
  <c r="X57" i="40872"/>
  <c r="Y57" i="40872"/>
  <c r="Z57" i="40872"/>
  <c r="AA58" i="40872"/>
  <c r="AA59" i="40872" s="1"/>
  <c r="AA64" i="40872" s="1"/>
  <c r="AN59" i="40872"/>
  <c r="V58" i="40872"/>
  <c r="AK58" i="40872"/>
  <c r="AN58" i="40872"/>
  <c r="AO58" i="40872"/>
  <c r="AQ58" i="40872"/>
  <c r="AR58" i="40872"/>
  <c r="AS58" i="40872"/>
  <c r="AT58" i="40872"/>
  <c r="AV58" i="40872"/>
  <c r="AW58" i="40872"/>
  <c r="AX58" i="40872"/>
  <c r="AY58" i="40872"/>
  <c r="BC58" i="40872"/>
  <c r="BD58" i="40872"/>
  <c r="AQ59" i="40872"/>
  <c r="AV59" i="40872"/>
  <c r="AW59" i="40872"/>
  <c r="AW64" i="40872" s="1"/>
  <c r="AX59" i="40872"/>
  <c r="AX64" i="40872" s="1"/>
  <c r="BA59" i="40872"/>
  <c r="BA64" i="40872" s="1"/>
  <c r="BB59" i="40872"/>
  <c r="BC59" i="40872"/>
  <c r="BD59" i="40872"/>
  <c r="BD64" i="40872" s="1"/>
  <c r="BE60" i="40872"/>
  <c r="BJ60" i="40872"/>
  <c r="L61" i="40872"/>
  <c r="BC67" i="40872"/>
  <c r="BH68" i="40872" s="1"/>
  <c r="AG64" i="40872"/>
  <c r="AH64" i="40872"/>
  <c r="AI64" i="40872"/>
  <c r="AJ64" i="40872"/>
  <c r="AL64" i="40872"/>
  <c r="AM64" i="40872"/>
  <c r="AO64" i="40872"/>
  <c r="AP64" i="40872"/>
  <c r="AR64" i="40872"/>
  <c r="AS64" i="40872"/>
  <c r="AT64" i="40872"/>
  <c r="AB66" i="40872"/>
  <c r="AC66" i="40872" s="1"/>
  <c r="AG66" i="40872"/>
  <c r="AH66" i="40872" s="1"/>
  <c r="BB66" i="40872"/>
  <c r="BD66" i="40872"/>
  <c r="AQ70" i="40872"/>
  <c r="AX70" i="40872"/>
  <c r="AY70" i="40872"/>
  <c r="BC70" i="40872"/>
  <c r="BE70" i="40872"/>
  <c r="AQ71" i="40872"/>
  <c r="AX71" i="40872"/>
  <c r="AY71" i="40872"/>
  <c r="BC71" i="40872"/>
  <c r="BE71" i="40872"/>
  <c r="AQ72" i="40872"/>
  <c r="AX72" i="40872"/>
  <c r="AY72" i="40872"/>
  <c r="BC72" i="40872"/>
  <c r="BE72" i="40872"/>
  <c r="AA73" i="40872"/>
  <c r="AB73" i="40872"/>
  <c r="AC73" i="40872"/>
  <c r="AD73" i="40872"/>
  <c r="AE73" i="40872"/>
  <c r="AG73" i="40872"/>
  <c r="AH73" i="40872"/>
  <c r="AI73" i="40872"/>
  <c r="AJ73" i="40872"/>
  <c r="AL73" i="40872"/>
  <c r="AM73" i="40872"/>
  <c r="AN73" i="40872"/>
  <c r="AO73" i="40872"/>
  <c r="AQ82" i="40872"/>
  <c r="AV82" i="40872"/>
  <c r="AW82" i="40872"/>
  <c r="AX82" i="40872"/>
  <c r="AY82" i="40872"/>
  <c r="BC82" i="40872"/>
  <c r="AE86" i="40872"/>
  <c r="AE89" i="40872"/>
  <c r="AF100" i="40872"/>
  <c r="AG100" i="40872"/>
  <c r="AH100" i="40872"/>
  <c r="AI100" i="40872"/>
  <c r="AJ100" i="40872"/>
  <c r="AL100" i="40872"/>
  <c r="AM100" i="40872"/>
  <c r="AN100" i="40872"/>
  <c r="AO100" i="40872"/>
  <c r="AQ100" i="40872"/>
  <c r="AS100" i="40872"/>
  <c r="AT100" i="40872"/>
  <c r="AF101" i="40872"/>
  <c r="AG101" i="40872"/>
  <c r="AH101" i="40872"/>
  <c r="AI101" i="40872"/>
  <c r="AJ101" i="40872"/>
  <c r="AL101" i="40872"/>
  <c r="AM101" i="40872"/>
  <c r="AN101" i="40872"/>
  <c r="AO101" i="40872"/>
  <c r="AQ101" i="40872"/>
  <c r="AR101" i="40872"/>
  <c r="AS101" i="40872"/>
  <c r="AT101" i="40872"/>
  <c r="AV101" i="40872"/>
  <c r="AW101" i="40872"/>
  <c r="AX101" i="40872"/>
  <c r="AY101" i="40872"/>
  <c r="BB101" i="40872"/>
  <c r="BC101" i="40872"/>
  <c r="BD101" i="40872"/>
  <c r="AG103" i="40872"/>
  <c r="AH103" i="40872"/>
  <c r="AI103" i="40872"/>
  <c r="AJ103" i="40872"/>
  <c r="AL103" i="40872"/>
  <c r="AM103" i="40872"/>
  <c r="AN103" i="40872"/>
  <c r="AO103" i="40872"/>
  <c r="AR103" i="40872"/>
  <c r="AS103" i="40872"/>
  <c r="AT103" i="40872"/>
  <c r="AG105" i="40872"/>
  <c r="AH105" i="40872"/>
  <c r="AI105" i="40872"/>
  <c r="AJ105" i="40872"/>
  <c r="AL105" i="40872"/>
  <c r="AM105" i="40872"/>
  <c r="AN105" i="40872"/>
  <c r="AO105" i="40872"/>
  <c r="AQ105" i="40872"/>
  <c r="AR105" i="40872"/>
  <c r="AS105" i="40872"/>
  <c r="AT105" i="40872"/>
  <c r="AV105" i="40872"/>
  <c r="AW105" i="40872"/>
  <c r="AX105" i="40872"/>
  <c r="AY105" i="40872"/>
  <c r="BB105" i="40872"/>
  <c r="BC105" i="40872"/>
  <c r="BD105" i="40872"/>
  <c r="AH106" i="40872"/>
  <c r="AI106" i="40872"/>
  <c r="AJ106" i="40872"/>
  <c r="AM106" i="40872"/>
  <c r="AN106" i="40872"/>
  <c r="AO106" i="40872"/>
  <c r="AQ106" i="40872"/>
  <c r="AR106" i="40872"/>
  <c r="AS106" i="40872"/>
  <c r="AT106" i="40872"/>
  <c r="AV106" i="40872"/>
  <c r="AW106" i="40872"/>
  <c r="AX106" i="40872"/>
  <c r="AY106" i="40872"/>
  <c r="BB106" i="40872"/>
  <c r="BC106" i="40872"/>
  <c r="BD106" i="40872"/>
  <c r="AQ109" i="40872"/>
  <c r="AL117" i="40872"/>
  <c r="AM117" i="40872"/>
  <c r="AN117" i="40872"/>
  <c r="AR117" i="40872"/>
  <c r="AR118" i="40872" s="1"/>
  <c r="AS117" i="40872"/>
  <c r="AS118" i="40872" s="1"/>
  <c r="AT117" i="40872"/>
  <c r="AX117" i="40872"/>
  <c r="CV120" i="40872"/>
  <c r="CV121" i="40872"/>
  <c r="AF124" i="40872"/>
  <c r="AG124" i="40872"/>
  <c r="AH124" i="40872"/>
  <c r="AI124" i="40872"/>
  <c r="AJ124" i="40872"/>
  <c r="BT11" i="40875"/>
  <c r="BT12" i="40875"/>
  <c r="BT21" i="40875"/>
  <c r="AL124" i="40872"/>
  <c r="AM124" i="40872"/>
  <c r="AN124" i="40872"/>
  <c r="AO124" i="40872"/>
  <c r="BY11" i="40875"/>
  <c r="AQ194" i="40872" s="1"/>
  <c r="BY12" i="40875"/>
  <c r="BY21" i="40875"/>
  <c r="AQ124" i="40872"/>
  <c r="CA21" i="40875"/>
  <c r="AR124" i="40872" s="1"/>
  <c r="AS124" i="40872"/>
  <c r="CC11" i="40875"/>
  <c r="CC12" i="40875"/>
  <c r="CC21" i="40875"/>
  <c r="AU124" i="40872"/>
  <c r="AV124" i="40872"/>
  <c r="AW124" i="40872"/>
  <c r="AX124" i="40872"/>
  <c r="AY124" i="40872"/>
  <c r="CI11" i="40875"/>
  <c r="BA194" i="40872" s="1"/>
  <c r="CI12" i="40875"/>
  <c r="CI21" i="40875"/>
  <c r="BC124" i="40872"/>
  <c r="BD124" i="40872"/>
  <c r="CN12" i="40875"/>
  <c r="CS21" i="40875"/>
  <c r="CS12" i="40875"/>
  <c r="CT12" i="40875" s="1"/>
  <c r="DV12" i="40876"/>
  <c r="DV99" i="40876"/>
  <c r="AF125" i="40872"/>
  <c r="AG125" i="40872"/>
  <c r="AH125" i="40872"/>
  <c r="AI125" i="40872"/>
  <c r="AJ125" i="40872"/>
  <c r="BT33" i="40875"/>
  <c r="BT39" i="40875"/>
  <c r="AL125" i="40872"/>
  <c r="AM125" i="40872"/>
  <c r="AN125" i="40872"/>
  <c r="AO125" i="40872"/>
  <c r="BY33" i="40875"/>
  <c r="BY39" i="40875"/>
  <c r="AQ125" i="40872"/>
  <c r="AR125" i="40872"/>
  <c r="AS125" i="40872"/>
  <c r="CC33" i="40875"/>
  <c r="CC39" i="40875"/>
  <c r="AU125" i="40872"/>
  <c r="AV125" i="40872"/>
  <c r="AW125" i="40872"/>
  <c r="AX125" i="40872"/>
  <c r="AY125" i="40872"/>
  <c r="CI33" i="40875"/>
  <c r="CI39" i="40875"/>
  <c r="BC125" i="40872"/>
  <c r="BD125" i="40872"/>
  <c r="BP22" i="40876"/>
  <c r="BP31" i="40876"/>
  <c r="BP12" i="40876"/>
  <c r="BQ10" i="40876"/>
  <c r="BR10" i="40876" s="1"/>
  <c r="BQ13" i="40876"/>
  <c r="BR13" i="40876" s="1"/>
  <c r="BQ14" i="40876"/>
  <c r="BQ15" i="40876"/>
  <c r="BQ16" i="40876"/>
  <c r="BQ17" i="40876"/>
  <c r="BR17" i="40876" s="1"/>
  <c r="BQ18" i="40876"/>
  <c r="BQ19" i="40876"/>
  <c r="BR19" i="40876" s="1"/>
  <c r="BS19" i="40876" s="1"/>
  <c r="BQ21" i="40876"/>
  <c r="BQ23" i="40876"/>
  <c r="BQ30" i="40876"/>
  <c r="BR30" i="40876" s="1"/>
  <c r="BQ33" i="40876"/>
  <c r="BQ34" i="40876"/>
  <c r="BQ35" i="40876"/>
  <c r="BQ36" i="40876"/>
  <c r="BR27" i="40876"/>
  <c r="BS20" i="40876"/>
  <c r="BS25" i="40876"/>
  <c r="BS26" i="40876"/>
  <c r="BS28" i="40876"/>
  <c r="BS29" i="40876"/>
  <c r="BV10" i="40876"/>
  <c r="BV13" i="40876"/>
  <c r="BW13" i="40876" s="1"/>
  <c r="BV14" i="40876"/>
  <c r="BW14" i="40876" s="1"/>
  <c r="BV15" i="40876"/>
  <c r="BV16" i="40876"/>
  <c r="BW16" i="40876" s="1"/>
  <c r="BX16" i="40876" s="1"/>
  <c r="BV17" i="40876"/>
  <c r="BV18" i="40876"/>
  <c r="BW18" i="40876" s="1"/>
  <c r="BV19" i="40876"/>
  <c r="BW19" i="40876" s="1"/>
  <c r="BV21" i="40876"/>
  <c r="BW21" i="40876" s="1"/>
  <c r="BX21" i="40876" s="1"/>
  <c r="BV23" i="40876"/>
  <c r="BW23" i="40876" s="1"/>
  <c r="BV33" i="40876"/>
  <c r="BW33" i="40876" s="1"/>
  <c r="BV34" i="40876"/>
  <c r="BV35" i="40876"/>
  <c r="BW35" i="40876" s="1"/>
  <c r="BW17" i="40876"/>
  <c r="BX11" i="40876"/>
  <c r="BX12" i="40876"/>
  <c r="BX20" i="40876"/>
  <c r="BX22" i="40876"/>
  <c r="BX25" i="40876"/>
  <c r="BX26" i="40876"/>
  <c r="BX27" i="40876"/>
  <c r="BX28" i="40876"/>
  <c r="BX29" i="40876"/>
  <c r="CA10" i="40876"/>
  <c r="CA13" i="40876"/>
  <c r="CB13" i="40876" s="1"/>
  <c r="CA14" i="40876"/>
  <c r="CB14" i="40876" s="1"/>
  <c r="CA15" i="40876"/>
  <c r="CB15" i="40876" s="1"/>
  <c r="CA16" i="40876"/>
  <c r="CA18" i="40876"/>
  <c r="CB18" i="40876" s="1"/>
  <c r="CA19" i="40876"/>
  <c r="CB19" i="40876" s="1"/>
  <c r="CA21" i="40876"/>
  <c r="CB21" i="40876" s="1"/>
  <c r="CA23" i="40876"/>
  <c r="CB23" i="40876" s="1"/>
  <c r="CA33" i="40876"/>
  <c r="CB33" i="40876" s="1"/>
  <c r="CA34" i="40876"/>
  <c r="CA35" i="40876"/>
  <c r="CB35" i="40876" s="1"/>
  <c r="CC12" i="40876"/>
  <c r="CC20" i="40876"/>
  <c r="CC25" i="40876"/>
  <c r="CC26" i="40876"/>
  <c r="CC27" i="40876"/>
  <c r="CC28" i="40876"/>
  <c r="CC29" i="40876"/>
  <c r="CF10" i="40876"/>
  <c r="CF12" i="40876"/>
  <c r="CF13" i="40876"/>
  <c r="CG13" i="40876" s="1"/>
  <c r="CF14" i="40876"/>
  <c r="CG14" i="40876" s="1"/>
  <c r="CH14" i="40876" s="1"/>
  <c r="CF15" i="40876"/>
  <c r="CF16" i="40876"/>
  <c r="CG16" i="40876" s="1"/>
  <c r="CH16" i="40876" s="1"/>
  <c r="CF18" i="40876"/>
  <c r="CG18" i="40876" s="1"/>
  <c r="CF19" i="40876"/>
  <c r="CF20" i="40876"/>
  <c r="CG20" i="40876" s="1"/>
  <c r="CF21" i="40876"/>
  <c r="CG21" i="40876" s="1"/>
  <c r="CH21" i="40876" s="1"/>
  <c r="CF22" i="40876"/>
  <c r="CF23" i="40876"/>
  <c r="CG23" i="40876" s="1"/>
  <c r="CF25" i="40876"/>
  <c r="CG25" i="40876" s="1"/>
  <c r="CF26" i="40876"/>
  <c r="CG26" i="40876" s="1"/>
  <c r="CH26" i="40876" s="1"/>
  <c r="CF27" i="40876"/>
  <c r="CG27" i="40876" s="1"/>
  <c r="CF28" i="40876"/>
  <c r="CG28" i="40876" s="1"/>
  <c r="CF29" i="40876"/>
  <c r="CF33" i="40876"/>
  <c r="CG33" i="40876" s="1"/>
  <c r="CH33" i="40876" s="1"/>
  <c r="CF34" i="40876"/>
  <c r="CG34" i="40876" s="1"/>
  <c r="CF35" i="40876"/>
  <c r="CG35" i="40876" s="1"/>
  <c r="CK10" i="40876"/>
  <c r="CL10" i="40876" s="1"/>
  <c r="CK14" i="40876"/>
  <c r="CK16" i="40876"/>
  <c r="CK18" i="40876"/>
  <c r="CK19" i="40876"/>
  <c r="CK21" i="40876"/>
  <c r="CL21" i="40876" s="1"/>
  <c r="CK23" i="40876"/>
  <c r="CL23" i="40876" s="1"/>
  <c r="CK33" i="40876"/>
  <c r="CL33" i="40876" s="1"/>
  <c r="CK34" i="40876"/>
  <c r="CK35" i="40876"/>
  <c r="CL15" i="40876"/>
  <c r="CM15" i="40876" s="1"/>
  <c r="CL29" i="40876"/>
  <c r="CM12" i="40876"/>
  <c r="CM13" i="40876"/>
  <c r="CM20" i="40876"/>
  <c r="CM25" i="40876"/>
  <c r="CM26" i="40876"/>
  <c r="CM27" i="40876"/>
  <c r="CM28" i="40876"/>
  <c r="CM29" i="40876"/>
  <c r="DW13" i="40876"/>
  <c r="DW15" i="40876"/>
  <c r="DW16" i="40876"/>
  <c r="DW18" i="40876"/>
  <c r="DW19" i="40876"/>
  <c r="DW20" i="40876"/>
  <c r="DW21" i="40876"/>
  <c r="DW25" i="40876"/>
  <c r="DW26" i="40876"/>
  <c r="DW27" i="40876"/>
  <c r="DW28" i="40876"/>
  <c r="DW29" i="40876"/>
  <c r="DW30" i="40876"/>
  <c r="AF129" i="40872"/>
  <c r="AG129" i="40872"/>
  <c r="BQ39" i="40876"/>
  <c r="BQ65" i="40876" s="1"/>
  <c r="AK129" i="40872"/>
  <c r="AL129" i="40872"/>
  <c r="BV39" i="40876"/>
  <c r="AP129" i="40872"/>
  <c r="AQ129" i="40872"/>
  <c r="CA39" i="40876"/>
  <c r="AU129" i="40872"/>
  <c r="AV129" i="40872"/>
  <c r="CF39" i="40876"/>
  <c r="AZ129" i="40872"/>
  <c r="AB134" i="40872"/>
  <c r="AC134" i="40872"/>
  <c r="AD134" i="40872"/>
  <c r="AE134" i="40872"/>
  <c r="AG134" i="40872"/>
  <c r="AH134" i="40872"/>
  <c r="AI134" i="40872"/>
  <c r="AJ134" i="40872"/>
  <c r="AL134" i="40872"/>
  <c r="AM134" i="40872"/>
  <c r="AN134" i="40872"/>
  <c r="AO134" i="40872"/>
  <c r="AQ134" i="40872"/>
  <c r="AR134" i="40872"/>
  <c r="AS134" i="40872"/>
  <c r="AT134" i="40872"/>
  <c r="AV134" i="40872"/>
  <c r="AW134" i="40872"/>
  <c r="AX134" i="40872"/>
  <c r="AY134" i="40872"/>
  <c r="BA134" i="40872"/>
  <c r="BB134" i="40872"/>
  <c r="BC134" i="40872"/>
  <c r="BD134" i="40872"/>
  <c r="BF134" i="40872"/>
  <c r="BG134" i="40872"/>
  <c r="BH134" i="40872"/>
  <c r="BL45" i="40876"/>
  <c r="BM45" i="40876" s="1"/>
  <c r="BN45" i="40876" s="1"/>
  <c r="AG135" i="40872"/>
  <c r="AH135" i="40872"/>
  <c r="AH137" i="40872" s="1"/>
  <c r="BR51" i="40876"/>
  <c r="AI135" i="40872" s="1"/>
  <c r="AI137" i="40872" s="1"/>
  <c r="AL135" i="40872"/>
  <c r="AL137" i="40872" s="1"/>
  <c r="BV51" i="40876"/>
  <c r="AQ135" i="40872"/>
  <c r="CA51" i="40876"/>
  <c r="AR135" i="40872" s="1"/>
  <c r="AV135" i="40872"/>
  <c r="CF51" i="40876"/>
  <c r="BA135" i="40872"/>
  <c r="BB135" i="40872"/>
  <c r="CL51" i="40876"/>
  <c r="AQ136" i="40872"/>
  <c r="AR136" i="40872" s="1"/>
  <c r="AT136" i="40872"/>
  <c r="AV136" i="40872" s="1"/>
  <c r="AX136" i="40872"/>
  <c r="AY136" i="40872" s="1"/>
  <c r="AD142" i="40872"/>
  <c r="AE142" i="40872"/>
  <c r="AG142" i="40872"/>
  <c r="AG320" i="40872" s="1"/>
  <c r="AG327" i="40872" s="1"/>
  <c r="AH142" i="40872"/>
  <c r="AH320" i="40872" s="1"/>
  <c r="AI142" i="40872"/>
  <c r="AI320" i="40872" s="1"/>
  <c r="AI327" i="40872" s="1"/>
  <c r="AJ142" i="40872"/>
  <c r="AJ320" i="40872" s="1"/>
  <c r="AJ327" i="40872" s="1"/>
  <c r="AK327" i="40872" s="1"/>
  <c r="AL142" i="40872"/>
  <c r="AL320" i="40872" s="1"/>
  <c r="AL327" i="40872" s="1"/>
  <c r="AM142" i="40872"/>
  <c r="AM320" i="40872" s="1"/>
  <c r="AN142" i="40872"/>
  <c r="AN320" i="40872" s="1"/>
  <c r="AN327" i="40872" s="1"/>
  <c r="AO142" i="40872"/>
  <c r="AO320" i="40872" s="1"/>
  <c r="AQ142" i="40872"/>
  <c r="AQ141" i="40872" s="1"/>
  <c r="AR142" i="40872"/>
  <c r="AS142" i="40872"/>
  <c r="AS141" i="40872" s="1"/>
  <c r="AT142" i="40872"/>
  <c r="CD138" i="40872"/>
  <c r="CI138" i="40872"/>
  <c r="CN138" i="40872"/>
  <c r="AT139" i="40872"/>
  <c r="AU139" i="40872" s="1"/>
  <c r="AX139" i="40872"/>
  <c r="AY139" i="40872"/>
  <c r="BA139" i="40872"/>
  <c r="BB139" i="40872"/>
  <c r="BC139" i="40872"/>
  <c r="BD138" i="40872" s="1"/>
  <c r="AT140" i="40872"/>
  <c r="AY140" i="40872"/>
  <c r="AP142" i="40872"/>
  <c r="AP141" i="40872" s="1"/>
  <c r="AU142" i="40872"/>
  <c r="AU141" i="40872" s="1"/>
  <c r="AV142" i="40872"/>
  <c r="AV141" i="40872" s="1"/>
  <c r="AW142" i="40872"/>
  <c r="AW141" i="40872" s="1"/>
  <c r="AX142" i="40872"/>
  <c r="AX141" i="40872" s="1"/>
  <c r="AY142" i="40872"/>
  <c r="AZ142" i="40872"/>
  <c r="AZ141" i="40872" s="1"/>
  <c r="BA142" i="40872"/>
  <c r="BA141" i="40872" s="1"/>
  <c r="BB142" i="40872"/>
  <c r="BB141" i="40872" s="1"/>
  <c r="BD142" i="40872"/>
  <c r="BD141" i="40872" s="1"/>
  <c r="AF142" i="40872"/>
  <c r="AB145" i="40872"/>
  <c r="AB150" i="40872" s="1"/>
  <c r="AC145" i="40872"/>
  <c r="AC150" i="40872" s="1"/>
  <c r="AD145" i="40872"/>
  <c r="AD150" i="40872" s="1"/>
  <c r="AE145" i="40872"/>
  <c r="AF149" i="40872"/>
  <c r="AF145" i="40872" s="1"/>
  <c r="AH145" i="40872"/>
  <c r="AI145" i="40872"/>
  <c r="AI150" i="40872" s="1"/>
  <c r="AJ145" i="40872"/>
  <c r="AJ150" i="40872" s="1"/>
  <c r="AK149" i="40872"/>
  <c r="AL145" i="40872"/>
  <c r="AM145" i="40872"/>
  <c r="AN145" i="40872"/>
  <c r="AO145" i="40872"/>
  <c r="AP149" i="40872"/>
  <c r="AQ145" i="40872"/>
  <c r="AR145" i="40872"/>
  <c r="AS145" i="40872"/>
  <c r="AT145" i="40872"/>
  <c r="AT150" i="40872" s="1"/>
  <c r="AU149" i="40872"/>
  <c r="AV145" i="40872"/>
  <c r="AV150" i="40872" s="1"/>
  <c r="AW145" i="40872"/>
  <c r="AW150" i="40872" s="1"/>
  <c r="AX145" i="40872"/>
  <c r="AY145" i="40872"/>
  <c r="AZ149" i="40872"/>
  <c r="BY152" i="40872"/>
  <c r="CD152" i="40872"/>
  <c r="CI152" i="40872"/>
  <c r="CN152" i="40872"/>
  <c r="AB172" i="40872"/>
  <c r="AB177" i="40872" s="1"/>
  <c r="AC172" i="40872"/>
  <c r="AC177" i="40872" s="1"/>
  <c r="AD172" i="40872"/>
  <c r="AD177" i="40872" s="1"/>
  <c r="AE172" i="40872"/>
  <c r="AE177" i="40872" s="1"/>
  <c r="AF175" i="40872"/>
  <c r="AF172" i="40872" s="1"/>
  <c r="AF177" i="40872" s="1"/>
  <c r="AG172" i="40872"/>
  <c r="AG177" i="40872" s="1"/>
  <c r="AH172" i="40872"/>
  <c r="AH177" i="40872" s="1"/>
  <c r="AI172" i="40872"/>
  <c r="AI177" i="40872" s="1"/>
  <c r="AJ172" i="40872"/>
  <c r="AJ177" i="40872" s="1"/>
  <c r="AK175" i="40872"/>
  <c r="AK172" i="40872" s="1"/>
  <c r="AK177" i="40872" s="1"/>
  <c r="AM172" i="40872"/>
  <c r="AM177" i="40872" s="1"/>
  <c r="AN172" i="40872"/>
  <c r="AN177" i="40872" s="1"/>
  <c r="AO172" i="40872"/>
  <c r="AO177" i="40872" s="1"/>
  <c r="AP175" i="40872"/>
  <c r="AU172" i="40872"/>
  <c r="AU175" i="40872"/>
  <c r="AZ175" i="40872"/>
  <c r="AQ177" i="40872"/>
  <c r="AR177" i="40872"/>
  <c r="AS177" i="40872"/>
  <c r="AS178" i="40872" s="1"/>
  <c r="AT177" i="40872"/>
  <c r="BE176" i="40872"/>
  <c r="BT179" i="40872"/>
  <c r="BY179" i="40872"/>
  <c r="CD179" i="40872"/>
  <c r="CI179" i="40872"/>
  <c r="CN179" i="40872"/>
  <c r="W185" i="40872"/>
  <c r="X185" i="40872"/>
  <c r="Y185" i="40872"/>
  <c r="Z185" i="40872"/>
  <c r="AJ185" i="40872"/>
  <c r="AB192" i="40872"/>
  <c r="AC192" i="40872"/>
  <c r="AD192" i="40872"/>
  <c r="AD193" i="40872" s="1"/>
  <c r="AE192" i="40872"/>
  <c r="AE193" i="40872" s="1"/>
  <c r="AG192" i="40872"/>
  <c r="AG193" i="40872" s="1"/>
  <c r="AH192" i="40872"/>
  <c r="AI192" i="40872"/>
  <c r="AI193" i="40872" s="1"/>
  <c r="AJ192" i="40872"/>
  <c r="AL192" i="40872"/>
  <c r="AL193" i="40872" s="1"/>
  <c r="AM192" i="40872"/>
  <c r="AN192" i="40872"/>
  <c r="AO192" i="40872"/>
  <c r="AQ192" i="40872"/>
  <c r="AR192" i="40872"/>
  <c r="AS192" i="40872"/>
  <c r="AT192" i="40872"/>
  <c r="AT193" i="40872" s="1"/>
  <c r="AV192" i="40872"/>
  <c r="AV193" i="40872" s="1"/>
  <c r="AW192" i="40872"/>
  <c r="AW193" i="40872" s="1"/>
  <c r="AX192" i="40872"/>
  <c r="AY192" i="40872"/>
  <c r="AY193" i="40872" s="1"/>
  <c r="BA192" i="40872"/>
  <c r="BB192" i="40872"/>
  <c r="BB193" i="40872" s="1"/>
  <c r="BC192" i="40872"/>
  <c r="BC193" i="40872" s="1"/>
  <c r="BD192" i="40872"/>
  <c r="BD193" i="40872" s="1"/>
  <c r="AB194" i="40872"/>
  <c r="AB195" i="40872" s="1"/>
  <c r="AC194" i="40872"/>
  <c r="AC195" i="40872" s="1"/>
  <c r="AD194" i="40872"/>
  <c r="AE194" i="40872"/>
  <c r="AG194" i="40872"/>
  <c r="AG195" i="40872" s="1"/>
  <c r="AH194" i="40872"/>
  <c r="AI194" i="40872"/>
  <c r="AJ194" i="40872"/>
  <c r="AM194" i="40872"/>
  <c r="AN194" i="40872"/>
  <c r="AO194" i="40872"/>
  <c r="AR194" i="40872"/>
  <c r="AS194" i="40872"/>
  <c r="AT194" i="40872"/>
  <c r="AV194" i="40872"/>
  <c r="AW194" i="40872"/>
  <c r="AX194" i="40872"/>
  <c r="AY194" i="40872"/>
  <c r="BB194" i="40872"/>
  <c r="BC194" i="40872"/>
  <c r="BD194" i="40872"/>
  <c r="AA199" i="40872"/>
  <c r="AA200" i="40872" s="1"/>
  <c r="AB199" i="40872"/>
  <c r="BL50" i="40876"/>
  <c r="AF199" i="40872"/>
  <c r="AF200" i="40872" s="1"/>
  <c r="AG199" i="40872"/>
  <c r="BQ50" i="40876"/>
  <c r="AK199" i="40872"/>
  <c r="AL199" i="40872"/>
  <c r="BV50" i="40876"/>
  <c r="AP199" i="40872"/>
  <c r="AQ199" i="40872"/>
  <c r="CA50" i="40876"/>
  <c r="AU199" i="40872"/>
  <c r="AV199" i="40872"/>
  <c r="CF50" i="40876"/>
  <c r="BA199" i="40872"/>
  <c r="CK50" i="40876"/>
  <c r="AP319" i="40872"/>
  <c r="AP320" i="40872" s="1"/>
  <c r="AQ319" i="40872"/>
  <c r="AQ320" i="40872" s="1"/>
  <c r="AQ327" i="40872" s="1"/>
  <c r="AR319" i="40872"/>
  <c r="AS319" i="40872"/>
  <c r="AU319" i="40872"/>
  <c r="AU320" i="40872" s="1"/>
  <c r="AV319" i="40872"/>
  <c r="AV320" i="40872" s="1"/>
  <c r="AV327" i="40872" s="1"/>
  <c r="AW319" i="40872"/>
  <c r="AX319" i="40872"/>
  <c r="AX326" i="40872" s="1"/>
  <c r="BB319" i="40872"/>
  <c r="BB320" i="40872" s="1"/>
  <c r="BB327" i="40872" s="1"/>
  <c r="AE206" i="40872"/>
  <c r="AG206" i="40872"/>
  <c r="AH206" i="40872"/>
  <c r="AI206" i="40872"/>
  <c r="AJ206" i="40872"/>
  <c r="AK206" i="40872" s="1"/>
  <c r="AL206" i="40872"/>
  <c r="AM206" i="40872"/>
  <c r="AN206" i="40872"/>
  <c r="AO206" i="40872"/>
  <c r="AP206" i="40872" s="1"/>
  <c r="BD206" i="40872"/>
  <c r="BE206" i="40872" s="1"/>
  <c r="AE207" i="40872"/>
  <c r="AG207" i="40872"/>
  <c r="AH207" i="40872"/>
  <c r="AI207" i="40872"/>
  <c r="AJ207" i="40872"/>
  <c r="AK207" i="40872" s="1"/>
  <c r="AL207" i="40872"/>
  <c r="AM207" i="40872"/>
  <c r="AN207" i="40872"/>
  <c r="AO207" i="40872"/>
  <c r="AP207" i="40872" s="1"/>
  <c r="AQ207" i="40872"/>
  <c r="AR207" i="40872"/>
  <c r="AS207" i="40872"/>
  <c r="AT207" i="40872"/>
  <c r="AU207" i="40872" s="1"/>
  <c r="AV207" i="40872"/>
  <c r="AW207" i="40872"/>
  <c r="AX207" i="40872"/>
  <c r="AY207" i="40872"/>
  <c r="AZ207" i="40872" s="1"/>
  <c r="BA207" i="40872"/>
  <c r="BB207" i="40872"/>
  <c r="BC207" i="40872"/>
  <c r="BD207" i="40872"/>
  <c r="BE207" i="40872" s="1"/>
  <c r="BF207" i="40872"/>
  <c r="BG207" i="40872"/>
  <c r="AE210" i="40872"/>
  <c r="AG210" i="40872"/>
  <c r="AH210" i="40872"/>
  <c r="AI210" i="40872"/>
  <c r="AJ210" i="40872"/>
  <c r="AK210" i="40872" s="1"/>
  <c r="AL210" i="40872"/>
  <c r="AM210" i="40872"/>
  <c r="AN210" i="40872"/>
  <c r="AO210" i="40872"/>
  <c r="AQ210" i="40872"/>
  <c r="AR210" i="40872"/>
  <c r="AS210" i="40872"/>
  <c r="AT210" i="40872"/>
  <c r="AU210" i="40872" s="1"/>
  <c r="AV210" i="40872"/>
  <c r="AW210" i="40872"/>
  <c r="AX210" i="40872"/>
  <c r="AY210" i="40872"/>
  <c r="AZ210" i="40872" s="1"/>
  <c r="BA210" i="40872"/>
  <c r="BB210" i="40872"/>
  <c r="BC210" i="40872"/>
  <c r="BD210" i="40872"/>
  <c r="BE210" i="40872" s="1"/>
  <c r="BF210" i="40872"/>
  <c r="BG210" i="40872"/>
  <c r="AW227" i="40872"/>
  <c r="AX227" i="40872"/>
  <c r="AW225" i="40872"/>
  <c r="AX225" i="40872"/>
  <c r="BG225" i="40872"/>
  <c r="AF1" i="40872"/>
  <c r="AG1" i="40872"/>
  <c r="AH1" i="40872"/>
  <c r="AG319" i="40872"/>
  <c r="AG326" i="40872" s="1"/>
  <c r="AH319" i="40872"/>
  <c r="AH326" i="40872" s="1"/>
  <c r="AL319" i="40872"/>
  <c r="AL326" i="40872" s="1"/>
  <c r="AM319" i="40872"/>
  <c r="AM326" i="40872" s="1"/>
  <c r="AY319" i="40872"/>
  <c r="AY326" i="40872" s="1"/>
  <c r="AZ326" i="40872" s="1"/>
  <c r="AZ319" i="40872"/>
  <c r="AZ320" i="40872" s="1"/>
  <c r="BA319" i="40872"/>
  <c r="BA326" i="40872" s="1"/>
  <c r="BC319" i="40872"/>
  <c r="BC326" i="40872" s="1"/>
  <c r="BD319" i="40872"/>
  <c r="BD320" i="40872" s="1"/>
  <c r="BD327" i="40872" s="1"/>
  <c r="BE327" i="40872" s="1"/>
  <c r="BE319" i="40872"/>
  <c r="BE320" i="40872" s="1"/>
  <c r="BF319" i="40872"/>
  <c r="BF320" i="40872" s="1"/>
  <c r="BG319" i="40872"/>
  <c r="BG326" i="40872" s="1"/>
  <c r="V323" i="40872"/>
  <c r="V326" i="40872"/>
  <c r="AA326" i="40872"/>
  <c r="AE326" i="40872"/>
  <c r="AF326" i="40872" s="1"/>
  <c r="V327" i="40872"/>
  <c r="AA327" i="40872"/>
  <c r="AE327" i="40872"/>
  <c r="AF327" i="40872" s="1"/>
  <c r="BT6" i="40875"/>
  <c r="BY6" i="40875"/>
  <c r="CD6" i="40875"/>
  <c r="BT13" i="40875"/>
  <c r="BY13" i="40875"/>
  <c r="CC13" i="40875"/>
  <c r="CI13" i="40875"/>
  <c r="CN13" i="40875"/>
  <c r="CS13" i="40875"/>
  <c r="CT13" i="40875" s="1"/>
  <c r="BT14" i="40875"/>
  <c r="BY14" i="40875"/>
  <c r="CC14" i="40875"/>
  <c r="CI14" i="40875"/>
  <c r="CN14" i="40875"/>
  <c r="CS14" i="40875"/>
  <c r="BT15" i="40875"/>
  <c r="BY15" i="40875"/>
  <c r="CC15" i="40875"/>
  <c r="CI15" i="40875"/>
  <c r="BT16" i="40875"/>
  <c r="BY16" i="40875"/>
  <c r="CC16" i="40875"/>
  <c r="CI16" i="40875"/>
  <c r="BT17" i="40875"/>
  <c r="BY17" i="40875"/>
  <c r="CC17" i="40875"/>
  <c r="CI17" i="40875"/>
  <c r="BT18" i="40875"/>
  <c r="BY18" i="40875"/>
  <c r="CC18" i="40875"/>
  <c r="CI18" i="40875"/>
  <c r="BT19" i="40875"/>
  <c r="BY19" i="40875"/>
  <c r="BY36" i="40875" s="1"/>
  <c r="CC19" i="40875"/>
  <c r="CI19" i="40875"/>
  <c r="CN19" i="40875"/>
  <c r="CN36" i="40875" s="1"/>
  <c r="BE20" i="40875"/>
  <c r="BE29" i="40875" s="1"/>
  <c r="BJ20" i="40875"/>
  <c r="BK20" i="40875"/>
  <c r="BL20" i="40875"/>
  <c r="BL29" i="40875" s="1"/>
  <c r="BM20" i="40875"/>
  <c r="BN20" i="40875"/>
  <c r="BO20" i="40875"/>
  <c r="BO29" i="40875" s="1"/>
  <c r="BP20" i="40875"/>
  <c r="BP29" i="40875" s="1"/>
  <c r="BQ20" i="40875"/>
  <c r="BR20" i="40875"/>
  <c r="BS20" i="40875"/>
  <c r="BS29" i="40875" s="1"/>
  <c r="BU20" i="40875"/>
  <c r="BU29" i="40875" s="1"/>
  <c r="BV20" i="40875"/>
  <c r="BV29" i="40875" s="1"/>
  <c r="BW20" i="40875"/>
  <c r="BX20" i="40875"/>
  <c r="BX29" i="40875" s="1"/>
  <c r="BZ20" i="40875"/>
  <c r="BZ29" i="40875" s="1"/>
  <c r="CA20" i="40875"/>
  <c r="CB20" i="40875"/>
  <c r="CD20" i="40875"/>
  <c r="CD29" i="40875" s="1"/>
  <c r="CE20" i="40875"/>
  <c r="CE29" i="40875" s="1"/>
  <c r="CF20" i="40875"/>
  <c r="CF29" i="40875" s="1"/>
  <c r="CG20" i="40875"/>
  <c r="CG29" i="40875" s="1"/>
  <c r="CH20" i="40875"/>
  <c r="CJ20" i="40875"/>
  <c r="CJ29" i="40875" s="1"/>
  <c r="CK20" i="40875"/>
  <c r="CL20" i="40875"/>
  <c r="CM20" i="40875"/>
  <c r="CO20" i="40875"/>
  <c r="CP20" i="40875"/>
  <c r="CP29" i="40875" s="1"/>
  <c r="BT22" i="40875"/>
  <c r="BY22" i="40875"/>
  <c r="CA22" i="40875"/>
  <c r="CC22" i="40875"/>
  <c r="CI22" i="40875"/>
  <c r="CN22" i="40875"/>
  <c r="CO22" i="40875" s="1"/>
  <c r="CS22" i="40875"/>
  <c r="BT23" i="40875"/>
  <c r="BY23" i="40875"/>
  <c r="CC23" i="40875"/>
  <c r="CI23" i="40875"/>
  <c r="CN23" i="40875"/>
  <c r="CS23" i="40875"/>
  <c r="BT24" i="40875"/>
  <c r="BY24" i="40875"/>
  <c r="CC24" i="40875"/>
  <c r="CI24" i="40875"/>
  <c r="CN24" i="40875"/>
  <c r="BT25" i="40875"/>
  <c r="BY25" i="40875"/>
  <c r="CC25" i="40875"/>
  <c r="CI25" i="40875"/>
  <c r="CN25" i="40875"/>
  <c r="CS25" i="40875"/>
  <c r="BT26" i="40875"/>
  <c r="BY26" i="40875"/>
  <c r="CC26" i="40875"/>
  <c r="CI26" i="40875"/>
  <c r="CN26" i="40875"/>
  <c r="CS26" i="40875"/>
  <c r="BQ27" i="40875"/>
  <c r="BT27" i="40875"/>
  <c r="BY27" i="40875"/>
  <c r="CA27" i="40875"/>
  <c r="CC27" i="40875"/>
  <c r="CI27" i="40875"/>
  <c r="CL27" i="40875"/>
  <c r="CN27" i="40875"/>
  <c r="BT28" i="40875"/>
  <c r="BY28" i="40875"/>
  <c r="CA28" i="40875"/>
  <c r="CC28" i="40875"/>
  <c r="CI28" i="40875"/>
  <c r="CN28" i="40875"/>
  <c r="CH29" i="40875"/>
  <c r="CM29" i="40875"/>
  <c r="BT34" i="40875"/>
  <c r="BY34" i="40875"/>
  <c r="CC34" i="40875"/>
  <c r="CI34" i="40875"/>
  <c r="BT35" i="40875"/>
  <c r="BY35" i="40875"/>
  <c r="CC35" i="40875"/>
  <c r="CI35" i="40875"/>
  <c r="CC36" i="40875"/>
  <c r="BT37" i="40875"/>
  <c r="BY37" i="40875"/>
  <c r="CC37" i="40875"/>
  <c r="CI37" i="40875"/>
  <c r="CN37" i="40875"/>
  <c r="CS37" i="40875"/>
  <c r="CT37" i="40875" s="1"/>
  <c r="BE38" i="40875"/>
  <c r="BJ38" i="40875"/>
  <c r="BL38" i="40875"/>
  <c r="BM38" i="40875"/>
  <c r="BN38" i="40875"/>
  <c r="BO38" i="40875"/>
  <c r="BP38" i="40875"/>
  <c r="BQ38" i="40875"/>
  <c r="BR38" i="40875"/>
  <c r="BS38" i="40875"/>
  <c r="BU38" i="40875"/>
  <c r="BV38" i="40875"/>
  <c r="BW38" i="40875"/>
  <c r="BX38" i="40875"/>
  <c r="BZ38" i="40875"/>
  <c r="CA38" i="40875"/>
  <c r="CB38" i="40875"/>
  <c r="CD38" i="40875"/>
  <c r="CC38" i="40875" s="1"/>
  <c r="CE38" i="40875"/>
  <c r="CF38" i="40875"/>
  <c r="CG38" i="40875"/>
  <c r="CH38" i="40875"/>
  <c r="CJ38" i="40875"/>
  <c r="CL38" i="40875"/>
  <c r="CO38" i="40875"/>
  <c r="CP38" i="40875"/>
  <c r="BT40" i="40875"/>
  <c r="BY40" i="40875"/>
  <c r="CC40" i="40875"/>
  <c r="CI40" i="40875"/>
  <c r="CN40" i="40875"/>
  <c r="CS40" i="40875"/>
  <c r="CT40" i="40875" s="1"/>
  <c r="BT41" i="40875"/>
  <c r="BY41" i="40875"/>
  <c r="CC41" i="40875"/>
  <c r="CI41" i="40875"/>
  <c r="CN41" i="40875"/>
  <c r="CS41" i="40875"/>
  <c r="BT42" i="40875"/>
  <c r="BY42" i="40875"/>
  <c r="CC42" i="40875"/>
  <c r="CI42" i="40875"/>
  <c r="BT43" i="40875"/>
  <c r="BY43" i="40875"/>
  <c r="CA43" i="40875"/>
  <c r="CC43" i="40875"/>
  <c r="CI43" i="40875"/>
  <c r="CN43" i="40875"/>
  <c r="CS43" i="40875"/>
  <c r="BT44" i="40875"/>
  <c r="BY44" i="40875"/>
  <c r="BZ44" i="40875" s="1"/>
  <c r="CC44" i="40875"/>
  <c r="CI44" i="40875"/>
  <c r="CN44" i="40875"/>
  <c r="BT46" i="40875"/>
  <c r="BY46" i="40875"/>
  <c r="CC46" i="40875"/>
  <c r="CI46" i="40875"/>
  <c r="CN46" i="40875"/>
  <c r="CS46" i="40875"/>
  <c r="BT47" i="40875"/>
  <c r="BY47" i="40875"/>
  <c r="CC47" i="40875"/>
  <c r="CI47" i="40875"/>
  <c r="CN47" i="40875"/>
  <c r="BT48" i="40875"/>
  <c r="BY48" i="40875"/>
  <c r="CC48" i="40875"/>
  <c r="CI48" i="40875"/>
  <c r="CN48" i="40875"/>
  <c r="BT49" i="40875"/>
  <c r="BY49" i="40875"/>
  <c r="CC49" i="40875"/>
  <c r="CI49" i="40875"/>
  <c r="CN49" i="40875"/>
  <c r="BT50" i="40875"/>
  <c r="BY50" i="40875"/>
  <c r="CC50" i="40875"/>
  <c r="CI50" i="40875"/>
  <c r="CN50" i="40875"/>
  <c r="CS50" i="40875"/>
  <c r="BT51" i="40875"/>
  <c r="BY51" i="40875"/>
  <c r="CC51" i="40875"/>
  <c r="CI51" i="40875"/>
  <c r="CJ191" i="40875" s="1"/>
  <c r="CN51" i="40875"/>
  <c r="CO191" i="40875" s="1"/>
  <c r="BE52" i="40875"/>
  <c r="BJ52" i="40875"/>
  <c r="BJ55" i="40875" s="1"/>
  <c r="BK52" i="40875"/>
  <c r="BK55" i="40875" s="1"/>
  <c r="BL52" i="40875"/>
  <c r="BM52" i="40875"/>
  <c r="BN52" i="40875"/>
  <c r="BO52" i="40875"/>
  <c r="BO55" i="40875" s="1"/>
  <c r="BP52" i="40875"/>
  <c r="BQ52" i="40875"/>
  <c r="BR52" i="40875"/>
  <c r="BS188" i="40875" s="1"/>
  <c r="BS52" i="40875"/>
  <c r="BS55" i="40875" s="1"/>
  <c r="BU52" i="40875"/>
  <c r="BV52" i="40875"/>
  <c r="BW52" i="40875"/>
  <c r="BX188" i="40875" s="1"/>
  <c r="BX52" i="40875"/>
  <c r="BX68" i="40875" s="1"/>
  <c r="BZ52" i="40875"/>
  <c r="BZ68" i="40875" s="1"/>
  <c r="CA52" i="40875"/>
  <c r="CB52" i="40875"/>
  <c r="CC188" i="40875" s="1"/>
  <c r="CD52" i="40875"/>
  <c r="CE52" i="40875"/>
  <c r="CF52" i="40875"/>
  <c r="CG52" i="40875"/>
  <c r="CH188" i="40875" s="1"/>
  <c r="CH52" i="40875"/>
  <c r="CH68" i="40875" s="1"/>
  <c r="CJ52" i="40875"/>
  <c r="CJ68" i="40875" s="1"/>
  <c r="CK52" i="40875"/>
  <c r="CL52" i="40875"/>
  <c r="CL68" i="40875" s="1"/>
  <c r="CM52" i="40875"/>
  <c r="CM55" i="40875" s="1"/>
  <c r="CO52" i="40875"/>
  <c r="CP52" i="40875"/>
  <c r="CP68" i="40875" s="1"/>
  <c r="CA54" i="40875"/>
  <c r="CG54" i="40875"/>
  <c r="CN54" i="40875"/>
  <c r="CO54" i="40875" s="1"/>
  <c r="BE58" i="40875"/>
  <c r="BF58" i="40875"/>
  <c r="BG58" i="40875"/>
  <c r="BH58" i="40875"/>
  <c r="BI58" i="40875"/>
  <c r="BJ58" i="40875"/>
  <c r="BK58" i="40875"/>
  <c r="BL58" i="40875"/>
  <c r="BM58" i="40875"/>
  <c r="BN58" i="40875"/>
  <c r="BO58" i="40875"/>
  <c r="BP58" i="40875"/>
  <c r="BQ58" i="40875"/>
  <c r="BR58" i="40875"/>
  <c r="BS58" i="40875"/>
  <c r="BT58" i="40875"/>
  <c r="BU58" i="40875"/>
  <c r="BV58" i="40875"/>
  <c r="BW58" i="40875"/>
  <c r="BX58" i="40875"/>
  <c r="BY58" i="40875"/>
  <c r="BZ58" i="40875"/>
  <c r="CA58" i="40875"/>
  <c r="CB58" i="40875"/>
  <c r="CC58" i="40875"/>
  <c r="CD58" i="40875"/>
  <c r="CE58" i="40875"/>
  <c r="CF58" i="40875"/>
  <c r="CG58" i="40875"/>
  <c r="CH58" i="40875"/>
  <c r="CI58" i="40875"/>
  <c r="CJ58" i="40875"/>
  <c r="CK58" i="40875"/>
  <c r="CL58" i="40875"/>
  <c r="CM58" i="40875"/>
  <c r="CN58" i="40875"/>
  <c r="CO58" i="40875"/>
  <c r="CP58" i="40875"/>
  <c r="CQ58" i="40875"/>
  <c r="CS58" i="40875"/>
  <c r="CT58" i="40875"/>
  <c r="CU58" i="40875"/>
  <c r="CV58" i="40875"/>
  <c r="CW58" i="40875"/>
  <c r="CX58" i="40875"/>
  <c r="CY58" i="40875"/>
  <c r="CZ58" i="40875"/>
  <c r="DA58" i="40875"/>
  <c r="DB58" i="40875"/>
  <c r="DC58" i="40875"/>
  <c r="DD58" i="40875"/>
  <c r="DF58" i="40875"/>
  <c r="DG58" i="40875"/>
  <c r="DH58" i="40875"/>
  <c r="DI58" i="40875"/>
  <c r="DJ58" i="40875"/>
  <c r="DK58" i="40875"/>
  <c r="DL58" i="40875"/>
  <c r="DM58" i="40875"/>
  <c r="DN58" i="40875"/>
  <c r="DO58" i="40875"/>
  <c r="DP58" i="40875"/>
  <c r="DQ58" i="40875"/>
  <c r="DR58" i="40875"/>
  <c r="DS58" i="40875"/>
  <c r="DT58" i="40875"/>
  <c r="DU58" i="40875"/>
  <c r="DV58" i="40875"/>
  <c r="DW58" i="40875"/>
  <c r="BU68" i="40875"/>
  <c r="CD68" i="40875"/>
  <c r="CM68" i="40875"/>
  <c r="CO68" i="40875"/>
  <c r="BE75" i="40875"/>
  <c r="BE85" i="40875" s="1"/>
  <c r="BF75" i="40875"/>
  <c r="BF85" i="40875" s="1"/>
  <c r="BG75" i="40875"/>
  <c r="BG85" i="40875" s="1"/>
  <c r="BH75" i="40875"/>
  <c r="BH85" i="40875" s="1"/>
  <c r="BI75" i="40875"/>
  <c r="BI85" i="40875" s="1"/>
  <c r="BJ75" i="40875"/>
  <c r="BJ85" i="40875" s="1"/>
  <c r="BK75" i="40875"/>
  <c r="BK85" i="40875" s="1"/>
  <c r="BL75" i="40875"/>
  <c r="BL85" i="40875" s="1"/>
  <c r="BM75" i="40875"/>
  <c r="BM85" i="40875" s="1"/>
  <c r="BN75" i="40875"/>
  <c r="BN85" i="40875" s="1"/>
  <c r="BO75" i="40875"/>
  <c r="BO85" i="40875" s="1"/>
  <c r="BP75" i="40875"/>
  <c r="BP85" i="40875" s="1"/>
  <c r="BQ75" i="40875"/>
  <c r="BQ85" i="40875" s="1"/>
  <c r="BR75" i="40875"/>
  <c r="BR85" i="40875" s="1"/>
  <c r="BS75" i="40875"/>
  <c r="BS85" i="40875" s="1"/>
  <c r="BT75" i="40875"/>
  <c r="BT85" i="40875" s="1"/>
  <c r="BU75" i="40875"/>
  <c r="BU85" i="40875" s="1"/>
  <c r="BV75" i="40875"/>
  <c r="BV85" i="40875" s="1"/>
  <c r="BW75" i="40875"/>
  <c r="BW85" i="40875" s="1"/>
  <c r="BX75" i="40875"/>
  <c r="BX85" i="40875" s="1"/>
  <c r="BY75" i="40875"/>
  <c r="BY85" i="40875" s="1"/>
  <c r="BZ75" i="40875"/>
  <c r="BZ85" i="40875" s="1"/>
  <c r="CA75" i="40875"/>
  <c r="CA85" i="40875" s="1"/>
  <c r="CB75" i="40875"/>
  <c r="CB85" i="40875" s="1"/>
  <c r="CC75" i="40875"/>
  <c r="CC85" i="40875" s="1"/>
  <c r="CD75" i="40875"/>
  <c r="CD85" i="40875" s="1"/>
  <c r="CE75" i="40875"/>
  <c r="CE85" i="40875" s="1"/>
  <c r="CF75" i="40875"/>
  <c r="CG75" i="40875"/>
  <c r="CG85" i="40875" s="1"/>
  <c r="CH75" i="40875"/>
  <c r="CH85" i="40875" s="1"/>
  <c r="CI75" i="40875"/>
  <c r="CI85" i="40875" s="1"/>
  <c r="CJ75" i="40875"/>
  <c r="CJ85" i="40875" s="1"/>
  <c r="CK75" i="40875"/>
  <c r="CK85" i="40875" s="1"/>
  <c r="CL75" i="40875"/>
  <c r="CL85" i="40875" s="1"/>
  <c r="CM75" i="40875"/>
  <c r="CM85" i="40875" s="1"/>
  <c r="CN75" i="40875"/>
  <c r="CN85" i="40875" s="1"/>
  <c r="CO75" i="40875"/>
  <c r="CO85" i="40875" s="1"/>
  <c r="CP75" i="40875"/>
  <c r="CP85" i="40875" s="1"/>
  <c r="CQ85" i="40875"/>
  <c r="CS75" i="40875"/>
  <c r="CS85" i="40875" s="1"/>
  <c r="CT75" i="40875"/>
  <c r="CT85" i="40875" s="1"/>
  <c r="CU75" i="40875"/>
  <c r="CU85" i="40875" s="1"/>
  <c r="CV75" i="40875"/>
  <c r="CV85" i="40875" s="1"/>
  <c r="CW75" i="40875"/>
  <c r="CW85" i="40875" s="1"/>
  <c r="CX75" i="40875"/>
  <c r="CX85" i="40875" s="1"/>
  <c r="CY75" i="40875"/>
  <c r="CZ75" i="40875"/>
  <c r="CZ85" i="40875" s="1"/>
  <c r="DA75" i="40875"/>
  <c r="DA85" i="40875" s="1"/>
  <c r="DB75" i="40875"/>
  <c r="DB85" i="40875" s="1"/>
  <c r="DC75" i="40875"/>
  <c r="DC85" i="40875" s="1"/>
  <c r="DD75" i="40875"/>
  <c r="DD85" i="40875" s="1"/>
  <c r="DE75" i="40875"/>
  <c r="DE85" i="40875" s="1"/>
  <c r="DF75" i="40875"/>
  <c r="DF85" i="40875" s="1"/>
  <c r="DG75" i="40875"/>
  <c r="DG85" i="40875" s="1"/>
  <c r="DH75" i="40875"/>
  <c r="DH85" i="40875" s="1"/>
  <c r="DI75" i="40875"/>
  <c r="DI85" i="40875" s="1"/>
  <c r="DJ75" i="40875"/>
  <c r="DJ85" i="40875" s="1"/>
  <c r="DK75" i="40875"/>
  <c r="DK85" i="40875" s="1"/>
  <c r="DL75" i="40875"/>
  <c r="DL85" i="40875" s="1"/>
  <c r="DM75" i="40875"/>
  <c r="DM85" i="40875" s="1"/>
  <c r="DN75" i="40875"/>
  <c r="DN85" i="40875" s="1"/>
  <c r="DO75" i="40875"/>
  <c r="DO85" i="40875" s="1"/>
  <c r="DP75" i="40875"/>
  <c r="DP85" i="40875" s="1"/>
  <c r="DQ75" i="40875"/>
  <c r="DQ85" i="40875" s="1"/>
  <c r="DR75" i="40875"/>
  <c r="DR85" i="40875" s="1"/>
  <c r="DS75" i="40875"/>
  <c r="DS85" i="40875" s="1"/>
  <c r="DT75" i="40875"/>
  <c r="DT85" i="40875" s="1"/>
  <c r="DU75" i="40875"/>
  <c r="DU85" i="40875" s="1"/>
  <c r="DV75" i="40875"/>
  <c r="DV85" i="40875" s="1"/>
  <c r="DW75" i="40875"/>
  <c r="DW85" i="40875" s="1"/>
  <c r="BJ77" i="40875"/>
  <c r="BK77" i="40875"/>
  <c r="BL77" i="40875"/>
  <c r="BM77" i="40875"/>
  <c r="BM82" i="40875" s="1"/>
  <c r="BN77" i="40875"/>
  <c r="BN82" i="40875" s="1"/>
  <c r="BP77" i="40875"/>
  <c r="BP82" i="40875" s="1"/>
  <c r="BQ77" i="40875"/>
  <c r="BQ82" i="40875" s="1"/>
  <c r="BR77" i="40875"/>
  <c r="BR82" i="40875" s="1"/>
  <c r="BS77" i="40875"/>
  <c r="BS82" i="40875" s="1"/>
  <c r="BU77" i="40875"/>
  <c r="BU82" i="40875" s="1"/>
  <c r="BV77" i="40875"/>
  <c r="BW77" i="40875"/>
  <c r="BX77" i="40875"/>
  <c r="BX82" i="40875" s="1"/>
  <c r="CA77" i="40875"/>
  <c r="CB77" i="40875"/>
  <c r="CB82" i="40875" s="1"/>
  <c r="CC77" i="40875"/>
  <c r="CJ77" i="40875"/>
  <c r="CJ82" i="40875" s="1"/>
  <c r="CK77" i="40875"/>
  <c r="CK82" i="40875" s="1"/>
  <c r="CL82" i="40875" s="1"/>
  <c r="CL77" i="40875"/>
  <c r="BJ78" i="40875"/>
  <c r="BK78" i="40875"/>
  <c r="BL78" i="40875"/>
  <c r="BM78" i="40875"/>
  <c r="BN78" i="40875"/>
  <c r="BP78" i="40875"/>
  <c r="BQ78" i="40875"/>
  <c r="BR78" i="40875"/>
  <c r="BS78" i="40875"/>
  <c r="BU78" i="40875"/>
  <c r="BV78" i="40875"/>
  <c r="BW78" i="40875"/>
  <c r="BX78" i="40875"/>
  <c r="BZ78" i="40875"/>
  <c r="CA78" i="40875"/>
  <c r="CB78" i="40875"/>
  <c r="CB79" i="40875" s="1"/>
  <c r="CB83" i="40875" s="1"/>
  <c r="CC78" i="40875"/>
  <c r="CE78" i="40875"/>
  <c r="CF78" i="40875"/>
  <c r="CG78" i="40875"/>
  <c r="CH78" i="40875"/>
  <c r="CI78" i="40875"/>
  <c r="CJ78" i="40875"/>
  <c r="CK78" i="40875"/>
  <c r="CL78" i="40875"/>
  <c r="CF85" i="40875"/>
  <c r="CY85" i="40875"/>
  <c r="CI86" i="40875"/>
  <c r="CI87" i="40875"/>
  <c r="CI88" i="40875"/>
  <c r="CI89" i="40875"/>
  <c r="CI90" i="40875"/>
  <c r="CI91" i="40875"/>
  <c r="CJ94" i="40875"/>
  <c r="CJ95" i="40875" s="1"/>
  <c r="CJ93" i="40875"/>
  <c r="CH92" i="40875"/>
  <c r="CH94" i="40875" s="1"/>
  <c r="CK92" i="40875"/>
  <c r="CK103" i="40875" s="1"/>
  <c r="CL92" i="40875"/>
  <c r="CL94" i="40875" s="1"/>
  <c r="CL95" i="40875" s="1"/>
  <c r="CM92" i="40875"/>
  <c r="CM103" i="40875" s="1"/>
  <c r="CN92" i="40875"/>
  <c r="CN94" i="40875" s="1"/>
  <c r="CI93" i="40875"/>
  <c r="BE146" i="40875"/>
  <c r="BE155" i="40875" s="1"/>
  <c r="BJ146" i="40875"/>
  <c r="BJ155" i="40875" s="1"/>
  <c r="BK146" i="40875"/>
  <c r="BK155" i="40875" s="1"/>
  <c r="BL146" i="40875"/>
  <c r="BL155" i="40875" s="1"/>
  <c r="BM146" i="40875"/>
  <c r="BM155" i="40875" s="1"/>
  <c r="BN146" i="40875"/>
  <c r="BN155" i="40875" s="1"/>
  <c r="BO146" i="40875"/>
  <c r="BO155" i="40875" s="1"/>
  <c r="BP146" i="40875"/>
  <c r="BP155" i="40875" s="1"/>
  <c r="BQ146" i="40875"/>
  <c r="BQ155" i="40875" s="1"/>
  <c r="BR146" i="40875"/>
  <c r="BR155" i="40875" s="1"/>
  <c r="BS146" i="40875"/>
  <c r="BS155" i="40875" s="1"/>
  <c r="BT146" i="40875"/>
  <c r="BT155" i="40875" s="1"/>
  <c r="BU146" i="40875"/>
  <c r="BU155" i="40875" s="1"/>
  <c r="BV146" i="40875"/>
  <c r="BV155" i="40875" s="1"/>
  <c r="BW146" i="40875"/>
  <c r="BW155" i="40875" s="1"/>
  <c r="BX146" i="40875"/>
  <c r="BX155" i="40875" s="1"/>
  <c r="BY146" i="40875"/>
  <c r="BY155" i="40875" s="1"/>
  <c r="BZ146" i="40875"/>
  <c r="BZ155" i="40875" s="1"/>
  <c r="CA146" i="40875"/>
  <c r="CA155" i="40875" s="1"/>
  <c r="CB146" i="40875"/>
  <c r="CB155" i="40875" s="1"/>
  <c r="CC146" i="40875"/>
  <c r="CC155" i="40875" s="1"/>
  <c r="CD146" i="40875"/>
  <c r="CD155" i="40875" s="1"/>
  <c r="BE164" i="40875"/>
  <c r="BJ164" i="40875"/>
  <c r="BL164" i="40875"/>
  <c r="BM164" i="40875"/>
  <c r="BN164" i="40875"/>
  <c r="BO164" i="40875"/>
  <c r="BP164" i="40875"/>
  <c r="BQ164" i="40875"/>
  <c r="BR164" i="40875"/>
  <c r="BS164" i="40875"/>
  <c r="BT164" i="40875"/>
  <c r="BU164" i="40875"/>
  <c r="BV164" i="40875"/>
  <c r="BW164" i="40875"/>
  <c r="BX164" i="40875"/>
  <c r="BY164" i="40875"/>
  <c r="BZ164" i="40875"/>
  <c r="CA164" i="40875"/>
  <c r="CB164" i="40875"/>
  <c r="CC164" i="40875"/>
  <c r="CD164" i="40875"/>
  <c r="BE178" i="40875"/>
  <c r="BJ178" i="40875"/>
  <c r="BK178" i="40875"/>
  <c r="BK179" i="40875" s="1"/>
  <c r="BL178" i="40875"/>
  <c r="BM178" i="40875"/>
  <c r="BN178" i="40875"/>
  <c r="BO178" i="40875"/>
  <c r="BP178" i="40875"/>
  <c r="BQ178" i="40875"/>
  <c r="BR178" i="40875"/>
  <c r="BS178" i="40875"/>
  <c r="BT178" i="40875"/>
  <c r="BU178" i="40875"/>
  <c r="BV178" i="40875"/>
  <c r="BW178" i="40875"/>
  <c r="BX178" i="40875"/>
  <c r="BY178" i="40875"/>
  <c r="BZ178" i="40875"/>
  <c r="CA178" i="40875"/>
  <c r="CB178" i="40875"/>
  <c r="CC178" i="40875"/>
  <c r="CD178" i="40875"/>
  <c r="AZ187" i="40875"/>
  <c r="BA187" i="40875"/>
  <c r="BB187" i="40875"/>
  <c r="BC187" i="40875"/>
  <c r="BD187" i="40875"/>
  <c r="BE187" i="40875"/>
  <c r="BF187" i="40875"/>
  <c r="BG187" i="40875"/>
  <c r="BH187" i="40875"/>
  <c r="BI187" i="40875"/>
  <c r="BJ187" i="40875"/>
  <c r="BK187" i="40875"/>
  <c r="BL187" i="40875"/>
  <c r="BM187" i="40875"/>
  <c r="BN187" i="40875"/>
  <c r="BO187" i="40875"/>
  <c r="BP187" i="40875"/>
  <c r="BQ187" i="40875"/>
  <c r="BR187" i="40875"/>
  <c r="BS187" i="40875"/>
  <c r="BT187" i="40875"/>
  <c r="BU187" i="40875"/>
  <c r="BV187" i="40875"/>
  <c r="BW187" i="40875"/>
  <c r="BX187" i="40875"/>
  <c r="BY187" i="40875"/>
  <c r="BZ187" i="40875"/>
  <c r="CA187" i="40875"/>
  <c r="CB187" i="40875"/>
  <c r="CC187" i="40875"/>
  <c r="CD187" i="40875"/>
  <c r="CE187" i="40875"/>
  <c r="CF187" i="40875"/>
  <c r="CG187" i="40875"/>
  <c r="CH187" i="40875"/>
  <c r="CI187" i="40875"/>
  <c r="CJ187" i="40875"/>
  <c r="CK187" i="40875"/>
  <c r="CL187" i="40875"/>
  <c r="CM187" i="40875"/>
  <c r="CN187" i="40875"/>
  <c r="CO187" i="40875"/>
  <c r="CP187" i="40875"/>
  <c r="CQ187" i="40875"/>
  <c r="CR187" i="40875"/>
  <c r="CS187" i="40875"/>
  <c r="CT187" i="40875"/>
  <c r="CU187" i="40875"/>
  <c r="CV187" i="40875"/>
  <c r="CW187" i="40875"/>
  <c r="CX187" i="40875"/>
  <c r="CY187" i="40875"/>
  <c r="CZ187" i="40875"/>
  <c r="DA187" i="40875"/>
  <c r="DB187" i="40875"/>
  <c r="DC187" i="40875"/>
  <c r="DF187" i="40875"/>
  <c r="DG187" i="40875"/>
  <c r="DH187" i="40875"/>
  <c r="DI187" i="40875"/>
  <c r="DJ187" i="40875"/>
  <c r="DK187" i="40875"/>
  <c r="DL187" i="40875"/>
  <c r="DM187" i="40875"/>
  <c r="DN187" i="40875"/>
  <c r="DO187" i="40875"/>
  <c r="DP187" i="40875"/>
  <c r="DQ187" i="40875"/>
  <c r="DR187" i="40875"/>
  <c r="DS187" i="40875"/>
  <c r="DT187" i="40875"/>
  <c r="DU187" i="40875"/>
  <c r="DV187" i="40875"/>
  <c r="DW187" i="40875"/>
  <c r="BP188" i="40875"/>
  <c r="BT188" i="40875"/>
  <c r="BV188" i="40875"/>
  <c r="CA188" i="40875"/>
  <c r="CE188" i="40875"/>
  <c r="CF188" i="40875"/>
  <c r="CI188" i="40875"/>
  <c r="CP188" i="40875"/>
  <c r="CE189" i="40875"/>
  <c r="CF189" i="40875"/>
  <c r="CF192" i="40875" s="1"/>
  <c r="CG189" i="40875"/>
  <c r="CG192" i="40875" s="1"/>
  <c r="CH189" i="40875"/>
  <c r="CH192" i="40875" s="1"/>
  <c r="CI189" i="40875"/>
  <c r="CI192" i="40875" s="1"/>
  <c r="CJ189" i="40875"/>
  <c r="CJ192" i="40875" s="1"/>
  <c r="CK189" i="40875"/>
  <c r="CK192" i="40875" s="1"/>
  <c r="CL189" i="40875"/>
  <c r="CL192" i="40875" s="1"/>
  <c r="CM189" i="40875"/>
  <c r="CM192" i="40875" s="1"/>
  <c r="CN189" i="40875"/>
  <c r="CS189" i="40875"/>
  <c r="CX189" i="40875"/>
  <c r="DF189" i="40875"/>
  <c r="DG189" i="40875"/>
  <c r="DH189" i="40875"/>
  <c r="DI189" i="40875"/>
  <c r="DJ189" i="40875"/>
  <c r="DK189" i="40875"/>
  <c r="DL189" i="40875"/>
  <c r="DM189" i="40875"/>
  <c r="DN189" i="40875"/>
  <c r="DO189" i="40875"/>
  <c r="DP189" i="40875"/>
  <c r="DQ189" i="40875"/>
  <c r="DR189" i="40875"/>
  <c r="DS189" i="40875"/>
  <c r="DT189" i="40875"/>
  <c r="DU189" i="40875"/>
  <c r="DV189" i="40875"/>
  <c r="DW189" i="40875"/>
  <c r="BJ190" i="40875"/>
  <c r="BO190" i="40875"/>
  <c r="BP190" i="40875"/>
  <c r="BQ190" i="40875"/>
  <c r="BR190" i="40875"/>
  <c r="BS190" i="40875"/>
  <c r="BV190" i="40875"/>
  <c r="BW190" i="40875"/>
  <c r="BX190" i="40875"/>
  <c r="CA190" i="40875"/>
  <c r="CB190" i="40875"/>
  <c r="CE190" i="40875"/>
  <c r="CF190" i="40875"/>
  <c r="CG190" i="40875"/>
  <c r="CH190" i="40875"/>
  <c r="CK190" i="40875"/>
  <c r="CL190" i="40875"/>
  <c r="CM190" i="40875"/>
  <c r="CP190" i="40875"/>
  <c r="BJ191" i="40875"/>
  <c r="BO191" i="40875"/>
  <c r="BP191" i="40875"/>
  <c r="BQ191" i="40875"/>
  <c r="BR191" i="40875"/>
  <c r="BS191" i="40875"/>
  <c r="BV191" i="40875"/>
  <c r="BW191" i="40875"/>
  <c r="BX191" i="40875"/>
  <c r="CA191" i="40875"/>
  <c r="CB191" i="40875"/>
  <c r="CE191" i="40875"/>
  <c r="CF191" i="40875"/>
  <c r="CG191" i="40875"/>
  <c r="CH191" i="40875"/>
  <c r="CK191" i="40875"/>
  <c r="CL191" i="40875"/>
  <c r="CM191" i="40875"/>
  <c r="CP191" i="40875"/>
  <c r="BE198" i="40875"/>
  <c r="BJ198" i="40875"/>
  <c r="CL198" i="40875"/>
  <c r="CM198" i="40875"/>
  <c r="CN198" i="40875"/>
  <c r="CP198" i="40875"/>
  <c r="CQ198" i="40875"/>
  <c r="CR198" i="40875"/>
  <c r="CU198" i="40875"/>
  <c r="CV198" i="40875"/>
  <c r="CW198" i="40875"/>
  <c r="CX198" i="40875"/>
  <c r="BT6" i="40876"/>
  <c r="BY6" i="40876"/>
  <c r="CD6" i="40876"/>
  <c r="BG10" i="40876"/>
  <c r="BH10" i="40876" s="1"/>
  <c r="BI10" i="40876" s="1"/>
  <c r="BL10" i="40876"/>
  <c r="BN12" i="40876"/>
  <c r="BG13" i="40876"/>
  <c r="BH13" i="40876" s="1"/>
  <c r="BI13" i="40876" s="1"/>
  <c r="BL13" i="40876"/>
  <c r="BM13" i="40876" s="1"/>
  <c r="BG14" i="40876"/>
  <c r="BH14" i="40876" s="1"/>
  <c r="BI14" i="40876" s="1"/>
  <c r="BL14" i="40876"/>
  <c r="BM14" i="40876" s="1"/>
  <c r="BN14" i="40876" s="1"/>
  <c r="BN15" i="40876"/>
  <c r="BE16" i="40876"/>
  <c r="BG16" i="40876"/>
  <c r="BH16" i="40876" s="1"/>
  <c r="BI16" i="40876" s="1"/>
  <c r="BK16" i="40876"/>
  <c r="BL16" i="40876" s="1"/>
  <c r="BG17" i="40876"/>
  <c r="BH17" i="40876" s="1"/>
  <c r="BI17" i="40876" s="1"/>
  <c r="BL17" i="40876"/>
  <c r="BN18" i="40876"/>
  <c r="BG19" i="40876"/>
  <c r="BH19" i="40876" s="1"/>
  <c r="BI19" i="40876" s="1"/>
  <c r="BL19" i="40876"/>
  <c r="BG20" i="40876"/>
  <c r="BH20" i="40876" s="1"/>
  <c r="BI20" i="40876" s="1"/>
  <c r="BL20" i="40876"/>
  <c r="BG21" i="40876"/>
  <c r="BH21" i="40876" s="1"/>
  <c r="BI21" i="40876" s="1"/>
  <c r="BL21" i="40876"/>
  <c r="CN21" i="40876"/>
  <c r="BG22" i="40876"/>
  <c r="BH22" i="40876" s="1"/>
  <c r="BI22" i="40876" s="1"/>
  <c r="BL22" i="40876"/>
  <c r="BG23" i="40876"/>
  <c r="BH23" i="40876" s="1"/>
  <c r="BI23" i="40876" s="1"/>
  <c r="BL23" i="40876"/>
  <c r="BM23" i="40876" s="1"/>
  <c r="BG25" i="40876"/>
  <c r="BH25" i="40876" s="1"/>
  <c r="BI25" i="40876" s="1"/>
  <c r="BL25" i="40876"/>
  <c r="BG26" i="40876"/>
  <c r="BH26" i="40876" s="1"/>
  <c r="BI26" i="40876" s="1"/>
  <c r="BL26" i="40876"/>
  <c r="BM26" i="40876" s="1"/>
  <c r="BG27" i="40876"/>
  <c r="BH27" i="40876" s="1"/>
  <c r="BI27" i="40876" s="1"/>
  <c r="BL27" i="40876"/>
  <c r="BM27" i="40876" s="1"/>
  <c r="BN27" i="40876" s="1"/>
  <c r="BT27" i="40876"/>
  <c r="BG28" i="40876"/>
  <c r="BH28" i="40876" s="1"/>
  <c r="BI28" i="40876" s="1"/>
  <c r="BL28" i="40876"/>
  <c r="BE30" i="40876"/>
  <c r="BF30" i="40876"/>
  <c r="BF37" i="40876" s="1"/>
  <c r="BF64" i="40876" s="1"/>
  <c r="BK30" i="40876"/>
  <c r="BL30" i="40876" s="1"/>
  <c r="BT30" i="40876"/>
  <c r="BU30" i="40876"/>
  <c r="BY30" i="40876"/>
  <c r="BZ30" i="40876"/>
  <c r="CA30" i="40876" s="1"/>
  <c r="CD30" i="40876"/>
  <c r="CE30" i="40876"/>
  <c r="CI30" i="40876"/>
  <c r="CJ30" i="40876"/>
  <c r="CN30" i="40876"/>
  <c r="BI31" i="40876"/>
  <c r="BK31" i="40876"/>
  <c r="BL33" i="40876"/>
  <c r="BL34" i="40876"/>
  <c r="BL35" i="40876"/>
  <c r="BL36" i="40876"/>
  <c r="BM36" i="40876" s="1"/>
  <c r="BG33" i="40876"/>
  <c r="BH33" i="40876" s="1"/>
  <c r="BI33" i="40876" s="1"/>
  <c r="BG34" i="40876"/>
  <c r="BH34" i="40876" s="1"/>
  <c r="BI34" i="40876" s="1"/>
  <c r="BG35" i="40876"/>
  <c r="BH35" i="40876" s="1"/>
  <c r="BI35" i="40876" s="1"/>
  <c r="BG36" i="40876"/>
  <c r="BH36" i="40876" s="1"/>
  <c r="BI36" i="40876" s="1"/>
  <c r="BU36" i="40876"/>
  <c r="BY36" i="40876"/>
  <c r="BZ36" i="40876"/>
  <c r="CD36" i="40876"/>
  <c r="CE36" i="40876"/>
  <c r="CI36" i="40876"/>
  <c r="CJ36" i="40876"/>
  <c r="CN36" i="40876"/>
  <c r="BG39" i="40876"/>
  <c r="BG65" i="40876" s="1"/>
  <c r="BL39" i="40876"/>
  <c r="BG40" i="40876"/>
  <c r="BL40" i="40876"/>
  <c r="BM40" i="40876" s="1"/>
  <c r="BS40" i="40876"/>
  <c r="BS70" i="40876" s="1"/>
  <c r="BX40" i="40876"/>
  <c r="BX70" i="40876" s="1"/>
  <c r="CB40" i="40876"/>
  <c r="CC40" i="40876" s="1"/>
  <c r="CF40" i="40876"/>
  <c r="CG40" i="40876" s="1"/>
  <c r="CK40" i="40876"/>
  <c r="CL40" i="40876" s="1"/>
  <c r="DW40" i="40876"/>
  <c r="BN41" i="40876"/>
  <c r="BS41" i="40876"/>
  <c r="BX41" i="40876"/>
  <c r="CC41" i="40876"/>
  <c r="CF41" i="40876"/>
  <c r="CG41" i="40876" s="1"/>
  <c r="CM41" i="40876"/>
  <c r="DW41" i="40876"/>
  <c r="BI42" i="40876"/>
  <c r="BL42" i="40876"/>
  <c r="BS42" i="40876"/>
  <c r="BX42" i="40876"/>
  <c r="CC42" i="40876"/>
  <c r="CF42" i="40876"/>
  <c r="CG42" i="40876" s="1"/>
  <c r="CH42" i="40876" s="1"/>
  <c r="CM42" i="40876"/>
  <c r="DW42" i="40876"/>
  <c r="BG43" i="40876"/>
  <c r="BH43" i="40876" s="1"/>
  <c r="BL43" i="40876"/>
  <c r="BM43" i="40876" s="1"/>
  <c r="BQ43" i="40876"/>
  <c r="BV43" i="40876"/>
  <c r="BW43" i="40876" s="1"/>
  <c r="CA43" i="40876"/>
  <c r="CF43" i="40876"/>
  <c r="CG43" i="40876" s="1"/>
  <c r="CK43" i="40876"/>
  <c r="DW43" i="40876"/>
  <c r="BH44" i="40876"/>
  <c r="BI44" i="40876" s="1"/>
  <c r="BL44" i="40876"/>
  <c r="BM44" i="40876" s="1"/>
  <c r="BQ44" i="40876"/>
  <c r="BR44" i="40876" s="1"/>
  <c r="BV44" i="40876"/>
  <c r="CA44" i="40876"/>
  <c r="CA69" i="40876" s="1"/>
  <c r="CD44" i="40876"/>
  <c r="CF44" i="40876"/>
  <c r="CG44" i="40876" s="1"/>
  <c r="CK44" i="40876"/>
  <c r="CL44" i="40876" s="1"/>
  <c r="DW44" i="40876"/>
  <c r="BE45" i="40876"/>
  <c r="BE46" i="40876" s="1"/>
  <c r="BG45" i="40876"/>
  <c r="BH45" i="40876" s="1"/>
  <c r="BJ45" i="40876"/>
  <c r="BQ45" i="40876"/>
  <c r="BV45" i="40876"/>
  <c r="BW45" i="40876" s="1"/>
  <c r="BY45" i="40876"/>
  <c r="BY46" i="40876" s="1"/>
  <c r="CA45" i="40876"/>
  <c r="CB45" i="40876" s="1"/>
  <c r="CD45" i="40876"/>
  <c r="CE45" i="40876"/>
  <c r="CF45" i="40876" s="1"/>
  <c r="CI45" i="40876"/>
  <c r="CI46" i="40876" s="1"/>
  <c r="CJ45" i="40876"/>
  <c r="CK45" i="40876" s="1"/>
  <c r="CN45" i="40876"/>
  <c r="CN46" i="40876" s="1"/>
  <c r="DW45" i="40876"/>
  <c r="BF46" i="40876"/>
  <c r="BK46" i="40876"/>
  <c r="BP46" i="40876"/>
  <c r="BU46" i="40876"/>
  <c r="BZ46" i="40876"/>
  <c r="BG48" i="40876"/>
  <c r="BH48" i="40876" s="1"/>
  <c r="BL48" i="40876"/>
  <c r="BQ48" i="40876"/>
  <c r="BV48" i="40876"/>
  <c r="BW48" i="40876" s="1"/>
  <c r="BX48" i="40876" s="1"/>
  <c r="CC48" i="40876"/>
  <c r="CF48" i="40876"/>
  <c r="CG48" i="40876" s="1"/>
  <c r="CK48" i="40876"/>
  <c r="CL48" i="40876" s="1"/>
  <c r="DW48" i="40876"/>
  <c r="BG49" i="40876"/>
  <c r="BH49" i="40876" s="1"/>
  <c r="BI49" i="40876" s="1"/>
  <c r="BL49" i="40876"/>
  <c r="BQ49" i="40876"/>
  <c r="BR49" i="40876" s="1"/>
  <c r="BV49" i="40876"/>
  <c r="CA49" i="40876"/>
  <c r="CB49" i="40876" s="1"/>
  <c r="CF49" i="40876"/>
  <c r="CI49" i="40876"/>
  <c r="CK49" i="40876"/>
  <c r="DW49" i="40876"/>
  <c r="BG50" i="40876"/>
  <c r="BH50" i="40876" s="1"/>
  <c r="BI50" i="40876" s="1"/>
  <c r="BG52" i="40876"/>
  <c r="BH52" i="40876" s="1"/>
  <c r="BL52" i="40876"/>
  <c r="BS52" i="40876"/>
  <c r="BX52" i="40876"/>
  <c r="CC52" i="40876"/>
  <c r="CF52" i="40876"/>
  <c r="CM52" i="40876"/>
  <c r="DW52" i="40876"/>
  <c r="BE54" i="40876"/>
  <c r="BE55" i="40876" s="1"/>
  <c r="BG54" i="40876"/>
  <c r="BJ54" i="40876"/>
  <c r="BM54" i="40876"/>
  <c r="BN54" i="40876" s="1"/>
  <c r="BP54" i="40876"/>
  <c r="BP55" i="40876" s="1"/>
  <c r="BT54" i="40876"/>
  <c r="BV54" i="40876"/>
  <c r="BW54" i="40876" s="1"/>
  <c r="BY54" i="40876"/>
  <c r="BZ54" i="40876"/>
  <c r="BZ55" i="40876" s="1"/>
  <c r="CD54" i="40876"/>
  <c r="CD55" i="40876" s="1"/>
  <c r="CE54" i="40876"/>
  <c r="CE55" i="40876" s="1"/>
  <c r="CI54" i="40876"/>
  <c r="CK54" i="40876"/>
  <c r="CL54" i="40876" s="1"/>
  <c r="CN54" i="40876"/>
  <c r="DW54" i="40876"/>
  <c r="BF55" i="40876"/>
  <c r="BK55" i="40876"/>
  <c r="BU55" i="40876"/>
  <c r="CJ55" i="40876"/>
  <c r="BN56" i="40876"/>
  <c r="BQ56" i="40876"/>
  <c r="BR56" i="40876" s="1"/>
  <c r="BV56" i="40876"/>
  <c r="CA56" i="40876"/>
  <c r="CB56" i="40876" s="1"/>
  <c r="CF56" i="40876"/>
  <c r="CG56" i="40876" s="1"/>
  <c r="CK56" i="40876"/>
  <c r="DW56" i="40876"/>
  <c r="BG58" i="40876"/>
  <c r="BH58" i="40876" s="1"/>
  <c r="BI58" i="40876" s="1"/>
  <c r="BL58" i="40876"/>
  <c r="BM58" i="40876" s="1"/>
  <c r="BQ58" i="40876"/>
  <c r="DW58" i="40876"/>
  <c r="BE65" i="40876"/>
  <c r="BF65" i="40876"/>
  <c r="BJ65" i="40876"/>
  <c r="BK65" i="40876"/>
  <c r="BP65" i="40876"/>
  <c r="BU65" i="40876"/>
  <c r="BZ65" i="40876"/>
  <c r="CE65" i="40876"/>
  <c r="CF65" i="40876"/>
  <c r="CJ65" i="40876"/>
  <c r="CK65" i="40876"/>
  <c r="CN65" i="40876"/>
  <c r="CO65" i="40876"/>
  <c r="BE67" i="40876"/>
  <c r="BJ67" i="40876"/>
  <c r="BK67" i="40876"/>
  <c r="BO67" i="40876"/>
  <c r="BP67" i="40876"/>
  <c r="BT67" i="40876"/>
  <c r="BU67" i="40876"/>
  <c r="BY67" i="40876"/>
  <c r="BZ67" i="40876"/>
  <c r="CD67" i="40876"/>
  <c r="CE67" i="40876"/>
  <c r="CI67" i="40876"/>
  <c r="CJ67" i="40876"/>
  <c r="CK67" i="40876"/>
  <c r="CN67" i="40876"/>
  <c r="CO67" i="40876"/>
  <c r="BT68" i="40876"/>
  <c r="BU68" i="40876"/>
  <c r="BV68" i="40876"/>
  <c r="BY68" i="40876"/>
  <c r="BZ68" i="40876"/>
  <c r="CA68" i="40876"/>
  <c r="CD68" i="40876"/>
  <c r="CE68" i="40876"/>
  <c r="CI68" i="40876"/>
  <c r="CJ68" i="40876"/>
  <c r="CK68" i="40876"/>
  <c r="CN68" i="40876"/>
  <c r="CO68" i="40876"/>
  <c r="CP68" i="40876"/>
  <c r="CS68" i="40876"/>
  <c r="CT68" i="40876"/>
  <c r="DM68" i="40876"/>
  <c r="DR68" i="40876"/>
  <c r="DW68" i="40876"/>
  <c r="BE69" i="40876"/>
  <c r="BJ69" i="40876"/>
  <c r="BK69" i="40876"/>
  <c r="BO69" i="40876"/>
  <c r="BP69" i="40876"/>
  <c r="BT69" i="40876"/>
  <c r="BU69" i="40876"/>
  <c r="BY69" i="40876"/>
  <c r="BZ69" i="40876"/>
  <c r="CD69" i="40876"/>
  <c r="CE69" i="40876"/>
  <c r="CI69" i="40876"/>
  <c r="CJ69" i="40876"/>
  <c r="CN69" i="40876"/>
  <c r="CO69" i="40876"/>
  <c r="CT69" i="40876"/>
  <c r="DI69" i="40876"/>
  <c r="DJ69" i="40876"/>
  <c r="DK69" i="40876"/>
  <c r="DL69" i="40876"/>
  <c r="DM69" i="40876"/>
  <c r="DN69" i="40876"/>
  <c r="DO69" i="40876"/>
  <c r="DP69" i="40876"/>
  <c r="DQ69" i="40876"/>
  <c r="DS69" i="40876"/>
  <c r="DT69" i="40876"/>
  <c r="DU69" i="40876"/>
  <c r="DV69" i="40876"/>
  <c r="BE70" i="40876"/>
  <c r="BJ70" i="40876"/>
  <c r="BK70" i="40876"/>
  <c r="BO70" i="40876"/>
  <c r="BP70" i="40876"/>
  <c r="BQ70" i="40876"/>
  <c r="BR70" i="40876"/>
  <c r="BT70" i="40876"/>
  <c r="BU70" i="40876"/>
  <c r="BV70" i="40876"/>
  <c r="BW70" i="40876"/>
  <c r="BY70" i="40876"/>
  <c r="BZ70" i="40876"/>
  <c r="CA70" i="40876"/>
  <c r="CD70" i="40876"/>
  <c r="CE70" i="40876"/>
  <c r="CI70" i="40876"/>
  <c r="CJ70" i="40876"/>
  <c r="CN70" i="40876"/>
  <c r="CO70" i="40876"/>
  <c r="CS70" i="40876"/>
  <c r="CT70" i="40876"/>
  <c r="CX70" i="40876"/>
  <c r="CY70" i="40876"/>
  <c r="CZ70" i="40876"/>
  <c r="DD70" i="40876"/>
  <c r="DF70" i="40876"/>
  <c r="DI70" i="40876"/>
  <c r="DJ70" i="40876"/>
  <c r="DK70" i="40876"/>
  <c r="DL70" i="40876"/>
  <c r="DM70" i="40876"/>
  <c r="DN70" i="40876"/>
  <c r="DO70" i="40876"/>
  <c r="DP70" i="40876"/>
  <c r="DQ70" i="40876"/>
  <c r="DS70" i="40876"/>
  <c r="DT70" i="40876"/>
  <c r="DU70" i="40876"/>
  <c r="DV70" i="40876"/>
  <c r="CA75" i="40876"/>
  <c r="CB75" i="40876" s="1"/>
  <c r="CF75" i="40876"/>
  <c r="CG75" i="40876" s="1"/>
  <c r="CH75" i="40876" s="1"/>
  <c r="CK75" i="40876"/>
  <c r="CL75" i="40876" s="1"/>
  <c r="CM75" i="40876" s="1"/>
  <c r="CA76" i="40876"/>
  <c r="CF76" i="40876"/>
  <c r="CG76" i="40876" s="1"/>
  <c r="CH76" i="40876" s="1"/>
  <c r="CK76" i="40876"/>
  <c r="CL76" i="40876" s="1"/>
  <c r="CM76" i="40876" s="1"/>
  <c r="BZ78" i="40876"/>
  <c r="BU82" i="40876"/>
  <c r="CK91" i="40876"/>
  <c r="CL91" i="40876" s="1"/>
  <c r="CM100" i="40876"/>
  <c r="CE92" i="40876"/>
  <c r="CK92" i="40876"/>
  <c r="CL92" i="40876" s="1"/>
  <c r="CN92" i="40876" s="1"/>
  <c r="CH93" i="40876"/>
  <c r="CK93" i="40876"/>
  <c r="CL93" i="40876" s="1"/>
  <c r="CS93" i="40876"/>
  <c r="CX93" i="40876"/>
  <c r="DC93" i="40876"/>
  <c r="DH93" i="40876"/>
  <c r="DM93" i="40876"/>
  <c r="CF94" i="40876"/>
  <c r="CI94" i="40876"/>
  <c r="CK94" i="40876"/>
  <c r="CX94" i="40876"/>
  <c r="DC94" i="40876"/>
  <c r="CE95" i="40876"/>
  <c r="CJ95" i="40876"/>
  <c r="AZ176" i="40872"/>
  <c r="G13" i="40877"/>
  <c r="CL100" i="40876"/>
  <c r="CK100" i="40876" s="1"/>
  <c r="CJ100" i="40876" s="1"/>
  <c r="BT55" i="40876"/>
  <c r="CF30" i="40876"/>
  <c r="CG30" i="40876" s="1"/>
  <c r="BV30" i="40876"/>
  <c r="CI55" i="40876"/>
  <c r="BH40" i="40876"/>
  <c r="BI40" i="40876" s="1"/>
  <c r="BN13" i="40876"/>
  <c r="BX55" i="40875"/>
  <c r="CS47" i="40875"/>
  <c r="CT47" i="40875" s="1"/>
  <c r="CL94" i="40876"/>
  <c r="CB76" i="40876"/>
  <c r="CC76" i="40876" s="1"/>
  <c r="BY55" i="40876"/>
  <c r="BR48" i="40876"/>
  <c r="BQ46" i="40876"/>
  <c r="BR43" i="40876"/>
  <c r="CN31" i="40876"/>
  <c r="CD31" i="40876"/>
  <c r="CQ191" i="40875"/>
  <c r="BR58" i="40876"/>
  <c r="CL43" i="40876"/>
  <c r="CM43" i="40876" s="1"/>
  <c r="CE31" i="40876"/>
  <c r="CF36" i="40876"/>
  <c r="CG36" i="40876" s="1"/>
  <c r="CH36" i="40876" s="1"/>
  <c r="AP210" i="40872"/>
  <c r="AX320" i="40872"/>
  <c r="AX327" i="40872" s="1"/>
  <c r="BB199" i="40872"/>
  <c r="AM199" i="40872"/>
  <c r="AX150" i="40872"/>
  <c r="AW129" i="40872"/>
  <c r="CG39" i="40876"/>
  <c r="AX129" i="40872" s="1"/>
  <c r="BW39" i="40876"/>
  <c r="AH129" i="40872"/>
  <c r="BR39" i="40876"/>
  <c r="BR82" i="40876" s="1"/>
  <c r="AZ139" i="40872"/>
  <c r="CJ31" i="40876"/>
  <c r="CK36" i="40876"/>
  <c r="CL36" i="40876" s="1"/>
  <c r="BV36" i="40876"/>
  <c r="BU31" i="40876"/>
  <c r="BS27" i="40876"/>
  <c r="AN150" i="40872"/>
  <c r="CD46" i="40876"/>
  <c r="CI31" i="40876"/>
  <c r="BZ31" i="40876"/>
  <c r="CA36" i="40876"/>
  <c r="CB36" i="40876" s="1"/>
  <c r="CK30" i="40876"/>
  <c r="CL30" i="40876" s="1"/>
  <c r="CB30" i="40876"/>
  <c r="AV225" i="40872"/>
  <c r="AM135" i="40872"/>
  <c r="AM137" i="40872" s="1"/>
  <c r="BA145" i="40872"/>
  <c r="BA146" i="40872" s="1"/>
  <c r="BA106" i="40872"/>
  <c r="BF106" i="40872"/>
  <c r="CG10" i="40876"/>
  <c r="CB34" i="40876"/>
  <c r="CS18" i="40875"/>
  <c r="BE59" i="40872"/>
  <c r="BE29" i="40872"/>
  <c r="DE97" i="40876"/>
  <c r="DJ97" i="40876" s="1"/>
  <c r="CP29" i="40876"/>
  <c r="BH150" i="40872"/>
  <c r="BH151" i="40872" s="1"/>
  <c r="CB17" i="40876"/>
  <c r="AS174" i="40872" s="1"/>
  <c r="AR174" i="40872"/>
  <c r="BG138" i="40872"/>
  <c r="BG129" i="40872"/>
  <c r="CP76" i="40875"/>
  <c r="CP81" i="40875" s="1"/>
  <c r="CI37" i="40876"/>
  <c r="BW36" i="40876"/>
  <c r="CS33" i="40875"/>
  <c r="CS51" i="40875"/>
  <c r="CS191" i="40875" s="1"/>
  <c r="CN94" i="40876"/>
  <c r="BH106" i="40872"/>
  <c r="BG24" i="40872"/>
  <c r="BJ137" i="40872"/>
  <c r="BJ139" i="40872"/>
  <c r="BK138" i="40872" s="1"/>
  <c r="CQ190" i="40875"/>
  <c r="BH66" i="40872"/>
  <c r="BI134" i="40872"/>
  <c r="BH64" i="40872"/>
  <c r="BH319" i="40872"/>
  <c r="BH101" i="40872"/>
  <c r="BK200" i="40872"/>
  <c r="BH100" i="40872"/>
  <c r="BH17" i="40872"/>
  <c r="BH52" i="40872" s="1"/>
  <c r="BH103" i="40872"/>
  <c r="BH105" i="40872"/>
  <c r="BH207" i="40872"/>
  <c r="CL56" i="40876"/>
  <c r="CB44" i="40876"/>
  <c r="BS51" i="40876"/>
  <c r="AJ135" i="40872" s="1"/>
  <c r="AJ137" i="40872" s="1"/>
  <c r="CD58" i="40876"/>
  <c r="CK94" i="40875"/>
  <c r="CK95" i="40875" s="1"/>
  <c r="CE68" i="40875"/>
  <c r="CF55" i="40875"/>
  <c r="CA68" i="40875"/>
  <c r="BV55" i="40875"/>
  <c r="BH210" i="40872"/>
  <c r="AO319" i="40872"/>
  <c r="AO326" i="40872" s="1"/>
  <c r="AP326" i="40872" s="1"/>
  <c r="AM52" i="40872"/>
  <c r="BJ29" i="40872"/>
  <c r="BO106" i="40872" s="1"/>
  <c r="BC64" i="40872"/>
  <c r="BC66" i="40872"/>
  <c r="BH146" i="40872"/>
  <c r="BI106" i="40872"/>
  <c r="CS44" i="40875"/>
  <c r="CT41" i="40875"/>
  <c r="BH125" i="40872"/>
  <c r="BI125" i="40872"/>
  <c r="CS39" i="40875"/>
  <c r="BI192" i="40872"/>
  <c r="CT14" i="40875"/>
  <c r="CQ38" i="40875"/>
  <c r="AY320" i="40872"/>
  <c r="AY327" i="40872" s="1"/>
  <c r="AZ327" i="40872" s="1"/>
  <c r="BC146" i="40872"/>
  <c r="CU22" i="40875"/>
  <c r="CV22" i="40875" s="1"/>
  <c r="CU21" i="40875"/>
  <c r="CV21" i="40875" s="1"/>
  <c r="BJ44" i="40872"/>
  <c r="BI210" i="40872"/>
  <c r="BJ210" i="40872" s="1"/>
  <c r="CQ52" i="40875"/>
  <c r="CQ68" i="40875" s="1"/>
  <c r="BH82" i="40872"/>
  <c r="BI101" i="40872"/>
  <c r="BH124" i="40872"/>
  <c r="BI194" i="40872"/>
  <c r="BI46" i="40872" s="1"/>
  <c r="CQ20" i="40875"/>
  <c r="CQ29" i="40875" s="1"/>
  <c r="BH23" i="40872"/>
  <c r="BH24" i="40872" s="1"/>
  <c r="BF193" i="40872"/>
  <c r="AS173" i="40872"/>
  <c r="N13" i="40877"/>
  <c r="BW30" i="40876"/>
  <c r="BC129" i="40872"/>
  <c r="CL65" i="40876"/>
  <c r="BN23" i="40876"/>
  <c r="CL50" i="40876"/>
  <c r="CQ18" i="40876"/>
  <c r="CL18" i="40876"/>
  <c r="BR15" i="40876"/>
  <c r="BS15" i="40876" s="1"/>
  <c r="CM39" i="40876"/>
  <c r="BB129" i="40872"/>
  <c r="CQ19" i="40876"/>
  <c r="BL31" i="40876"/>
  <c r="BM33" i="40876"/>
  <c r="CL34" i="40876"/>
  <c r="CX51" i="40875"/>
  <c r="CY191" i="40875" s="1"/>
  <c r="CS19" i="40875"/>
  <c r="CS36" i="40875" s="1"/>
  <c r="CS17" i="40875"/>
  <c r="CI191" i="40875"/>
  <c r="CQ188" i="40875"/>
  <c r="CK188" i="40875"/>
  <c r="CF68" i="40875"/>
  <c r="CG188" i="40875"/>
  <c r="CS28" i="40875"/>
  <c r="BP55" i="40875"/>
  <c r="BQ188" i="40875"/>
  <c r="BN29" i="40875"/>
  <c r="CS27" i="40875"/>
  <c r="BD326" i="40872"/>
  <c r="BE326" i="40872" s="1"/>
  <c r="CU27" i="40875"/>
  <c r="BJ67" i="40872"/>
  <c r="BJ68" i="40872" s="1"/>
  <c r="BK134" i="40872"/>
  <c r="BI319" i="40872"/>
  <c r="BI66" i="40872"/>
  <c r="BI199" i="40872" s="1"/>
  <c r="BI17" i="40872"/>
  <c r="BI38" i="40872" s="1"/>
  <c r="BI91" i="40872" s="1"/>
  <c r="BI100" i="40872"/>
  <c r="BI207" i="40872"/>
  <c r="BJ207" i="40872" s="1"/>
  <c r="BI105" i="40872"/>
  <c r="BJ28" i="40872"/>
  <c r="BI206" i="40872"/>
  <c r="BJ206" i="40872" s="1"/>
  <c r="CS67" i="40876"/>
  <c r="CS55" i="40876"/>
  <c r="CY100" i="40876"/>
  <c r="CY95" i="40876" s="1"/>
  <c r="AR176" i="40872"/>
  <c r="DD100" i="40876"/>
  <c r="CT65" i="40876"/>
  <c r="BK129" i="40872"/>
  <c r="BJ141" i="40872"/>
  <c r="BJ51" i="40872"/>
  <c r="CS65" i="40876"/>
  <c r="BJ129" i="40872"/>
  <c r="CD175" i="40872"/>
  <c r="CN175" i="40872"/>
  <c r="CS49" i="40875"/>
  <c r="BJ72" i="40872"/>
  <c r="BJ14" i="40872"/>
  <c r="BJ82" i="40872"/>
  <c r="CS15" i="40875"/>
  <c r="CS16" i="40875"/>
  <c r="AO150" i="40872"/>
  <c r="AT151" i="40872" s="1"/>
  <c r="AC86" i="40872"/>
  <c r="AC87" i="40872"/>
  <c r="AC90" i="40872"/>
  <c r="AC96" i="40872"/>
  <c r="BO82" i="40876"/>
  <c r="AN52" i="40872"/>
  <c r="BP76" i="40875"/>
  <c r="BP81" i="40875" s="1"/>
  <c r="AG87" i="40872"/>
  <c r="AI38" i="40872"/>
  <c r="AI84" i="40872"/>
  <c r="AI86" i="40872"/>
  <c r="AI87" i="40872"/>
  <c r="AI88" i="40872"/>
  <c r="AI96" i="40872"/>
  <c r="AI102" i="40872"/>
  <c r="BR76" i="40875"/>
  <c r="BR81" i="40875" s="1"/>
  <c r="AT38" i="40872"/>
  <c r="AT42" i="40872" s="1"/>
  <c r="AT84" i="40872"/>
  <c r="AT86" i="40872"/>
  <c r="CC76" i="40875"/>
  <c r="CC81" i="40875" s="1"/>
  <c r="BE105" i="40872"/>
  <c r="BK125" i="40872"/>
  <c r="CR38" i="40875"/>
  <c r="CS34" i="40875"/>
  <c r="BJ23" i="40872"/>
  <c r="BJ24" i="40872" s="1"/>
  <c r="BJ70" i="40872"/>
  <c r="BJ71" i="40872"/>
  <c r="BK106" i="40872"/>
  <c r="BK210" i="40872"/>
  <c r="BK105" i="40872"/>
  <c r="BK207" i="40872"/>
  <c r="CT78" i="40875"/>
  <c r="CS31" i="40876"/>
  <c r="BK319" i="40872"/>
  <c r="BK320" i="40872" s="1"/>
  <c r="BK327" i="40872" s="1"/>
  <c r="BL134" i="40872"/>
  <c r="BK66" i="40872"/>
  <c r="CS69" i="40876"/>
  <c r="CS48" i="40875"/>
  <c r="CR190" i="40875"/>
  <c r="CR52" i="40875"/>
  <c r="CR68" i="40875" s="1"/>
  <c r="CS24" i="40875"/>
  <c r="CT55" i="40876"/>
  <c r="CT67" i="40876"/>
  <c r="CR20" i="40875"/>
  <c r="CR29" i="40875" s="1"/>
  <c r="BI124" i="40872"/>
  <c r="CS11" i="40875"/>
  <c r="CR41" i="40876"/>
  <c r="CR42" i="40876"/>
  <c r="CR43" i="40876"/>
  <c r="CS46" i="40876"/>
  <c r="CR20" i="40876"/>
  <c r="CR25" i="40876"/>
  <c r="CR28" i="40876"/>
  <c r="CR27" i="40876"/>
  <c r="CR26" i="40876"/>
  <c r="BK101" i="40872"/>
  <c r="BK17" i="40872"/>
  <c r="BK86" i="40872" s="1"/>
  <c r="BK100" i="40872"/>
  <c r="BK206" i="40872"/>
  <c r="CT77" i="40875"/>
  <c r="CT82" i="40875" s="1"/>
  <c r="BK103" i="40872"/>
  <c r="AB225" i="40872"/>
  <c r="AV100" i="40872"/>
  <c r="CX35" i="40875"/>
  <c r="BL194" i="40872"/>
  <c r="BL46" i="40872" s="1"/>
  <c r="BK23" i="40872"/>
  <c r="CU69" i="40876"/>
  <c r="BM14" i="40872"/>
  <c r="BM71" i="40872" s="1"/>
  <c r="CV13" i="40872"/>
  <c r="BX26" i="40872"/>
  <c r="BT36" i="40875"/>
  <c r="BE125" i="40872"/>
  <c r="CD191" i="40875"/>
  <c r="CN191" i="40875"/>
  <c r="AL194" i="40872"/>
  <c r="BZ191" i="40875"/>
  <c r="BF124" i="40872"/>
  <c r="CO29" i="40875"/>
  <c r="BQ55" i="40875"/>
  <c r="AP125" i="40872"/>
  <c r="CV113" i="40875"/>
  <c r="CV116" i="40875" s="1"/>
  <c r="CN95" i="40875"/>
  <c r="CY110" i="40875"/>
  <c r="CZ107" i="40875"/>
  <c r="BE124" i="40872"/>
  <c r="BU191" i="40875"/>
  <c r="BT191" i="40875"/>
  <c r="BY191" i="40875"/>
  <c r="BZ190" i="40875"/>
  <c r="CI36" i="40875"/>
  <c r="CI38" i="40875" s="1"/>
  <c r="CC191" i="40875"/>
  <c r="CN52" i="40875"/>
  <c r="CC52" i="40875"/>
  <c r="CI52" i="40875"/>
  <c r="CI68" i="40875" s="1"/>
  <c r="BY20" i="40875"/>
  <c r="BY29" i="40875" s="1"/>
  <c r="CV13" i="40875"/>
  <c r="CV14" i="40875"/>
  <c r="CW14" i="40875" s="1"/>
  <c r="CV12" i="40875"/>
  <c r="CV40" i="40875"/>
  <c r="CW40" i="40875" s="1"/>
  <c r="CV41" i="40875"/>
  <c r="DJ17" i="40876"/>
  <c r="DC68" i="40876"/>
  <c r="BE101" i="40872"/>
  <c r="BE145" i="40872"/>
  <c r="BL135" i="40872"/>
  <c r="CU68" i="40876"/>
  <c r="AU177" i="40872"/>
  <c r="CA60" i="40872"/>
  <c r="CB60" i="40872"/>
  <c r="CB185" i="40872"/>
  <c r="CC60" i="40872"/>
  <c r="CC185" i="40872"/>
  <c r="CA185" i="40872"/>
  <c r="BZ60" i="40872"/>
  <c r="BZ185" i="40872"/>
  <c r="CE60" i="40872"/>
  <c r="BQ106" i="40872"/>
  <c r="DL17" i="40876"/>
  <c r="CG185" i="40872"/>
  <c r="CH185" i="40872"/>
  <c r="CM95" i="40872"/>
  <c r="DK17" i="40876"/>
  <c r="DI17" i="40876"/>
  <c r="AN319" i="40872"/>
  <c r="AN326" i="40872" s="1"/>
  <c r="BC138" i="40872"/>
  <c r="BL106" i="40872"/>
  <c r="BS49" i="40876"/>
  <c r="BX43" i="40876"/>
  <c r="BI43" i="40876"/>
  <c r="CC49" i="40876"/>
  <c r="BS44" i="40876"/>
  <c r="BS69" i="40876" s="1"/>
  <c r="BR69" i="40876"/>
  <c r="BI48" i="40876"/>
  <c r="CM48" i="40876"/>
  <c r="BO64" i="40876"/>
  <c r="BO66" i="40876" s="1"/>
  <c r="G16" i="40877" s="1"/>
  <c r="AF128" i="40872"/>
  <c r="CL49" i="40876"/>
  <c r="CQ30" i="40876"/>
  <c r="CM23" i="40876"/>
  <c r="CQ44" i="40876"/>
  <c r="CQ53" i="40876"/>
  <c r="CR53" i="40876" s="1"/>
  <c r="CQ21" i="40876"/>
  <c r="CR15" i="40876"/>
  <c r="CQ49" i="40876"/>
  <c r="CR49" i="40876" s="1"/>
  <c r="CW128" i="40875"/>
  <c r="CY112" i="40875"/>
  <c r="CZ112" i="40875" s="1"/>
  <c r="CV131" i="40875"/>
  <c r="BU62" i="40875"/>
  <c r="BP56" i="40875"/>
  <c r="CZ106" i="40875"/>
  <c r="DA106" i="40875" s="1"/>
  <c r="DA125" i="40875" s="1"/>
  <c r="AX193" i="40872"/>
  <c r="BQ76" i="40875"/>
  <c r="BQ81" i="40875" s="1"/>
  <c r="AH84" i="40872"/>
  <c r="AH102" i="40872"/>
  <c r="BL82" i="40876"/>
  <c r="AF36" i="40872"/>
  <c r="BH193" i="40872"/>
  <c r="AW320" i="40872"/>
  <c r="AW327" i="40872" s="1"/>
  <c r="AW326" i="40872"/>
  <c r="AL150" i="40872"/>
  <c r="AH146" i="40872"/>
  <c r="AH150" i="40872"/>
  <c r="AH151" i="40872" s="1"/>
  <c r="AN90" i="40872"/>
  <c r="AR150" i="40872"/>
  <c r="AI90" i="40872"/>
  <c r="AI89" i="40872"/>
  <c r="AI94" i="40872"/>
  <c r="CW96" i="40872"/>
  <c r="BL140" i="40872"/>
  <c r="AC193" i="40872"/>
  <c r="BG150" i="40872"/>
  <c r="AR193" i="40872"/>
  <c r="AM193" i="40872"/>
  <c r="AA90" i="40872"/>
  <c r="AA87" i="40872"/>
  <c r="DB127" i="40875"/>
  <c r="BL125" i="40872"/>
  <c r="CX33" i="40875"/>
  <c r="CU78" i="40875"/>
  <c r="BL105" i="40872"/>
  <c r="BL207" i="40872"/>
  <c r="BL210" i="40872"/>
  <c r="BL319" i="40872"/>
  <c r="BL320" i="40872" s="1"/>
  <c r="BL327" i="40872" s="1"/>
  <c r="BM134" i="40872"/>
  <c r="CU67" i="40876"/>
  <c r="AN224" i="40872"/>
  <c r="AP117" i="40872"/>
  <c r="CM95" i="40876"/>
  <c r="BH224" i="40872"/>
  <c r="AY225" i="40872"/>
  <c r="CX23" i="40875"/>
  <c r="BG86" i="40872"/>
  <c r="BG73" i="40872"/>
  <c r="BG74" i="40872" s="1"/>
  <c r="CY69" i="40876"/>
  <c r="AV216" i="40872"/>
  <c r="AV217" i="40872" s="1"/>
  <c r="BL17" i="40872"/>
  <c r="CU82" i="40876" s="1"/>
  <c r="BL100" i="40872"/>
  <c r="BL101" i="40872"/>
  <c r="BL206" i="40872"/>
  <c r="CU77" i="40875"/>
  <c r="CU82" i="40875" s="1"/>
  <c r="BL103" i="40872"/>
  <c r="CU20" i="40875"/>
  <c r="BM194" i="40872"/>
  <c r="BM46" i="40872" s="1"/>
  <c r="BL23" i="40872"/>
  <c r="BE64" i="40872"/>
  <c r="BX200" i="40872"/>
  <c r="BU200" i="40872"/>
  <c r="BV200" i="40872" s="1"/>
  <c r="BF326" i="40872"/>
  <c r="BK141" i="40872"/>
  <c r="BM210" i="40872"/>
  <c r="DB125" i="40875"/>
  <c r="CR21" i="40876"/>
  <c r="CQ69" i="40876"/>
  <c r="CX17" i="40875"/>
  <c r="CM40" i="40876"/>
  <c r="CL70" i="40876"/>
  <c r="BM30" i="40876"/>
  <c r="CI57" i="40876"/>
  <c r="CF92" i="40876"/>
  <c r="CG92" i="40876" s="1"/>
  <c r="CF54" i="40876"/>
  <c r="CG54" i="40876" s="1"/>
  <c r="BJ55" i="40876"/>
  <c r="CB51" i="40876"/>
  <c r="BJ46" i="40876"/>
  <c r="CN55" i="40876"/>
  <c r="BH135" i="40872"/>
  <c r="CR51" i="40876"/>
  <c r="AZ54" i="40872"/>
  <c r="AE150" i="40872"/>
  <c r="AJ146" i="40872"/>
  <c r="BJ59" i="40872"/>
  <c r="BI64" i="40872"/>
  <c r="AV178" i="40872"/>
  <c r="AQ176" i="40872"/>
  <c r="AL38" i="40872"/>
  <c r="AL90" i="40872"/>
  <c r="AM205" i="40872"/>
  <c r="BI138" i="40872"/>
  <c r="BH138" i="40872"/>
  <c r="CU87" i="40872"/>
  <c r="BK77" i="40872"/>
  <c r="AI319" i="40872"/>
  <c r="AI326" i="40872" s="1"/>
  <c r="AH193" i="40872"/>
  <c r="AU59" i="40872"/>
  <c r="AU64" i="40872" s="1"/>
  <c r="AK29" i="40872"/>
  <c r="AG106" i="40872"/>
  <c r="AL106" i="40872"/>
  <c r="AG145" i="40872"/>
  <c r="AG150" i="40872" s="1"/>
  <c r="AG38" i="40872"/>
  <c r="AG40" i="40872" s="1"/>
  <c r="BD26" i="40872"/>
  <c r="BE82" i="40872"/>
  <c r="BG76" i="40872"/>
  <c r="BM150" i="40872"/>
  <c r="AB88" i="40872"/>
  <c r="AU101" i="40872"/>
  <c r="BA24" i="40872"/>
  <c r="BA73" i="40872"/>
  <c r="BA74" i="40872" s="1"/>
  <c r="AV27" i="40872"/>
  <c r="AV73" i="40872"/>
  <c r="AV74" i="40872" s="1"/>
  <c r="AW27" i="40872"/>
  <c r="AW73" i="40872"/>
  <c r="AW24" i="40872"/>
  <c r="BC86" i="40872"/>
  <c r="BD86" i="40872"/>
  <c r="BG206" i="40872"/>
  <c r="BI103" i="40872"/>
  <c r="BH206" i="40872"/>
  <c r="BF206" i="40872"/>
  <c r="BG52" i="40872"/>
  <c r="BG84" i="40872"/>
  <c r="BG90" i="40872"/>
  <c r="AX17" i="40872"/>
  <c r="AX84" i="40872" s="1"/>
  <c r="AX100" i="40872"/>
  <c r="BA150" i="40872"/>
  <c r="BL200" i="40872"/>
  <c r="BL199" i="40872" s="1"/>
  <c r="BF146" i="40872"/>
  <c r="BK145" i="40872"/>
  <c r="BF138" i="40872"/>
  <c r="AD90" i="40872"/>
  <c r="AD87" i="40872"/>
  <c r="AJ84" i="40872"/>
  <c r="AJ38" i="40872"/>
  <c r="AJ93" i="40872"/>
  <c r="AJ89" i="40872"/>
  <c r="AD88" i="40872"/>
  <c r="AJ92" i="40872"/>
  <c r="AJ90" i="40872"/>
  <c r="AJ88" i="40872"/>
  <c r="AJ87" i="40872"/>
  <c r="AQ64" i="40872"/>
  <c r="AY24" i="40872"/>
  <c r="CX19" i="40875"/>
  <c r="CX36" i="40875" s="1"/>
  <c r="BM106" i="40872"/>
  <c r="BN150" i="40872"/>
  <c r="DB128" i="40875"/>
  <c r="CZ17" i="40875"/>
  <c r="DC17" i="40875"/>
  <c r="AF37" i="40872"/>
  <c r="AR141" i="40872"/>
  <c r="AO109" i="40872"/>
  <c r="AD84" i="40872"/>
  <c r="AD86" i="40872"/>
  <c r="AD96" i="40872"/>
  <c r="BM76" i="40875"/>
  <c r="BM81" i="40875" s="1"/>
  <c r="AJ319" i="40872"/>
  <c r="AJ326" i="40872" s="1"/>
  <c r="AK326" i="40872" s="1"/>
  <c r="CC18" i="40876"/>
  <c r="BS10" i="40876"/>
  <c r="CX43" i="40875"/>
  <c r="CZ41" i="40875"/>
  <c r="CC33" i="40876"/>
  <c r="CZ13" i="40875"/>
  <c r="DA13" i="40875" s="1"/>
  <c r="BU37" i="40876"/>
  <c r="BX56" i="40875"/>
  <c r="AM225" i="40872"/>
  <c r="BM66" i="40872"/>
  <c r="BM346" i="40872"/>
  <c r="DB126" i="40875"/>
  <c r="CM18" i="40876"/>
  <c r="BQ200" i="40872"/>
  <c r="BR200" i="40872" s="1"/>
  <c r="BT200" i="40872" s="1"/>
  <c r="CH34" i="40876"/>
  <c r="CE46" i="40876"/>
  <c r="BE37" i="40876"/>
  <c r="AZ125" i="40872"/>
  <c r="BM319" i="40872"/>
  <c r="BM320" i="40872" s="1"/>
  <c r="BM327" i="40872" s="1"/>
  <c r="BN134" i="40872"/>
  <c r="DW69" i="40876"/>
  <c r="BQ54" i="40876"/>
  <c r="BR54" i="40876" s="1"/>
  <c r="CC45" i="40876"/>
  <c r="CO94" i="40875"/>
  <c r="CO95" i="40875" s="1"/>
  <c r="CM54" i="40876"/>
  <c r="BE179" i="40875"/>
  <c r="CX42" i="40875"/>
  <c r="BM125" i="40872"/>
  <c r="CX14" i="40875"/>
  <c r="CX18" i="40875"/>
  <c r="CM56" i="40876"/>
  <c r="CI95" i="40876"/>
  <c r="CJ46" i="40876"/>
  <c r="CB43" i="40876"/>
  <c r="BG30" i="40876"/>
  <c r="CY127" i="40875"/>
  <c r="CY125" i="40875"/>
  <c r="BF66" i="40876"/>
  <c r="CY126" i="40875"/>
  <c r="BM207" i="40872"/>
  <c r="CV78" i="40875"/>
  <c r="BM105" i="40872"/>
  <c r="CX28" i="40875"/>
  <c r="CX25" i="40875"/>
  <c r="CQ70" i="40876"/>
  <c r="CR40" i="40876"/>
  <c r="CM94" i="40875"/>
  <c r="CM95" i="40875" s="1"/>
  <c r="AL128" i="40872"/>
  <c r="CX46" i="40875"/>
  <c r="CC43" i="40876"/>
  <c r="CZ40" i="40875"/>
  <c r="CZ14" i="40875"/>
  <c r="CZ21" i="40875"/>
  <c r="BO68" i="40872"/>
  <c r="BN66" i="40872"/>
  <c r="BN199" i="40872" s="1"/>
  <c r="BM206" i="40872"/>
  <c r="BM103" i="40872"/>
  <c r="BO319" i="40872"/>
  <c r="BO320" i="40872" s="1"/>
  <c r="BN319" i="40872"/>
  <c r="BN320" i="40872" s="1"/>
  <c r="BN327" i="40872" s="1"/>
  <c r="BO327" i="40872" s="1"/>
  <c r="BP134" i="40872"/>
  <c r="BN106" i="40872"/>
  <c r="BN346" i="40872"/>
  <c r="BM193" i="40872"/>
  <c r="CM34" i="40876"/>
  <c r="BU57" i="40876"/>
  <c r="BU64" i="40876"/>
  <c r="CM49" i="40876"/>
  <c r="AS135" i="40872"/>
  <c r="AS137" i="40872" s="1"/>
  <c r="CI59" i="40876"/>
  <c r="CX68" i="40876"/>
  <c r="BL37" i="40876"/>
  <c r="BI52" i="40876"/>
  <c r="CH20" i="40876"/>
  <c r="CC21" i="40876"/>
  <c r="CC14" i="40876"/>
  <c r="CV95" i="40876"/>
  <c r="CR33" i="40876"/>
  <c r="CS37" i="40876"/>
  <c r="BN36" i="40876"/>
  <c r="CQ68" i="40876"/>
  <c r="BX14" i="40876"/>
  <c r="CK46" i="40876"/>
  <c r="CL45" i="40876"/>
  <c r="CM45" i="40876" s="1"/>
  <c r="CH25" i="40876"/>
  <c r="CH18" i="40876"/>
  <c r="BX13" i="40876"/>
  <c r="CL19" i="40876"/>
  <c r="CM19" i="40876" s="1"/>
  <c r="BL174" i="40872"/>
  <c r="BL172" i="40872" s="1"/>
  <c r="BN125" i="40872"/>
  <c r="CX39" i="40875"/>
  <c r="CX48" i="40875"/>
  <c r="CV77" i="40875"/>
  <c r="CV82" i="40875" s="1"/>
  <c r="CX69" i="40876"/>
  <c r="BS54" i="40876"/>
  <c r="CV67" i="40876"/>
  <c r="BN207" i="40872"/>
  <c r="BO207" i="40872" s="1"/>
  <c r="BN105" i="40872"/>
  <c r="BO177" i="40872"/>
  <c r="BM101" i="40872"/>
  <c r="BM353" i="40872"/>
  <c r="BN194" i="40872"/>
  <c r="BM23" i="40872"/>
  <c r="BM24" i="40872" s="1"/>
  <c r="CW78" i="40875"/>
  <c r="AF90" i="40872"/>
  <c r="CH10" i="40876"/>
  <c r="CA31" i="40876"/>
  <c r="CN37" i="40876"/>
  <c r="BE128" i="40872" s="1"/>
  <c r="BN33" i="40876"/>
  <c r="CM50" i="40876"/>
  <c r="CL67" i="40876"/>
  <c r="BC199" i="40872"/>
  <c r="CH39" i="40876"/>
  <c r="BS58" i="40876"/>
  <c r="CK69" i="40876"/>
  <c r="BL67" i="40876"/>
  <c r="CV33" i="40876"/>
  <c r="BO44" i="40872"/>
  <c r="BN210" i="40872"/>
  <c r="BO210" i="40872" s="1"/>
  <c r="CZ44" i="40875"/>
  <c r="DA44" i="40875" s="1"/>
  <c r="CX50" i="40875"/>
  <c r="CP82" i="40875"/>
  <c r="CE192" i="40875"/>
  <c r="CA82" i="40875"/>
  <c r="BG224" i="40872"/>
  <c r="BS22" i="40876"/>
  <c r="BV82" i="40875"/>
  <c r="BR79" i="40875"/>
  <c r="BR83" i="40875" s="1"/>
  <c r="AI195" i="40872"/>
  <c r="AI196" i="40872"/>
  <c r="AD195" i="40872"/>
  <c r="BN100" i="40872"/>
  <c r="BN206" i="40872"/>
  <c r="BO206" i="40872" s="1"/>
  <c r="CW77" i="40875"/>
  <c r="BN103" i="40872"/>
  <c r="BN101" i="40872"/>
  <c r="BN17" i="40872"/>
  <c r="BN38" i="40872" s="1"/>
  <c r="BN40" i="40872" s="1"/>
  <c r="BO51" i="40872"/>
  <c r="BO353" i="40872" s="1"/>
  <c r="BN353" i="40872"/>
  <c r="BP106" i="40872"/>
  <c r="BP210" i="40872"/>
  <c r="DO97" i="40876"/>
  <c r="DT97" i="40876" s="1"/>
  <c r="DP97" i="40876"/>
  <c r="DU97" i="40876" s="1"/>
  <c r="CZ95" i="40876"/>
  <c r="BP129" i="40872"/>
  <c r="CY65" i="40876"/>
  <c r="DD65" i="40876"/>
  <c r="BU129" i="40872"/>
  <c r="BP101" i="40872"/>
  <c r="CX15" i="40875"/>
  <c r="CX78" i="40875"/>
  <c r="AD196" i="40872"/>
  <c r="BJ319" i="40872"/>
  <c r="BJ320" i="40872" s="1"/>
  <c r="CZ47" i="40875"/>
  <c r="DA47" i="40875" s="1"/>
  <c r="DB190" i="40875" s="1"/>
  <c r="CZ27" i="40875"/>
  <c r="CX34" i="40875"/>
  <c r="DC21" i="40875"/>
  <c r="DC14" i="40875"/>
  <c r="CY90" i="40875"/>
  <c r="CZ90" i="40875" s="1"/>
  <c r="DA90" i="40875" s="1"/>
  <c r="DB90" i="40875" s="1"/>
  <c r="BT129" i="40872"/>
  <c r="CZ65" i="40876"/>
  <c r="BQ129" i="40872"/>
  <c r="BO71" i="40876"/>
  <c r="CN93" i="40876"/>
  <c r="CC56" i="40876"/>
  <c r="CH35" i="40876"/>
  <c r="BX18" i="40876"/>
  <c r="CG70" i="40876"/>
  <c r="CH40" i="40876"/>
  <c r="CH70" i="40876" s="1"/>
  <c r="BM70" i="40876"/>
  <c r="BN40" i="40876"/>
  <c r="CH27" i="40876"/>
  <c r="BX23" i="40876"/>
  <c r="BX19" i="40876"/>
  <c r="CV36" i="40876"/>
  <c r="BP68" i="40872"/>
  <c r="BQ134" i="40872"/>
  <c r="CH92" i="40876"/>
  <c r="BL138" i="40872"/>
  <c r="BO137" i="40872"/>
  <c r="BN43" i="40876"/>
  <c r="BS56" i="40876"/>
  <c r="CH44" i="40876"/>
  <c r="CH69" i="40876" s="1"/>
  <c r="CG69" i="40876"/>
  <c r="CH43" i="40876"/>
  <c r="CX26" i="40875"/>
  <c r="CW22" i="40875"/>
  <c r="BP100" i="40872"/>
  <c r="BP319" i="40872"/>
  <c r="BP320" i="40872" s="1"/>
  <c r="BP327" i="40872" s="1"/>
  <c r="BL38" i="40872"/>
  <c r="BL91" i="40872" s="1"/>
  <c r="BC142" i="40872"/>
  <c r="BC141" i="40872" s="1"/>
  <c r="BC68" i="40872"/>
  <c r="CX16" i="40875"/>
  <c r="CX67" i="40876"/>
  <c r="CY113" i="40875"/>
  <c r="CZ113" i="40875" s="1"/>
  <c r="DA113" i="40875" s="1"/>
  <c r="DC65" i="40876"/>
  <c r="BP199" i="40872"/>
  <c r="CX24" i="40875"/>
  <c r="CX65" i="40876"/>
  <c r="BO129" i="40872"/>
  <c r="BP52" i="40872"/>
  <c r="CX31" i="40876"/>
  <c r="DC12" i="40875"/>
  <c r="DC27" i="40875"/>
  <c r="DC47" i="40875"/>
  <c r="CZ22" i="40875"/>
  <c r="DC26" i="40875"/>
  <c r="CX49" i="40875"/>
  <c r="DC22" i="40875"/>
  <c r="CX11" i="40875"/>
  <c r="CX55" i="40876"/>
  <c r="CX46" i="40876"/>
  <c r="CW12" i="40876"/>
  <c r="AM38" i="40872"/>
  <c r="AM40" i="40872" s="1"/>
  <c r="AM93" i="40872" s="1"/>
  <c r="AM86" i="40872"/>
  <c r="AN64" i="40872"/>
  <c r="AJ86" i="40872"/>
  <c r="AQ52" i="40872"/>
  <c r="AQ94" i="40872"/>
  <c r="BZ76" i="40875"/>
  <c r="BZ81" i="40875" s="1"/>
  <c r="AS38" i="40872"/>
  <c r="AS50" i="40872" s="1"/>
  <c r="AS84" i="40872"/>
  <c r="G5" i="40877"/>
  <c r="BO76" i="40875"/>
  <c r="AY73" i="40872"/>
  <c r="BP71" i="40872"/>
  <c r="BP77" i="40872" s="1"/>
  <c r="BP24" i="40872"/>
  <c r="BP70" i="40872"/>
  <c r="BP72" i="40872"/>
  <c r="BP86" i="40872"/>
  <c r="AZ145" i="40872"/>
  <c r="BU150" i="40872"/>
  <c r="BF77" i="40872"/>
  <c r="DC40" i="40875"/>
  <c r="DA37" i="40875"/>
  <c r="DC37" i="40875"/>
  <c r="BP125" i="40872"/>
  <c r="DC19" i="40875"/>
  <c r="CY46" i="40876"/>
  <c r="BE73" i="40872"/>
  <c r="BE74" i="40872" s="1"/>
  <c r="BB73" i="40872"/>
  <c r="BB74" i="40872" s="1"/>
  <c r="BE27" i="40872"/>
  <c r="CY67" i="40876"/>
  <c r="CY55" i="40876"/>
  <c r="AD89" i="40872"/>
  <c r="AC59" i="40872"/>
  <c r="AO327" i="40872"/>
  <c r="AP327" i="40872" s="1"/>
  <c r="AL146" i="40872"/>
  <c r="CC200" i="40872"/>
  <c r="CH200" i="40872" s="1"/>
  <c r="BO58" i="40872"/>
  <c r="DC44" i="40875"/>
  <c r="DC43" i="40875"/>
  <c r="DC42" i="40875"/>
  <c r="BQ125" i="40872"/>
  <c r="DC33" i="40875"/>
  <c r="DC23" i="40875"/>
  <c r="BR125" i="40872"/>
  <c r="DC39" i="40875"/>
  <c r="BP207" i="40872"/>
  <c r="BP105" i="40872"/>
  <c r="CY78" i="40875"/>
  <c r="BP27" i="40872"/>
  <c r="BP103" i="40872" s="1"/>
  <c r="CY52" i="40875"/>
  <c r="CZ188" i="40875" s="1"/>
  <c r="BP124" i="40872"/>
  <c r="BQ194" i="40872"/>
  <c r="BQ46" i="40872" s="1"/>
  <c r="CY20" i="40875"/>
  <c r="BN138" i="40872"/>
  <c r="BO139" i="40872"/>
  <c r="BP138" i="40872" s="1"/>
  <c r="CA145" i="40872"/>
  <c r="CA153" i="40872" s="1"/>
  <c r="BS106" i="40872"/>
  <c r="CV106" i="40872" s="1"/>
  <c r="AR326" i="40872"/>
  <c r="AR320" i="40872"/>
  <c r="AL151" i="40872"/>
  <c r="BO78" i="40875"/>
  <c r="CW87" i="40872"/>
  <c r="CN78" i="40875"/>
  <c r="BE177" i="40872"/>
  <c r="AZ106" i="40872"/>
  <c r="AO196" i="40872"/>
  <c r="BJ105" i="40872"/>
  <c r="BO105" i="40872"/>
  <c r="BJ177" i="40872"/>
  <c r="CS78" i="40875"/>
  <c r="CC79" i="40875"/>
  <c r="CC83" i="40875" s="1"/>
  <c r="CC82" i="40875"/>
  <c r="CU89" i="40872"/>
  <c r="CW89" i="40872"/>
  <c r="CW88" i="40872"/>
  <c r="CI135" i="40872"/>
  <c r="BL73" i="40872"/>
  <c r="AX77" i="40872"/>
  <c r="BK24" i="40872"/>
  <c r="BQ210" i="40872"/>
  <c r="BQ68" i="40872"/>
  <c r="BR134" i="40872"/>
  <c r="BQ319" i="40872"/>
  <c r="BQ326" i="40872" s="1"/>
  <c r="CZ78" i="40875"/>
  <c r="BQ105" i="40872"/>
  <c r="BQ207" i="40872"/>
  <c r="DN17" i="40876"/>
  <c r="DS17" i="40876"/>
  <c r="BQ100" i="40872"/>
  <c r="AT319" i="40872"/>
  <c r="AT320" i="40872" s="1"/>
  <c r="BN161" i="40872"/>
  <c r="BN163" i="40872" s="1"/>
  <c r="BR105" i="40872"/>
  <c r="CZ67" i="40876"/>
  <c r="DA78" i="40875"/>
  <c r="BQ101" i="40872"/>
  <c r="BQ162" i="40872"/>
  <c r="AJ50" i="40872"/>
  <c r="AC225" i="40872"/>
  <c r="BL24" i="40872"/>
  <c r="CZ69" i="40876"/>
  <c r="CZ46" i="40876"/>
  <c r="CZ38" i="40875"/>
  <c r="BQ161" i="40872"/>
  <c r="BR194" i="40872"/>
  <c r="BR46" i="40872" s="1"/>
  <c r="BR207" i="40872"/>
  <c r="BS125" i="40872"/>
  <c r="CV125" i="40872" s="1"/>
  <c r="DC35" i="40875"/>
  <c r="DC28" i="40875"/>
  <c r="DC18" i="40875"/>
  <c r="DP17" i="40876"/>
  <c r="DC25" i="40875"/>
  <c r="DQ17" i="40876"/>
  <c r="DU17" i="40876"/>
  <c r="DV17" i="40876"/>
  <c r="BR68" i="40872"/>
  <c r="BS134" i="40872"/>
  <c r="BR66" i="40872"/>
  <c r="BR319" i="40872"/>
  <c r="BR320" i="40872" s="1"/>
  <c r="BR327" i="40872" s="1"/>
  <c r="BQ178" i="40872"/>
  <c r="DO17" i="40876"/>
  <c r="DT17" i="40876"/>
  <c r="AT205" i="40872"/>
  <c r="AU205" i="40872" s="1"/>
  <c r="BL78" i="40872"/>
  <c r="CE159" i="40872"/>
  <c r="CJ159" i="40872" s="1"/>
  <c r="CJ160" i="40872"/>
  <c r="CH159" i="40872"/>
  <c r="CM159" i="40872" s="1"/>
  <c r="BY159" i="40872"/>
  <c r="BR106" i="40872"/>
  <c r="BT29" i="40872"/>
  <c r="BR210" i="40872"/>
  <c r="AT92" i="40872"/>
  <c r="BS12" i="40876"/>
  <c r="BR101" i="40872"/>
  <c r="BR162" i="40872"/>
  <c r="BT137" i="40872"/>
  <c r="CG159" i="40872"/>
  <c r="CL159" i="40872" s="1"/>
  <c r="DC50" i="40875"/>
  <c r="DC46" i="40875"/>
  <c r="CU121" i="40872"/>
  <c r="CW121" i="40872"/>
  <c r="CU120" i="40872"/>
  <c r="CU82" i="40872"/>
  <c r="BR24" i="40872"/>
  <c r="BR161" i="40872"/>
  <c r="BS194" i="40872"/>
  <c r="CR94" i="40875" l="1"/>
  <c r="CR95" i="40875" s="1"/>
  <c r="AR148" i="40872"/>
  <c r="AX178" i="40872"/>
  <c r="BJ101" i="40872"/>
  <c r="BI178" i="40872"/>
  <c r="BK76" i="40872"/>
  <c r="BP141" i="40872"/>
  <c r="BP146" i="40872"/>
  <c r="CE82" i="40876"/>
  <c r="CE76" i="40875"/>
  <c r="CE81" i="40875" s="1"/>
  <c r="BL90" i="40872"/>
  <c r="BH86" i="40872"/>
  <c r="BF151" i="40872"/>
  <c r="BC90" i="40872"/>
  <c r="AZ101" i="40872"/>
  <c r="AB89" i="40872"/>
  <c r="AG86" i="40872"/>
  <c r="AM150" i="40872"/>
  <c r="AZ192" i="40872"/>
  <c r="AZ193" i="40872" s="1"/>
  <c r="BC320" i="40872"/>
  <c r="BC327" i="40872" s="1"/>
  <c r="AG88" i="40872"/>
  <c r="AG89" i="40872"/>
  <c r="AF96" i="40872"/>
  <c r="AS176" i="40872"/>
  <c r="BG320" i="40872"/>
  <c r="BG327" i="40872" s="1"/>
  <c r="AM138" i="40872"/>
  <c r="BD196" i="40872"/>
  <c r="CA76" i="40875"/>
  <c r="CA81" i="40875" s="1"/>
  <c r="BI157" i="40872"/>
  <c r="BI167" i="40872" s="1"/>
  <c r="CW76" i="40875"/>
  <c r="CW81" i="40875" s="1"/>
  <c r="BP178" i="40872"/>
  <c r="BB103" i="40872"/>
  <c r="BN52" i="40872"/>
  <c r="BC102" i="40872"/>
  <c r="BC84" i="40872"/>
  <c r="AF84" i="40872"/>
  <c r="AB96" i="40872"/>
  <c r="AB38" i="40872"/>
  <c r="AB92" i="40872" s="1"/>
  <c r="BI102" i="40872"/>
  <c r="BF73" i="40872"/>
  <c r="BF74" i="40872" s="1"/>
  <c r="AO94" i="40872"/>
  <c r="AG102" i="40872"/>
  <c r="AG84" i="40872"/>
  <c r="CL82" i="40876"/>
  <c r="BP82" i="40876"/>
  <c r="CL76" i="40875"/>
  <c r="BF161" i="40872"/>
  <c r="BF163" i="40872" s="1"/>
  <c r="AX27" i="40872"/>
  <c r="AW103" i="40872"/>
  <c r="BA100" i="40872"/>
  <c r="BH73" i="40872"/>
  <c r="BH74" i="40872" s="1"/>
  <c r="BI84" i="40872"/>
  <c r="BL102" i="40872"/>
  <c r="BK326" i="40872"/>
  <c r="BC52" i="40872"/>
  <c r="AF87" i="40872"/>
  <c r="AB84" i="40872"/>
  <c r="AK64" i="40872"/>
  <c r="AO90" i="40872"/>
  <c r="AG96" i="40872"/>
  <c r="BC38" i="40872"/>
  <c r="BC40" i="40872" s="1"/>
  <c r="BK82" i="40876"/>
  <c r="AY196" i="40872"/>
  <c r="AT196" i="40872"/>
  <c r="AB90" i="40872"/>
  <c r="AB86" i="40872"/>
  <c r="AB87" i="40872"/>
  <c r="CP79" i="40875"/>
  <c r="CP83" i="40875" s="1"/>
  <c r="BD70" i="40872"/>
  <c r="CT76" i="40875"/>
  <c r="CT81" i="40875" s="1"/>
  <c r="CM200" i="40872"/>
  <c r="CJ200" i="40872"/>
  <c r="CK200" i="40872" s="1"/>
  <c r="CL200" i="40872" s="1"/>
  <c r="AX102" i="40872"/>
  <c r="BF194" i="40872"/>
  <c r="BF196" i="40872" s="1"/>
  <c r="CG17" i="40876"/>
  <c r="CM77" i="40875"/>
  <c r="CQ14" i="40876"/>
  <c r="CQ34" i="40876"/>
  <c r="BZ200" i="40872"/>
  <c r="CA200" i="40872" s="1"/>
  <c r="BR45" i="40876"/>
  <c r="BM39" i="40876"/>
  <c r="BL65" i="40876"/>
  <c r="BY31" i="40876"/>
  <c r="BM34" i="40876"/>
  <c r="BM28" i="40876"/>
  <c r="BM20" i="40876"/>
  <c r="BM10" i="40876"/>
  <c r="AB59" i="40872"/>
  <c r="AT90" i="40872"/>
  <c r="AM84" i="40872"/>
  <c r="BV76" i="40875"/>
  <c r="BV81" i="40875" s="1"/>
  <c r="BY78" i="40875"/>
  <c r="BJ49" i="40872"/>
  <c r="CR62" i="40875"/>
  <c r="BK52" i="40872"/>
  <c r="CB10" i="40876"/>
  <c r="BW34" i="40876"/>
  <c r="BR21" i="40876"/>
  <c r="BR16" i="40876"/>
  <c r="BB64" i="40872"/>
  <c r="AV64" i="40872"/>
  <c r="BK199" i="40872"/>
  <c r="BR65" i="40876"/>
  <c r="CK55" i="40875"/>
  <c r="CB188" i="40875"/>
  <c r="BV68" i="40875"/>
  <c r="BW188" i="40875"/>
  <c r="BR188" i="40875"/>
  <c r="CB29" i="40875"/>
  <c r="BW29" i="40875"/>
  <c r="BR29" i="40875"/>
  <c r="BJ29" i="40875"/>
  <c r="CV40" i="40876"/>
  <c r="CU70" i="40876"/>
  <c r="BD103" i="40872"/>
  <c r="CU95" i="40876"/>
  <c r="BD178" i="40872"/>
  <c r="DA32" i="40876"/>
  <c r="DB32" i="40876" s="1"/>
  <c r="BN90" i="40872"/>
  <c r="CC36" i="40876"/>
  <c r="BF57" i="40876"/>
  <c r="BF59" i="40876" s="1"/>
  <c r="BF61" i="40876" s="1"/>
  <c r="AW174" i="40872"/>
  <c r="CW120" i="40872"/>
  <c r="CT191" i="40875"/>
  <c r="BS39" i="40876"/>
  <c r="CG65" i="40876"/>
  <c r="AP124" i="40872"/>
  <c r="CG45" i="40876"/>
  <c r="AV86" i="40872"/>
  <c r="CO190" i="40875"/>
  <c r="CC190" i="40875"/>
  <c r="CJ190" i="40875"/>
  <c r="BY52" i="40875"/>
  <c r="CD188" i="40875" s="1"/>
  <c r="CM62" i="40875"/>
  <c r="BQ320" i="40872"/>
  <c r="BQ327" i="40872" s="1"/>
  <c r="AT148" i="40872"/>
  <c r="CS92" i="40875"/>
  <c r="CS94" i="40875" s="1"/>
  <c r="CF56" i="40875"/>
  <c r="AV102" i="40872"/>
  <c r="AV205" i="40872"/>
  <c r="CS26" i="40872"/>
  <c r="BX27" i="40872"/>
  <c r="BX38" i="40872" s="1"/>
  <c r="AI129" i="40872"/>
  <c r="BL70" i="40876"/>
  <c r="BM79" i="40875"/>
  <c r="BM83" i="40875" s="1"/>
  <c r="AS39" i="40872"/>
  <c r="CD61" i="40875"/>
  <c r="CZ190" i="40875"/>
  <c r="BE180" i="40875"/>
  <c r="CU29" i="40875"/>
  <c r="CV27" i="40875"/>
  <c r="CW131" i="40875"/>
  <c r="CW132" i="40875" s="1"/>
  <c r="CN20" i="40875"/>
  <c r="BY190" i="40875"/>
  <c r="CD190" i="40875"/>
  <c r="CN190" i="40875"/>
  <c r="AT125" i="40872"/>
  <c r="BU190" i="40875"/>
  <c r="CM56" i="40875"/>
  <c r="AK124" i="40872"/>
  <c r="BW68" i="40875"/>
  <c r="CM188" i="40875"/>
  <c r="BO188" i="40875"/>
  <c r="BE55" i="40875"/>
  <c r="BE56" i="40875" s="1"/>
  <c r="CZ52" i="40875"/>
  <c r="CZ68" i="40875" s="1"/>
  <c r="CX22" i="40875"/>
  <c r="AZ124" i="40872"/>
  <c r="CR188" i="40875"/>
  <c r="CB62" i="40875"/>
  <c r="CC20" i="40875"/>
  <c r="BT52" i="40875"/>
  <c r="BT20" i="40875"/>
  <c r="CI190" i="40875"/>
  <c r="CT44" i="40875"/>
  <c r="AT124" i="40872"/>
  <c r="CL103" i="40875"/>
  <c r="BW55" i="40875"/>
  <c r="CG68" i="40875"/>
  <c r="BM29" i="40875"/>
  <c r="CW13" i="40875"/>
  <c r="BT190" i="40875"/>
  <c r="AK125" i="40872"/>
  <c r="BJ124" i="40872"/>
  <c r="CB68" i="40875"/>
  <c r="BQ179" i="40875"/>
  <c r="BQ180" i="40875" s="1"/>
  <c r="CI92" i="40875"/>
  <c r="CI94" i="40875" s="1"/>
  <c r="CW21" i="40875"/>
  <c r="BQ124" i="40872"/>
  <c r="CW12" i="40875"/>
  <c r="CV20" i="40875"/>
  <c r="CN192" i="40875"/>
  <c r="CL188" i="40875"/>
  <c r="DA27" i="40875"/>
  <c r="BM124" i="40872"/>
  <c r="CY128" i="40875"/>
  <c r="CW41" i="40875"/>
  <c r="DA40" i="40875"/>
  <c r="DA17" i="40875"/>
  <c r="CS52" i="40875"/>
  <c r="CX188" i="40875" s="1"/>
  <c r="BJ188" i="40875"/>
  <c r="BA193" i="40872"/>
  <c r="AQ193" i="40872"/>
  <c r="DF100" i="40876"/>
  <c r="BI151" i="40872"/>
  <c r="BI339" i="40872"/>
  <c r="BO142" i="40872"/>
  <c r="BN178" i="40872"/>
  <c r="BN23" i="40872"/>
  <c r="BN24" i="40872" s="1"/>
  <c r="AF192" i="40872"/>
  <c r="AY141" i="40872"/>
  <c r="BC73" i="40872"/>
  <c r="BC74" i="40872" s="1"/>
  <c r="BC79" i="40872" s="1"/>
  <c r="AT39" i="40872"/>
  <c r="BN79" i="40875"/>
  <c r="BN83" i="40875" s="1"/>
  <c r="AY74" i="40872"/>
  <c r="BC50" i="40872"/>
  <c r="BN146" i="40872"/>
  <c r="CH193" i="40875"/>
  <c r="CH194" i="40875" s="1"/>
  <c r="BH38" i="40872"/>
  <c r="AS138" i="40872"/>
  <c r="AG205" i="40872"/>
  <c r="CQ76" i="40875"/>
  <c r="CQ81" i="40875" s="1"/>
  <c r="AJ102" i="40872"/>
  <c r="BI146" i="40872"/>
  <c r="BD84" i="40872"/>
  <c r="BI52" i="40872"/>
  <c r="AA86" i="40872"/>
  <c r="BJ76" i="40875"/>
  <c r="CK95" i="40872"/>
  <c r="CK60" i="40872" s="1"/>
  <c r="AG196" i="40872"/>
  <c r="BA17" i="40872"/>
  <c r="BA38" i="40872" s="1"/>
  <c r="AO102" i="40872"/>
  <c r="AO38" i="40872"/>
  <c r="AO50" i="40872" s="1"/>
  <c r="AO95" i="40872" s="1"/>
  <c r="AT102" i="40872"/>
  <c r="AN102" i="40872"/>
  <c r="AN38" i="40872"/>
  <c r="AN92" i="40872" s="1"/>
  <c r="AA38" i="40872"/>
  <c r="AA50" i="40872" s="1"/>
  <c r="AE96" i="40872"/>
  <c r="AE88" i="40872"/>
  <c r="BF76" i="40872"/>
  <c r="CM76" i="40875"/>
  <c r="CM81" i="40875" s="1"/>
  <c r="BN151" i="40872"/>
  <c r="AG39" i="40872"/>
  <c r="BA206" i="40872"/>
  <c r="AV196" i="40872"/>
  <c r="BN102" i="40872"/>
  <c r="AB196" i="40872"/>
  <c r="AQ326" i="40872"/>
  <c r="BN326" i="40872"/>
  <c r="BO326" i="40872" s="1"/>
  <c r="AB193" i="40872"/>
  <c r="BH102" i="40872"/>
  <c r="BD38" i="40872"/>
  <c r="BD42" i="40872" s="1"/>
  <c r="BD94" i="40872" s="1"/>
  <c r="AF102" i="40872"/>
  <c r="BI86" i="40872"/>
  <c r="AA89" i="40872"/>
  <c r="AA84" i="40872"/>
  <c r="BL141" i="40872"/>
  <c r="AW151" i="40872"/>
  <c r="BX76" i="40875"/>
  <c r="BX81" i="40875" s="1"/>
  <c r="BF100" i="40872"/>
  <c r="AO86" i="40872"/>
  <c r="AN86" i="40872"/>
  <c r="BJ82" i="40876"/>
  <c r="AJ138" i="40872"/>
  <c r="AE90" i="40872"/>
  <c r="AE87" i="40872"/>
  <c r="AE84" i="40872"/>
  <c r="AT173" i="40872"/>
  <c r="AF103" i="40872"/>
  <c r="BJ64" i="40872"/>
  <c r="AG146" i="40872"/>
  <c r="AF66" i="40872"/>
  <c r="BD90" i="40872"/>
  <c r="AE205" i="40872"/>
  <c r="BM151" i="40872"/>
  <c r="AN205" i="40872"/>
  <c r="AO148" i="40872"/>
  <c r="AA88" i="40872"/>
  <c r="AA96" i="40872"/>
  <c r="AP101" i="40872"/>
  <c r="BW76" i="40875"/>
  <c r="BW81" i="40875" s="1"/>
  <c r="BJ192" i="40872"/>
  <c r="AS146" i="40872"/>
  <c r="BN76" i="40875"/>
  <c r="BN81" i="40875" s="1"/>
  <c r="BH78" i="40872"/>
  <c r="AP58" i="40872"/>
  <c r="BH178" i="40872"/>
  <c r="DE100" i="40876"/>
  <c r="CL95" i="40876"/>
  <c r="BL55" i="40876"/>
  <c r="BQ31" i="40876"/>
  <c r="BR46" i="40876"/>
  <c r="CU55" i="40876"/>
  <c r="BJ138" i="40872"/>
  <c r="AS148" i="40872"/>
  <c r="AT146" i="40872"/>
  <c r="BG93" i="40872"/>
  <c r="CU76" i="40875"/>
  <c r="CU81" i="40875" s="1"/>
  <c r="BL86" i="40872"/>
  <c r="AQ84" i="40872"/>
  <c r="AQ73" i="40872"/>
  <c r="BQ102" i="40872"/>
  <c r="BL326" i="40872"/>
  <c r="BM200" i="40872"/>
  <c r="AK319" i="40872"/>
  <c r="AK320" i="40872" s="1"/>
  <c r="AK200" i="40872" s="1"/>
  <c r="CF77" i="40875"/>
  <c r="CF82" i="40875" s="1"/>
  <c r="BB326" i="40872"/>
  <c r="AL196" i="40872"/>
  <c r="AC89" i="40872"/>
  <c r="AC84" i="40872"/>
  <c r="AS150" i="40872"/>
  <c r="AS151" i="40872" s="1"/>
  <c r="AO146" i="40872"/>
  <c r="AX146" i="40872"/>
  <c r="BP37" i="40876"/>
  <c r="AG128" i="40872" s="1"/>
  <c r="AG130" i="40872" s="1"/>
  <c r="BL40" i="40872"/>
  <c r="AM50" i="40872"/>
  <c r="AG151" i="40872"/>
  <c r="AW146" i="40872"/>
  <c r="BY77" i="40875"/>
  <c r="AC88" i="40872"/>
  <c r="BL76" i="40875"/>
  <c r="BL81" i="40875" s="1"/>
  <c r="BA320" i="40872"/>
  <c r="BA327" i="40872" s="1"/>
  <c r="AQ27" i="40872"/>
  <c r="AC38" i="40872"/>
  <c r="BS76" i="40875"/>
  <c r="BS81" i="40875" s="1"/>
  <c r="BF178" i="40872"/>
  <c r="BF62" i="40876"/>
  <c r="BG60" i="40876"/>
  <c r="BS16" i="40876"/>
  <c r="CC13" i="40876"/>
  <c r="BM69" i="40876"/>
  <c r="CH48" i="40876"/>
  <c r="CH56" i="40876"/>
  <c r="CG31" i="40876"/>
  <c r="BU66" i="40876"/>
  <c r="BU71" i="40876" s="1"/>
  <c r="AZ128" i="40872"/>
  <c r="AZ130" i="40872" s="1"/>
  <c r="CF46" i="40876"/>
  <c r="BM16" i="40876"/>
  <c r="CL35" i="40876"/>
  <c r="CL31" i="40876" s="1"/>
  <c r="CL55" i="40876"/>
  <c r="BN58" i="40876"/>
  <c r="CQ65" i="40876"/>
  <c r="CK31" i="40876"/>
  <c r="CP95" i="40876"/>
  <c r="CP55" i="40876"/>
  <c r="CB39" i="40876"/>
  <c r="CB82" i="40876" s="1"/>
  <c r="CB70" i="40876"/>
  <c r="CP70" i="40876"/>
  <c r="CP67" i="40876"/>
  <c r="CA67" i="40876"/>
  <c r="BJ64" i="40876"/>
  <c r="BJ66" i="40876" s="1"/>
  <c r="BN44" i="40876"/>
  <c r="BV31" i="40876"/>
  <c r="CR39" i="40876"/>
  <c r="CR65" i="40876" s="1"/>
  <c r="CM36" i="40876"/>
  <c r="BJ57" i="40876"/>
  <c r="CM30" i="40876"/>
  <c r="CL14" i="40876"/>
  <c r="CI64" i="40876"/>
  <c r="CI66" i="40876" s="1"/>
  <c r="CM65" i="40876"/>
  <c r="CL17" i="40876"/>
  <c r="BR14" i="40876"/>
  <c r="AR129" i="40872"/>
  <c r="CK95" i="40876"/>
  <c r="BL69" i="40876"/>
  <c r="CA65" i="40876"/>
  <c r="CF31" i="40876"/>
  <c r="CA37" i="40876"/>
  <c r="BH129" i="40872"/>
  <c r="AD135" i="40872"/>
  <c r="AD137" i="40872" s="1"/>
  <c r="AD138" i="40872" s="1"/>
  <c r="CH41" i="40876"/>
  <c r="AE135" i="40872"/>
  <c r="AE137" i="40872" s="1"/>
  <c r="AE138" i="40872" s="1"/>
  <c r="BQ55" i="40876"/>
  <c r="CA46" i="40876"/>
  <c r="CQ82" i="40876"/>
  <c r="BX45" i="40876"/>
  <c r="CR56" i="40876"/>
  <c r="CQ23" i="40876"/>
  <c r="BV46" i="40876"/>
  <c r="CM17" i="40876"/>
  <c r="CP82" i="40876"/>
  <c r="BB174" i="40872"/>
  <c r="BB172" i="40872" s="1"/>
  <c r="CP65" i="40876"/>
  <c r="BO163" i="40872"/>
  <c r="BO149" i="40872"/>
  <c r="CO79" i="40875"/>
  <c r="CO83" i="40875" s="1"/>
  <c r="CZ20" i="40875"/>
  <c r="CZ29" i="40875" s="1"/>
  <c r="BC206" i="40872"/>
  <c r="AY129" i="40872"/>
  <c r="DA21" i="40875"/>
  <c r="BR124" i="40872" s="1"/>
  <c r="BR326" i="40872"/>
  <c r="BR163" i="40872"/>
  <c r="CE200" i="40872"/>
  <c r="CF200" i="40872" s="1"/>
  <c r="CY68" i="40875"/>
  <c r="DA14" i="40875"/>
  <c r="CH54" i="40876"/>
  <c r="BY68" i="40875"/>
  <c r="BZ188" i="40875"/>
  <c r="BL124" i="40872"/>
  <c r="F7" i="40877"/>
  <c r="BI40" i="40872"/>
  <c r="CZ125" i="40875"/>
  <c r="CM60" i="40872"/>
  <c r="CM185" i="40872"/>
  <c r="CR76" i="40875"/>
  <c r="CR81" i="40875" s="1"/>
  <c r="BI90" i="40872"/>
  <c r="BI320" i="40872"/>
  <c r="BI327" i="40872" s="1"/>
  <c r="BJ327" i="40872" s="1"/>
  <c r="BI326" i="40872"/>
  <c r="BJ326" i="40872" s="1"/>
  <c r="BX30" i="40876"/>
  <c r="AL148" i="40872"/>
  <c r="BU188" i="40875"/>
  <c r="BH84" i="40872"/>
  <c r="BH90" i="40872"/>
  <c r="BH225" i="40872"/>
  <c r="DA107" i="40875"/>
  <c r="DA126" i="40875" s="1"/>
  <c r="CZ126" i="40875"/>
  <c r="CB179" i="40875"/>
  <c r="CB180" i="40875" s="1"/>
  <c r="BX179" i="40875"/>
  <c r="BX180" i="40875" s="1"/>
  <c r="BT179" i="40875"/>
  <c r="BT180" i="40875" s="1"/>
  <c r="BP179" i="40875"/>
  <c r="BP180" i="40875" s="1"/>
  <c r="BL179" i="40875"/>
  <c r="BL180" i="40875" s="1"/>
  <c r="CA179" i="40875"/>
  <c r="CA180" i="40875" s="1"/>
  <c r="BW179" i="40875"/>
  <c r="BW180" i="40875" s="1"/>
  <c r="BS179" i="40875"/>
  <c r="BO179" i="40875"/>
  <c r="AH225" i="40872"/>
  <c r="AR229" i="40872"/>
  <c r="AL224" i="40872"/>
  <c r="BR55" i="40875"/>
  <c r="BN55" i="40875"/>
  <c r="AV326" i="40872"/>
  <c r="AM90" i="40872"/>
  <c r="V53" i="40872"/>
  <c r="V55" i="40872" s="1"/>
  <c r="V57" i="40872" s="1"/>
  <c r="AV117" i="40872"/>
  <c r="CP36" i="40876"/>
  <c r="CP45" i="40876"/>
  <c r="CO94" i="40876"/>
  <c r="CS94" i="40876" s="1"/>
  <c r="BM146" i="40872"/>
  <c r="BG163" i="40872"/>
  <c r="BC196" i="40872"/>
  <c r="CW95" i="40876"/>
  <c r="BI82" i="40872"/>
  <c r="AM231" i="40872"/>
  <c r="AT225" i="40872"/>
  <c r="AQ227" i="40872"/>
  <c r="AP225" i="40872"/>
  <c r="AR225" i="40872"/>
  <c r="AH216" i="40872"/>
  <c r="AH217" i="40872" s="1"/>
  <c r="AI230" i="40872"/>
  <c r="AL225" i="40872"/>
  <c r="AS225" i="40872"/>
  <c r="AX237" i="40872" s="1"/>
  <c r="AE229" i="40872"/>
  <c r="AI224" i="40872"/>
  <c r="AN236" i="40872" s="1"/>
  <c r="AS232" i="40872"/>
  <c r="AI225" i="40872"/>
  <c r="AR216" i="40872"/>
  <c r="AR217" i="40872" s="1"/>
  <c r="AK225" i="40872"/>
  <c r="AP237" i="40872" s="1"/>
  <c r="AJ225" i="40872"/>
  <c r="BJ73" i="40872"/>
  <c r="AZ23" i="40872"/>
  <c r="AX24" i="40872"/>
  <c r="AZ24" i="40872" s="1"/>
  <c r="BJ189" i="40875"/>
  <c r="BJ192" i="40875" s="1"/>
  <c r="CR82" i="40876"/>
  <c r="CR95" i="40876" s="1"/>
  <c r="CS95" i="40876" s="1"/>
  <c r="DA52" i="40875"/>
  <c r="AY103" i="40872"/>
  <c r="AV90" i="40872"/>
  <c r="BZ22" i="40876"/>
  <c r="BZ37" i="40876" s="1"/>
  <c r="BP194" i="40872"/>
  <c r="BP46" i="40872" s="1"/>
  <c r="CS57" i="40876"/>
  <c r="BJ59" i="40876"/>
  <c r="CN77" i="40875"/>
  <c r="AV84" i="40872"/>
  <c r="CW20" i="40875"/>
  <c r="BQ199" i="40872"/>
  <c r="DA190" i="40875"/>
  <c r="CH77" i="40875"/>
  <c r="AQ225" i="40872"/>
  <c r="AU225" i="40872"/>
  <c r="AH229" i="40872"/>
  <c r="AH224" i="40872"/>
  <c r="AO92" i="40872"/>
  <c r="AT107" i="40872"/>
  <c r="AI91" i="40872"/>
  <c r="AI50" i="40872"/>
  <c r="AN91" i="40872"/>
  <c r="CS20" i="40875"/>
  <c r="AK106" i="40872"/>
  <c r="AK145" i="40872"/>
  <c r="BI224" i="40872"/>
  <c r="CC30" i="40876"/>
  <c r="CE37" i="40876"/>
  <c r="AV128" i="40872" s="1"/>
  <c r="BS43" i="40876"/>
  <c r="AO225" i="40872"/>
  <c r="AN225" i="40872"/>
  <c r="AI216" i="40872"/>
  <c r="AI217" i="40872" s="1"/>
  <c r="AJ216" i="40872"/>
  <c r="AJ217" i="40872" s="1"/>
  <c r="CX21" i="40875"/>
  <c r="BK150" i="40872"/>
  <c r="BK151" i="40872" s="1"/>
  <c r="BO145" i="40872"/>
  <c r="BK146" i="40872"/>
  <c r="BL84" i="40872"/>
  <c r="AN216" i="40872"/>
  <c r="AN217" i="40872" s="1"/>
  <c r="BN30" i="40876"/>
  <c r="CZ128" i="40875"/>
  <c r="DA112" i="40875"/>
  <c r="DA128" i="40875" s="1"/>
  <c r="AO216" i="40872"/>
  <c r="AO217" i="40872" s="1"/>
  <c r="CJ188" i="40875"/>
  <c r="CJ193" i="40875" s="1"/>
  <c r="CJ194" i="40875" s="1"/>
  <c r="CN188" i="40875"/>
  <c r="CC68" i="40875"/>
  <c r="CN68" i="40875"/>
  <c r="CO188" i="40875"/>
  <c r="BS14" i="40876"/>
  <c r="CR18" i="40876"/>
  <c r="BX36" i="40876"/>
  <c r="BT29" i="40875"/>
  <c r="BR31" i="40876"/>
  <c r="BR36" i="40876" s="1"/>
  <c r="BJ125" i="40872"/>
  <c r="CQ29" i="40876"/>
  <c r="AM216" i="40872"/>
  <c r="AM217" i="40872" s="1"/>
  <c r="BK124" i="40872"/>
  <c r="BH326" i="40872"/>
  <c r="BH320" i="40872"/>
  <c r="BH327" i="40872" s="1"/>
  <c r="CS68" i="40875"/>
  <c r="BW56" i="40875"/>
  <c r="CV132" i="40875"/>
  <c r="CT188" i="40875"/>
  <c r="CN29" i="40875"/>
  <c r="CS95" i="40875"/>
  <c r="CS190" i="40875"/>
  <c r="CF70" i="40876"/>
  <c r="CF69" i="40876"/>
  <c r="BQ69" i="40876"/>
  <c r="BI45" i="40876"/>
  <c r="BK37" i="40876"/>
  <c r="CD179" i="40875"/>
  <c r="BZ179" i="40875"/>
  <c r="BZ180" i="40875" s="1"/>
  <c r="CL55" i="40875"/>
  <c r="BM55" i="40875"/>
  <c r="BM56" i="40875" s="1"/>
  <c r="CL29" i="40875"/>
  <c r="AR196" i="40872"/>
  <c r="CK70" i="40876"/>
  <c r="CK68" i="40875"/>
  <c r="BU55" i="40875"/>
  <c r="BL55" i="40875"/>
  <c r="BN28" i="40876"/>
  <c r="CH28" i="40876"/>
  <c r="CC19" i="40876"/>
  <c r="BX54" i="40876"/>
  <c r="BN26" i="40876"/>
  <c r="AY117" i="40872"/>
  <c r="AY118" i="40872" s="1"/>
  <c r="CC23" i="40876"/>
  <c r="BX35" i="40876"/>
  <c r="BW31" i="40876"/>
  <c r="CR14" i="40876"/>
  <c r="CB31" i="40876"/>
  <c r="CC35" i="40876"/>
  <c r="CC15" i="40876"/>
  <c r="BT78" i="40875"/>
  <c r="AP105" i="40872"/>
  <c r="AK105" i="40872"/>
  <c r="CY29" i="40875"/>
  <c r="BE66" i="40872"/>
  <c r="CO37" i="40876"/>
  <c r="BF128" i="40872" s="1"/>
  <c r="BF130" i="40872" s="1"/>
  <c r="BK178" i="40872"/>
  <c r="BO178" i="40872"/>
  <c r="BT62" i="40875"/>
  <c r="CS188" i="40875"/>
  <c r="BW26" i="40872"/>
  <c r="BR26" i="40872"/>
  <c r="BR27" i="40872" s="1"/>
  <c r="DF69" i="40876"/>
  <c r="BO57" i="40876"/>
  <c r="CW54" i="40876"/>
  <c r="CU116" i="40875"/>
  <c r="CW40" i="40876"/>
  <c r="BP169" i="40872"/>
  <c r="BK194" i="40872"/>
  <c r="BK46" i="40872" s="1"/>
  <c r="BA78" i="40872"/>
  <c r="BD71" i="40872"/>
  <c r="BD73" i="40872" s="1"/>
  <c r="BD74" i="40872" s="1"/>
  <c r="BD79" i="40872" s="1"/>
  <c r="CQ50" i="40876"/>
  <c r="CQ55" i="40876" s="1"/>
  <c r="BI42" i="40872"/>
  <c r="BJ193" i="40872"/>
  <c r="CK55" i="40876"/>
  <c r="AU192" i="40872"/>
  <c r="AU193" i="40872" s="1"/>
  <c r="CY37" i="40876"/>
  <c r="CY57" i="40876" s="1"/>
  <c r="BP163" i="40872"/>
  <c r="AJ193" i="40872"/>
  <c r="AK192" i="40872"/>
  <c r="AK193" i="40872" s="1"/>
  <c r="BE162" i="40872"/>
  <c r="BE163" i="40872" s="1"/>
  <c r="BT77" i="40875"/>
  <c r="BT79" i="40875" s="1"/>
  <c r="AK103" i="40872"/>
  <c r="AP103" i="40872"/>
  <c r="BF90" i="40872"/>
  <c r="BI205" i="40872"/>
  <c r="BG205" i="40872"/>
  <c r="BF38" i="40872"/>
  <c r="BF40" i="40872" s="1"/>
  <c r="BF93" i="40872" s="1"/>
  <c r="CO82" i="40876"/>
  <c r="CO76" i="40875"/>
  <c r="CO81" i="40875" s="1"/>
  <c r="BF86" i="40872"/>
  <c r="BH205" i="40872"/>
  <c r="CQ61" i="40875" s="1"/>
  <c r="AX103" i="40872"/>
  <c r="AU145" i="40872"/>
  <c r="CN79" i="40875"/>
  <c r="BI50" i="40872"/>
  <c r="BI95" i="40872" s="1"/>
  <c r="BI185" i="40872" s="1"/>
  <c r="BM326" i="40872"/>
  <c r="BG42" i="40872"/>
  <c r="BD23" i="40872"/>
  <c r="BD24" i="40872" s="1"/>
  <c r="BE142" i="40872"/>
  <c r="BE141" i="40872" s="1"/>
  <c r="CW79" i="40875"/>
  <c r="CW83" i="40875" s="1"/>
  <c r="BF46" i="40872"/>
  <c r="BC178" i="40872"/>
  <c r="AP17" i="40872"/>
  <c r="AK150" i="40872"/>
  <c r="BE192" i="40872"/>
  <c r="BE193" i="40872" s="1"/>
  <c r="AR151" i="40872"/>
  <c r="AM151" i="40872"/>
  <c r="BJ17" i="40872"/>
  <c r="BJ84" i="40872" s="1"/>
  <c r="BF84" i="40872"/>
  <c r="CH54" i="40875"/>
  <c r="CG55" i="40875"/>
  <c r="AO205" i="40872"/>
  <c r="AP205" i="40872" s="1"/>
  <c r="BY61" i="40875" s="1"/>
  <c r="AL84" i="40872"/>
  <c r="AL87" i="40872"/>
  <c r="BU76" i="40875"/>
  <c r="BU81" i="40875" s="1"/>
  <c r="AL205" i="40872"/>
  <c r="BU61" i="40875" s="1"/>
  <c r="AL89" i="40872"/>
  <c r="AL102" i="40872"/>
  <c r="AL88" i="40872"/>
  <c r="AL96" i="40872"/>
  <c r="AL86" i="40872"/>
  <c r="AL94" i="40872"/>
  <c r="BQ59" i="40872"/>
  <c r="AQ205" i="40872"/>
  <c r="AQ90" i="40872"/>
  <c r="BZ82" i="40876"/>
  <c r="AQ102" i="40872"/>
  <c r="AS102" i="40872"/>
  <c r="AS52" i="40872"/>
  <c r="AS53" i="40872" s="1"/>
  <c r="AS86" i="40872"/>
  <c r="CB76" i="40875"/>
  <c r="CB81" i="40875" s="1"/>
  <c r="AS90" i="40872"/>
  <c r="AH88" i="40872"/>
  <c r="AH89" i="40872"/>
  <c r="BQ82" i="40876"/>
  <c r="AH86" i="40872"/>
  <c r="AJ205" i="40872"/>
  <c r="AK205" i="40872" s="1"/>
  <c r="AH90" i="40872"/>
  <c r="AH205" i="40872"/>
  <c r="AI205" i="40872"/>
  <c r="AH38" i="40872"/>
  <c r="AH232" i="40872" s="1"/>
  <c r="AH87" i="40872"/>
  <c r="AM102" i="40872"/>
  <c r="BQ153" i="40872"/>
  <c r="BL150" i="40872"/>
  <c r="BL151" i="40872" s="1"/>
  <c r="BV146" i="40872"/>
  <c r="BQ150" i="40872"/>
  <c r="BV151" i="40872" s="1"/>
  <c r="AP145" i="40872"/>
  <c r="AK100" i="40872"/>
  <c r="AK17" i="40872"/>
  <c r="AK88" i="40872" s="1"/>
  <c r="BG178" i="40872"/>
  <c r="BL178" i="40872"/>
  <c r="CF145" i="40872"/>
  <c r="AU106" i="40872"/>
  <c r="BG91" i="40872"/>
  <c r="BG39" i="40872"/>
  <c r="BG92" i="40872" s="1"/>
  <c r="AK229" i="40872"/>
  <c r="AS193" i="40872"/>
  <c r="BJ145" i="40872"/>
  <c r="BJ106" i="40872"/>
  <c r="AP52" i="40872"/>
  <c r="BC151" i="40872"/>
  <c r="AX151" i="40872"/>
  <c r="BO77" i="40875"/>
  <c r="BO79" i="40875" s="1"/>
  <c r="AP43" i="40872"/>
  <c r="AP172" i="40872" s="1"/>
  <c r="AL172" i="40872"/>
  <c r="BJ162" i="40872"/>
  <c r="BJ163" i="40872" s="1"/>
  <c r="AN151" i="40872"/>
  <c r="AI151" i="40872"/>
  <c r="AH195" i="40872"/>
  <c r="AH196" i="40872"/>
  <c r="AC196" i="40872"/>
  <c r="AF194" i="40872"/>
  <c r="AF196" i="40872" s="1"/>
  <c r="AN196" i="40872"/>
  <c r="AP192" i="40872"/>
  <c r="AP193" i="40872" s="1"/>
  <c r="BF78" i="40872"/>
  <c r="BB178" i="40872"/>
  <c r="AW178" i="40872"/>
  <c r="BG146" i="40872"/>
  <c r="BB150" i="40872"/>
  <c r="BJ66" i="40872"/>
  <c r="CS77" i="40875"/>
  <c r="CS79" i="40875" s="1"/>
  <c r="AF73" i="40872"/>
  <c r="BP38" i="40872"/>
  <c r="BP42" i="40872" s="1"/>
  <c r="BP43" i="40872" s="1"/>
  <c r="AK224" i="40872"/>
  <c r="AK73" i="40872"/>
  <c r="AP73" i="40872"/>
  <c r="BB146" i="40872"/>
  <c r="AT176" i="40872"/>
  <c r="AU176" i="40872" s="1"/>
  <c r="AY178" i="40872"/>
  <c r="AY150" i="40872"/>
  <c r="BD151" i="40872" s="1"/>
  <c r="AY146" i="40872"/>
  <c r="BD146" i="40872"/>
  <c r="AQ146" i="40872"/>
  <c r="AQ150" i="40872"/>
  <c r="AQ151" i="40872" s="1"/>
  <c r="AV146" i="40872"/>
  <c r="AR146" i="40872"/>
  <c r="AM146" i="40872"/>
  <c r="AI146" i="40872"/>
  <c r="AN146" i="40872"/>
  <c r="AP100" i="40872"/>
  <c r="AW148" i="40872"/>
  <c r="BB196" i="40872"/>
  <c r="BA196" i="40872"/>
  <c r="BA76" i="40872"/>
  <c r="AV172" i="40872"/>
  <c r="AV173" i="40872" s="1"/>
  <c r="BL163" i="40872"/>
  <c r="BR74" i="40872"/>
  <c r="AS196" i="40872"/>
  <c r="BL146" i="40872"/>
  <c r="BK172" i="40872"/>
  <c r="BK173" i="40872" s="1"/>
  <c r="BL168" i="40872"/>
  <c r="AW196" i="40872"/>
  <c r="BS36" i="40876"/>
  <c r="CH31" i="40876"/>
  <c r="AR128" i="40872"/>
  <c r="BJ128" i="40872"/>
  <c r="CR19" i="40876"/>
  <c r="BU59" i="40876"/>
  <c r="CR70" i="40876"/>
  <c r="CE64" i="40876"/>
  <c r="CE66" i="40876" s="1"/>
  <c r="CE71" i="40876" s="1"/>
  <c r="CE57" i="40876"/>
  <c r="CR44" i="40876"/>
  <c r="CC34" i="40876"/>
  <c r="BW82" i="40876"/>
  <c r="AN129" i="40872"/>
  <c r="BX39" i="40876"/>
  <c r="BX82" i="40876" s="1"/>
  <c r="BW65" i="40876"/>
  <c r="BW50" i="40876"/>
  <c r="BV67" i="40876"/>
  <c r="CM21" i="40876"/>
  <c r="CL16" i="40876"/>
  <c r="CG22" i="40876"/>
  <c r="CH13" i="40876"/>
  <c r="CB16" i="40876"/>
  <c r="BX17" i="40876"/>
  <c r="BX33" i="40876"/>
  <c r="BW15" i="40876"/>
  <c r="BS30" i="40876"/>
  <c r="BR18" i="40876"/>
  <c r="CH17" i="40876"/>
  <c r="AY174" i="40872" s="1"/>
  <c r="AY172" i="40872" s="1"/>
  <c r="AY173" i="40872" s="1"/>
  <c r="AX174" i="40872"/>
  <c r="AX172" i="40872" s="1"/>
  <c r="AX173" i="40872" s="1"/>
  <c r="CR34" i="40876"/>
  <c r="BH199" i="40872"/>
  <c r="CQ67" i="40876"/>
  <c r="CR50" i="40876"/>
  <c r="CR54" i="40876"/>
  <c r="BL129" i="40872"/>
  <c r="CU46" i="40876"/>
  <c r="CS64" i="40876"/>
  <c r="CS66" i="40876" s="1"/>
  <c r="CL46" i="40876"/>
  <c r="BH30" i="40876"/>
  <c r="BG37" i="40876"/>
  <c r="BG64" i="40876" s="1"/>
  <c r="BG66" i="40876" s="1"/>
  <c r="BE64" i="40876"/>
  <c r="BE66" i="40876" s="1"/>
  <c r="BE71" i="40876" s="1"/>
  <c r="BE57" i="40876"/>
  <c r="BE59" i="40876" s="1"/>
  <c r="BE61" i="40876" s="1"/>
  <c r="CB68" i="40876"/>
  <c r="CC51" i="40876"/>
  <c r="CR30" i="40876"/>
  <c r="CG94" i="40876"/>
  <c r="CF95" i="40876"/>
  <c r="BW56" i="40876"/>
  <c r="BH54" i="40876"/>
  <c r="BG55" i="40876"/>
  <c r="CG52" i="40876"/>
  <c r="CF55" i="40876"/>
  <c r="BM52" i="40876"/>
  <c r="BM49" i="40876"/>
  <c r="BH39" i="40876"/>
  <c r="BG46" i="40876"/>
  <c r="BM22" i="40876"/>
  <c r="CA64" i="40876"/>
  <c r="CA66" i="40876" s="1"/>
  <c r="CA71" i="40876" s="1"/>
  <c r="BR33" i="40876"/>
  <c r="BR34" i="40876"/>
  <c r="CN38" i="40876"/>
  <c r="CN57" i="40876"/>
  <c r="BR35" i="40876"/>
  <c r="CC44" i="40876"/>
  <c r="CB69" i="40876"/>
  <c r="BW44" i="40876"/>
  <c r="BV69" i="40876"/>
  <c r="BM35" i="40876"/>
  <c r="BM21" i="40876"/>
  <c r="BR50" i="40876"/>
  <c r="AH199" i="40872"/>
  <c r="AH200" i="40872" s="1"/>
  <c r="BQ67" i="40876"/>
  <c r="CH23" i="40876"/>
  <c r="CG19" i="40876"/>
  <c r="BW10" i="40876"/>
  <c r="BS13" i="40876"/>
  <c r="BQ37" i="40876"/>
  <c r="BQ57" i="40876" s="1"/>
  <c r="DR69" i="40876"/>
  <c r="DR70" i="40876"/>
  <c r="DL98" i="40876"/>
  <c r="DG100" i="40876"/>
  <c r="BT37" i="40876"/>
  <c r="CV19" i="40876"/>
  <c r="CV70" i="40876"/>
  <c r="DA45" i="40876"/>
  <c r="DA19" i="40876"/>
  <c r="DA21" i="40876"/>
  <c r="DA43" i="40876"/>
  <c r="DB43" i="40876" s="1"/>
  <c r="DA53" i="40876"/>
  <c r="DB53" i="40876" s="1"/>
  <c r="BW49" i="40876"/>
  <c r="BV55" i="40876"/>
  <c r="BM25" i="40876"/>
  <c r="BM17" i="40876"/>
  <c r="CB50" i="40876"/>
  <c r="AR199" i="40872"/>
  <c r="AR200" i="40872" s="1"/>
  <c r="CG51" i="40876"/>
  <c r="CF68" i="40876"/>
  <c r="AW135" i="40872"/>
  <c r="AW137" i="40872" s="1"/>
  <c r="AW138" i="40872" s="1"/>
  <c r="BW51" i="40876"/>
  <c r="BV82" i="40876"/>
  <c r="BV65" i="40876"/>
  <c r="AM129" i="40872"/>
  <c r="CM33" i="40876"/>
  <c r="CG29" i="40876"/>
  <c r="CG12" i="40876"/>
  <c r="BR23" i="40876"/>
  <c r="BS17" i="40876"/>
  <c r="CP69" i="40876"/>
  <c r="CW30" i="40876"/>
  <c r="CW70" i="40876"/>
  <c r="CD37" i="40876"/>
  <c r="BS48" i="40876"/>
  <c r="CG49" i="40876"/>
  <c r="BM48" i="40876"/>
  <c r="CL69" i="40876"/>
  <c r="CM44" i="40876"/>
  <c r="BM42" i="40876"/>
  <c r="BL46" i="40876"/>
  <c r="CC70" i="40876"/>
  <c r="BM19" i="40876"/>
  <c r="BN10" i="40876"/>
  <c r="CG50" i="40876"/>
  <c r="AW199" i="40872"/>
  <c r="CF67" i="40876"/>
  <c r="BM50" i="40876"/>
  <c r="AC199" i="40872"/>
  <c r="BC135" i="40872"/>
  <c r="CL68" i="40876"/>
  <c r="CM51" i="40876"/>
  <c r="CM10" i="40876"/>
  <c r="CG15" i="40876"/>
  <c r="CQ10" i="40876"/>
  <c r="CQ17" i="40876"/>
  <c r="BG174" i="40872"/>
  <c r="BG172" i="40872" s="1"/>
  <c r="BG173" i="40872" s="1"/>
  <c r="CV34" i="40876"/>
  <c r="CV48" i="40876"/>
  <c r="BJ71" i="40876"/>
  <c r="DW70" i="40876"/>
  <c r="DI98" i="40876"/>
  <c r="CU31" i="40876"/>
  <c r="CW10" i="40876"/>
  <c r="CV44" i="40876"/>
  <c r="DA10" i="40876"/>
  <c r="DA15" i="40876"/>
  <c r="DA33" i="40876"/>
  <c r="DA39" i="40876"/>
  <c r="DB39" i="40876" s="1"/>
  <c r="CZ82" i="40876"/>
  <c r="DA50" i="40876"/>
  <c r="DB50" i="40876" s="1"/>
  <c r="DB67" i="40876" s="1"/>
  <c r="DA14" i="40876"/>
  <c r="DA24" i="40876"/>
  <c r="DB24" i="40876" s="1"/>
  <c r="DA34" i="40876"/>
  <c r="DA40" i="40876"/>
  <c r="DA49" i="40876"/>
  <c r="DA56" i="40876"/>
  <c r="DK98" i="40876"/>
  <c r="DJ98" i="40876"/>
  <c r="DJ100" i="40876" s="1"/>
  <c r="CW14" i="40876"/>
  <c r="CW35" i="40876"/>
  <c r="CW50" i="40876"/>
  <c r="DA17" i="40876"/>
  <c r="DB17" i="40876" s="1"/>
  <c r="DA18" i="40876"/>
  <c r="DA35" i="40876"/>
  <c r="DA44" i="40876"/>
  <c r="DB44" i="40876" s="1"/>
  <c r="DA51" i="40876"/>
  <c r="DB51" i="40876" s="1"/>
  <c r="CZ68" i="40876"/>
  <c r="DA30" i="40876"/>
  <c r="CE62" i="40875"/>
  <c r="DE109" i="40875"/>
  <c r="DD110" i="40875"/>
  <c r="DD116" i="40875" s="1"/>
  <c r="CX40" i="40875"/>
  <c r="BX62" i="40875"/>
  <c r="BS56" i="40875"/>
  <c r="CJ62" i="40875"/>
  <c r="CO62" i="40875"/>
  <c r="BZ62" i="40875"/>
  <c r="BO56" i="40875"/>
  <c r="BW62" i="40875"/>
  <c r="BV56" i="40875"/>
  <c r="DA188" i="40875"/>
  <c r="DA22" i="40875"/>
  <c r="BW61" i="40875"/>
  <c r="CE61" i="40875"/>
  <c r="DB110" i="40875"/>
  <c r="DB116" i="40875" s="1"/>
  <c r="BJ179" i="40875"/>
  <c r="BJ180" i="40875" s="1"/>
  <c r="BK29" i="40875"/>
  <c r="CA29" i="40875"/>
  <c r="BY179" i="40875"/>
  <c r="CS38" i="40875"/>
  <c r="BZ61" i="40875"/>
  <c r="CX13" i="40875"/>
  <c r="CY116" i="40875"/>
  <c r="CY132" i="40875" s="1"/>
  <c r="BT61" i="40875"/>
  <c r="CX191" i="40875"/>
  <c r="BR56" i="40875"/>
  <c r="CA55" i="40875"/>
  <c r="CK29" i="40875"/>
  <c r="AW206" i="40872"/>
  <c r="AE196" i="40872"/>
  <c r="BR199" i="40872"/>
  <c r="BA178" i="40872"/>
  <c r="AP106" i="40872"/>
  <c r="BN84" i="40872"/>
  <c r="BQ163" i="40872"/>
  <c r="BN86" i="40872"/>
  <c r="BI161" i="40872"/>
  <c r="BI163" i="40872" s="1"/>
  <c r="BM163" i="40872"/>
  <c r="AZ59" i="40872"/>
  <c r="AY64" i="40872"/>
  <c r="BA151" i="40872"/>
  <c r="AH327" i="40872"/>
  <c r="BP326" i="40872"/>
  <c r="AL200" i="40872"/>
  <c r="AV78" i="40872"/>
  <c r="BP150" i="40872"/>
  <c r="BP151" i="40872" s="1"/>
  <c r="BU146" i="40872"/>
  <c r="BQ74" i="40872"/>
  <c r="CY77" i="40875"/>
  <c r="CY79" i="40875" s="1"/>
  <c r="CY83" i="40875" s="1"/>
  <c r="BY79" i="40875"/>
  <c r="CP54" i="40875"/>
  <c r="CQ54" i="40875" s="1"/>
  <c r="CR54" i="40875" s="1"/>
  <c r="CR55" i="40875" s="1"/>
  <c r="AI138" i="40872"/>
  <c r="BH76" i="40872"/>
  <c r="BV76" i="40872"/>
  <c r="BQ64" i="40872"/>
  <c r="AQ137" i="40872"/>
  <c r="AQ138" i="40872" s="1"/>
  <c r="AH138" i="40872"/>
  <c r="BV77" i="40872"/>
  <c r="CN200" i="40872"/>
  <c r="BP206" i="40872"/>
  <c r="AQ196" i="40872"/>
  <c r="BD76" i="40872"/>
  <c r="AS205" i="40872"/>
  <c r="CB61" i="40875" s="1"/>
  <c r="BA172" i="40872"/>
  <c r="BF180" i="40872" s="1"/>
  <c r="BV78" i="40872"/>
  <c r="BQ26" i="40872"/>
  <c r="BT38" i="40875"/>
  <c r="BG43" i="40872"/>
  <c r="CE59" i="40872"/>
  <c r="BE58" i="40872"/>
  <c r="CB59" i="40872"/>
  <c r="CM59" i="40872"/>
  <c r="BI208" i="40872"/>
  <c r="CR59" i="40875" s="1"/>
  <c r="CC59" i="40872"/>
  <c r="CG59" i="40872"/>
  <c r="CJ59" i="40872"/>
  <c r="CA59" i="40872"/>
  <c r="CL59" i="40872"/>
  <c r="AG50" i="40872"/>
  <c r="AG53" i="40872" s="1"/>
  <c r="CH59" i="40872"/>
  <c r="CK59" i="40872"/>
  <c r="CU37" i="40875"/>
  <c r="CT38" i="40875"/>
  <c r="BO125" i="40872"/>
  <c r="CE193" i="40875"/>
  <c r="CE194" i="40875" s="1"/>
  <c r="BI196" i="40872"/>
  <c r="BE130" i="40872"/>
  <c r="L16" i="40877" s="1"/>
  <c r="CR68" i="40876"/>
  <c r="BI135" i="40872"/>
  <c r="BJ135" i="40872" s="1"/>
  <c r="CM70" i="40876"/>
  <c r="BS65" i="40876"/>
  <c r="CM82" i="40876"/>
  <c r="BS82" i="40876"/>
  <c r="BP64" i="40876"/>
  <c r="BP66" i="40876" s="1"/>
  <c r="BP71" i="40876" s="1"/>
  <c r="BD199" i="40872"/>
  <c r="BD200" i="40872" s="1"/>
  <c r="BD129" i="40872"/>
  <c r="AJ129" i="40872"/>
  <c r="BN70" i="40876"/>
  <c r="AV130" i="40872"/>
  <c r="BD135" i="40872"/>
  <c r="CH65" i="40876"/>
  <c r="CS71" i="40876"/>
  <c r="CM68" i="40876"/>
  <c r="AL107" i="40872"/>
  <c r="BR168" i="40872"/>
  <c r="BR169" i="40872"/>
  <c r="BQ168" i="40872"/>
  <c r="BQ169" i="40872"/>
  <c r="AI66" i="40872"/>
  <c r="AR173" i="40872"/>
  <c r="AT91" i="40872"/>
  <c r="AG92" i="40872"/>
  <c r="AG42" i="40872"/>
  <c r="BH40" i="40872"/>
  <c r="BH108" i="40872" s="1"/>
  <c r="BH50" i="40872"/>
  <c r="AL39" i="40872"/>
  <c r="AO53" i="40872"/>
  <c r="AO232" i="40872"/>
  <c r="AG91" i="40872"/>
  <c r="AG95" i="40872"/>
  <c r="AT40" i="40872"/>
  <c r="AT50" i="40872"/>
  <c r="AT95" i="40872" s="1"/>
  <c r="BH39" i="40872"/>
  <c r="BH92" i="40872" s="1"/>
  <c r="BH42" i="40872"/>
  <c r="AO40" i="40872"/>
  <c r="AN50" i="40872"/>
  <c r="AO91" i="40872"/>
  <c r="BH91" i="40872"/>
  <c r="AO39" i="40872"/>
  <c r="AN232" i="40872"/>
  <c r="BA103" i="40872"/>
  <c r="AV206" i="40872"/>
  <c r="AV38" i="40872"/>
  <c r="CE77" i="40875"/>
  <c r="CE82" i="40875" s="1"/>
  <c r="CA150" i="40872"/>
  <c r="CA29" i="40872" s="1"/>
  <c r="BX136" i="40872"/>
  <c r="BZ136" i="40872" s="1"/>
  <c r="BU26" i="40872"/>
  <c r="BO101" i="40872"/>
  <c r="CA82" i="40876"/>
  <c r="AR90" i="40872"/>
  <c r="AR102" i="40872"/>
  <c r="CG82" i="40876"/>
  <c r="AX86" i="40872"/>
  <c r="AR84" i="40872"/>
  <c r="AR86" i="40872"/>
  <c r="BB76" i="40872"/>
  <c r="CG76" i="40875"/>
  <c r="CG81" i="40875" s="1"/>
  <c r="AV76" i="40872"/>
  <c r="BB17" i="40872"/>
  <c r="AR100" i="40872"/>
  <c r="AR205" i="40872"/>
  <c r="CA61" i="40875" s="1"/>
  <c r="AR38" i="40872"/>
  <c r="AR91" i="40872" s="1"/>
  <c r="BJ77" i="40872"/>
  <c r="AX90" i="40872"/>
  <c r="AZ27" i="40872"/>
  <c r="AV103" i="40872"/>
  <c r="AS206" i="40872"/>
  <c r="AX38" i="40872"/>
  <c r="AX107" i="40872" s="1"/>
  <c r="AT206" i="40872"/>
  <c r="AU206" i="40872" s="1"/>
  <c r="BZ77" i="40875"/>
  <c r="AY206" i="40872"/>
  <c r="AZ206" i="40872" s="1"/>
  <c r="AX206" i="40872"/>
  <c r="AW74" i="40872"/>
  <c r="BB79" i="40872" s="1"/>
  <c r="BC93" i="40872"/>
  <c r="BC95" i="40872"/>
  <c r="AS92" i="40872"/>
  <c r="AP38" i="40872"/>
  <c r="BG94" i="40872"/>
  <c r="BG246" i="40872"/>
  <c r="BC42" i="40872"/>
  <c r="BC246" i="40872" s="1"/>
  <c r="BC332" i="40872" s="1"/>
  <c r="AD38" i="40872"/>
  <c r="AA92" i="40872"/>
  <c r="BH107" i="40872"/>
  <c r="CN58" i="40872"/>
  <c r="AS40" i="40872"/>
  <c r="AS95" i="40872"/>
  <c r="AS185" i="40872" s="1"/>
  <c r="CP201" i="40875"/>
  <c r="AA40" i="40872"/>
  <c r="AA93" i="40872" s="1"/>
  <c r="CP78" i="40876"/>
  <c r="BC39" i="40872"/>
  <c r="BC92" i="40872" s="1"/>
  <c r="AD58" i="40872"/>
  <c r="AD59" i="40872" s="1"/>
  <c r="AA42" i="40872"/>
  <c r="AA39" i="40872"/>
  <c r="BC91" i="40872"/>
  <c r="AA91" i="40872"/>
  <c r="BC103" i="40872"/>
  <c r="CG77" i="40875"/>
  <c r="CG79" i="40875" s="1"/>
  <c r="CG83" i="40875" s="1"/>
  <c r="BA79" i="40872"/>
  <c r="BM73" i="40872"/>
  <c r="BM74" i="40872" s="1"/>
  <c r="BR79" i="40872" s="1"/>
  <c r="CA76" i="40872"/>
  <c r="BI23" i="40872"/>
  <c r="BI24" i="40872" s="1"/>
  <c r="BZ145" i="40872"/>
  <c r="CE145" i="40872" s="1"/>
  <c r="CE153" i="40872" s="1"/>
  <c r="BJ178" i="40872"/>
  <c r="BQ76" i="40872"/>
  <c r="AZ146" i="40872"/>
  <c r="CL79" i="40875"/>
  <c r="BQ77" i="40872"/>
  <c r="CF72" i="40872"/>
  <c r="CK72" i="40872" s="1"/>
  <c r="BQ78" i="40872"/>
  <c r="BQ175" i="40872"/>
  <c r="BV175" i="40872" s="1"/>
  <c r="BV172" i="40872" s="1"/>
  <c r="BV79" i="40875"/>
  <c r="BV83" i="40875" s="1"/>
  <c r="BQ79" i="40875"/>
  <c r="BQ83" i="40875" s="1"/>
  <c r="BU153" i="40872"/>
  <c r="BV179" i="40875"/>
  <c r="BV180" i="40875" s="1"/>
  <c r="BR179" i="40875"/>
  <c r="BR180" i="40875" s="1"/>
  <c r="BN179" i="40875"/>
  <c r="BN180" i="40875" s="1"/>
  <c r="DA108" i="40875"/>
  <c r="CZ127" i="40875"/>
  <c r="CZ110" i="40875"/>
  <c r="CZ116" i="40875" s="1"/>
  <c r="CZ132" i="40875" s="1"/>
  <c r="CT190" i="40875"/>
  <c r="CU47" i="40875"/>
  <c r="CT52" i="40875"/>
  <c r="CT20" i="40875"/>
  <c r="BN193" i="40872"/>
  <c r="CN38" i="40875"/>
  <c r="CS192" i="40875"/>
  <c r="AR327" i="40872"/>
  <c r="BB200" i="40872"/>
  <c r="AW200" i="40872"/>
  <c r="CC179" i="40875"/>
  <c r="CC180" i="40875" s="1"/>
  <c r="BK180" i="40875"/>
  <c r="BU179" i="40875"/>
  <c r="BU180" i="40875" s="1"/>
  <c r="BM179" i="40875"/>
  <c r="BM180" i="40875" s="1"/>
  <c r="BO180" i="40875"/>
  <c r="BY180" i="40875"/>
  <c r="BS180" i="40875"/>
  <c r="BZ55" i="40875"/>
  <c r="CJ92" i="40875"/>
  <c r="BT125" i="40872"/>
  <c r="CV37" i="40875"/>
  <c r="BQ29" i="40875"/>
  <c r="CQ62" i="40875"/>
  <c r="CL62" i="40875"/>
  <c r="CL56" i="40875"/>
  <c r="CI20" i="40875"/>
  <c r="BF79" i="40872"/>
  <c r="BQ52" i="40872"/>
  <c r="BR52" i="40872"/>
  <c r="CD160" i="40872"/>
  <c r="BR100" i="40872"/>
  <c r="BM72" i="40872"/>
  <c r="BM78" i="40872" s="1"/>
  <c r="BM70" i="40872"/>
  <c r="BM76" i="40872" s="1"/>
  <c r="BM100" i="40872"/>
  <c r="BM17" i="40872"/>
  <c r="BM52" i="40872" s="1"/>
  <c r="AQ148" i="40872"/>
  <c r="CX91" i="40876"/>
  <c r="CX95" i="40876" s="1"/>
  <c r="AN229" i="40872"/>
  <c r="AX229" i="40872"/>
  <c r="AY216" i="40872"/>
  <c r="AY217" i="40872" s="1"/>
  <c r="AX230" i="40872"/>
  <c r="AX216" i="40872"/>
  <c r="AX217" i="40872" s="1"/>
  <c r="AX224" i="40872"/>
  <c r="BS175" i="40872"/>
  <c r="J118" i="40872"/>
  <c r="AY148" i="40872"/>
  <c r="CN91" i="40876"/>
  <c r="CN95" i="40876" s="1"/>
  <c r="BP175" i="40872"/>
  <c r="BP172" i="40872" s="1"/>
  <c r="AW216" i="40872"/>
  <c r="AW217" i="40872" s="1"/>
  <c r="AH231" i="40872"/>
  <c r="AM241" i="40872" s="1"/>
  <c r="AQ229" i="40872"/>
  <c r="AQ224" i="40872"/>
  <c r="AN148" i="40872"/>
  <c r="BP57" i="40876"/>
  <c r="BQ196" i="40872"/>
  <c r="BR175" i="40872"/>
  <c r="BW175" i="40872" s="1"/>
  <c r="BZ26" i="40872"/>
  <c r="BK79" i="40875"/>
  <c r="BK83" i="40875" s="1"/>
  <c r="CE26" i="40872"/>
  <c r="CL26" i="40872"/>
  <c r="CC26" i="40872"/>
  <c r="CF26" i="40872"/>
  <c r="CM26" i="40872"/>
  <c r="BC53" i="40872"/>
  <c r="BM196" i="40872"/>
  <c r="CB26" i="40872"/>
  <c r="CG26" i="40872"/>
  <c r="CJ26" i="40872"/>
  <c r="BT346" i="40872"/>
  <c r="AZ150" i="40872"/>
  <c r="CA26" i="40872"/>
  <c r="AM118" i="40872"/>
  <c r="AZ71" i="40872"/>
  <c r="AZ77" i="40872" s="1"/>
  <c r="CN135" i="40872"/>
  <c r="BF117" i="40872"/>
  <c r="BT349" i="40872"/>
  <c r="BT363" i="40872" s="1"/>
  <c r="BT370" i="40872" s="1"/>
  <c r="CH26" i="40872"/>
  <c r="CK26" i="40872"/>
  <c r="AX118" i="40872"/>
  <c r="BE103" i="40872"/>
  <c r="AH230" i="40872"/>
  <c r="AR224" i="40872"/>
  <c r="CE79" i="40875"/>
  <c r="CE83" i="40875" s="1"/>
  <c r="AZ72" i="40872"/>
  <c r="CN193" i="40875"/>
  <c r="CN194" i="40875" s="1"/>
  <c r="BH117" i="40872"/>
  <c r="AV148" i="40872"/>
  <c r="BK82" i="40875"/>
  <c r="BJ199" i="40872"/>
  <c r="BR196" i="40872"/>
  <c r="AZ70" i="40872"/>
  <c r="AZ73" i="40872"/>
  <c r="CO55" i="40875"/>
  <c r="CO56" i="40875" s="1"/>
  <c r="AM230" i="40872"/>
  <c r="CR22" i="40876"/>
  <c r="AZ82" i="40872"/>
  <c r="BX79" i="40875"/>
  <c r="BX83" i="40875" s="1"/>
  <c r="DW12" i="40876"/>
  <c r="BT194" i="40872"/>
  <c r="BL76" i="40872"/>
  <c r="BE194" i="40872"/>
  <c r="BE196" i="40872" s="1"/>
  <c r="BS79" i="40875"/>
  <c r="BS83" i="40875" s="1"/>
  <c r="AM232" i="40872"/>
  <c r="CJ79" i="40875"/>
  <c r="CJ83" i="40875" s="1"/>
  <c r="CF79" i="40875"/>
  <c r="CF83" i="40875" s="1"/>
  <c r="CA79" i="40875"/>
  <c r="CA83" i="40875" s="1"/>
  <c r="BL79" i="40875"/>
  <c r="BL83" i="40875" s="1"/>
  <c r="AZ194" i="40872"/>
  <c r="AZ196" i="40872" s="1"/>
  <c r="AP194" i="40872"/>
  <c r="AP196" i="40872" s="1"/>
  <c r="CR79" i="40875"/>
  <c r="CR83" i="40875" s="1"/>
  <c r="AE224" i="40872"/>
  <c r="BN196" i="40872"/>
  <c r="AO233" i="40872"/>
  <c r="BL82" i="40875"/>
  <c r="X118" i="40872"/>
  <c r="CK79" i="40875"/>
  <c r="CK83" i="40875" s="1"/>
  <c r="CL83" i="40875" s="1"/>
  <c r="AW229" i="40872"/>
  <c r="AN230" i="40872"/>
  <c r="AM196" i="40872"/>
  <c r="AX196" i="40872"/>
  <c r="BU79" i="40875"/>
  <c r="BU83" i="40875" s="1"/>
  <c r="BG117" i="40872"/>
  <c r="CC22" i="40876"/>
  <c r="CU79" i="40875"/>
  <c r="CU83" i="40875" s="1"/>
  <c r="CV79" i="40875"/>
  <c r="CV83" i="40875" s="1"/>
  <c r="AR137" i="40872"/>
  <c r="AR138" i="40872" s="1"/>
  <c r="AN231" i="40872"/>
  <c r="AP118" i="40872"/>
  <c r="AF130" i="40872"/>
  <c r="BP79" i="40875"/>
  <c r="BP83" i="40875" s="1"/>
  <c r="DM12" i="40876"/>
  <c r="AU117" i="40872"/>
  <c r="BJ130" i="40872"/>
  <c r="M16" i="40877" s="1"/>
  <c r="AL130" i="40872"/>
  <c r="CT79" i="40875"/>
  <c r="CT83" i="40875" s="1"/>
  <c r="BF327" i="40872"/>
  <c r="BF200" i="40872"/>
  <c r="BJ200" i="40872" s="1"/>
  <c r="AE92" i="40872"/>
  <c r="AE40" i="40872"/>
  <c r="AE50" i="40872"/>
  <c r="AE91" i="40872"/>
  <c r="AE39" i="40872"/>
  <c r="AM327" i="40872"/>
  <c r="AM200" i="40872"/>
  <c r="BZ57" i="40876"/>
  <c r="AQ128" i="40872"/>
  <c r="AQ130" i="40872" s="1"/>
  <c r="BZ64" i="40876"/>
  <c r="BZ66" i="40876" s="1"/>
  <c r="BZ71" i="40876" s="1"/>
  <c r="BR90" i="40872"/>
  <c r="BR205" i="40872"/>
  <c r="AS326" i="40872"/>
  <c r="AS320" i="40872"/>
  <c r="AJ151" i="40872"/>
  <c r="AO151" i="40872"/>
  <c r="BA136" i="40872"/>
  <c r="BR59" i="40872"/>
  <c r="BT58" i="40872"/>
  <c r="CZ76" i="40875"/>
  <c r="CZ81" i="40875" s="1"/>
  <c r="BO141" i="40872"/>
  <c r="BO66" i="40872"/>
  <c r="AV200" i="40872"/>
  <c r="AQ200" i="40872"/>
  <c r="AG200" i="40872"/>
  <c r="AU194" i="40872"/>
  <c r="AU196" i="40872" s="1"/>
  <c r="AR178" i="40872"/>
  <c r="BO21" i="40872"/>
  <c r="BR138" i="40872"/>
  <c r="AW117" i="40872"/>
  <c r="AW118" i="40872" s="1"/>
  <c r="AQ117" i="40872"/>
  <c r="G6" i="40877"/>
  <c r="AI233" i="40872"/>
  <c r="AX148" i="40872"/>
  <c r="AT178" i="40872"/>
  <c r="BN74" i="40872"/>
  <c r="BO22" i="40872"/>
  <c r="AL118" i="40872"/>
  <c r="AT237" i="40872"/>
  <c r="AR23" i="40872"/>
  <c r="AR26" i="40872" s="1"/>
  <c r="AW172" i="40872"/>
  <c r="BO20" i="40872"/>
  <c r="CS49" i="40872"/>
  <c r="CU49" i="40872" s="1"/>
  <c r="BT192" i="40872"/>
  <c r="BT193" i="40872" s="1"/>
  <c r="AJ231" i="40872"/>
  <c r="AJ230" i="40872"/>
  <c r="AJ233" i="40872"/>
  <c r="AM148" i="40872"/>
  <c r="BS26" i="40872"/>
  <c r="CV26" i="40872" s="1"/>
  <c r="CU13" i="40872"/>
  <c r="AS229" i="40872"/>
  <c r="AS224" i="40872"/>
  <c r="BG227" i="40872"/>
  <c r="BG229" i="40872"/>
  <c r="AK194" i="40872"/>
  <c r="AK196" i="40872" s="1"/>
  <c r="AJ196" i="40872"/>
  <c r="AG137" i="40872"/>
  <c r="AG138" i="40872" s="1"/>
  <c r="AK135" i="40872"/>
  <c r="BP193" i="40872"/>
  <c r="BP196" i="40872"/>
  <c r="BE146" i="40872"/>
  <c r="BE150" i="40872"/>
  <c r="BE151" i="40872" s="1"/>
  <c r="BE106" i="40872"/>
  <c r="BJ193" i="40875"/>
  <c r="BJ194" i="40875" s="1"/>
  <c r="AS231" i="40872"/>
  <c r="AF89" i="40872"/>
  <c r="BZ82" i="40875"/>
  <c r="BZ79" i="40875"/>
  <c r="BZ83" i="40875" s="1"/>
  <c r="AV227" i="40872"/>
  <c r="AV229" i="40872"/>
  <c r="AV224" i="40872"/>
  <c r="BW82" i="40875"/>
  <c r="BW79" i="40875"/>
  <c r="BW83" i="40875" s="1"/>
  <c r="BJ79" i="40875"/>
  <c r="BO349" i="40872"/>
  <c r="BO13" i="40872"/>
  <c r="AF150" i="40872"/>
  <c r="AK151" i="40872" s="1"/>
  <c r="AK146" i="40872"/>
  <c r="AU105" i="40872"/>
  <c r="CD78" i="40875"/>
  <c r="AZ105" i="40872"/>
  <c r="AF106" i="40872"/>
  <c r="AF86" i="40872"/>
  <c r="AF38" i="40872"/>
  <c r="BG46" i="40872"/>
  <c r="BG196" i="40872"/>
  <c r="BJ194" i="40872"/>
  <c r="BJ196" i="40872" s="1"/>
  <c r="CQ79" i="40875"/>
  <c r="CQ83" i="40875" s="1"/>
  <c r="CQ82" i="40875"/>
  <c r="BI229" i="40872"/>
  <c r="BI227" i="40872"/>
  <c r="AV137" i="40872"/>
  <c r="BH229" i="40872"/>
  <c r="BH227" i="40872"/>
  <c r="DM17" i="40876"/>
  <c r="CF193" i="40875"/>
  <c r="CF194" i="40875" s="1"/>
  <c r="AO117" i="40872"/>
  <c r="AO118" i="40872" s="1"/>
  <c r="BD246" i="40872"/>
  <c r="BD332" i="40872" s="1"/>
  <c r="CM78" i="40876"/>
  <c r="AC40" i="40872"/>
  <c r="AC42" i="40872" s="1"/>
  <c r="AC39" i="40872"/>
  <c r="AC92" i="40872"/>
  <c r="AC50" i="40872"/>
  <c r="CF59" i="40872"/>
  <c r="CI58" i="40872"/>
  <c r="AC91" i="40872"/>
  <c r="AJ53" i="40872"/>
  <c r="AU58" i="40872"/>
  <c r="AB64" i="40872"/>
  <c r="BZ59" i="40872"/>
  <c r="CD58" i="40872"/>
  <c r="AS93" i="40872"/>
  <c r="AJ39" i="40872"/>
  <c r="AJ107" i="40872"/>
  <c r="AJ232" i="40872"/>
  <c r="AJ91" i="40872"/>
  <c r="AO107" i="40872"/>
  <c r="AS42" i="40872"/>
  <c r="AM208" i="40872"/>
  <c r="BV59" i="40875" s="1"/>
  <c r="AO185" i="40872"/>
  <c r="AE64" i="40872"/>
  <c r="AA53" i="40872"/>
  <c r="AA95" i="40872"/>
  <c r="BD50" i="40872"/>
  <c r="BF39" i="40872"/>
  <c r="BF92" i="40872" s="1"/>
  <c r="AG93" i="40872"/>
  <c r="BN93" i="40872"/>
  <c r="CU58" i="40872"/>
  <c r="BB77" i="40872"/>
  <c r="BJ90" i="40872"/>
  <c r="BJ87" i="40872"/>
  <c r="CS82" i="40876"/>
  <c r="AR227" i="40872"/>
  <c r="AS227" i="40872"/>
  <c r="BD78" i="40872"/>
  <c r="CD159" i="40872"/>
  <c r="DR17" i="40876"/>
  <c r="AM237" i="40872"/>
  <c r="AV237" i="40872"/>
  <c r="O13" i="40877"/>
  <c r="CN159" i="40872"/>
  <c r="CI159" i="40872"/>
  <c r="BS46" i="40872"/>
  <c r="AW237" i="40872"/>
  <c r="AR237" i="40872"/>
  <c r="CM160" i="40872"/>
  <c r="CN160" i="40872" s="1"/>
  <c r="CI160" i="40872"/>
  <c r="BJ146" i="40872"/>
  <c r="BJ150" i="40872"/>
  <c r="BO146" i="40872"/>
  <c r="AY237" i="40872"/>
  <c r="AH237" i="40872"/>
  <c r="BT106" i="40872"/>
  <c r="DW17" i="40876"/>
  <c r="CL193" i="40875"/>
  <c r="CL194" i="40875" s="1"/>
  <c r="AP200" i="40872"/>
  <c r="DR12" i="40876"/>
  <c r="CI193" i="40875"/>
  <c r="CI194" i="40875" s="1"/>
  <c r="AU200" i="40872"/>
  <c r="AL138" i="40872"/>
  <c r="CD135" i="40872"/>
  <c r="Q13" i="40877"/>
  <c r="BM168" i="40872"/>
  <c r="CD13" i="40872"/>
  <c r="BT13" i="40872"/>
  <c r="BF168" i="40872"/>
  <c r="BV26" i="40872"/>
  <c r="BY13" i="40872"/>
  <c r="BP168" i="40872"/>
  <c r="BK168" i="40872"/>
  <c r="AS23" i="40872"/>
  <c r="BJ100" i="40872"/>
  <c r="BE17" i="40872"/>
  <c r="AW17" i="40872"/>
  <c r="BB100" i="40872"/>
  <c r="AW224" i="40872"/>
  <c r="AW100" i="40872"/>
  <c r="AZ14" i="40872"/>
  <c r="AY100" i="40872"/>
  <c r="BD100" i="40872"/>
  <c r="AY17" i="40872"/>
  <c r="AY224" i="40872"/>
  <c r="BA42" i="40872"/>
  <c r="CJ78" i="40876" s="1"/>
  <c r="BA50" i="40872"/>
  <c r="AV77" i="40872"/>
  <c r="BA77" i="40872"/>
  <c r="BG78" i="40872"/>
  <c r="BB78" i="40872"/>
  <c r="BG77" i="40872"/>
  <c r="BL77" i="40872"/>
  <c r="BP76" i="40872"/>
  <c r="BP73" i="40872"/>
  <c r="BM77" i="40872"/>
  <c r="BG79" i="40872"/>
  <c r="BJ74" i="40872"/>
  <c r="BH77" i="40872"/>
  <c r="BC77" i="40872"/>
  <c r="BJ76" i="40872"/>
  <c r="BA90" i="40872"/>
  <c r="CJ76" i="40875"/>
  <c r="CJ81" i="40875" s="1"/>
  <c r="BJ78" i="40872"/>
  <c r="BC78" i="40872"/>
  <c r="AX78" i="40872"/>
  <c r="BI70" i="40872"/>
  <c r="BI71" i="40872"/>
  <c r="BI72" i="40872"/>
  <c r="BK73" i="40872"/>
  <c r="BK74" i="40872" s="1"/>
  <c r="BK79" i="40872" s="1"/>
  <c r="BP78" i="40872"/>
  <c r="BK78" i="40872"/>
  <c r="BK84" i="40872"/>
  <c r="BL205" i="40872"/>
  <c r="CU61" i="40875" s="1"/>
  <c r="BK90" i="40872"/>
  <c r="BK102" i="40872"/>
  <c r="BK38" i="40872"/>
  <c r="BK205" i="40872"/>
  <c r="CT82" i="40876"/>
  <c r="BC76" i="40872"/>
  <c r="AX76" i="40872"/>
  <c r="BD82" i="40872"/>
  <c r="BN108" i="40872"/>
  <c r="AT43" i="40872"/>
  <c r="AT109" i="40872"/>
  <c r="AT94" i="40872"/>
  <c r="BD247" i="40872"/>
  <c r="BN42" i="40872"/>
  <c r="BN345" i="40872"/>
  <c r="BN350" i="40872" s="1"/>
  <c r="BN91" i="40872"/>
  <c r="BN107" i="40872"/>
  <c r="BN39" i="40872"/>
  <c r="BN92" i="40872" s="1"/>
  <c r="BN50" i="40872"/>
  <c r="AX50" i="40872"/>
  <c r="BL42" i="40872"/>
  <c r="BL109" i="40872" s="1"/>
  <c r="BL345" i="40872"/>
  <c r="BL350" i="40872" s="1"/>
  <c r="BL39" i="40872"/>
  <c r="BL107" i="40872"/>
  <c r="BL50" i="40872"/>
  <c r="BJ58" i="40872"/>
  <c r="AC64" i="40872"/>
  <c r="AL40" i="40872"/>
  <c r="AL50" i="40872"/>
  <c r="AN208" i="40872"/>
  <c r="BW59" i="40875" s="1"/>
  <c r="AL91" i="40872"/>
  <c r="AL92" i="40872"/>
  <c r="AI232" i="40872"/>
  <c r="AI92" i="40872"/>
  <c r="AI40" i="40872"/>
  <c r="AI39" i="40872"/>
  <c r="AN107" i="40872"/>
  <c r="AI107" i="40872"/>
  <c r="AZ58" i="40872"/>
  <c r="BY58" i="40872"/>
  <c r="CK185" i="40872"/>
  <c r="CE185" i="40872"/>
  <c r="CL95" i="40872"/>
  <c r="CD60" i="40872"/>
  <c r="CI60" i="40872"/>
  <c r="CF185" i="40872"/>
  <c r="CJ95" i="40872"/>
  <c r="BW200" i="40872"/>
  <c r="BY200" i="40872" s="1"/>
  <c r="BY202" i="40872" s="1"/>
  <c r="AC224" i="40872"/>
  <c r="AG118" i="40872"/>
  <c r="AG148" i="40872"/>
  <c r="AJ148" i="40872"/>
  <c r="AA118" i="40872"/>
  <c r="Z118" i="40872"/>
  <c r="AD225" i="40872"/>
  <c r="AI237" i="40872" s="1"/>
  <c r="AK148" i="40872"/>
  <c r="AC216" i="40872"/>
  <c r="AC217" i="40872" s="1"/>
  <c r="AC229" i="40872"/>
  <c r="BS196" i="40872"/>
  <c r="CG200" i="40872"/>
  <c r="CI200" i="40872" s="1"/>
  <c r="DA76" i="40875"/>
  <c r="DA81" i="40875" s="1"/>
  <c r="BR86" i="40872"/>
  <c r="CS54" i="40875"/>
  <c r="BR84" i="40872"/>
  <c r="AT327" i="40872"/>
  <c r="AU327" i="40872" s="1"/>
  <c r="BQ90" i="40872"/>
  <c r="BQ86" i="40872"/>
  <c r="BQ84" i="40872"/>
  <c r="CG82" i="40875"/>
  <c r="AM42" i="40872"/>
  <c r="AT326" i="40872"/>
  <c r="AU326" i="40872" s="1"/>
  <c r="BL74" i="40872"/>
  <c r="DC13" i="40875"/>
  <c r="BB206" i="40872"/>
  <c r="DC36" i="40875"/>
  <c r="BZ150" i="40872"/>
  <c r="AM53" i="40872"/>
  <c r="BJ103" i="40872"/>
  <c r="AM91" i="40872"/>
  <c r="AS91" i="40872"/>
  <c r="BP84" i="40872"/>
  <c r="BP90" i="40872"/>
  <c r="DX55" i="40876"/>
  <c r="CX192" i="40875"/>
  <c r="BP102" i="40872"/>
  <c r="DS97" i="40876"/>
  <c r="CW82" i="40875"/>
  <c r="CN64" i="40876"/>
  <c r="CN66" i="40876" s="1"/>
  <c r="CN71" i="40876" s="1"/>
  <c r="CM55" i="40876"/>
  <c r="CV29" i="40875"/>
  <c r="BL64" i="40876"/>
  <c r="BL66" i="40876" s="1"/>
  <c r="BL71" i="40876" s="1"/>
  <c r="AM95" i="40872"/>
  <c r="AM39" i="40872"/>
  <c r="CX37" i="40876"/>
  <c r="CY76" i="40875"/>
  <c r="CY81" i="40875" s="1"/>
  <c r="CM67" i="40876"/>
  <c r="AM92" i="40872"/>
  <c r="BG216" i="40872"/>
  <c r="BG217" i="40872" s="1"/>
  <c r="DC51" i="40875"/>
  <c r="DA41" i="40875"/>
  <c r="AH148" i="40872"/>
  <c r="CH30" i="40876"/>
  <c r="BI39" i="40872"/>
  <c r="BL52" i="40872"/>
  <c r="CK193" i="40875"/>
  <c r="CK194" i="40875" s="1"/>
  <c r="CC17" i="40876"/>
  <c r="CD180" i="40875"/>
  <c r="AY151" i="40872"/>
  <c r="CW33" i="40876"/>
  <c r="CW36" i="40876"/>
  <c r="CG193" i="40875"/>
  <c r="CG194" i="40875" s="1"/>
  <c r="CW45" i="40876"/>
  <c r="DA54" i="40876"/>
  <c r="DB54" i="40876" s="1"/>
  <c r="CM193" i="40875"/>
  <c r="CM194" i="40875" s="1"/>
  <c r="BY38" i="40875"/>
  <c r="CS91" i="40876"/>
  <c r="CZ55" i="40876"/>
  <c r="CU21" i="40876"/>
  <c r="BO12" i="40872"/>
  <c r="CV16" i="40876"/>
  <c r="CV18" i="40876"/>
  <c r="CV29" i="40876"/>
  <c r="CV39" i="40876"/>
  <c r="CW39" i="40876" s="1"/>
  <c r="CV43" i="40876"/>
  <c r="CV49" i="40876"/>
  <c r="CW49" i="40876" s="1"/>
  <c r="CV53" i="40876"/>
  <c r="CW53" i="40876" s="1"/>
  <c r="BM138" i="40872"/>
  <c r="BO138" i="40872" s="1"/>
  <c r="CZ29" i="40876"/>
  <c r="BQ174" i="40872"/>
  <c r="CI13" i="40872"/>
  <c r="CN13" i="40872"/>
  <c r="CA54" i="40876"/>
  <c r="BK162" i="40872"/>
  <c r="BK163" i="40872" s="1"/>
  <c r="CZ36" i="40876"/>
  <c r="CC75" i="40876"/>
  <c r="CV17" i="40876"/>
  <c r="CW17" i="40876" s="1"/>
  <c r="CV23" i="40876"/>
  <c r="CV56" i="40876"/>
  <c r="BO54" i="40872"/>
  <c r="CT31" i="40876"/>
  <c r="CV51" i="40876"/>
  <c r="CW51" i="40876" s="1"/>
  <c r="BQ146" i="40872"/>
  <c r="AQ237" i="40872" l="1"/>
  <c r="AH239" i="40872"/>
  <c r="BD91" i="40872"/>
  <c r="AH107" i="40872"/>
  <c r="BD43" i="40872"/>
  <c r="CM201" i="40875" s="1"/>
  <c r="BP94" i="40872"/>
  <c r="AG107" i="40872"/>
  <c r="CY82" i="40875"/>
  <c r="AZ76" i="40872"/>
  <c r="BD77" i="40872"/>
  <c r="BH208" i="40872"/>
  <c r="CQ59" i="40875" s="1"/>
  <c r="BI107" i="40872"/>
  <c r="BA173" i="40872"/>
  <c r="AW239" i="40872"/>
  <c r="AE208" i="40872"/>
  <c r="BP345" i="40872"/>
  <c r="BP350" i="40872" s="1"/>
  <c r="AB40" i="40872"/>
  <c r="AB91" i="40872"/>
  <c r="BD40" i="40872"/>
  <c r="BD39" i="40872"/>
  <c r="BD92" i="40872" s="1"/>
  <c r="AS239" i="40872"/>
  <c r="AB39" i="40872"/>
  <c r="AB50" i="40872"/>
  <c r="CW27" i="40875"/>
  <c r="CX27" i="40875" s="1"/>
  <c r="BJ56" i="40875"/>
  <c r="BM90" i="40872"/>
  <c r="BP107" i="40872"/>
  <c r="BP50" i="40872"/>
  <c r="BP39" i="40872"/>
  <c r="BP92" i="40872" s="1"/>
  <c r="BP40" i="40872"/>
  <c r="BP91" i="40872"/>
  <c r="CB200" i="40872"/>
  <c r="CD200" i="40872" s="1"/>
  <c r="DB18" i="40876"/>
  <c r="AU237" i="40872"/>
  <c r="BS21" i="40876"/>
  <c r="CC10" i="40876"/>
  <c r="BY37" i="40876"/>
  <c r="BS45" i="40876"/>
  <c r="CG62" i="40875"/>
  <c r="BX34" i="40876"/>
  <c r="BN20" i="40876"/>
  <c r="BN34" i="40876"/>
  <c r="BM65" i="40876"/>
  <c r="BM82" i="40876"/>
  <c r="BN39" i="40876"/>
  <c r="CM82" i="40875"/>
  <c r="CM79" i="40875"/>
  <c r="CM83" i="40875" s="1"/>
  <c r="BH79" i="40872"/>
  <c r="BE135" i="40872"/>
  <c r="AL229" i="40872"/>
  <c r="AQ239" i="40872" s="1"/>
  <c r="AQ236" i="40872"/>
  <c r="CD62" i="40875"/>
  <c r="BX345" i="40872"/>
  <c r="BX350" i="40872" s="1"/>
  <c r="BX92" i="40872"/>
  <c r="BX91" i="40872"/>
  <c r="DH91" i="40876"/>
  <c r="DH95" i="40876" s="1"/>
  <c r="AZ225" i="40872"/>
  <c r="AZ237" i="40872" s="1"/>
  <c r="BX39" i="40872"/>
  <c r="BX40" i="40872"/>
  <c r="BX93" i="40872" s="1"/>
  <c r="CG46" i="40876"/>
  <c r="CH45" i="40876"/>
  <c r="AT108" i="40872"/>
  <c r="BH53" i="40872"/>
  <c r="AO208" i="40872"/>
  <c r="AP208" i="40872" s="1"/>
  <c r="BY59" i="40875" s="1"/>
  <c r="BY63" i="40875" s="1"/>
  <c r="AG55" i="40872"/>
  <c r="AG65" i="40872" s="1"/>
  <c r="AN242" i="40872"/>
  <c r="AS107" i="40872"/>
  <c r="BL93" i="40872"/>
  <c r="BL108" i="40872"/>
  <c r="AN42" i="40872"/>
  <c r="AN233" i="40872" s="1"/>
  <c r="AN243" i="40872" s="1"/>
  <c r="AN39" i="40872"/>
  <c r="AD64" i="40872"/>
  <c r="AN40" i="40872"/>
  <c r="AT53" i="40872"/>
  <c r="CW49" i="40872"/>
  <c r="BT46" i="40872"/>
  <c r="CV46" i="40872"/>
  <c r="CS59" i="40872"/>
  <c r="BT68" i="40875"/>
  <c r="BY188" i="40875"/>
  <c r="CU44" i="40875"/>
  <c r="CC29" i="40875"/>
  <c r="BJ52" i="40872"/>
  <c r="AN240" i="40872"/>
  <c r="AI231" i="40872"/>
  <c r="AN241" i="40872" s="1"/>
  <c r="BN124" i="40872"/>
  <c r="CX12" i="40875"/>
  <c r="CX41" i="40875"/>
  <c r="AF135" i="40872"/>
  <c r="CB46" i="40876"/>
  <c r="BI129" i="40872"/>
  <c r="BL173" i="40872"/>
  <c r="CO57" i="40876"/>
  <c r="BP180" i="40872"/>
  <c r="AR130" i="40872"/>
  <c r="BU56" i="40875"/>
  <c r="R13" i="40877"/>
  <c r="BR103" i="40872"/>
  <c r="BR38" i="40872"/>
  <c r="BR50" i="40872" s="1"/>
  <c r="DA77" i="40875"/>
  <c r="DA82" i="40875" s="1"/>
  <c r="BF102" i="40872"/>
  <c r="BA91" i="40872"/>
  <c r="BC205" i="40872"/>
  <c r="CL61" i="40875" s="1"/>
  <c r="BJ89" i="40872"/>
  <c r="BJ38" i="40872"/>
  <c r="BA102" i="40872"/>
  <c r="BA84" i="40872"/>
  <c r="BA86" i="40872"/>
  <c r="BA39" i="40872"/>
  <c r="BA92" i="40872" s="1"/>
  <c r="BA40" i="40872"/>
  <c r="BJ86" i="40872"/>
  <c r="M5" i="40877"/>
  <c r="BJ88" i="40872"/>
  <c r="CJ82" i="40876"/>
  <c r="BA52" i="40872"/>
  <c r="CS76" i="40875"/>
  <c r="AR107" i="40872"/>
  <c r="BT196" i="40872"/>
  <c r="CS193" i="40875"/>
  <c r="CS194" i="40875" s="1"/>
  <c r="BO46" i="40872"/>
  <c r="AQ206" i="40872"/>
  <c r="AQ38" i="40872"/>
  <c r="AR206" i="40872"/>
  <c r="AQ103" i="40872"/>
  <c r="AQ74" i="40872"/>
  <c r="AB93" i="40872"/>
  <c r="AB42" i="40872"/>
  <c r="BO200" i="40872"/>
  <c r="BT202" i="40872" s="1"/>
  <c r="BM199" i="40872"/>
  <c r="BO199" i="40872" s="1"/>
  <c r="BF173" i="40872"/>
  <c r="CO64" i="40876"/>
  <c r="CO66" i="40876" s="1"/>
  <c r="CO71" i="40876" s="1"/>
  <c r="CK37" i="40876"/>
  <c r="BB128" i="40872" s="1"/>
  <c r="BB130" i="40872" s="1"/>
  <c r="DB33" i="40876"/>
  <c r="CF37" i="40876"/>
  <c r="CR23" i="40876"/>
  <c r="BC174" i="40872"/>
  <c r="BC172" i="40872" s="1"/>
  <c r="K16" i="40877"/>
  <c r="CI71" i="40876"/>
  <c r="BN69" i="40876"/>
  <c r="BV37" i="40876"/>
  <c r="BD174" i="40872"/>
  <c r="BD172" i="40872" s="1"/>
  <c r="BD173" i="40872" s="1"/>
  <c r="CM14" i="40876"/>
  <c r="CM35" i="40876"/>
  <c r="CC39" i="40876"/>
  <c r="CC78" i="40876" s="1"/>
  <c r="CB65" i="40876"/>
  <c r="AS129" i="40872"/>
  <c r="BN16" i="40876"/>
  <c r="AI148" i="40872"/>
  <c r="AN237" i="40872"/>
  <c r="CP46" i="40876"/>
  <c r="CQ45" i="40876"/>
  <c r="BI93" i="40872"/>
  <c r="CQ36" i="40876"/>
  <c r="CR36" i="40876" s="1"/>
  <c r="CP31" i="40876"/>
  <c r="BH216" i="40872"/>
  <c r="BH217" i="40872" s="1"/>
  <c r="DA20" i="40875"/>
  <c r="DB49" i="40876"/>
  <c r="DB10" i="40876"/>
  <c r="BN56" i="40875"/>
  <c r="AO237" i="40872"/>
  <c r="AM224" i="40872"/>
  <c r="AM236" i="40872" s="1"/>
  <c r="AM229" i="40872"/>
  <c r="AE230" i="40872"/>
  <c r="AJ240" i="40872" s="1"/>
  <c r="AS237" i="40872"/>
  <c r="AS230" i="40872"/>
  <c r="AS240" i="40872" s="1"/>
  <c r="AE225" i="40872"/>
  <c r="AJ237" i="40872" s="1"/>
  <c r="AE216" i="40872"/>
  <c r="AE217" i="40872" s="1"/>
  <c r="AH236" i="40872"/>
  <c r="AI229" i="40872"/>
  <c r="AN239" i="40872" s="1"/>
  <c r="AS216" i="40872"/>
  <c r="AS217" i="40872" s="1"/>
  <c r="AD216" i="40872"/>
  <c r="AD217" i="40872" s="1"/>
  <c r="AD230" i="40872"/>
  <c r="AI240" i="40872" s="1"/>
  <c r="AY77" i="40872"/>
  <c r="AL216" i="40872"/>
  <c r="AL217" i="40872" s="1"/>
  <c r="AG229" i="40872"/>
  <c r="AL239" i="40872" s="1"/>
  <c r="AG224" i="40872"/>
  <c r="AL236" i="40872" s="1"/>
  <c r="AT224" i="40872"/>
  <c r="AY236" i="40872" s="1"/>
  <c r="AT229" i="40872"/>
  <c r="AG225" i="40872"/>
  <c r="AG237" i="40872" s="1"/>
  <c r="AF225" i="40872"/>
  <c r="AK237" i="40872" s="1"/>
  <c r="CU26" i="40872"/>
  <c r="BW27" i="40872"/>
  <c r="BW38" i="40872" s="1"/>
  <c r="AX239" i="40872"/>
  <c r="DB34" i="40876"/>
  <c r="AJ229" i="40872"/>
  <c r="AJ239" i="40872" s="1"/>
  <c r="AJ224" i="40872"/>
  <c r="AJ236" i="40872" s="1"/>
  <c r="AO229" i="40872"/>
  <c r="AO224" i="40872"/>
  <c r="AO231" i="40872"/>
  <c r="AO241" i="40872" s="1"/>
  <c r="AO230" i="40872"/>
  <c r="AO240" i="40872" s="1"/>
  <c r="BK57" i="40876"/>
  <c r="BK64" i="40876"/>
  <c r="BK66" i="40876" s="1"/>
  <c r="BK71" i="40876" s="1"/>
  <c r="BY62" i="40875"/>
  <c r="AT216" i="40872"/>
  <c r="AT217" i="40872" s="1"/>
  <c r="BA225" i="40872"/>
  <c r="BA237" i="40872" s="1"/>
  <c r="CS29" i="40875"/>
  <c r="DB188" i="40875"/>
  <c r="DA68" i="40875"/>
  <c r="BL56" i="40875"/>
  <c r="CW29" i="40875"/>
  <c r="CS59" i="40876"/>
  <c r="DB35" i="40876"/>
  <c r="DB14" i="40876"/>
  <c r="DB15" i="40876"/>
  <c r="AR231" i="40872"/>
  <c r="AR241" i="40872" s="1"/>
  <c r="AR230" i="40872"/>
  <c r="AR240" i="40872" s="1"/>
  <c r="CR29" i="40876"/>
  <c r="BO150" i="40872"/>
  <c r="AI53" i="40872"/>
  <c r="AI95" i="40872"/>
  <c r="AQ216" i="40872"/>
  <c r="AQ217" i="40872" s="1"/>
  <c r="AP232" i="40872"/>
  <c r="AP216" i="40872"/>
  <c r="AP217" i="40872" s="1"/>
  <c r="CH82" i="40875"/>
  <c r="CH79" i="40875"/>
  <c r="CH83" i="40875" s="1"/>
  <c r="AU216" i="40872"/>
  <c r="AU217" i="40872" s="1"/>
  <c r="CQ55" i="40875"/>
  <c r="AX231" i="40872"/>
  <c r="AX241" i="40872" s="1"/>
  <c r="BE199" i="40872"/>
  <c r="CF62" i="40875"/>
  <c r="AO129" i="40872"/>
  <c r="AV151" i="40872"/>
  <c r="DB56" i="40876"/>
  <c r="DB40" i="40876"/>
  <c r="DB70" i="40876" s="1"/>
  <c r="CL37" i="40876"/>
  <c r="DC88" i="40876"/>
  <c r="DC87" i="40876" s="1"/>
  <c r="BX31" i="40876"/>
  <c r="CR78" i="40876"/>
  <c r="BI43" i="40872"/>
  <c r="CR201" i="40875" s="1"/>
  <c r="BI246" i="40872"/>
  <c r="BI94" i="40872"/>
  <c r="BO59" i="40876"/>
  <c r="CC31" i="40876"/>
  <c r="CW43" i="40876"/>
  <c r="BW63" i="40875"/>
  <c r="AH91" i="40872"/>
  <c r="AJ208" i="40872"/>
  <c r="AK208" i="40872" s="1"/>
  <c r="BT59" i="40875" s="1"/>
  <c r="BT63" i="40875" s="1"/>
  <c r="CA56" i="40875"/>
  <c r="CA62" i="40875"/>
  <c r="BU151" i="40872"/>
  <c r="CR67" i="40876"/>
  <c r="CM46" i="40876"/>
  <c r="CR55" i="40876"/>
  <c r="CW48" i="40876"/>
  <c r="CY64" i="40876"/>
  <c r="CY66" i="40876" s="1"/>
  <c r="CY71" i="40876" s="1"/>
  <c r="BP128" i="40872"/>
  <c r="BP130" i="40872" s="1"/>
  <c r="BO194" i="40872"/>
  <c r="AZ117" i="40872"/>
  <c r="BN168" i="40872"/>
  <c r="DA70" i="40876"/>
  <c r="CP55" i="40875"/>
  <c r="BI109" i="40872"/>
  <c r="AK89" i="40872"/>
  <c r="BE200" i="40872"/>
  <c r="BJ202" i="40872" s="1"/>
  <c r="AI208" i="40872"/>
  <c r="BH109" i="40872"/>
  <c r="BX65" i="40876"/>
  <c r="CM69" i="40876"/>
  <c r="CW67" i="40876"/>
  <c r="BL57" i="40876"/>
  <c r="CM16" i="40876"/>
  <c r="AY227" i="40872"/>
  <c r="AY229" i="40872"/>
  <c r="AY239" i="40872" s="1"/>
  <c r="CF153" i="40872"/>
  <c r="CK145" i="40872"/>
  <c r="AH92" i="40872"/>
  <c r="AP87" i="40872"/>
  <c r="BY82" i="40876"/>
  <c r="AP90" i="40872"/>
  <c r="I5" i="40877"/>
  <c r="BY76" i="40875"/>
  <c r="AP102" i="40872"/>
  <c r="AP84" i="40872"/>
  <c r="AK38" i="40872"/>
  <c r="AH40" i="40872"/>
  <c r="AM108" i="40872" s="1"/>
  <c r="AH39" i="40872"/>
  <c r="AK39" i="40872" s="1"/>
  <c r="AS55" i="40872"/>
  <c r="BM79" i="40872"/>
  <c r="BG208" i="40872"/>
  <c r="CP59" i="40875" s="1"/>
  <c r="BF50" i="40872"/>
  <c r="AP89" i="40872"/>
  <c r="AG185" i="40872"/>
  <c r="AP88" i="40872"/>
  <c r="AK86" i="40872"/>
  <c r="AU173" i="40872"/>
  <c r="AP177" i="40872"/>
  <c r="AU178" i="40872" s="1"/>
  <c r="AP96" i="40872"/>
  <c r="AP148" i="40872"/>
  <c r="AP150" i="40872"/>
  <c r="AP151" i="40872" s="1"/>
  <c r="CH55" i="40875"/>
  <c r="CI54" i="40875"/>
  <c r="CI55" i="40875" s="1"/>
  <c r="AM107" i="40872"/>
  <c r="AH50" i="40872"/>
  <c r="AH95" i="40872" s="1"/>
  <c r="BI53" i="40872"/>
  <c r="BI55" i="40872" s="1"/>
  <c r="BI97" i="40872" s="1"/>
  <c r="BF42" i="40872"/>
  <c r="BF94" i="40872" s="1"/>
  <c r="BF91" i="40872"/>
  <c r="BX61" i="40875"/>
  <c r="BB151" i="40872"/>
  <c r="BG151" i="40872"/>
  <c r="BQ151" i="40872"/>
  <c r="AU146" i="40872"/>
  <c r="AU150" i="40872"/>
  <c r="AZ151" i="40872" s="1"/>
  <c r="BJ205" i="40872"/>
  <c r="CR61" i="40875"/>
  <c r="CR63" i="40875" s="1"/>
  <c r="CU59" i="40872"/>
  <c r="AQ173" i="40872"/>
  <c r="AL177" i="40872"/>
  <c r="AQ178" i="40872" s="1"/>
  <c r="H5" i="40877"/>
  <c r="H6" i="40877" s="1"/>
  <c r="AK102" i="40872"/>
  <c r="BT76" i="40875"/>
  <c r="AK90" i="40872"/>
  <c r="AK87" i="40872"/>
  <c r="BT82" i="40876"/>
  <c r="AK84" i="40872"/>
  <c r="AK96" i="40872"/>
  <c r="CG56" i="40875"/>
  <c r="BF107" i="40872"/>
  <c r="AO55" i="40872"/>
  <c r="AL208" i="40872"/>
  <c r="BU59" i="40875" s="1"/>
  <c r="BU63" i="40875" s="1"/>
  <c r="AM242" i="40872"/>
  <c r="CF150" i="40872"/>
  <c r="CF29" i="40872" s="1"/>
  <c r="AP86" i="40872"/>
  <c r="AU52" i="40872"/>
  <c r="CB54" i="40875"/>
  <c r="AP146" i="40872"/>
  <c r="CD64" i="40876"/>
  <c r="CD66" i="40876" s="1"/>
  <c r="AU128" i="40872"/>
  <c r="AU130" i="40872" s="1"/>
  <c r="CD57" i="40876"/>
  <c r="BS33" i="40876"/>
  <c r="AT135" i="40872"/>
  <c r="BX15" i="40876"/>
  <c r="CW19" i="40876"/>
  <c r="CW18" i="40876"/>
  <c r="DA69" i="40876"/>
  <c r="DP98" i="40876"/>
  <c r="DK100" i="40876"/>
  <c r="DA67" i="40876"/>
  <c r="DA82" i="40876"/>
  <c r="BR129" i="40872"/>
  <c r="DA65" i="40876"/>
  <c r="DA46" i="40876"/>
  <c r="CV69" i="40876"/>
  <c r="DN98" i="40876"/>
  <c r="DI100" i="40876"/>
  <c r="CW34" i="40876"/>
  <c r="BH174" i="40872"/>
  <c r="BH172" i="40872" s="1"/>
  <c r="CR17" i="40876"/>
  <c r="CH15" i="40876"/>
  <c r="BV57" i="40876"/>
  <c r="DB45" i="40876"/>
  <c r="CH19" i="40876"/>
  <c r="BN21" i="40876"/>
  <c r="CC69" i="40876"/>
  <c r="BN22" i="40876"/>
  <c r="BN49" i="40876"/>
  <c r="CH52" i="40876"/>
  <c r="CY59" i="40876"/>
  <c r="CH22" i="40876"/>
  <c r="CR69" i="40876"/>
  <c r="BS135" i="40872"/>
  <c r="DB68" i="40876"/>
  <c r="AX199" i="40872"/>
  <c r="CG67" i="40876"/>
  <c r="CH50" i="40876"/>
  <c r="CH49" i="40876"/>
  <c r="CG55" i="40876"/>
  <c r="BS23" i="40876"/>
  <c r="BX51" i="40876"/>
  <c r="AN135" i="40872"/>
  <c r="BW68" i="40876"/>
  <c r="BN17" i="40876"/>
  <c r="BX44" i="40876"/>
  <c r="BW69" i="40876"/>
  <c r="BW46" i="40876"/>
  <c r="BC173" i="40872"/>
  <c r="CC68" i="40876"/>
  <c r="DB30" i="40876"/>
  <c r="BR135" i="40872"/>
  <c r="DA68" i="40876"/>
  <c r="BR174" i="40872"/>
  <c r="BR172" i="40872" s="1"/>
  <c r="DH88" i="40876"/>
  <c r="CR10" i="40876"/>
  <c r="BN42" i="40876"/>
  <c r="BM46" i="40876"/>
  <c r="CW44" i="40876"/>
  <c r="CW46" i="40876" s="1"/>
  <c r="BW55" i="40876"/>
  <c r="BX49" i="40876"/>
  <c r="DB19" i="40876"/>
  <c r="DQ98" i="40876"/>
  <c r="DL100" i="40876"/>
  <c r="AH128" i="40872"/>
  <c r="AH130" i="40872" s="1"/>
  <c r="BQ64" i="40876"/>
  <c r="BQ66" i="40876" s="1"/>
  <c r="BQ71" i="40876" s="1"/>
  <c r="BX10" i="40876"/>
  <c r="BW37" i="40876"/>
  <c r="AI199" i="40872"/>
  <c r="BS50" i="40876"/>
  <c r="BR55" i="40876"/>
  <c r="BR67" i="40876"/>
  <c r="BM31" i="40876"/>
  <c r="BN35" i="40876"/>
  <c r="BS35" i="40876"/>
  <c r="BH65" i="40876"/>
  <c r="BI39" i="40876"/>
  <c r="BH46" i="40876"/>
  <c r="BN52" i="40876"/>
  <c r="BG57" i="40876"/>
  <c r="BG59" i="40876" s="1"/>
  <c r="BG61" i="40876" s="1"/>
  <c r="BI30" i="40876"/>
  <c r="BI37" i="40876" s="1"/>
  <c r="BI64" i="40876" s="1"/>
  <c r="BH37" i="40876"/>
  <c r="BH64" i="40876" s="1"/>
  <c r="AW128" i="40872"/>
  <c r="AW130" i="40872" s="1"/>
  <c r="CF64" i="40876"/>
  <c r="CF66" i="40876" s="1"/>
  <c r="CF71" i="40876" s="1"/>
  <c r="CK64" i="40876"/>
  <c r="CK66" i="40876" s="1"/>
  <c r="CK71" i="40876" s="1"/>
  <c r="BS174" i="40872"/>
  <c r="BS172" i="40872" s="1"/>
  <c r="AD199" i="40872"/>
  <c r="BN50" i="40876"/>
  <c r="BM67" i="40876"/>
  <c r="BN19" i="40876"/>
  <c r="CH29" i="40876"/>
  <c r="AX135" i="40872"/>
  <c r="CH51" i="40876"/>
  <c r="CG68" i="40876"/>
  <c r="BX56" i="40876"/>
  <c r="BR37" i="40876"/>
  <c r="BS18" i="40876"/>
  <c r="BW67" i="40876"/>
  <c r="BX50" i="40876"/>
  <c r="AN199" i="40872"/>
  <c r="AN200" i="40872" s="1"/>
  <c r="DB69" i="40876"/>
  <c r="DO98" i="40876"/>
  <c r="DO100" i="40876" s="1"/>
  <c r="DB65" i="40876"/>
  <c r="DB82" i="40876"/>
  <c r="BS129" i="40872"/>
  <c r="CV129" i="40872" s="1"/>
  <c r="BN48" i="40876"/>
  <c r="BM55" i="40876"/>
  <c r="CH12" i="40876"/>
  <c r="CG37" i="40876"/>
  <c r="AS199" i="40872"/>
  <c r="AS200" i="40872" s="1"/>
  <c r="CB67" i="40876"/>
  <c r="CC50" i="40876"/>
  <c r="BN25" i="40876"/>
  <c r="BT57" i="40876"/>
  <c r="AK128" i="40872"/>
  <c r="AK130" i="40872" s="1"/>
  <c r="BT64" i="40876"/>
  <c r="BT66" i="40876" s="1"/>
  <c r="CN59" i="40876"/>
  <c r="BS34" i="40876"/>
  <c r="CF57" i="40876"/>
  <c r="BH55" i="40876"/>
  <c r="BI54" i="40876"/>
  <c r="BI55" i="40876" s="1"/>
  <c r="CH94" i="40876"/>
  <c r="CH95" i="40876" s="1"/>
  <c r="CG95" i="40876"/>
  <c r="BJ60" i="40876"/>
  <c r="BE62" i="40876"/>
  <c r="BQ59" i="40876"/>
  <c r="CC16" i="40876"/>
  <c r="CB37" i="40876"/>
  <c r="CE59" i="40876"/>
  <c r="CV31" i="40876"/>
  <c r="CU38" i="40875"/>
  <c r="BK56" i="40875"/>
  <c r="DF109" i="40875"/>
  <c r="DF110" i="40875" s="1"/>
  <c r="DF116" i="40875" s="1"/>
  <c r="DE110" i="40875"/>
  <c r="DE116" i="40875" s="1"/>
  <c r="DD191" i="40875"/>
  <c r="DC191" i="40875"/>
  <c r="CK56" i="40875"/>
  <c r="CP62" i="40875"/>
  <c r="CK62" i="40875"/>
  <c r="CP61" i="40875"/>
  <c r="BS189" i="40875"/>
  <c r="AF58" i="40872"/>
  <c r="AX92" i="40872"/>
  <c r="AV236" i="40872"/>
  <c r="CN59" i="40872"/>
  <c r="BH233" i="40872"/>
  <c r="BC107" i="40872"/>
  <c r="AF59" i="40872"/>
  <c r="BM86" i="40872"/>
  <c r="AG208" i="40872"/>
  <c r="CA151" i="40872"/>
  <c r="AX232" i="40872"/>
  <c r="AX242" i="40872" s="1"/>
  <c r="BQ172" i="40872"/>
  <c r="BV180" i="40872" s="1"/>
  <c r="BM205" i="40872"/>
  <c r="CV61" i="40875" s="1"/>
  <c r="CI77" i="40875"/>
  <c r="CI79" i="40875" s="1"/>
  <c r="AT93" i="40872"/>
  <c r="BQ27" i="40872"/>
  <c r="BV79" i="40872"/>
  <c r="AZ64" i="40872"/>
  <c r="CG49" i="40872"/>
  <c r="DH46" i="40875"/>
  <c r="DH43" i="40875"/>
  <c r="DH28" i="40875"/>
  <c r="DH26" i="40875"/>
  <c r="DH25" i="40875"/>
  <c r="DH23" i="40875"/>
  <c r="CQ63" i="40875"/>
  <c r="DH12" i="40875"/>
  <c r="DJ14" i="40876"/>
  <c r="BY26" i="40872"/>
  <c r="CF49" i="40872"/>
  <c r="BT55" i="40875"/>
  <c r="AS242" i="40872"/>
  <c r="CL78" i="40876"/>
  <c r="BJ208" i="40872"/>
  <c r="CD59" i="40872"/>
  <c r="AT208" i="40872"/>
  <c r="AU208" i="40872" s="1"/>
  <c r="CD59" i="40875" s="1"/>
  <c r="CD63" i="40875" s="1"/>
  <c r="BC43" i="40872"/>
  <c r="CL201" i="40875" s="1"/>
  <c r="AO242" i="40872"/>
  <c r="CI59" i="40872"/>
  <c r="BH95" i="40872"/>
  <c r="BH185" i="40872" s="1"/>
  <c r="AO93" i="40872"/>
  <c r="BC247" i="40872"/>
  <c r="BY59" i="40872"/>
  <c r="AR50" i="40872"/>
  <c r="AR95" i="40872" s="1"/>
  <c r="BC94" i="40872"/>
  <c r="AO108" i="40872"/>
  <c r="BX175" i="40872"/>
  <c r="AJ66" i="40872"/>
  <c r="AG94" i="40872"/>
  <c r="AL109" i="40872"/>
  <c r="AP39" i="40872"/>
  <c r="AS108" i="40872"/>
  <c r="AN93" i="40872"/>
  <c r="AN95" i="40872"/>
  <c r="AN53" i="40872"/>
  <c r="BH94" i="40872"/>
  <c r="BH43" i="40872"/>
  <c r="CQ78" i="40876"/>
  <c r="BH246" i="40872"/>
  <c r="BH93" i="40872"/>
  <c r="BA246" i="40872"/>
  <c r="BA332" i="40872" s="1"/>
  <c r="AR92" i="40872"/>
  <c r="AS208" i="40872"/>
  <c r="CB59" i="40875" s="1"/>
  <c r="CB63" i="40875" s="1"/>
  <c r="AV40" i="40872"/>
  <c r="AV93" i="40872" s="1"/>
  <c r="AR39" i="40872"/>
  <c r="BA94" i="40872"/>
  <c r="AR208" i="40872"/>
  <c r="CA59" i="40875" s="1"/>
  <c r="CA63" i="40875" s="1"/>
  <c r="AR232" i="40872"/>
  <c r="AR242" i="40872" s="1"/>
  <c r="AV208" i="40872"/>
  <c r="CE59" i="40875" s="1"/>
  <c r="CE63" i="40875" s="1"/>
  <c r="AV107" i="40872"/>
  <c r="AV91" i="40872"/>
  <c r="AV39" i="40872"/>
  <c r="AV50" i="40872"/>
  <c r="AV92" i="40872"/>
  <c r="BA107" i="40872"/>
  <c r="AV232" i="40872"/>
  <c r="P13" i="40877"/>
  <c r="BM38" i="40872"/>
  <c r="BM91" i="40872" s="1"/>
  <c r="CY201" i="40875"/>
  <c r="CA189" i="40875"/>
  <c r="BB86" i="40872"/>
  <c r="BB84" i="40872"/>
  <c r="BD205" i="40872"/>
  <c r="CK82" i="40876"/>
  <c r="BG102" i="40872"/>
  <c r="BB38" i="40872"/>
  <c r="BF205" i="40872"/>
  <c r="CO61" i="40875" s="1"/>
  <c r="BB90" i="40872"/>
  <c r="CK76" i="40875"/>
  <c r="CK81" i="40875" s="1"/>
  <c r="CL81" i="40875" s="1"/>
  <c r="AX91" i="40872"/>
  <c r="AX42" i="40872"/>
  <c r="AX39" i="40872"/>
  <c r="AX40" i="40872"/>
  <c r="AC93" i="40872"/>
  <c r="AP50" i="40872"/>
  <c r="F9" i="40877"/>
  <c r="AA94" i="40872"/>
  <c r="AD40" i="40872"/>
  <c r="AF40" i="40872" s="1"/>
  <c r="AD91" i="40872"/>
  <c r="AD39" i="40872"/>
  <c r="AF39" i="40872" s="1"/>
  <c r="AD92" i="40872"/>
  <c r="AH208" i="40872"/>
  <c r="AD50" i="40872"/>
  <c r="AF50" i="40872" s="1"/>
  <c r="AT55" i="40872"/>
  <c r="AP91" i="40872"/>
  <c r="I7" i="40877"/>
  <c r="AP40" i="40872"/>
  <c r="AP92" i="40872"/>
  <c r="BP53" i="40872"/>
  <c r="BG247" i="40872"/>
  <c r="BG332" i="40872"/>
  <c r="BE76" i="40872"/>
  <c r="BE77" i="40872"/>
  <c r="AV239" i="40872"/>
  <c r="BR76" i="40872"/>
  <c r="BP74" i="40872"/>
  <c r="BP79" i="40872" s="1"/>
  <c r="CA71" i="40872"/>
  <c r="CA73" i="40872" s="1"/>
  <c r="CA74" i="40872" s="1"/>
  <c r="BZ153" i="40872"/>
  <c r="CE150" i="40872"/>
  <c r="CE29" i="40872" s="1"/>
  <c r="CJ145" i="40872"/>
  <c r="BT175" i="40872"/>
  <c r="BU106" i="40872"/>
  <c r="DA127" i="40875"/>
  <c r="DA110" i="40875"/>
  <c r="DA116" i="40875" s="1"/>
  <c r="DA132" i="40875" s="1"/>
  <c r="BZ56" i="40875"/>
  <c r="CU188" i="40875"/>
  <c r="CT68" i="40875"/>
  <c r="CT29" i="40875"/>
  <c r="CT61" i="40875" s="1"/>
  <c r="CU52" i="40875"/>
  <c r="CU190" i="40875"/>
  <c r="CV47" i="40875"/>
  <c r="CN55" i="40875"/>
  <c r="DD131" i="40875"/>
  <c r="DD132" i="40875" s="1"/>
  <c r="CJ91" i="40875"/>
  <c r="CJ103" i="40875"/>
  <c r="BU125" i="40872"/>
  <c r="CW37" i="40875"/>
  <c r="CV38" i="40875"/>
  <c r="DH33" i="40875"/>
  <c r="BV61" i="40875"/>
  <c r="BV63" i="40875" s="1"/>
  <c r="BV62" i="40875"/>
  <c r="BQ56" i="40875"/>
  <c r="CI29" i="40875"/>
  <c r="CV76" i="40875"/>
  <c r="CV81" i="40875" s="1"/>
  <c r="BM102" i="40872"/>
  <c r="BR102" i="40872"/>
  <c r="BP205" i="40872"/>
  <c r="CY61" i="40875" s="1"/>
  <c r="BQ205" i="40872"/>
  <c r="CZ61" i="40875" s="1"/>
  <c r="CD26" i="40872"/>
  <c r="BN205" i="40872"/>
  <c r="BM84" i="40872"/>
  <c r="CN26" i="40872"/>
  <c r="CI26" i="40872"/>
  <c r="BU175" i="40872"/>
  <c r="BU172" i="40872" s="1"/>
  <c r="DC69" i="40876"/>
  <c r="J15" i="40877"/>
  <c r="AY230" i="40872"/>
  <c r="AY231" i="40872"/>
  <c r="BP173" i="40872"/>
  <c r="BF153" i="40872"/>
  <c r="AS241" i="40872"/>
  <c r="AW231" i="40872"/>
  <c r="AW230" i="40872"/>
  <c r="AV231" i="40872"/>
  <c r="AV230" i="40872"/>
  <c r="AO243" i="40872"/>
  <c r="AW236" i="40872"/>
  <c r="AR24" i="40872"/>
  <c r="BC55" i="40872"/>
  <c r="BP59" i="40876"/>
  <c r="AR73" i="40872"/>
  <c r="AR74" i="40872" s="1"/>
  <c r="BP352" i="40872"/>
  <c r="BP354" i="40872" s="1"/>
  <c r="BP95" i="40872"/>
  <c r="AZ74" i="40872"/>
  <c r="AZ78" i="40872"/>
  <c r="BE78" i="40872"/>
  <c r="AM240" i="40872"/>
  <c r="BT26" i="40872"/>
  <c r="CO59" i="40876"/>
  <c r="BV106" i="40872"/>
  <c r="CA106" i="40872"/>
  <c r="DC48" i="40875"/>
  <c r="DD190" i="40875" s="1"/>
  <c r="DC24" i="40875"/>
  <c r="AU118" i="40872"/>
  <c r="BH55" i="40872"/>
  <c r="CQ189" i="40875" s="1"/>
  <c r="BO23" i="40872"/>
  <c r="BO24" i="40872" s="1"/>
  <c r="AR82" i="40872"/>
  <c r="BY49" i="40872"/>
  <c r="AS327" i="40872"/>
  <c r="AE53" i="40872"/>
  <c r="AE95" i="40872"/>
  <c r="AW173" i="40872"/>
  <c r="BB180" i="40872"/>
  <c r="AZ172" i="40872"/>
  <c r="BB173" i="40872"/>
  <c r="BA137" i="40872"/>
  <c r="BB136" i="40872"/>
  <c r="BB137" i="40872" s="1"/>
  <c r="BB138" i="40872" s="1"/>
  <c r="AE42" i="40872"/>
  <c r="AE233" i="40872" s="1"/>
  <c r="AJ243" i="40872" s="1"/>
  <c r="AE93" i="40872"/>
  <c r="AJ108" i="40872"/>
  <c r="BZ59" i="40876"/>
  <c r="AY76" i="40872"/>
  <c r="CE49" i="40872"/>
  <c r="CD49" i="40872"/>
  <c r="AQ118" i="40872"/>
  <c r="AV118" i="40872"/>
  <c r="BR64" i="40872"/>
  <c r="BT59" i="40872"/>
  <c r="BG50" i="40872"/>
  <c r="BJ46" i="40872"/>
  <c r="AV138" i="40872"/>
  <c r="AF92" i="40872"/>
  <c r="AF107" i="40872"/>
  <c r="G7" i="40877"/>
  <c r="G8" i="40877" s="1"/>
  <c r="AF91" i="40872"/>
  <c r="AX236" i="40872"/>
  <c r="AS236" i="40872"/>
  <c r="AT118" i="40872"/>
  <c r="CB78" i="40876"/>
  <c r="AS233" i="40872"/>
  <c r="AS43" i="40872"/>
  <c r="CB201" i="40875" s="1"/>
  <c r="AS94" i="40872"/>
  <c r="BJ42" i="40872"/>
  <c r="BJ40" i="40872"/>
  <c r="BJ93" i="40872" s="1"/>
  <c r="AO57" i="40872"/>
  <c r="AO65" i="40872"/>
  <c r="AO97" i="40872"/>
  <c r="BI108" i="40872"/>
  <c r="BD93" i="40872"/>
  <c r="AC95" i="40872"/>
  <c r="AC53" i="40872"/>
  <c r="BJ91" i="40872"/>
  <c r="M7" i="40877"/>
  <c r="CO78" i="40876"/>
  <c r="BG209" i="40872"/>
  <c r="BD95" i="40872"/>
  <c r="BD185" i="40872" s="1"/>
  <c r="BD53" i="40872"/>
  <c r="AA55" i="40872"/>
  <c r="AJ55" i="40872"/>
  <c r="BI201" i="40872"/>
  <c r="BT44" i="40872"/>
  <c r="BS210" i="40872"/>
  <c r="BT210" i="40872" s="1"/>
  <c r="BJ151" i="40872"/>
  <c r="BO151" i="40872"/>
  <c r="BN78" i="40872"/>
  <c r="BI78" i="40872"/>
  <c r="BI76" i="40872"/>
  <c r="BI73" i="40872"/>
  <c r="BI74" i="40872" s="1"/>
  <c r="BN76" i="40872"/>
  <c r="BA43" i="40872"/>
  <c r="BJ79" i="40872"/>
  <c r="CN82" i="40876"/>
  <c r="BE89" i="40872"/>
  <c r="BE86" i="40872"/>
  <c r="BE87" i="40872"/>
  <c r="L5" i="40877"/>
  <c r="BE90" i="40872"/>
  <c r="BE84" i="40872"/>
  <c r="CN76" i="40875"/>
  <c r="BJ102" i="40872"/>
  <c r="BE88" i="40872"/>
  <c r="BE38" i="40872"/>
  <c r="BF108" i="40872"/>
  <c r="BA93" i="40872"/>
  <c r="CH76" i="40875"/>
  <c r="CH81" i="40875" s="1"/>
  <c r="AY102" i="40872"/>
  <c r="BD102" i="40872"/>
  <c r="CH82" i="40876"/>
  <c r="AY84" i="40872"/>
  <c r="AY90" i="40872"/>
  <c r="AY86" i="40872"/>
  <c r="BB205" i="40872"/>
  <c r="CK61" i="40875" s="1"/>
  <c r="BA205" i="40872"/>
  <c r="CJ61" i="40875" s="1"/>
  <c r="AY38" i="40872"/>
  <c r="AS24" i="40872"/>
  <c r="AS73" i="40872"/>
  <c r="AS26" i="40872"/>
  <c r="BK40" i="40872"/>
  <c r="BK42" i="40872"/>
  <c r="BK50" i="40872"/>
  <c r="BK91" i="40872"/>
  <c r="BK39" i="40872"/>
  <c r="BK92" i="40872" s="1"/>
  <c r="BK107" i="40872"/>
  <c r="BK208" i="40872"/>
  <c r="CT59" i="40875" s="1"/>
  <c r="BL208" i="40872"/>
  <c r="CU59" i="40875" s="1"/>
  <c r="CU63" i="40875" s="1"/>
  <c r="BE52" i="40872"/>
  <c r="BA95" i="40872"/>
  <c r="BN77" i="40872"/>
  <c r="BI77" i="40872"/>
  <c r="AZ224" i="40872"/>
  <c r="AW52" i="40872"/>
  <c r="AX205" i="40872"/>
  <c r="CG61" i="40875" s="1"/>
  <c r="AW90" i="40872"/>
  <c r="AW205" i="40872"/>
  <c r="CF61" i="40875" s="1"/>
  <c r="AZ17" i="40872"/>
  <c r="BB102" i="40872"/>
  <c r="CF82" i="40876"/>
  <c r="AW38" i="40872"/>
  <c r="AW86" i="40872"/>
  <c r="AW84" i="40872"/>
  <c r="CF76" i="40875"/>
  <c r="CF81" i="40875" s="1"/>
  <c r="AW102" i="40872"/>
  <c r="AY205" i="40872"/>
  <c r="BE100" i="40872"/>
  <c r="CU78" i="40876"/>
  <c r="AI93" i="40872"/>
  <c r="BL92" i="40872"/>
  <c r="AX95" i="40872"/>
  <c r="AX53" i="40872"/>
  <c r="BN352" i="40872"/>
  <c r="BN354" i="40872" s="1"/>
  <c r="BN360" i="40872" s="1"/>
  <c r="BN53" i="40872"/>
  <c r="BN95" i="40872"/>
  <c r="CC201" i="40875"/>
  <c r="AN108" i="40872"/>
  <c r="BN94" i="40872"/>
  <c r="BN109" i="40872"/>
  <c r="BN43" i="40872"/>
  <c r="AL95" i="40872"/>
  <c r="AL53" i="40872"/>
  <c r="AH42" i="40872"/>
  <c r="AM109" i="40872" s="1"/>
  <c r="AC94" i="40872"/>
  <c r="BL94" i="40872"/>
  <c r="BL43" i="40872"/>
  <c r="CU201" i="40875" s="1"/>
  <c r="H7" i="40877"/>
  <c r="AK107" i="40872"/>
  <c r="AK92" i="40872"/>
  <c r="AP107" i="40872"/>
  <c r="AK50" i="40872"/>
  <c r="AK40" i="40872"/>
  <c r="AK91" i="40872"/>
  <c r="AL93" i="40872"/>
  <c r="AL108" i="40872"/>
  <c r="BL95" i="40872"/>
  <c r="BL352" i="40872"/>
  <c r="BL354" i="40872" s="1"/>
  <c r="BL360" i="40872" s="1"/>
  <c r="AG97" i="40872"/>
  <c r="BZ137" i="40872"/>
  <c r="CA136" i="40872"/>
  <c r="CL60" i="40872"/>
  <c r="CL185" i="40872"/>
  <c r="CJ60" i="40872"/>
  <c r="CJ185" i="40872"/>
  <c r="S118" i="40872"/>
  <c r="AD229" i="40872"/>
  <c r="AI239" i="40872" s="1"/>
  <c r="AD224" i="40872"/>
  <c r="AI236" i="40872" s="1"/>
  <c r="O118" i="40872"/>
  <c r="Y118" i="40872"/>
  <c r="AB229" i="40872"/>
  <c r="AB224" i="40872"/>
  <c r="AG236" i="40872" s="1"/>
  <c r="R118" i="40872"/>
  <c r="K118" i="40872"/>
  <c r="H118" i="40872"/>
  <c r="AC118" i="40872"/>
  <c r="AH118" i="40872"/>
  <c r="U118" i="40872"/>
  <c r="CW55" i="40876"/>
  <c r="CW65" i="40876"/>
  <c r="CW82" i="40876"/>
  <c r="BN129" i="40872"/>
  <c r="CW78" i="40876"/>
  <c r="DA36" i="40876"/>
  <c r="DB36" i="40876" s="1"/>
  <c r="CZ31" i="40876"/>
  <c r="DD69" i="40876"/>
  <c r="DD46" i="40876"/>
  <c r="CW16" i="40876"/>
  <c r="BY55" i="40875"/>
  <c r="DA55" i="40876"/>
  <c r="DC70" i="40876"/>
  <c r="I15" i="40877"/>
  <c r="CX84" i="40875"/>
  <c r="CX57" i="40876"/>
  <c r="BO128" i="40872"/>
  <c r="BO130" i="40872" s="1"/>
  <c r="N16" i="40877" s="1"/>
  <c r="CX64" i="40876"/>
  <c r="CX66" i="40876" s="1"/>
  <c r="CX73" i="40876" s="1"/>
  <c r="BX59" i="40875"/>
  <c r="BE79" i="40872"/>
  <c r="BN174" i="40872"/>
  <c r="BZ29" i="40872"/>
  <c r="BZ151" i="40872"/>
  <c r="CQ56" i="40875"/>
  <c r="BR91" i="40872"/>
  <c r="BR345" i="40872"/>
  <c r="BR350" i="40872" s="1"/>
  <c r="BR40" i="40872"/>
  <c r="BR42" i="40872"/>
  <c r="BR92" i="40872"/>
  <c r="BR39" i="40872"/>
  <c r="DA29" i="40876"/>
  <c r="DB29" i="40876" s="1"/>
  <c r="BO70" i="40872"/>
  <c r="BO14" i="40872"/>
  <c r="BQ6" i="40872" s="1"/>
  <c r="BO72" i="40872"/>
  <c r="BO71" i="40872"/>
  <c r="BN135" i="40872"/>
  <c r="CW68" i="40876"/>
  <c r="CV68" i="40876"/>
  <c r="BM135" i="40872"/>
  <c r="CT37" i="40876"/>
  <c r="BM174" i="40872"/>
  <c r="CU37" i="40876"/>
  <c r="CV21" i="40876"/>
  <c r="CW31" i="40876"/>
  <c r="AT174" i="40872"/>
  <c r="BL53" i="40872"/>
  <c r="BO52" i="40872"/>
  <c r="AN118" i="40872"/>
  <c r="AI118" i="40872"/>
  <c r="AB118" i="40872"/>
  <c r="W118" i="40872"/>
  <c r="AM185" i="40872"/>
  <c r="AM94" i="40872"/>
  <c r="AM209" i="40872"/>
  <c r="AM233" i="40872"/>
  <c r="CS55" i="40875"/>
  <c r="CT54" i="40875"/>
  <c r="CT55" i="40875" s="1"/>
  <c r="BM129" i="40872"/>
  <c r="CV46" i="40876"/>
  <c r="CV65" i="40876"/>
  <c r="CV82" i="40876"/>
  <c r="CB54" i="40876"/>
  <c r="CA55" i="40876"/>
  <c r="BQ173" i="40872"/>
  <c r="BQ180" i="40872"/>
  <c r="CV55" i="40876"/>
  <c r="CW29" i="40876"/>
  <c r="CW56" i="40876"/>
  <c r="CW23" i="40876"/>
  <c r="BJ39" i="40872"/>
  <c r="BI92" i="40872"/>
  <c r="BG231" i="40872"/>
  <c r="BG230" i="40872"/>
  <c r="BG232" i="40872"/>
  <c r="BG233" i="40872"/>
  <c r="AM55" i="40872"/>
  <c r="BL79" i="40872"/>
  <c r="BQ79" i="40872"/>
  <c r="CR56" i="40875"/>
  <c r="CA192" i="40875"/>
  <c r="CA193" i="40875" s="1"/>
  <c r="CA194" i="40875" s="1"/>
  <c r="BU210" i="40872"/>
  <c r="AB95" i="40872" l="1"/>
  <c r="AB53" i="40872"/>
  <c r="AB55" i="40872" s="1"/>
  <c r="AG108" i="40872"/>
  <c r="AO209" i="40872"/>
  <c r="AF64" i="40872"/>
  <c r="AX240" i="40872"/>
  <c r="AQ209" i="40872"/>
  <c r="BZ72" i="40875" s="1"/>
  <c r="AN209" i="40872"/>
  <c r="BW70" i="40875" s="1"/>
  <c r="AN126" i="40872" s="1"/>
  <c r="AP42" i="40872"/>
  <c r="AS109" i="40872"/>
  <c r="AN94" i="40872"/>
  <c r="AB201" i="40872"/>
  <c r="AB65" i="40872"/>
  <c r="CD202" i="40872"/>
  <c r="CI202" i="40872"/>
  <c r="BP93" i="40872"/>
  <c r="BN82" i="40876"/>
  <c r="BN65" i="40876"/>
  <c r="AG239" i="40872"/>
  <c r="DA29" i="40875"/>
  <c r="BS46" i="40876"/>
  <c r="BY57" i="40876"/>
  <c r="BY64" i="40876"/>
  <c r="BY66" i="40876" s="1"/>
  <c r="AP128" i="40872"/>
  <c r="AP130" i="40872" s="1"/>
  <c r="AD232" i="40872"/>
  <c r="AI242" i="40872" s="1"/>
  <c r="CX20" i="40875"/>
  <c r="BJ96" i="40872"/>
  <c r="DA79" i="40875"/>
  <c r="DA83" i="40875" s="1"/>
  <c r="P118" i="40872"/>
  <c r="BH57" i="40876"/>
  <c r="BH59" i="40876" s="1"/>
  <c r="BI117" i="40872"/>
  <c r="BI225" i="40872"/>
  <c r="CH46" i="40876"/>
  <c r="AG111" i="40872"/>
  <c r="AG57" i="40872"/>
  <c r="AG201" i="40872"/>
  <c r="AN109" i="40872"/>
  <c r="CP63" i="40875"/>
  <c r="BO124" i="40872"/>
  <c r="CV44" i="40875"/>
  <c r="CC62" i="40875"/>
  <c r="CH62" i="40875"/>
  <c r="CC61" i="40875"/>
  <c r="AU148" i="40872"/>
  <c r="BF95" i="40872"/>
  <c r="BF185" i="40872" s="1"/>
  <c r="CS61" i="40875"/>
  <c r="CJ54" i="40875"/>
  <c r="CJ55" i="40875" s="1"/>
  <c r="CJ56" i="40875" s="1"/>
  <c r="BA53" i="40872"/>
  <c r="BA55" i="40872" s="1"/>
  <c r="CJ22" i="40876"/>
  <c r="CC59" i="40875"/>
  <c r="AR53" i="40872"/>
  <c r="AR185" i="40872"/>
  <c r="BE172" i="40872"/>
  <c r="BE173" i="40872" s="1"/>
  <c r="BF109" i="40872"/>
  <c r="AV79" i="40872"/>
  <c r="AB94" i="40872"/>
  <c r="AG109" i="40872"/>
  <c r="AQ40" i="40872"/>
  <c r="AV108" i="40872" s="1"/>
  <c r="AQ50" i="40872"/>
  <c r="AQ208" i="40872"/>
  <c r="BZ59" i="40875" s="1"/>
  <c r="BZ63" i="40875" s="1"/>
  <c r="AQ92" i="40872"/>
  <c r="AQ39" i="40872"/>
  <c r="AU39" i="40872" s="1"/>
  <c r="AQ107" i="40872"/>
  <c r="AQ91" i="40872"/>
  <c r="BO202" i="40872"/>
  <c r="DB55" i="40876"/>
  <c r="CC82" i="40876"/>
  <c r="CC65" i="40876"/>
  <c r="AT129" i="40872"/>
  <c r="CC46" i="40876"/>
  <c r="CK57" i="40876"/>
  <c r="BV64" i="40876"/>
  <c r="BV66" i="40876" s="1"/>
  <c r="BV71" i="40876" s="1"/>
  <c r="AM128" i="40872"/>
  <c r="AM130" i="40872" s="1"/>
  <c r="CM31" i="40876"/>
  <c r="AS65" i="40872"/>
  <c r="BH97" i="40872"/>
  <c r="CV37" i="40876"/>
  <c r="BJ94" i="40872"/>
  <c r="AK232" i="40872"/>
  <c r="AP242" i="40872" s="1"/>
  <c r="CP37" i="40876"/>
  <c r="CQ46" i="40876"/>
  <c r="BM39" i="40872"/>
  <c r="BM92" i="40872" s="1"/>
  <c r="BM40" i="40872"/>
  <c r="BM108" i="40872" s="1"/>
  <c r="AS201" i="40872"/>
  <c r="CR31" i="40876"/>
  <c r="CR45" i="40876"/>
  <c r="AL237" i="40872"/>
  <c r="BH231" i="40872"/>
  <c r="BH232" i="40872"/>
  <c r="BH230" i="40872"/>
  <c r="CQ31" i="40876"/>
  <c r="AK216" i="40872"/>
  <c r="AK217" i="40872" s="1"/>
  <c r="AP224" i="40872"/>
  <c r="AP236" i="40872" s="1"/>
  <c r="AP229" i="40872"/>
  <c r="AP239" i="40872" s="1"/>
  <c r="AR236" i="40872"/>
  <c r="AR239" i="40872"/>
  <c r="AM239" i="40872"/>
  <c r="AE232" i="40872"/>
  <c r="AJ242" i="40872" s="1"/>
  <c r="AE231" i="40872"/>
  <c r="AJ241" i="40872" s="1"/>
  <c r="AD231" i="40872"/>
  <c r="AI241" i="40872" s="1"/>
  <c r="AG216" i="40872"/>
  <c r="AG217" i="40872" s="1"/>
  <c r="AL233" i="40872"/>
  <c r="AL230" i="40872"/>
  <c r="AL231" i="40872"/>
  <c r="AL232" i="40872"/>
  <c r="AK231" i="40872"/>
  <c r="AK230" i="40872"/>
  <c r="BW92" i="40872"/>
  <c r="BW91" i="40872"/>
  <c r="BW40" i="40872"/>
  <c r="BW93" i="40872" s="1"/>
  <c r="AI55" i="40872"/>
  <c r="AI201" i="40872" s="1"/>
  <c r="CS62" i="40875"/>
  <c r="AO239" i="40872"/>
  <c r="AT239" i="40872"/>
  <c r="AU230" i="40872"/>
  <c r="AU231" i="40872"/>
  <c r="BK59" i="40876"/>
  <c r="AQ231" i="40872"/>
  <c r="AQ230" i="40872"/>
  <c r="AV240" i="40872" s="1"/>
  <c r="AQ233" i="40872"/>
  <c r="AQ232" i="40872"/>
  <c r="AV242" i="40872" s="1"/>
  <c r="BM37" i="40876"/>
  <c r="BM64" i="40876" s="1"/>
  <c r="BM66" i="40876" s="1"/>
  <c r="BM71" i="40876" s="1"/>
  <c r="DM91" i="40876"/>
  <c r="AP230" i="40872"/>
  <c r="AP231" i="40872"/>
  <c r="AI185" i="40872"/>
  <c r="BB225" i="40872"/>
  <c r="AT231" i="40872"/>
  <c r="AT241" i="40872" s="1"/>
  <c r="AT232" i="40872"/>
  <c r="AT242" i="40872" s="1"/>
  <c r="AT233" i="40872"/>
  <c r="AT243" i="40872" s="1"/>
  <c r="AT230" i="40872"/>
  <c r="AT240" i="40872" s="1"/>
  <c r="AO236" i="40872"/>
  <c r="AT236" i="40872"/>
  <c r="BL59" i="40876"/>
  <c r="AZ148" i="40872"/>
  <c r="BF246" i="40872"/>
  <c r="BF332" i="40872" s="1"/>
  <c r="CZ37" i="40876"/>
  <c r="CZ64" i="40876" s="1"/>
  <c r="CZ66" i="40876" s="1"/>
  <c r="CZ71" i="40876" s="1"/>
  <c r="BO73" i="40872"/>
  <c r="CC37" i="40876"/>
  <c r="AT128" i="40872" s="1"/>
  <c r="AS97" i="40872"/>
  <c r="AS57" i="40872"/>
  <c r="AH53" i="40872"/>
  <c r="CP56" i="40875"/>
  <c r="BI209" i="40872"/>
  <c r="CR70" i="40875" s="1"/>
  <c r="BI126" i="40872" s="1"/>
  <c r="BF43" i="40872"/>
  <c r="BF110" i="40872" s="1"/>
  <c r="AZ118" i="40872"/>
  <c r="BI110" i="40872"/>
  <c r="CS59" i="40875"/>
  <c r="CF151" i="40872"/>
  <c r="BT135" i="40872"/>
  <c r="BA117" i="40872"/>
  <c r="BI247" i="40872"/>
  <c r="BI332" i="40872"/>
  <c r="BC128" i="40872"/>
  <c r="BC130" i="40872" s="1"/>
  <c r="CL57" i="40876"/>
  <c r="CL64" i="40876"/>
  <c r="CL66" i="40876" s="1"/>
  <c r="CL71" i="40876" s="1"/>
  <c r="BT174" i="40872"/>
  <c r="BH209" i="40872"/>
  <c r="CQ69" i="40875" s="1"/>
  <c r="I6" i="40877"/>
  <c r="AZ229" i="40872"/>
  <c r="AZ227" i="40872"/>
  <c r="AZ216" i="40872"/>
  <c r="AZ217" i="40872" s="1"/>
  <c r="K15" i="40877"/>
  <c r="CC54" i="40875"/>
  <c r="CB55" i="40875"/>
  <c r="DO14" i="40876"/>
  <c r="BX63" i="40875"/>
  <c r="AH108" i="40872"/>
  <c r="CT63" i="40875"/>
  <c r="BI65" i="40872"/>
  <c r="BF53" i="40872"/>
  <c r="CR189" i="40875"/>
  <c r="CR192" i="40875" s="1"/>
  <c r="CR193" i="40875" s="1"/>
  <c r="CR194" i="40875" s="1"/>
  <c r="AU151" i="40872"/>
  <c r="CH56" i="40875"/>
  <c r="AH93" i="40872"/>
  <c r="BI57" i="40872"/>
  <c r="BI62" i="40872" s="1"/>
  <c r="CK153" i="40872"/>
  <c r="CK150" i="40872"/>
  <c r="CF106" i="40872"/>
  <c r="CH37" i="40876"/>
  <c r="AS128" i="40872"/>
  <c r="AS130" i="40872" s="1"/>
  <c r="CB64" i="40876"/>
  <c r="CB66" i="40876" s="1"/>
  <c r="CB71" i="40876" s="1"/>
  <c r="BT59" i="40876"/>
  <c r="AT199" i="40872"/>
  <c r="AT200" i="40872" s="1"/>
  <c r="CC67" i="40876"/>
  <c r="DT98" i="40876"/>
  <c r="DT100" i="40876" s="1"/>
  <c r="AX137" i="40872"/>
  <c r="CK59" i="40876"/>
  <c r="BX55" i="40876"/>
  <c r="AY199" i="40872"/>
  <c r="AZ199" i="40872" s="1"/>
  <c r="CH67" i="40876"/>
  <c r="DM88" i="40876"/>
  <c r="J16" i="40877"/>
  <c r="CD71" i="40876"/>
  <c r="BH66" i="40876"/>
  <c r="BS67" i="40876"/>
  <c r="AJ199" i="40872"/>
  <c r="AJ200" i="40872" s="1"/>
  <c r="BS55" i="40876"/>
  <c r="BX37" i="40876"/>
  <c r="BW57" i="40876"/>
  <c r="BN46" i="40876"/>
  <c r="AN137" i="40872"/>
  <c r="AN138" i="40872" s="1"/>
  <c r="BS31" i="40876"/>
  <c r="BJ61" i="40876"/>
  <c r="H16" i="40877"/>
  <c r="BT71" i="40876"/>
  <c r="BM57" i="40876"/>
  <c r="AI200" i="40872"/>
  <c r="DV98" i="40876"/>
  <c r="DQ100" i="40876"/>
  <c r="CW69" i="40876"/>
  <c r="BX68" i="40876"/>
  <c r="AO135" i="40872"/>
  <c r="AO137" i="40872" s="1"/>
  <c r="AO138" i="40872" s="1"/>
  <c r="AX200" i="40872"/>
  <c r="AZ200" i="40872" s="1"/>
  <c r="BE202" i="40872" s="1"/>
  <c r="BV59" i="40876"/>
  <c r="BI174" i="40872"/>
  <c r="BI172" i="40872" s="1"/>
  <c r="BI173" i="40872" s="1"/>
  <c r="AT137" i="40872"/>
  <c r="AT138" i="40872" s="1"/>
  <c r="AU135" i="40872"/>
  <c r="CD59" i="40876"/>
  <c r="CF59" i="40876"/>
  <c r="CG57" i="40876"/>
  <c r="CG64" i="40876"/>
  <c r="CG66" i="40876" s="1"/>
  <c r="CG71" i="40876" s="1"/>
  <c r="AX128" i="40872"/>
  <c r="AX130" i="40872" s="1"/>
  <c r="BN55" i="40876"/>
  <c r="AO199" i="40872"/>
  <c r="BX67" i="40876"/>
  <c r="BR64" i="40876"/>
  <c r="BR66" i="40876" s="1"/>
  <c r="BR71" i="40876" s="1"/>
  <c r="AI128" i="40872"/>
  <c r="AI130" i="40872" s="1"/>
  <c r="AY135" i="40872"/>
  <c r="AY137" i="40872" s="1"/>
  <c r="AY138" i="40872" s="1"/>
  <c r="CH68" i="40876"/>
  <c r="AE199" i="40872"/>
  <c r="BN67" i="40876"/>
  <c r="BG62" i="40876"/>
  <c r="BH60" i="40876"/>
  <c r="BH61" i="40876" s="1"/>
  <c r="BI65" i="40876"/>
  <c r="BI66" i="40876" s="1"/>
  <c r="BI46" i="40876"/>
  <c r="BI57" i="40876" s="1"/>
  <c r="BI59" i="40876" s="1"/>
  <c r="BN31" i="40876"/>
  <c r="BR57" i="40876"/>
  <c r="AN128" i="40872"/>
  <c r="AN130" i="40872" s="1"/>
  <c r="BW64" i="40876"/>
  <c r="BW66" i="40876" s="1"/>
  <c r="BW71" i="40876" s="1"/>
  <c r="BX69" i="40876"/>
  <c r="BX46" i="40876"/>
  <c r="CH55" i="40876"/>
  <c r="BH173" i="40872"/>
  <c r="DS98" i="40876"/>
  <c r="DN100" i="40876"/>
  <c r="DU98" i="40876"/>
  <c r="DP100" i="40876"/>
  <c r="CH49" i="40872"/>
  <c r="DN14" i="40876"/>
  <c r="CL49" i="40872"/>
  <c r="CZ77" i="40875"/>
  <c r="BQ103" i="40872"/>
  <c r="BQ206" i="40872"/>
  <c r="BR206" i="40872"/>
  <c r="BQ38" i="40872"/>
  <c r="BQ208" i="40872" s="1"/>
  <c r="CZ59" i="40875" s="1"/>
  <c r="CZ63" i="40875" s="1"/>
  <c r="CJ49" i="40872"/>
  <c r="DI46" i="40875"/>
  <c r="DI43" i="40875"/>
  <c r="DI28" i="40875"/>
  <c r="DI26" i="40875"/>
  <c r="DI25" i="40875"/>
  <c r="DI23" i="40875"/>
  <c r="DI12" i="40875"/>
  <c r="CK49" i="40872"/>
  <c r="DH47" i="40875"/>
  <c r="DH44" i="40875"/>
  <c r="DH37" i="40875"/>
  <c r="DH22" i="40875"/>
  <c r="DH21" i="40875"/>
  <c r="DH14" i="40875"/>
  <c r="BT56" i="40875"/>
  <c r="BH65" i="40872"/>
  <c r="AV42" i="40872"/>
  <c r="AV43" i="40872" s="1"/>
  <c r="AV110" i="40872" s="1"/>
  <c r="BH201" i="40872"/>
  <c r="BH57" i="40872"/>
  <c r="BH63" i="40872" s="1"/>
  <c r="BA108" i="40872"/>
  <c r="DH35" i="40875"/>
  <c r="DI35" i="40875" s="1"/>
  <c r="DJ35" i="40875" s="1"/>
  <c r="DK35" i="40875" s="1"/>
  <c r="DL35" i="40875" s="1"/>
  <c r="BY175" i="40872"/>
  <c r="CS78" i="40876"/>
  <c r="BR107" i="40872"/>
  <c r="BJ246" i="40872"/>
  <c r="BJ332" i="40872" s="1"/>
  <c r="BM345" i="40872"/>
  <c r="BM350" i="40872" s="1"/>
  <c r="BM107" i="40872"/>
  <c r="BU173" i="40872"/>
  <c r="BU180" i="40872"/>
  <c r="BZ172" i="40872"/>
  <c r="AK66" i="40872"/>
  <c r="AL66" i="40872"/>
  <c r="BP208" i="40872"/>
  <c r="CY59" i="40875" s="1"/>
  <c r="CY63" i="40875" s="1"/>
  <c r="BM208" i="40872"/>
  <c r="CV59" i="40875" s="1"/>
  <c r="CV63" i="40875" s="1"/>
  <c r="BH111" i="40872"/>
  <c r="CQ201" i="40875"/>
  <c r="BH110" i="40872"/>
  <c r="AN55" i="40872"/>
  <c r="BH247" i="40872"/>
  <c r="BH332" i="40872"/>
  <c r="AV53" i="40872"/>
  <c r="BA247" i="40872"/>
  <c r="BN208" i="40872"/>
  <c r="CW59" i="40875" s="1"/>
  <c r="BM50" i="40872"/>
  <c r="BM42" i="40872"/>
  <c r="BM43" i="40872" s="1"/>
  <c r="AV95" i="40872"/>
  <c r="BP362" i="40872"/>
  <c r="BP55" i="40872"/>
  <c r="CY189" i="40875" s="1"/>
  <c r="CY192" i="40875" s="1"/>
  <c r="BB39" i="40872"/>
  <c r="BG107" i="40872"/>
  <c r="BD208" i="40872"/>
  <c r="BF208" i="40872"/>
  <c r="CO59" i="40875" s="1"/>
  <c r="CO63" i="40875" s="1"/>
  <c r="BB42" i="40872"/>
  <c r="BB40" i="40872"/>
  <c r="BB50" i="40872"/>
  <c r="BB91" i="40872"/>
  <c r="BE205" i="40872"/>
  <c r="CN61" i="40875" s="1"/>
  <c r="CM61" i="40875"/>
  <c r="CA79" i="40872"/>
  <c r="CG78" i="40876"/>
  <c r="AX233" i="40872"/>
  <c r="AX243" i="40872" s="1"/>
  <c r="AX94" i="40872"/>
  <c r="BC109" i="40872"/>
  <c r="AX43" i="40872"/>
  <c r="AX93" i="40872"/>
  <c r="BC108" i="40872"/>
  <c r="AX108" i="40872"/>
  <c r="AX109" i="40872"/>
  <c r="AD93" i="40872"/>
  <c r="AD42" i="40872"/>
  <c r="AH209" i="40872" s="1"/>
  <c r="AI108" i="40872"/>
  <c r="AT65" i="40872"/>
  <c r="AT97" i="40872"/>
  <c r="AT57" i="40872"/>
  <c r="AT111" i="40872"/>
  <c r="AD53" i="40872"/>
  <c r="AD95" i="40872"/>
  <c r="AP93" i="40872"/>
  <c r="AP95" i="40872"/>
  <c r="AP53" i="40872"/>
  <c r="CQ192" i="40875"/>
  <c r="CQ193" i="40875" s="1"/>
  <c r="CQ194" i="40875" s="1"/>
  <c r="CF71" i="40872"/>
  <c r="CE151" i="40872"/>
  <c r="CJ153" i="40872"/>
  <c r="CJ150" i="40872"/>
  <c r="CU68" i="40875"/>
  <c r="CV188" i="40875"/>
  <c r="CU62" i="40875"/>
  <c r="CZ62" i="40875"/>
  <c r="CN56" i="40875"/>
  <c r="CT62" i="40875"/>
  <c r="CY62" i="40875"/>
  <c r="CV190" i="40875"/>
  <c r="CW47" i="40875"/>
  <c r="CV52" i="40875"/>
  <c r="BO189" i="40875"/>
  <c r="BO192" i="40875" s="1"/>
  <c r="BO193" i="40875" s="1"/>
  <c r="BO194" i="40875" s="1"/>
  <c r="CW38" i="40875"/>
  <c r="CX37" i="40875"/>
  <c r="DI33" i="40875"/>
  <c r="BV125" i="40872"/>
  <c r="CN62" i="40875"/>
  <c r="CI56" i="40875"/>
  <c r="CI62" i="40875"/>
  <c r="CW61" i="40875"/>
  <c r="BO205" i="40872"/>
  <c r="AW240" i="40872"/>
  <c r="AW241" i="40872"/>
  <c r="BC153" i="40872"/>
  <c r="BB153" i="40872"/>
  <c r="BC180" i="40872"/>
  <c r="BC65" i="40872"/>
  <c r="BC97" i="40872"/>
  <c r="BC57" i="40872"/>
  <c r="BC201" i="40872"/>
  <c r="BV189" i="40875"/>
  <c r="BV192" i="40875" s="1"/>
  <c r="BV193" i="40875" s="1"/>
  <c r="BV194" i="40875" s="1"/>
  <c r="BQ189" i="40875"/>
  <c r="BP60" i="40872"/>
  <c r="BP185" i="40872"/>
  <c r="T118" i="40872"/>
  <c r="BO39" i="40872"/>
  <c r="AE94" i="40872"/>
  <c r="AJ109" i="40872"/>
  <c r="BA138" i="40872"/>
  <c r="BE138" i="40872" s="1"/>
  <c r="BE137" i="40872"/>
  <c r="AZ177" i="40872"/>
  <c r="AZ173" i="40872"/>
  <c r="AE55" i="40872"/>
  <c r="AJ111" i="40872" s="1"/>
  <c r="BO27" i="40872"/>
  <c r="AE185" i="40872"/>
  <c r="BG53" i="40872"/>
  <c r="BG95" i="40872"/>
  <c r="BG185" i="40872" s="1"/>
  <c r="AW79" i="40872"/>
  <c r="BJ50" i="40872"/>
  <c r="AO62" i="40872"/>
  <c r="CP69" i="40875"/>
  <c r="CP70" i="40875"/>
  <c r="BG126" i="40872" s="1"/>
  <c r="CP72" i="40875"/>
  <c r="AC55" i="40872"/>
  <c r="BR189" i="40875"/>
  <c r="BR192" i="40875" s="1"/>
  <c r="BR193" i="40875" s="1"/>
  <c r="BR194" i="40875" s="1"/>
  <c r="AF93" i="40872"/>
  <c r="AF108" i="40872"/>
  <c r="AJ57" i="40872"/>
  <c r="AJ97" i="40872"/>
  <c r="AJ65" i="40872"/>
  <c r="BD55" i="40872"/>
  <c r="BN110" i="40872"/>
  <c r="AA65" i="40872"/>
  <c r="AA97" i="40872"/>
  <c r="AA201" i="40872"/>
  <c r="AA57" i="40872"/>
  <c r="BL209" i="40872"/>
  <c r="CU69" i="40875" s="1"/>
  <c r="CO201" i="40875"/>
  <c r="AF53" i="40872"/>
  <c r="AF95" i="40872"/>
  <c r="AS243" i="40872"/>
  <c r="BO135" i="40872"/>
  <c r="BU105" i="40872"/>
  <c r="CI76" i="40875"/>
  <c r="AZ86" i="40872"/>
  <c r="AZ88" i="40872"/>
  <c r="K5" i="40877"/>
  <c r="L6" i="40877" s="1"/>
  <c r="AZ90" i="40872"/>
  <c r="AZ87" i="40872"/>
  <c r="AZ84" i="40872"/>
  <c r="AZ89" i="40872"/>
  <c r="CI82" i="40876"/>
  <c r="AU12" i="40872"/>
  <c r="AT20" i="40872"/>
  <c r="AT227" i="40872" s="1"/>
  <c r="AT21" i="40872"/>
  <c r="AU21" i="40872" s="1"/>
  <c r="BK43" i="40872"/>
  <c r="BK209" i="40872"/>
  <c r="BP109" i="40872"/>
  <c r="BK94" i="40872"/>
  <c r="CT78" i="40876"/>
  <c r="BK109" i="40872"/>
  <c r="AZ205" i="40872"/>
  <c r="CI61" i="40875" s="1"/>
  <c r="CH61" i="40875"/>
  <c r="AU13" i="40872"/>
  <c r="CJ37" i="40876"/>
  <c r="CM22" i="40876"/>
  <c r="AT26" i="40872"/>
  <c r="AT82" i="40872" s="1"/>
  <c r="AS82" i="40872"/>
  <c r="L7" i="40877"/>
  <c r="M8" i="40877" s="1"/>
  <c r="BE40" i="40872"/>
  <c r="BJ107" i="40872"/>
  <c r="BE42" i="40872"/>
  <c r="BE50" i="40872"/>
  <c r="BE91" i="40872"/>
  <c r="BN79" i="40872"/>
  <c r="BI79" i="40872"/>
  <c r="AW40" i="40872"/>
  <c r="AW91" i="40872"/>
  <c r="AW232" i="40872"/>
  <c r="AW39" i="40872"/>
  <c r="AW107" i="40872"/>
  <c r="AX208" i="40872"/>
  <c r="CG59" i="40875" s="1"/>
  <c r="CG63" i="40875" s="1"/>
  <c r="AY208" i="40872"/>
  <c r="AZ38" i="40872"/>
  <c r="BE107" i="40872" s="1"/>
  <c r="AW208" i="40872"/>
  <c r="CF59" i="40875" s="1"/>
  <c r="CF63" i="40875" s="1"/>
  <c r="AW92" i="40872"/>
  <c r="BB107" i="40872"/>
  <c r="AW50" i="40872"/>
  <c r="AW42" i="40872"/>
  <c r="BE96" i="40872"/>
  <c r="AZ52" i="40872"/>
  <c r="BP108" i="40872"/>
  <c r="BK93" i="40872"/>
  <c r="BK108" i="40872"/>
  <c r="AY39" i="40872"/>
  <c r="AY42" i="40872"/>
  <c r="BC208" i="40872"/>
  <c r="CL59" i="40875" s="1"/>
  <c r="CL63" i="40875" s="1"/>
  <c r="AY50" i="40872"/>
  <c r="AY232" i="40872"/>
  <c r="BB208" i="40872"/>
  <c r="CK59" i="40875" s="1"/>
  <c r="CK63" i="40875" s="1"/>
  <c r="AY107" i="40872"/>
  <c r="AY40" i="40872"/>
  <c r="AY91" i="40872"/>
  <c r="AY92" i="40872"/>
  <c r="BD107" i="40872"/>
  <c r="BA208" i="40872"/>
  <c r="CJ59" i="40875" s="1"/>
  <c r="CJ63" i="40875" s="1"/>
  <c r="M6" i="40877"/>
  <c r="BE102" i="40872"/>
  <c r="BK95" i="40872"/>
  <c r="BK185" i="40872" s="1"/>
  <c r="BK53" i="40872"/>
  <c r="AS74" i="40872"/>
  <c r="CJ201" i="40875"/>
  <c r="H8" i="40877"/>
  <c r="I8" i="40877"/>
  <c r="CW201" i="40875"/>
  <c r="AS62" i="40872"/>
  <c r="AH185" i="40872"/>
  <c r="AK93" i="40872"/>
  <c r="AK108" i="40872"/>
  <c r="AP108" i="40872"/>
  <c r="AL185" i="40872"/>
  <c r="BN60" i="40872"/>
  <c r="BN185" i="40872"/>
  <c r="AX55" i="40872"/>
  <c r="AL55" i="40872"/>
  <c r="BL185" i="40872"/>
  <c r="AH55" i="40872"/>
  <c r="AM111" i="40872" s="1"/>
  <c r="AK53" i="40872"/>
  <c r="AK95" i="40872"/>
  <c r="BL110" i="40872"/>
  <c r="AK42" i="40872"/>
  <c r="AH109" i="40872"/>
  <c r="AI209" i="40872"/>
  <c r="AJ209" i="40872"/>
  <c r="AK209" i="40872" s="1"/>
  <c r="AH94" i="40872"/>
  <c r="AL209" i="40872"/>
  <c r="AH233" i="40872"/>
  <c r="AM243" i="40872" s="1"/>
  <c r="BN362" i="40872"/>
  <c r="BN372" i="40872" s="1"/>
  <c r="BN55" i="40872"/>
  <c r="AX185" i="40872"/>
  <c r="CB136" i="40872"/>
  <c r="CA137" i="40872"/>
  <c r="CN60" i="40872"/>
  <c r="AD118" i="40872"/>
  <c r="AB232" i="40872"/>
  <c r="AB230" i="40872"/>
  <c r="AB231" i="40872"/>
  <c r="AB233" i="40872"/>
  <c r="AF224" i="40872"/>
  <c r="AK236" i="40872" s="1"/>
  <c r="AF229" i="40872"/>
  <c r="AK239" i="40872" s="1"/>
  <c r="M118" i="40872"/>
  <c r="AJ118" i="40872"/>
  <c r="AE118" i="40872"/>
  <c r="AF216" i="40872"/>
  <c r="AF217" i="40872" s="1"/>
  <c r="L118" i="40872"/>
  <c r="I118" i="40872"/>
  <c r="N118" i="40872"/>
  <c r="G118" i="40872"/>
  <c r="AC230" i="40872"/>
  <c r="AH240" i="40872" s="1"/>
  <c r="AC232" i="40872"/>
  <c r="AH242" i="40872" s="1"/>
  <c r="AC231" i="40872"/>
  <c r="AH241" i="40872" s="1"/>
  <c r="AC233" i="40872"/>
  <c r="V118" i="40872"/>
  <c r="H15" i="40877"/>
  <c r="AB216" i="40872"/>
  <c r="AB217" i="40872" s="1"/>
  <c r="AM201" i="40872"/>
  <c r="AM57" i="40872"/>
  <c r="AM97" i="40872"/>
  <c r="AM65" i="40872"/>
  <c r="BJ92" i="40872"/>
  <c r="CA57" i="40876"/>
  <c r="BV70" i="40875"/>
  <c r="AM126" i="40872" s="1"/>
  <c r="BV72" i="40875"/>
  <c r="BV69" i="40875"/>
  <c r="CU57" i="40876"/>
  <c r="CU64" i="40876"/>
  <c r="CU66" i="40876" s="1"/>
  <c r="CU71" i="40876" s="1"/>
  <c r="BL128" i="40872"/>
  <c r="BO100" i="40872"/>
  <c r="BO17" i="40872"/>
  <c r="BR53" i="40872"/>
  <c r="BR95" i="40872"/>
  <c r="BR352" i="40872"/>
  <c r="BR354" i="40872" s="1"/>
  <c r="BN172" i="40872"/>
  <c r="BS173" i="40872" s="1"/>
  <c r="CX86" i="40875"/>
  <c r="CX71" i="40876"/>
  <c r="DA31" i="40876"/>
  <c r="BS192" i="40875"/>
  <c r="BS193" i="40875" s="1"/>
  <c r="BS194" i="40875" s="1"/>
  <c r="DC41" i="40875"/>
  <c r="CT56" i="40875"/>
  <c r="BZ69" i="40875"/>
  <c r="CU54" i="40875"/>
  <c r="CT64" i="40876"/>
  <c r="CT66" i="40876" s="1"/>
  <c r="CT71" i="40876" s="1"/>
  <c r="CT57" i="40876"/>
  <c r="BK128" i="40872"/>
  <c r="BK130" i="40872" s="1"/>
  <c r="DI14" i="40876"/>
  <c r="BZ106" i="40872"/>
  <c r="CE106" i="40872"/>
  <c r="CZ57" i="40876"/>
  <c r="CV57" i="40876"/>
  <c r="CC54" i="40876"/>
  <c r="CB55" i="40876"/>
  <c r="CS56" i="40875"/>
  <c r="BY78" i="40876"/>
  <c r="I9" i="40877"/>
  <c r="AP94" i="40872"/>
  <c r="AP233" i="40872"/>
  <c r="BL55" i="40872"/>
  <c r="CU189" i="40875" s="1"/>
  <c r="CU192" i="40875" s="1"/>
  <c r="BL362" i="40872"/>
  <c r="BL372" i="40872" s="1"/>
  <c r="BO77" i="40872"/>
  <c r="BO76" i="40872"/>
  <c r="BR43" i="40872"/>
  <c r="BR94" i="40872"/>
  <c r="CX59" i="40876"/>
  <c r="BY56" i="40875"/>
  <c r="BO74" i="40872"/>
  <c r="AP209" i="40872"/>
  <c r="BX72" i="40875"/>
  <c r="BX70" i="40875"/>
  <c r="AO126" i="40872" s="1"/>
  <c r="BX69" i="40875"/>
  <c r="BY71" i="40875"/>
  <c r="BM128" i="40872"/>
  <c r="BM130" i="40872" s="1"/>
  <c r="CV64" i="40876"/>
  <c r="CV66" i="40876" s="1"/>
  <c r="CV71" i="40876" s="1"/>
  <c r="CW21" i="40876"/>
  <c r="BM172" i="40872"/>
  <c r="BO174" i="40872"/>
  <c r="BO78" i="40872"/>
  <c r="BR93" i="40872"/>
  <c r="BO168" i="40872"/>
  <c r="DH50" i="40875"/>
  <c r="AR55" i="40872" l="1"/>
  <c r="AR111" i="40872" s="1"/>
  <c r="BJ43" i="40872"/>
  <c r="M9" i="40877" s="1"/>
  <c r="AB97" i="40872"/>
  <c r="AB57" i="40872"/>
  <c r="BW72" i="40875"/>
  <c r="DA61" i="40875"/>
  <c r="BW69" i="40875"/>
  <c r="CC64" i="40876"/>
  <c r="CC66" i="40876" s="1"/>
  <c r="AG62" i="40872"/>
  <c r="BZ70" i="40875"/>
  <c r="AQ126" i="40872" s="1"/>
  <c r="CQ70" i="40875"/>
  <c r="BH126" i="40872" s="1"/>
  <c r="I16" i="40877"/>
  <c r="BY71" i="40876"/>
  <c r="BY59" i="40876"/>
  <c r="CX29" i="40875"/>
  <c r="BI216" i="40872"/>
  <c r="BI217" i="40872" s="1"/>
  <c r="BJ117" i="40872"/>
  <c r="CW44" i="40875"/>
  <c r="CC63" i="40875"/>
  <c r="BR108" i="40872"/>
  <c r="BF247" i="40872"/>
  <c r="CR69" i="40875"/>
  <c r="CR72" i="40875"/>
  <c r="BJ209" i="40872"/>
  <c r="CS72" i="40875" s="1"/>
  <c r="BM93" i="40872"/>
  <c r="AP240" i="40872"/>
  <c r="CS63" i="40875"/>
  <c r="AV94" i="40872"/>
  <c r="AQ241" i="40872"/>
  <c r="BI63" i="40872"/>
  <c r="BF55" i="40872"/>
  <c r="CO189" i="40875" s="1"/>
  <c r="CO192" i="40875" s="1"/>
  <c r="CO193" i="40875" s="1"/>
  <c r="CO194" i="40875" s="1"/>
  <c r="AQ53" i="40872"/>
  <c r="AQ95" i="40872"/>
  <c r="CQ72" i="40875"/>
  <c r="AQ93" i="40872"/>
  <c r="AQ108" i="40872"/>
  <c r="AT130" i="40872"/>
  <c r="CR37" i="40876"/>
  <c r="AQ240" i="40872"/>
  <c r="AP241" i="40872"/>
  <c r="AQ243" i="40872"/>
  <c r="CU70" i="40875"/>
  <c r="BL126" i="40872" s="1"/>
  <c r="CR46" i="40876"/>
  <c r="BG128" i="40872"/>
  <c r="BG130" i="40872" s="1"/>
  <c r="CP64" i="40876"/>
  <c r="CP66" i="40876" s="1"/>
  <c r="CP71" i="40876" s="1"/>
  <c r="CP57" i="40876"/>
  <c r="CQ37" i="40876"/>
  <c r="AQ242" i="40872"/>
  <c r="AY242" i="40872"/>
  <c r="AU240" i="40872"/>
  <c r="AG231" i="40872"/>
  <c r="AL241" i="40872" s="1"/>
  <c r="AG230" i="40872"/>
  <c r="AG240" i="40872" s="1"/>
  <c r="AG232" i="40872"/>
  <c r="AL242" i="40872" s="1"/>
  <c r="AG233" i="40872"/>
  <c r="AL243" i="40872" s="1"/>
  <c r="CE78" i="40876"/>
  <c r="BA109" i="40872"/>
  <c r="AV109" i="40872"/>
  <c r="AT201" i="40872"/>
  <c r="AU241" i="40872"/>
  <c r="BK229" i="40872"/>
  <c r="BK224" i="40872"/>
  <c r="BK227" i="40872"/>
  <c r="AY240" i="40872"/>
  <c r="BK61" i="40876"/>
  <c r="AI97" i="40872"/>
  <c r="AI65" i="40872"/>
  <c r="AI57" i="40872"/>
  <c r="BB237" i="40872"/>
  <c r="BG237" i="40872"/>
  <c r="AY241" i="40872"/>
  <c r="CC71" i="40876"/>
  <c r="AV233" i="40872"/>
  <c r="AV243" i="40872" s="1"/>
  <c r="BC225" i="40872"/>
  <c r="AV241" i="40872"/>
  <c r="AZ135" i="40872"/>
  <c r="BA216" i="40872"/>
  <c r="BA217" i="40872" s="1"/>
  <c r="BA118" i="40872"/>
  <c r="BF118" i="40872"/>
  <c r="BQ128" i="40872"/>
  <c r="BQ130" i="40872" s="1"/>
  <c r="CW37" i="40876"/>
  <c r="BN128" i="40872" s="1"/>
  <c r="BH62" i="40872"/>
  <c r="AJ201" i="40872"/>
  <c r="BM53" i="40872"/>
  <c r="BM362" i="40872" s="1"/>
  <c r="BM372" i="40872" s="1"/>
  <c r="DR91" i="40876"/>
  <c r="DR88" i="40876"/>
  <c r="AZ230" i="40872"/>
  <c r="AZ240" i="40872" s="1"/>
  <c r="AZ231" i="40872"/>
  <c r="AZ241" i="40872" s="1"/>
  <c r="BA227" i="40872"/>
  <c r="BA229" i="40872"/>
  <c r="BA239" i="40872" s="1"/>
  <c r="BA224" i="40872"/>
  <c r="BA236" i="40872" s="1"/>
  <c r="BB117" i="40872"/>
  <c r="DB95" i="40876"/>
  <c r="DC91" i="40876"/>
  <c r="DC95" i="40876" s="1"/>
  <c r="CL59" i="40876"/>
  <c r="BA148" i="40872"/>
  <c r="CC55" i="40875"/>
  <c r="CD54" i="40875"/>
  <c r="CK29" i="40872"/>
  <c r="CK151" i="40872"/>
  <c r="AO211" i="40872"/>
  <c r="BX60" i="40875" s="1"/>
  <c r="BX64" i="40875" s="1"/>
  <c r="CU72" i="40875"/>
  <c r="CB56" i="40875"/>
  <c r="DU100" i="40876"/>
  <c r="BR59" i="40876"/>
  <c r="DV100" i="40876"/>
  <c r="BJ62" i="40876"/>
  <c r="BO60" i="40876"/>
  <c r="AP135" i="40872"/>
  <c r="BW59" i="40876"/>
  <c r="AX138" i="40872"/>
  <c r="AZ138" i="40872" s="1"/>
  <c r="AZ137" i="40872"/>
  <c r="CH64" i="40876"/>
  <c r="CH66" i="40876" s="1"/>
  <c r="CH71" i="40876" s="1"/>
  <c r="AY128" i="40872"/>
  <c r="AY130" i="40872" s="1"/>
  <c r="DA37" i="40876"/>
  <c r="DA57" i="40876" s="1"/>
  <c r="BJ172" i="40872"/>
  <c r="BJ173" i="40872" s="1"/>
  <c r="CG59" i="40876"/>
  <c r="BM59" i="40876"/>
  <c r="BS37" i="40876"/>
  <c r="CH57" i="40876"/>
  <c r="BN37" i="40876"/>
  <c r="BH62" i="40876"/>
  <c r="BI60" i="40876"/>
  <c r="BI61" i="40876" s="1"/>
  <c r="BI62" i="40876" s="1"/>
  <c r="AO200" i="40872"/>
  <c r="AO201" i="40872"/>
  <c r="BX64" i="40876"/>
  <c r="BX66" i="40876" s="1"/>
  <c r="BX71" i="40876" s="1"/>
  <c r="AO128" i="40872"/>
  <c r="AO130" i="40872" s="1"/>
  <c r="DS100" i="40876"/>
  <c r="BX57" i="40876"/>
  <c r="BM95" i="40872"/>
  <c r="BM185" i="40872" s="1"/>
  <c r="BM352" i="40872"/>
  <c r="BM354" i="40872" s="1"/>
  <c r="BM360" i="40872" s="1"/>
  <c r="BJ247" i="40872"/>
  <c r="BR109" i="40872"/>
  <c r="BQ40" i="40872"/>
  <c r="BQ39" i="40872"/>
  <c r="BQ92" i="40872" s="1"/>
  <c r="BQ42" i="40872"/>
  <c r="BQ209" i="40872" s="1"/>
  <c r="BQ345" i="40872"/>
  <c r="BQ350" i="40872" s="1"/>
  <c r="BQ107" i="40872"/>
  <c r="BQ91" i="40872"/>
  <c r="BR208" i="40872"/>
  <c r="DA59" i="40875" s="1"/>
  <c r="DA63" i="40875" s="1"/>
  <c r="BQ50" i="40872"/>
  <c r="CZ82" i="40875"/>
  <c r="CZ79" i="40875"/>
  <c r="CZ83" i="40875" s="1"/>
  <c r="CM49" i="40872"/>
  <c r="CI49" i="40872"/>
  <c r="DJ46" i="40875"/>
  <c r="DJ43" i="40875"/>
  <c r="DJ33" i="40875"/>
  <c r="DJ28" i="40875"/>
  <c r="DJ26" i="40875"/>
  <c r="DJ25" i="40875"/>
  <c r="DJ23" i="40875"/>
  <c r="DH18" i="40875"/>
  <c r="DJ12" i="40875"/>
  <c r="DI47" i="40875"/>
  <c r="DI44" i="40875"/>
  <c r="DH40" i="40875"/>
  <c r="DI37" i="40875"/>
  <c r="DH27" i="40875"/>
  <c r="DI22" i="40875"/>
  <c r="DI21" i="40875"/>
  <c r="DI14" i="40875"/>
  <c r="DH17" i="40875"/>
  <c r="BW189" i="40875"/>
  <c r="BW192" i="40875" s="1"/>
  <c r="BW193" i="40875" s="1"/>
  <c r="BW194" i="40875" s="1"/>
  <c r="BO208" i="40872"/>
  <c r="CX59" i="40875" s="1"/>
  <c r="BM94" i="40872"/>
  <c r="CV78" i="40876"/>
  <c r="BZ177" i="40872"/>
  <c r="CE172" i="40872"/>
  <c r="BZ180" i="40872"/>
  <c r="AM66" i="40872"/>
  <c r="BN209" i="40872"/>
  <c r="AV55" i="40872"/>
  <c r="BA111" i="40872" s="1"/>
  <c r="AN97" i="40872"/>
  <c r="AN65" i="40872"/>
  <c r="AN201" i="40872"/>
  <c r="AN57" i="40872"/>
  <c r="AN111" i="40872"/>
  <c r="AS111" i="40872"/>
  <c r="BM110" i="40872"/>
  <c r="CV201" i="40875"/>
  <c r="AN211" i="40872"/>
  <c r="BW60" i="40875" s="1"/>
  <c r="BW64" i="40875" s="1"/>
  <c r="BM109" i="40872"/>
  <c r="BP209" i="40872"/>
  <c r="BM209" i="40872"/>
  <c r="AM211" i="40872"/>
  <c r="BV60" i="40875" s="1"/>
  <c r="BV64" i="40875" s="1"/>
  <c r="AV185" i="40872"/>
  <c r="BP97" i="40872"/>
  <c r="BP201" i="40872"/>
  <c r="BP57" i="40872"/>
  <c r="BP63" i="40872" s="1"/>
  <c r="BP65" i="40872"/>
  <c r="CW63" i="40875"/>
  <c r="BB92" i="40872"/>
  <c r="BE39" i="40872"/>
  <c r="BG108" i="40872"/>
  <c r="BB93" i="40872"/>
  <c r="BB95" i="40872"/>
  <c r="BB185" i="40872" s="1"/>
  <c r="BB53" i="40872"/>
  <c r="CK78" i="40876"/>
  <c r="BD209" i="40872"/>
  <c r="BB246" i="40872"/>
  <c r="BG109" i="40872"/>
  <c r="BF209" i="40872"/>
  <c r="BB94" i="40872"/>
  <c r="BB43" i="40872"/>
  <c r="CK201" i="40875" s="1"/>
  <c r="CM59" i="40875"/>
  <c r="CM63" i="40875" s="1"/>
  <c r="BE208" i="40872"/>
  <c r="CN59" i="40875" s="1"/>
  <c r="CN63" i="40875" s="1"/>
  <c r="BC110" i="40872"/>
  <c r="AX110" i="40872"/>
  <c r="CG201" i="40875"/>
  <c r="AD55" i="40872"/>
  <c r="AE211" i="40872" s="1"/>
  <c r="AT62" i="40872"/>
  <c r="AD185" i="40872"/>
  <c r="BA110" i="40872"/>
  <c r="AP109" i="40872"/>
  <c r="AP55" i="40872"/>
  <c r="AD94" i="40872"/>
  <c r="AI109" i="40872"/>
  <c r="AE209" i="40872"/>
  <c r="AG209" i="40872"/>
  <c r="AD233" i="40872"/>
  <c r="AI243" i="40872" s="1"/>
  <c r="AF42" i="40872"/>
  <c r="AK109" i="40872" s="1"/>
  <c r="CW189" i="40875"/>
  <c r="CW192" i="40875" s="1"/>
  <c r="CK71" i="40872"/>
  <c r="CK73" i="40872" s="1"/>
  <c r="CK74" i="40872" s="1"/>
  <c r="CF73" i="40872"/>
  <c r="CF74" i="40872" s="1"/>
  <c r="CF79" i="40872" s="1"/>
  <c r="CJ29" i="40872"/>
  <c r="CJ151" i="40872"/>
  <c r="CX47" i="40875"/>
  <c r="CW190" i="40875"/>
  <c r="CW52" i="40875"/>
  <c r="CU193" i="40875"/>
  <c r="CU194" i="40875" s="1"/>
  <c r="CW188" i="40875"/>
  <c r="CV68" i="40875"/>
  <c r="CV62" i="40875"/>
  <c r="DA62" i="40875"/>
  <c r="BW125" i="40872"/>
  <c r="CX38" i="40875"/>
  <c r="AH243" i="40872"/>
  <c r="BH153" i="40872"/>
  <c r="BH180" i="40872"/>
  <c r="BK153" i="40872"/>
  <c r="BG153" i="40872"/>
  <c r="BD153" i="40872"/>
  <c r="BD180" i="40872"/>
  <c r="BE179" i="40872"/>
  <c r="BE180" i="40872" s="1"/>
  <c r="BG180" i="40872"/>
  <c r="BE152" i="40872"/>
  <c r="BE153" i="40872" s="1"/>
  <c r="BC63" i="40872"/>
  <c r="BH113" i="40872" s="1"/>
  <c r="BC62" i="40872"/>
  <c r="BQ192" i="40875"/>
  <c r="BQ193" i="40875" s="1"/>
  <c r="BQ194" i="40875" s="1"/>
  <c r="CE201" i="40875"/>
  <c r="BO103" i="40872"/>
  <c r="CX77" i="40875"/>
  <c r="CX79" i="40875" s="1"/>
  <c r="AE201" i="40872"/>
  <c r="AE97" i="40872"/>
  <c r="AE57" i="40872"/>
  <c r="AE65" i="40872"/>
  <c r="AZ178" i="40872"/>
  <c r="BE178" i="40872"/>
  <c r="BX189" i="40875"/>
  <c r="BX192" i="40875" s="1"/>
  <c r="BX193" i="40875" s="1"/>
  <c r="BX194" i="40875" s="1"/>
  <c r="BG55" i="40872"/>
  <c r="BJ53" i="40872"/>
  <c r="BJ95" i="40872"/>
  <c r="AC201" i="40872"/>
  <c r="AC65" i="40872"/>
  <c r="AC97" i="40872"/>
  <c r="AC57" i="40872"/>
  <c r="AJ62" i="40872"/>
  <c r="AO112" i="40872" s="1"/>
  <c r="CS70" i="40875"/>
  <c r="BJ126" i="40872" s="1"/>
  <c r="AF55" i="40872"/>
  <c r="AA62" i="40872"/>
  <c r="BD57" i="40872"/>
  <c r="BD97" i="40872"/>
  <c r="BD201" i="40872"/>
  <c r="BI111" i="40872"/>
  <c r="BD65" i="40872"/>
  <c r="CB189" i="40875"/>
  <c r="CB192" i="40875" s="1"/>
  <c r="CB193" i="40875" s="1"/>
  <c r="CB194" i="40875" s="1"/>
  <c r="BF201" i="40872"/>
  <c r="AR65" i="40872"/>
  <c r="AR97" i="40872"/>
  <c r="AR201" i="40872"/>
  <c r="AR57" i="40872"/>
  <c r="AR40" i="40872"/>
  <c r="Q118" i="40872"/>
  <c r="BA128" i="40872"/>
  <c r="BA130" i="40872" s="1"/>
  <c r="CJ57" i="40876"/>
  <c r="CJ64" i="40876"/>
  <c r="CJ66" i="40876" s="1"/>
  <c r="CJ71" i="40876" s="1"/>
  <c r="AX79" i="40872"/>
  <c r="AY43" i="40872"/>
  <c r="CH78" i="40876"/>
  <c r="AY246" i="40872"/>
  <c r="AY247" i="40872" s="1"/>
  <c r="BD109" i="40872"/>
  <c r="AY94" i="40872"/>
  <c r="AY233" i="40872"/>
  <c r="BB209" i="40872"/>
  <c r="AY109" i="40872"/>
  <c r="BC209" i="40872"/>
  <c r="BA209" i="40872"/>
  <c r="AY209" i="40872"/>
  <c r="AW95" i="40872"/>
  <c r="AW53" i="40872"/>
  <c r="AZ50" i="40872"/>
  <c r="BE95" i="40872"/>
  <c r="BE53" i="40872"/>
  <c r="BE93" i="40872"/>
  <c r="BJ108" i="40872"/>
  <c r="BA97" i="40872"/>
  <c r="BA201" i="40872"/>
  <c r="BA65" i="40872"/>
  <c r="BA57" i="40872"/>
  <c r="AW43" i="40872"/>
  <c r="BB109" i="40872"/>
  <c r="AX209" i="40872"/>
  <c r="AW94" i="40872"/>
  <c r="AW209" i="40872"/>
  <c r="AW233" i="40872"/>
  <c r="CF78" i="40876"/>
  <c r="AZ42" i="40872"/>
  <c r="AZ208" i="40872"/>
  <c r="CI59" i="40875" s="1"/>
  <c r="CI63" i="40875" s="1"/>
  <c r="CH59" i="40875"/>
  <c r="CH63" i="40875" s="1"/>
  <c r="CT201" i="40875"/>
  <c r="BK110" i="40872"/>
  <c r="BP110" i="40872"/>
  <c r="BO43" i="40872"/>
  <c r="BO110" i="40872" s="1"/>
  <c r="AZ92" i="40872"/>
  <c r="AZ40" i="40872"/>
  <c r="BE108" i="40872" s="1"/>
  <c r="AZ91" i="40872"/>
  <c r="AZ232" i="40872"/>
  <c r="K7" i="40877"/>
  <c r="L8" i="40877" s="1"/>
  <c r="AW93" i="40872"/>
  <c r="BB108" i="40872"/>
  <c r="BJ109" i="40872"/>
  <c r="BE94" i="40872"/>
  <c r="BE246" i="40872"/>
  <c r="CN78" i="40876"/>
  <c r="CM37" i="40876"/>
  <c r="CT70" i="40875"/>
  <c r="BK126" i="40872" s="1"/>
  <c r="CT72" i="40875"/>
  <c r="CT69" i="40875"/>
  <c r="AW242" i="40872"/>
  <c r="BK55" i="40872"/>
  <c r="CT189" i="40875" s="1"/>
  <c r="BD108" i="40872"/>
  <c r="AY93" i="40872"/>
  <c r="AY108" i="40872"/>
  <c r="AY95" i="40872"/>
  <c r="AY53" i="40872"/>
  <c r="AZ96" i="40872"/>
  <c r="AZ39" i="40872"/>
  <c r="AU14" i="40872"/>
  <c r="AU82" i="40872"/>
  <c r="AU20" i="40872"/>
  <c r="AU227" i="40872" s="1"/>
  <c r="BT189" i="40875"/>
  <c r="BT192" i="40875" s="1"/>
  <c r="BT193" i="40875" s="1"/>
  <c r="BT194" i="40875" s="1"/>
  <c r="BN97" i="40872"/>
  <c r="BN65" i="40872"/>
  <c r="BN201" i="40872"/>
  <c r="BN59" i="40872"/>
  <c r="BN111" i="40872"/>
  <c r="AH57" i="40872"/>
  <c r="AH111" i="40872"/>
  <c r="AH65" i="40872"/>
  <c r="AH201" i="40872"/>
  <c r="AH97" i="40872"/>
  <c r="AI211" i="40872"/>
  <c r="AJ211" i="40872"/>
  <c r="AK211" i="40872" s="1"/>
  <c r="BT60" i="40875" s="1"/>
  <c r="BT64" i="40875" s="1"/>
  <c r="BP189" i="40875"/>
  <c r="BP192" i="40875" s="1"/>
  <c r="BP193" i="40875" s="1"/>
  <c r="BP194" i="40875" s="1"/>
  <c r="AL65" i="40872"/>
  <c r="AL57" i="40872"/>
  <c r="AL211" i="40872"/>
  <c r="BU60" i="40875" s="1"/>
  <c r="BU64" i="40875" s="1"/>
  <c r="AL201" i="40872"/>
  <c r="AL97" i="40872"/>
  <c r="AL111" i="40872"/>
  <c r="BT70" i="40875"/>
  <c r="AK126" i="40872" s="1"/>
  <c r="BT72" i="40875"/>
  <c r="BT69" i="40875"/>
  <c r="AK233" i="40872"/>
  <c r="AP243" i="40872" s="1"/>
  <c r="BT78" i="40876"/>
  <c r="H9" i="40877"/>
  <c r="AK94" i="40872"/>
  <c r="AK55" i="40872"/>
  <c r="BU189" i="40875"/>
  <c r="BC111" i="40872"/>
  <c r="AX97" i="40872"/>
  <c r="AX111" i="40872"/>
  <c r="AX65" i="40872"/>
  <c r="AX201" i="40872"/>
  <c r="AX57" i="40872"/>
  <c r="BU72" i="40875"/>
  <c r="BU70" i="40875"/>
  <c r="AL126" i="40872" s="1"/>
  <c r="BU69" i="40875"/>
  <c r="CD189" i="40875"/>
  <c r="CD192" i="40875" s="1"/>
  <c r="CD193" i="40875" s="1"/>
  <c r="CD194" i="40875" s="1"/>
  <c r="CC136" i="40872"/>
  <c r="CB137" i="40872"/>
  <c r="AA216" i="40872"/>
  <c r="AA217" i="40872" s="1"/>
  <c r="AK118" i="40872"/>
  <c r="AF118" i="40872"/>
  <c r="AF230" i="40872"/>
  <c r="AK240" i="40872" s="1"/>
  <c r="AF232" i="40872"/>
  <c r="AK242" i="40872" s="1"/>
  <c r="AF231" i="40872"/>
  <c r="AK241" i="40872" s="1"/>
  <c r="BO79" i="40872"/>
  <c r="BR110" i="40872"/>
  <c r="CC55" i="40876"/>
  <c r="CZ59" i="40876"/>
  <c r="M29" i="40877"/>
  <c r="L32" i="40877"/>
  <c r="L29" i="40877"/>
  <c r="N32" i="40877"/>
  <c r="L30" i="40877"/>
  <c r="M30" i="40877"/>
  <c r="M32" i="40877"/>
  <c r="BR362" i="40872"/>
  <c r="BR372" i="40872" s="1"/>
  <c r="BR55" i="40872"/>
  <c r="BY72" i="40875"/>
  <c r="BY70" i="40875"/>
  <c r="AP126" i="40872" s="1"/>
  <c r="BY69" i="40875"/>
  <c r="DA201" i="40875"/>
  <c r="CV59" i="40876"/>
  <c r="CT59" i="40876"/>
  <c r="CV54" i="40875"/>
  <c r="CU55" i="40875"/>
  <c r="AM62" i="40872"/>
  <c r="BM173" i="40872"/>
  <c r="BM180" i="40872"/>
  <c r="BO172" i="40872"/>
  <c r="BL201" i="40872"/>
  <c r="BL65" i="40872"/>
  <c r="BL59" i="40872"/>
  <c r="BL57" i="40872" s="1"/>
  <c r="BL97" i="40872"/>
  <c r="CB57" i="40876"/>
  <c r="N30" i="40877"/>
  <c r="CU59" i="40876"/>
  <c r="BN173" i="40872"/>
  <c r="BN180" i="40872"/>
  <c r="BR185" i="40872"/>
  <c r="BR60" i="40872"/>
  <c r="N5" i="40877"/>
  <c r="N6" i="40877" s="1"/>
  <c r="BO89" i="40872"/>
  <c r="BO90" i="40872"/>
  <c r="BO88" i="40872"/>
  <c r="BO87" i="40872"/>
  <c r="CX76" i="40875"/>
  <c r="BO102" i="40872"/>
  <c r="BO38" i="40872"/>
  <c r="CX82" i="40876"/>
  <c r="BO86" i="40872"/>
  <c r="BO84" i="40872"/>
  <c r="BL130" i="40872"/>
  <c r="BO96" i="40872"/>
  <c r="CA59" i="40876"/>
  <c r="DI50" i="40875"/>
  <c r="AB62" i="40872" l="1"/>
  <c r="CS201" i="40875"/>
  <c r="CX61" i="40875"/>
  <c r="CX63" i="40875" s="1"/>
  <c r="CS69" i="40875"/>
  <c r="BK117" i="40872"/>
  <c r="BK118" i="40872" s="1"/>
  <c r="BK225" i="40872"/>
  <c r="BI230" i="40872"/>
  <c r="BI233" i="40872"/>
  <c r="BI232" i="40872"/>
  <c r="BI231" i="40872"/>
  <c r="CX44" i="40875"/>
  <c r="BM60" i="40872"/>
  <c r="BO60" i="40872" s="1"/>
  <c r="BF97" i="40872"/>
  <c r="BF65" i="40872"/>
  <c r="BH211" i="40872"/>
  <c r="CQ60" i="40875" s="1"/>
  <c r="CQ64" i="40875" s="1"/>
  <c r="BF111" i="40872"/>
  <c r="BF57" i="40872"/>
  <c r="BF62" i="40872" s="1"/>
  <c r="BR128" i="40872"/>
  <c r="AQ55" i="40872"/>
  <c r="AV111" i="40872" s="1"/>
  <c r="AQ185" i="40872"/>
  <c r="BI128" i="40872"/>
  <c r="BI130" i="40872" s="1"/>
  <c r="CR64" i="40876"/>
  <c r="CR66" i="40876" s="1"/>
  <c r="CR71" i="40876" s="1"/>
  <c r="AG243" i="40872"/>
  <c r="DA64" i="40876"/>
  <c r="DA66" i="40876" s="1"/>
  <c r="DA71" i="40876" s="1"/>
  <c r="CQ64" i="40876"/>
  <c r="CQ66" i="40876" s="1"/>
  <c r="CQ71" i="40876" s="1"/>
  <c r="BH128" i="40872"/>
  <c r="BH130" i="40872" s="1"/>
  <c r="CR57" i="40876"/>
  <c r="CP59" i="40876"/>
  <c r="CQ57" i="40876"/>
  <c r="CW64" i="40876"/>
  <c r="CW66" i="40876" s="1"/>
  <c r="CW71" i="40876" s="1"/>
  <c r="AL240" i="40872"/>
  <c r="AG241" i="40872"/>
  <c r="AG242" i="40872"/>
  <c r="BD225" i="40872"/>
  <c r="BL227" i="40872"/>
  <c r="BL224" i="40872"/>
  <c r="BL236" i="40872" s="1"/>
  <c r="BL229" i="40872"/>
  <c r="BL239" i="40872" s="1"/>
  <c r="BC237" i="40872"/>
  <c r="BH237" i="40872"/>
  <c r="BL148" i="40872"/>
  <c r="CW57" i="40876"/>
  <c r="AI62" i="40872"/>
  <c r="BL60" i="40876"/>
  <c r="BK62" i="40876"/>
  <c r="BM55" i="40872"/>
  <c r="BM59" i="40872" s="1"/>
  <c r="BM57" i="40872" s="1"/>
  <c r="BB216" i="40872"/>
  <c r="BB217" i="40872" s="1"/>
  <c r="BB227" i="40872"/>
  <c r="BB224" i="40872"/>
  <c r="BB229" i="40872"/>
  <c r="BA231" i="40872"/>
  <c r="BA241" i="40872" s="1"/>
  <c r="BA230" i="40872"/>
  <c r="BA240" i="40872" s="1"/>
  <c r="BA232" i="40872"/>
  <c r="BA242" i="40872" s="1"/>
  <c r="BA233" i="40872"/>
  <c r="BA243" i="40872" s="1"/>
  <c r="DW88" i="40876"/>
  <c r="BB118" i="40872"/>
  <c r="BG118" i="40872"/>
  <c r="BC117" i="40872"/>
  <c r="CK106" i="40872"/>
  <c r="DT14" i="40876"/>
  <c r="CE54" i="40875"/>
  <c r="CE55" i="40875" s="1"/>
  <c r="CD55" i="40875"/>
  <c r="AP211" i="40872"/>
  <c r="BY60" i="40875" s="1"/>
  <c r="BY64" i="40875" s="1"/>
  <c r="AH211" i="40872"/>
  <c r="AG211" i="40872"/>
  <c r="CC56" i="40875"/>
  <c r="DA189" i="40875"/>
  <c r="DA192" i="40875" s="1"/>
  <c r="DA193" i="40875" s="1"/>
  <c r="DA194" i="40875" s="1"/>
  <c r="BS64" i="40876"/>
  <c r="BS66" i="40876" s="1"/>
  <c r="BS71" i="40876" s="1"/>
  <c r="AJ128" i="40872"/>
  <c r="AJ130" i="40872" s="1"/>
  <c r="BS57" i="40876"/>
  <c r="BN57" i="40876"/>
  <c r="BN64" i="40876"/>
  <c r="BN66" i="40876" s="1"/>
  <c r="BN71" i="40876" s="1"/>
  <c r="BX59" i="40876"/>
  <c r="BO61" i="40876"/>
  <c r="CH59" i="40876"/>
  <c r="DI18" i="40875"/>
  <c r="BH112" i="40872"/>
  <c r="CN49" i="40872"/>
  <c r="BQ53" i="40872"/>
  <c r="BQ95" i="40872"/>
  <c r="BQ352" i="40872"/>
  <c r="BQ354" i="40872" s="1"/>
  <c r="BQ108" i="40872"/>
  <c r="BQ93" i="40872"/>
  <c r="BQ94" i="40872"/>
  <c r="BQ109" i="40872"/>
  <c r="BQ43" i="40872"/>
  <c r="BR209" i="40872"/>
  <c r="DF191" i="40875"/>
  <c r="DK46" i="40875"/>
  <c r="DK43" i="40875"/>
  <c r="DK33" i="40875"/>
  <c r="DK28" i="40875"/>
  <c r="DK26" i="40875"/>
  <c r="DK25" i="40875"/>
  <c r="DK23" i="40875"/>
  <c r="DK12" i="40875"/>
  <c r="DJ47" i="40875"/>
  <c r="DJ44" i="40875"/>
  <c r="DI40" i="40875"/>
  <c r="DJ37" i="40875"/>
  <c r="DI27" i="40875"/>
  <c r="DJ22" i="40875"/>
  <c r="DJ21" i="40875"/>
  <c r="DJ14" i="40875"/>
  <c r="DH13" i="40875"/>
  <c r="DI17" i="40875"/>
  <c r="AF233" i="40872"/>
  <c r="AK243" i="40872" s="1"/>
  <c r="AT112" i="40872"/>
  <c r="DE131" i="40875"/>
  <c r="DE132" i="40875" s="1"/>
  <c r="DF131" i="40875"/>
  <c r="DF132" i="40875" s="1"/>
  <c r="BZ28" i="40872"/>
  <c r="BZ178" i="40872"/>
  <c r="CE180" i="40872"/>
  <c r="CE177" i="40872"/>
  <c r="CJ172" i="40872"/>
  <c r="AN66" i="40872"/>
  <c r="AV65" i="40872"/>
  <c r="AV211" i="40872"/>
  <c r="CE60" i="40875" s="1"/>
  <c r="CE64" i="40875" s="1"/>
  <c r="AV57" i="40872"/>
  <c r="AV201" i="40872"/>
  <c r="AV97" i="40872"/>
  <c r="AN62" i="40872"/>
  <c r="CW70" i="40875"/>
  <c r="BN126" i="40872" s="1"/>
  <c r="BO209" i="40872"/>
  <c r="CW69" i="40875"/>
  <c r="CW72" i="40875"/>
  <c r="CY70" i="40875"/>
  <c r="BP126" i="40872" s="1"/>
  <c r="CY69" i="40875"/>
  <c r="CY72" i="40875"/>
  <c r="CV70" i="40875"/>
  <c r="BM126" i="40872" s="1"/>
  <c r="CV72" i="40875"/>
  <c r="CV69" i="40875"/>
  <c r="CZ72" i="40875"/>
  <c r="CZ70" i="40875"/>
  <c r="BQ126" i="40872" s="1"/>
  <c r="CZ69" i="40875"/>
  <c r="BP62" i="40872"/>
  <c r="BE92" i="40872"/>
  <c r="CM69" i="40875"/>
  <c r="CM70" i="40875"/>
  <c r="BD126" i="40872" s="1"/>
  <c r="CM72" i="40875"/>
  <c r="BE209" i="40872"/>
  <c r="BB55" i="40872"/>
  <c r="BG110" i="40872"/>
  <c r="BE43" i="40872"/>
  <c r="CO72" i="40875"/>
  <c r="CO70" i="40875"/>
  <c r="BF126" i="40872" s="1"/>
  <c r="CO69" i="40875"/>
  <c r="BB332" i="40872"/>
  <c r="BB247" i="40872"/>
  <c r="CK79" i="40872"/>
  <c r="G9" i="40877"/>
  <c r="G10" i="40877" s="1"/>
  <c r="AF94" i="40872"/>
  <c r="AF109" i="40872"/>
  <c r="AD65" i="40872"/>
  <c r="AD97" i="40872"/>
  <c r="AI111" i="40872"/>
  <c r="AD57" i="40872"/>
  <c r="AD201" i="40872"/>
  <c r="AP201" i="40872"/>
  <c r="AP65" i="40872"/>
  <c r="AP57" i="40872"/>
  <c r="AP97" i="40872"/>
  <c r="DS14" i="40876"/>
  <c r="CJ106" i="40872"/>
  <c r="CW193" i="40875"/>
  <c r="CW194" i="40875" s="1"/>
  <c r="DC190" i="40875"/>
  <c r="CX190" i="40875"/>
  <c r="CX193" i="40875" s="1"/>
  <c r="CY190" i="40875"/>
  <c r="CX52" i="40875"/>
  <c r="BL111" i="40872"/>
  <c r="CP189" i="40875"/>
  <c r="CT192" i="40875"/>
  <c r="CT193" i="40875" s="1"/>
  <c r="CT194" i="40875" s="1"/>
  <c r="CW68" i="40875"/>
  <c r="CW62" i="40875"/>
  <c r="V1" i="40872"/>
  <c r="BW210" i="40872"/>
  <c r="BV210" i="40872"/>
  <c r="DH39" i="40875"/>
  <c r="BX125" i="40872"/>
  <c r="CS125" i="40872" s="1"/>
  <c r="CU125" i="40872" s="1"/>
  <c r="BK180" i="40872"/>
  <c r="BI180" i="40872"/>
  <c r="BL153" i="40872"/>
  <c r="BI153" i="40872"/>
  <c r="BI211" i="40872"/>
  <c r="CR60" i="40875" s="1"/>
  <c r="CR64" i="40875" s="1"/>
  <c r="BG211" i="40872"/>
  <c r="CP60" i="40875" s="1"/>
  <c r="CP64" i="40875" s="1"/>
  <c r="AE62" i="40872"/>
  <c r="BN57" i="40872"/>
  <c r="I10" i="40877"/>
  <c r="BG57" i="40872"/>
  <c r="BG201" i="40872"/>
  <c r="BG65" i="40872"/>
  <c r="BG97" i="40872"/>
  <c r="BY189" i="40875"/>
  <c r="BY192" i="40875" s="1"/>
  <c r="BY193" i="40875" s="1"/>
  <c r="BY194" i="40875" s="1"/>
  <c r="CC189" i="40875"/>
  <c r="CC192" i="40875" s="1"/>
  <c r="CC193" i="40875" s="1"/>
  <c r="CC194" i="40875" s="1"/>
  <c r="BJ185" i="40872"/>
  <c r="BN130" i="40872"/>
  <c r="BZ189" i="40875"/>
  <c r="BZ192" i="40875" s="1"/>
  <c r="BZ193" i="40875" s="1"/>
  <c r="BZ194" i="40875" s="1"/>
  <c r="BJ55" i="40872"/>
  <c r="BD62" i="40872"/>
  <c r="BD63" i="40872"/>
  <c r="BI113" i="40872" s="1"/>
  <c r="BL211" i="40872"/>
  <c r="CU60" i="40875" s="1"/>
  <c r="CU64" i="40875" s="1"/>
  <c r="AF111" i="40872"/>
  <c r="AF201" i="40872"/>
  <c r="AF57" i="40872"/>
  <c r="AF97" i="40872"/>
  <c r="AF65" i="40872"/>
  <c r="AR62" i="40872"/>
  <c r="AR108" i="40872"/>
  <c r="AR93" i="40872"/>
  <c r="AR42" i="40872"/>
  <c r="AW108" i="40872"/>
  <c r="AC62" i="40872"/>
  <c r="N9" i="40877"/>
  <c r="N10" i="40877" s="1"/>
  <c r="BM64" i="40872"/>
  <c r="CF72" i="40875"/>
  <c r="CF69" i="40875"/>
  <c r="CF70" i="40875"/>
  <c r="AW126" i="40872" s="1"/>
  <c r="BE185" i="40872"/>
  <c r="AY55" i="40872"/>
  <c r="CM57" i="40876"/>
  <c r="BD128" i="40872"/>
  <c r="BD130" i="40872" s="1"/>
  <c r="CM64" i="40876"/>
  <c r="CM66" i="40876" s="1"/>
  <c r="CM71" i="40876" s="1"/>
  <c r="BE55" i="40872"/>
  <c r="AZ95" i="40872"/>
  <c r="CH69" i="40875"/>
  <c r="CI71" i="40875"/>
  <c r="AZ209" i="40872"/>
  <c r="CH70" i="40875"/>
  <c r="AY126" i="40872" s="1"/>
  <c r="CH72" i="40875"/>
  <c r="CK72" i="40875"/>
  <c r="CK69" i="40875"/>
  <c r="CK70" i="40875"/>
  <c r="BB126" i="40872" s="1"/>
  <c r="CJ59" i="40876"/>
  <c r="AU224" i="40872"/>
  <c r="AU100" i="40872"/>
  <c r="AU17" i="40872"/>
  <c r="AZ100" i="40872"/>
  <c r="CL69" i="40875"/>
  <c r="CL72" i="40875"/>
  <c r="CL70" i="40875"/>
  <c r="BC126" i="40872" s="1"/>
  <c r="BK59" i="40872"/>
  <c r="BK57" i="40872" s="1"/>
  <c r="BK201" i="40872"/>
  <c r="BK65" i="40872"/>
  <c r="BK97" i="40872"/>
  <c r="BK211" i="40872"/>
  <c r="CT60" i="40875" s="1"/>
  <c r="CT64" i="40875" s="1"/>
  <c r="BK111" i="40872"/>
  <c r="BP111" i="40872"/>
  <c r="AY78" i="40872"/>
  <c r="AT22" i="40872"/>
  <c r="CG72" i="40875"/>
  <c r="CG70" i="40875"/>
  <c r="AX126" i="40872" s="1"/>
  <c r="CG69" i="40875"/>
  <c r="CJ69" i="40875"/>
  <c r="CJ72" i="40875"/>
  <c r="CJ70" i="40875"/>
  <c r="BA126" i="40872" s="1"/>
  <c r="AY243" i="40872"/>
  <c r="BE109" i="40872"/>
  <c r="AZ246" i="40872"/>
  <c r="AZ247" i="40872" s="1"/>
  <c r="AZ233" i="40872"/>
  <c r="AZ94" i="40872"/>
  <c r="CI78" i="40876"/>
  <c r="AZ53" i="40872"/>
  <c r="AW55" i="40872"/>
  <c r="BE332" i="40872"/>
  <c r="BE247" i="40872"/>
  <c r="AZ93" i="40872"/>
  <c r="CF201" i="40875"/>
  <c r="BB110" i="40872"/>
  <c r="AZ43" i="40872"/>
  <c r="BA62" i="40872"/>
  <c r="BA63" i="40872"/>
  <c r="AW185" i="40872"/>
  <c r="CH201" i="40875"/>
  <c r="BD110" i="40872"/>
  <c r="AY110" i="40872"/>
  <c r="BU192" i="40875"/>
  <c r="BU193" i="40875" s="1"/>
  <c r="BU194" i="40875" s="1"/>
  <c r="AL62" i="40872"/>
  <c r="AX62" i="40872"/>
  <c r="AP111" i="40872"/>
  <c r="AK57" i="40872"/>
  <c r="AK201" i="40872"/>
  <c r="AK97" i="40872"/>
  <c r="AK65" i="40872"/>
  <c r="AK111" i="40872"/>
  <c r="AH62" i="40872"/>
  <c r="AM112" i="40872" s="1"/>
  <c r="BN64" i="40872"/>
  <c r="BS319" i="40872"/>
  <c r="BU134" i="40872"/>
  <c r="BS64" i="40872"/>
  <c r="CV64" i="40872" s="1"/>
  <c r="BS68" i="40872"/>
  <c r="CC137" i="40872"/>
  <c r="CD137" i="40872" s="1"/>
  <c r="CE136" i="40872"/>
  <c r="BR178" i="40872"/>
  <c r="BS180" i="40872"/>
  <c r="BL63" i="40872"/>
  <c r="BL62" i="40872"/>
  <c r="CW54" i="40875"/>
  <c r="CV55" i="40875"/>
  <c r="DH42" i="40875"/>
  <c r="BR130" i="40872"/>
  <c r="CC57" i="40876"/>
  <c r="BO107" i="40872"/>
  <c r="BO91" i="40872"/>
  <c r="BO42" i="40872"/>
  <c r="BO92" i="40872"/>
  <c r="BO40" i="40872"/>
  <c r="BO50" i="40872"/>
  <c r="BO345" i="40872"/>
  <c r="BO350" i="40872" s="1"/>
  <c r="N7" i="40877"/>
  <c r="N8" i="40877" s="1"/>
  <c r="CW59" i="40876"/>
  <c r="DA59" i="40876"/>
  <c r="DH19" i="40875"/>
  <c r="BV105" i="40872"/>
  <c r="CU56" i="40875"/>
  <c r="CB59" i="40876"/>
  <c r="CW59" i="40872"/>
  <c r="BL64" i="40872"/>
  <c r="BO173" i="40872"/>
  <c r="BR97" i="40872"/>
  <c r="BR57" i="40872"/>
  <c r="BR201" i="40872"/>
  <c r="BR65" i="40872"/>
  <c r="N29" i="40877"/>
  <c r="DJ50" i="40875"/>
  <c r="AR112" i="40872" l="1"/>
  <c r="AG112" i="40872"/>
  <c r="CW125" i="40872"/>
  <c r="BK216" i="40872"/>
  <c r="BK217" i="40872" s="1"/>
  <c r="BL225" i="40872"/>
  <c r="BL237" i="40872" s="1"/>
  <c r="BL117" i="40872"/>
  <c r="BL118" i="40872" s="1"/>
  <c r="BF63" i="40872"/>
  <c r="BF113" i="40872" s="1"/>
  <c r="BR111" i="40872"/>
  <c r="BM201" i="40872"/>
  <c r="BM97" i="40872"/>
  <c r="DJ18" i="40875"/>
  <c r="DI35" i="40876"/>
  <c r="AQ211" i="40872"/>
  <c r="BZ60" i="40875" s="1"/>
  <c r="BZ64" i="40875" s="1"/>
  <c r="AQ201" i="40872"/>
  <c r="AS211" i="40872"/>
  <c r="CB60" i="40875" s="1"/>
  <c r="CB64" i="40875" s="1"/>
  <c r="AQ111" i="40872"/>
  <c r="AQ57" i="40872"/>
  <c r="AR211" i="40872"/>
  <c r="CA60" i="40875" s="1"/>
  <c r="CA64" i="40875" s="1"/>
  <c r="AT211" i="40872"/>
  <c r="AQ97" i="40872"/>
  <c r="AQ65" i="40872"/>
  <c r="CQ59" i="40876"/>
  <c r="CR59" i="40876"/>
  <c r="BL61" i="40876"/>
  <c r="BM229" i="40872"/>
  <c r="BM239" i="40872" s="1"/>
  <c r="BM227" i="40872"/>
  <c r="BM224" i="40872"/>
  <c r="BM236" i="40872" s="1"/>
  <c r="BE225" i="40872"/>
  <c r="BE237" i="40872" s="1"/>
  <c r="BJ225" i="40872"/>
  <c r="BF225" i="40872"/>
  <c r="CX86" i="40876"/>
  <c r="BI237" i="40872"/>
  <c r="BD237" i="40872"/>
  <c r="BM148" i="40872"/>
  <c r="BC118" i="40872"/>
  <c r="BH118" i="40872"/>
  <c r="BB230" i="40872"/>
  <c r="BB231" i="40872"/>
  <c r="BB232" i="40872"/>
  <c r="BB233" i="40872"/>
  <c r="BM62" i="40872"/>
  <c r="BM112" i="40872" s="1"/>
  <c r="BP211" i="40872"/>
  <c r="CY60" i="40875" s="1"/>
  <c r="CY64" i="40875" s="1"/>
  <c r="BM65" i="40872"/>
  <c r="BD117" i="40872"/>
  <c r="BM63" i="40872"/>
  <c r="BM113" i="40872" s="1"/>
  <c r="BN211" i="40872"/>
  <c r="BO211" i="40872" s="1"/>
  <c r="CX60" i="40875" s="1"/>
  <c r="BC216" i="40872"/>
  <c r="BC217" i="40872" s="1"/>
  <c r="BG239" i="40872"/>
  <c r="BB239" i="40872"/>
  <c r="BG148" i="40872"/>
  <c r="BB148" i="40872"/>
  <c r="BM211" i="40872"/>
  <c r="CV60" i="40875" s="1"/>
  <c r="CV64" i="40875" s="1"/>
  <c r="BM111" i="40872"/>
  <c r="CV189" i="40875"/>
  <c r="CV192" i="40875" s="1"/>
  <c r="CV193" i="40875" s="1"/>
  <c r="CV194" i="40875" s="1"/>
  <c r="BC227" i="40872"/>
  <c r="BC224" i="40872"/>
  <c r="BC229" i="40872"/>
  <c r="BG236" i="40872"/>
  <c r="BB236" i="40872"/>
  <c r="BN62" i="40872"/>
  <c r="BN112" i="40872" s="1"/>
  <c r="CD56" i="40875"/>
  <c r="CE56" i="40875"/>
  <c r="BS59" i="40876"/>
  <c r="BT60" i="40876"/>
  <c r="BO62" i="40876"/>
  <c r="BP60" i="40876"/>
  <c r="BN59" i="40876"/>
  <c r="CZ201" i="40875"/>
  <c r="BQ110" i="40872"/>
  <c r="BQ55" i="40872"/>
  <c r="BQ362" i="40872"/>
  <c r="BQ372" i="40872" s="1"/>
  <c r="DA72" i="40875"/>
  <c r="DA70" i="40875"/>
  <c r="BR126" i="40872" s="1"/>
  <c r="DA69" i="40875"/>
  <c r="BQ60" i="40872"/>
  <c r="BQ185" i="40872"/>
  <c r="DG191" i="40875"/>
  <c r="DL46" i="40875"/>
  <c r="DL43" i="40875"/>
  <c r="DI42" i="40875"/>
  <c r="DL33" i="40875"/>
  <c r="DL28" i="40875"/>
  <c r="DL26" i="40875"/>
  <c r="DL25" i="40875"/>
  <c r="DL23" i="40875"/>
  <c r="DJ35" i="40876"/>
  <c r="DL12" i="40875"/>
  <c r="DK47" i="40875"/>
  <c r="DK44" i="40875"/>
  <c r="DJ40" i="40875"/>
  <c r="DK37" i="40875"/>
  <c r="DJ27" i="40875"/>
  <c r="DK22" i="40875"/>
  <c r="DK21" i="40875"/>
  <c r="DK14" i="40875"/>
  <c r="DI13" i="40875"/>
  <c r="DJ17" i="40875"/>
  <c r="CJ180" i="40872"/>
  <c r="CJ177" i="40872"/>
  <c r="CE28" i="40872"/>
  <c r="CE178" i="40872"/>
  <c r="DI78" i="40875"/>
  <c r="BZ105" i="40872"/>
  <c r="AO66" i="40872"/>
  <c r="CX70" i="40875"/>
  <c r="BO126" i="40872" s="1"/>
  <c r="CX72" i="40875"/>
  <c r="CX69" i="40875"/>
  <c r="AN112" i="40872"/>
  <c r="AS112" i="40872"/>
  <c r="AV62" i="40872"/>
  <c r="BA112" i="40872" s="1"/>
  <c r="H10" i="40877"/>
  <c r="BJ110" i="40872"/>
  <c r="CN201" i="40875"/>
  <c r="L9" i="40877"/>
  <c r="M10" i="40877" s="1"/>
  <c r="CN69" i="40875"/>
  <c r="CN70" i="40875"/>
  <c r="BE126" i="40872" s="1"/>
  <c r="CN72" i="40875"/>
  <c r="BB57" i="40872"/>
  <c r="BB97" i="40872"/>
  <c r="BB65" i="40872"/>
  <c r="BF211" i="40872"/>
  <c r="CO60" i="40875" s="1"/>
  <c r="CO64" i="40875" s="1"/>
  <c r="BD211" i="40872"/>
  <c r="BB201" i="40872"/>
  <c r="BG111" i="40872"/>
  <c r="AP62" i="40872"/>
  <c r="AD62" i="40872"/>
  <c r="BN63" i="40872"/>
  <c r="BN113" i="40872" s="1"/>
  <c r="CX194" i="40875"/>
  <c r="BJ211" i="40872"/>
  <c r="CS60" i="40875" s="1"/>
  <c r="CS64" i="40875" s="1"/>
  <c r="CP192" i="40875"/>
  <c r="CP193" i="40875" s="1"/>
  <c r="CP194" i="40875" s="1"/>
  <c r="CY188" i="40875"/>
  <c r="CY193" i="40875" s="1"/>
  <c r="CY194" i="40875" s="1"/>
  <c r="DC188" i="40875"/>
  <c r="CX68" i="40875"/>
  <c r="CX62" i="40875"/>
  <c r="DI39" i="40875"/>
  <c r="BY125" i="40872"/>
  <c r="DK18" i="40875"/>
  <c r="BJ152" i="40872"/>
  <c r="BJ153" i="40872" s="1"/>
  <c r="BJ179" i="40872"/>
  <c r="BJ180" i="40872" s="1"/>
  <c r="BM153" i="40872"/>
  <c r="BO179" i="40872"/>
  <c r="BO180" i="40872" s="1"/>
  <c r="BO59" i="40872"/>
  <c r="BO64" i="40872" s="1"/>
  <c r="DF190" i="40875"/>
  <c r="AJ112" i="40872"/>
  <c r="BG63" i="40872"/>
  <c r="BG62" i="40872"/>
  <c r="BJ97" i="40872"/>
  <c r="BJ65" i="40872"/>
  <c r="BJ57" i="40872"/>
  <c r="BJ201" i="40872"/>
  <c r="AF62" i="40872"/>
  <c r="AR233" i="40872"/>
  <c r="AV209" i="40872"/>
  <c r="AW109" i="40872"/>
  <c r="AR94" i="40872"/>
  <c r="AS209" i="40872"/>
  <c r="AU42" i="40872"/>
  <c r="AR43" i="40872"/>
  <c r="AR209" i="40872"/>
  <c r="CA78" i="40876"/>
  <c r="AT209" i="40872"/>
  <c r="AR109" i="40872"/>
  <c r="BI112" i="40872"/>
  <c r="CI72" i="40875"/>
  <c r="CI70" i="40875"/>
  <c r="AZ126" i="40872" s="1"/>
  <c r="CI69" i="40875"/>
  <c r="CM59" i="40876"/>
  <c r="K9" i="40877"/>
  <c r="BE110" i="40872"/>
  <c r="CI201" i="40875"/>
  <c r="AY211" i="40872"/>
  <c r="AW57" i="40872"/>
  <c r="AW201" i="40872"/>
  <c r="AW111" i="40872"/>
  <c r="AW97" i="40872"/>
  <c r="AX211" i="40872"/>
  <c r="CG60" i="40875" s="1"/>
  <c r="CG64" i="40875" s="1"/>
  <c r="AW65" i="40872"/>
  <c r="BB111" i="40872"/>
  <c r="AZ55" i="40872"/>
  <c r="AW211" i="40872"/>
  <c r="CF60" i="40875" s="1"/>
  <c r="CF64" i="40875" s="1"/>
  <c r="BK64" i="40872"/>
  <c r="AU102" i="40872"/>
  <c r="AU96" i="40872"/>
  <c r="AU86" i="40872"/>
  <c r="J5" i="40877"/>
  <c r="AU87" i="40872"/>
  <c r="AU90" i="40872"/>
  <c r="CD82" i="40876"/>
  <c r="CD76" i="40875"/>
  <c r="AU89" i="40872"/>
  <c r="AU84" i="40872"/>
  <c r="AU88" i="40872"/>
  <c r="AZ102" i="40872"/>
  <c r="BF112" i="40872"/>
  <c r="BK63" i="40872"/>
  <c r="BK62" i="40872"/>
  <c r="BE65" i="40872"/>
  <c r="BE97" i="40872"/>
  <c r="BE201" i="40872"/>
  <c r="BE57" i="40872"/>
  <c r="BJ111" i="40872"/>
  <c r="AU22" i="40872"/>
  <c r="AT23" i="40872"/>
  <c r="AT24" i="40872" s="1"/>
  <c r="AU236" i="40872"/>
  <c r="AZ236" i="40872"/>
  <c r="AT74" i="40872"/>
  <c r="AY57" i="40872"/>
  <c r="AY201" i="40872"/>
  <c r="BD111" i="40872"/>
  <c r="BA211" i="40872"/>
  <c r="CJ60" i="40875" s="1"/>
  <c r="CJ64" i="40875" s="1"/>
  <c r="AY97" i="40872"/>
  <c r="BC211" i="40872"/>
  <c r="CL60" i="40875" s="1"/>
  <c r="CL64" i="40875" s="1"/>
  <c r="AY111" i="40872"/>
  <c r="AY65" i="40872"/>
  <c r="BB211" i="40872"/>
  <c r="CK60" i="40875" s="1"/>
  <c r="CK64" i="40875" s="1"/>
  <c r="AK62" i="40872"/>
  <c r="AH112" i="40872"/>
  <c r="AX112" i="40872"/>
  <c r="BC112" i="40872"/>
  <c r="AL112" i="40872"/>
  <c r="BT64" i="40872"/>
  <c r="BT68" i="40872"/>
  <c r="BT319" i="40872"/>
  <c r="BT320" i="40872" s="1"/>
  <c r="BS199" i="40872"/>
  <c r="CF136" i="40872"/>
  <c r="CE137" i="40872"/>
  <c r="BS326" i="40872"/>
  <c r="BT326" i="40872" s="1"/>
  <c r="BS320" i="40872"/>
  <c r="BS327" i="40872" s="1"/>
  <c r="BT327" i="40872" s="1"/>
  <c r="CC59" i="40876"/>
  <c r="BR62" i="40872"/>
  <c r="BR63" i="40872"/>
  <c r="BO94" i="40872"/>
  <c r="CX78" i="40876"/>
  <c r="BO109" i="40872"/>
  <c r="CX201" i="40875"/>
  <c r="DH51" i="40875"/>
  <c r="BO352" i="40872"/>
  <c r="BO354" i="40872" s="1"/>
  <c r="BO95" i="40872"/>
  <c r="BO53" i="40872"/>
  <c r="BS178" i="40872"/>
  <c r="CX54" i="40875"/>
  <c r="CW55" i="40875"/>
  <c r="DH36" i="40875"/>
  <c r="DI19" i="40875"/>
  <c r="BO108" i="40872"/>
  <c r="BO93" i="40872"/>
  <c r="CV56" i="40875"/>
  <c r="BL3" i="40872"/>
  <c r="DK50" i="40875"/>
  <c r="BJ237" i="40872" l="1"/>
  <c r="BL216" i="40872"/>
  <c r="BL217" i="40872" s="1"/>
  <c r="BM117" i="40872"/>
  <c r="BM118" i="40872" s="1"/>
  <c r="BM225" i="40872"/>
  <c r="BM237" i="40872" s="1"/>
  <c r="BK231" i="40872"/>
  <c r="BK230" i="40872"/>
  <c r="BK233" i="40872"/>
  <c r="BK232" i="40872"/>
  <c r="BN3" i="40872"/>
  <c r="BM3" i="40872"/>
  <c r="DJ42" i="40875"/>
  <c r="DI23" i="40876"/>
  <c r="CX64" i="40875"/>
  <c r="CW60" i="40875"/>
  <c r="CW64" i="40875" s="1"/>
  <c r="CC60" i="40875"/>
  <c r="CC64" i="40875" s="1"/>
  <c r="AU211" i="40872"/>
  <c r="CD60" i="40875" s="1"/>
  <c r="CD64" i="40875" s="1"/>
  <c r="AQ62" i="40872"/>
  <c r="BL62" i="40876"/>
  <c r="BM60" i="40876"/>
  <c r="BN148" i="40872"/>
  <c r="BF237" i="40872"/>
  <c r="BK237" i="40872"/>
  <c r="BN229" i="40872"/>
  <c r="BN239" i="40872" s="1"/>
  <c r="BN224" i="40872"/>
  <c r="BN236" i="40872" s="1"/>
  <c r="BN227" i="40872"/>
  <c r="BH236" i="40872"/>
  <c r="BC236" i="40872"/>
  <c r="BC231" i="40872"/>
  <c r="BC230" i="40872"/>
  <c r="BC233" i="40872"/>
  <c r="BC232" i="40872"/>
  <c r="BD229" i="40872"/>
  <c r="BD227" i="40872"/>
  <c r="BD224" i="40872"/>
  <c r="BG242" i="40872"/>
  <c r="BB242" i="40872"/>
  <c r="BG241" i="40872"/>
  <c r="BB241" i="40872"/>
  <c r="BD216" i="40872"/>
  <c r="BD217" i="40872" s="1"/>
  <c r="BI118" i="40872"/>
  <c r="BD118" i="40872"/>
  <c r="BB240" i="40872"/>
  <c r="BG240" i="40872"/>
  <c r="BC239" i="40872"/>
  <c r="BH239" i="40872"/>
  <c r="BC148" i="40872"/>
  <c r="BH148" i="40872"/>
  <c r="BE117" i="40872"/>
  <c r="BG243" i="40872"/>
  <c r="BB243" i="40872"/>
  <c r="BT61" i="40876"/>
  <c r="BP61" i="40876"/>
  <c r="BL180" i="40872"/>
  <c r="BQ57" i="40872"/>
  <c r="BQ97" i="40872"/>
  <c r="CZ189" i="40875"/>
  <c r="CZ192" i="40875" s="1"/>
  <c r="CZ193" i="40875" s="1"/>
  <c r="CZ194" i="40875" s="1"/>
  <c r="BQ65" i="40872"/>
  <c r="BQ201" i="40872"/>
  <c r="BQ111" i="40872"/>
  <c r="BQ211" i="40872"/>
  <c r="CZ60" i="40875" s="1"/>
  <c r="CZ64" i="40875" s="1"/>
  <c r="BR211" i="40872"/>
  <c r="DA60" i="40875" s="1"/>
  <c r="DA64" i="40875" s="1"/>
  <c r="DH191" i="40875"/>
  <c r="DM46" i="40875"/>
  <c r="DM43" i="40875"/>
  <c r="DM33" i="40875"/>
  <c r="DM28" i="40875"/>
  <c r="DM26" i="40875"/>
  <c r="DM25" i="40875"/>
  <c r="DM23" i="40875"/>
  <c r="DK35" i="40876"/>
  <c r="DM12" i="40875"/>
  <c r="BV129" i="40872"/>
  <c r="DE46" i="40876"/>
  <c r="DL47" i="40875"/>
  <c r="DL44" i="40875"/>
  <c r="DH41" i="40875"/>
  <c r="DK40" i="40875"/>
  <c r="DL37" i="40875"/>
  <c r="DK27" i="40875"/>
  <c r="DL22" i="40875"/>
  <c r="DL21" i="40875"/>
  <c r="DL14" i="40875"/>
  <c r="DJ13" i="40875"/>
  <c r="DK17" i="40875"/>
  <c r="DN78" i="40875"/>
  <c r="CE105" i="40872"/>
  <c r="CJ28" i="40872"/>
  <c r="CJ178" i="40872"/>
  <c r="AP66" i="40872"/>
  <c r="AQ66" i="40872"/>
  <c r="AV112" i="40872"/>
  <c r="BL112" i="40872"/>
  <c r="L10" i="40877"/>
  <c r="BU71" i="40872"/>
  <c r="BU77" i="40872" s="1"/>
  <c r="BU70" i="40872"/>
  <c r="BU72" i="40872"/>
  <c r="CM60" i="40875"/>
  <c r="CM64" i="40875" s="1"/>
  <c r="BE211" i="40872"/>
  <c r="CN60" i="40875" s="1"/>
  <c r="CN64" i="40875" s="1"/>
  <c r="BB63" i="40872"/>
  <c r="BG113" i="40872" s="1"/>
  <c r="CS113" i="40872" s="1"/>
  <c r="BB62" i="40872"/>
  <c r="I11" i="40877"/>
  <c r="AI112" i="40872"/>
  <c r="BL113" i="40872"/>
  <c r="BZ125" i="40872"/>
  <c r="DJ39" i="40875"/>
  <c r="DL18" i="40875"/>
  <c r="DH48" i="40875"/>
  <c r="DG190" i="40875"/>
  <c r="BJ62" i="40872"/>
  <c r="BJ63" i="40872"/>
  <c r="CC69" i="40875"/>
  <c r="AU209" i="40872"/>
  <c r="CC70" i="40875"/>
  <c r="AT126" i="40872" s="1"/>
  <c r="CD71" i="40875"/>
  <c r="CC72" i="40875"/>
  <c r="CA69" i="40875"/>
  <c r="CA70" i="40875"/>
  <c r="AR126" i="40872" s="1"/>
  <c r="CA72" i="40875"/>
  <c r="AW243" i="40872"/>
  <c r="AR243" i="40872"/>
  <c r="AW110" i="40872"/>
  <c r="AU43" i="40872"/>
  <c r="AZ109" i="40872"/>
  <c r="AU94" i="40872"/>
  <c r="CD78" i="40876"/>
  <c r="AU109" i="40872"/>
  <c r="AU233" i="40872"/>
  <c r="CE70" i="40875"/>
  <c r="AV126" i="40872" s="1"/>
  <c r="CE72" i="40875"/>
  <c r="CE69" i="40875"/>
  <c r="G11" i="40877"/>
  <c r="AF112" i="40872"/>
  <c r="CA201" i="40875"/>
  <c r="CB72" i="40875"/>
  <c r="CB70" i="40875"/>
  <c r="AS126" i="40872" s="1"/>
  <c r="CB69" i="40875"/>
  <c r="AY79" i="40872"/>
  <c r="BK113" i="40872"/>
  <c r="BP113" i="40872"/>
  <c r="J6" i="40877"/>
  <c r="K6" i="40877"/>
  <c r="AZ201" i="40872"/>
  <c r="AZ97" i="40872"/>
  <c r="AZ65" i="40872"/>
  <c r="AW62" i="40872"/>
  <c r="AZ57" i="40872"/>
  <c r="BE62" i="40872"/>
  <c r="BE63" i="40872"/>
  <c r="AZ211" i="40872"/>
  <c r="CI60" i="40875" s="1"/>
  <c r="CI64" i="40875" s="1"/>
  <c r="CH60" i="40875"/>
  <c r="CH64" i="40875" s="1"/>
  <c r="AY62" i="40872"/>
  <c r="AU23" i="40872"/>
  <c r="BK3" i="40872"/>
  <c r="BK112" i="40872"/>
  <c r="BP112" i="40872"/>
  <c r="BE111" i="40872"/>
  <c r="AP112" i="40872"/>
  <c r="H11" i="40877"/>
  <c r="AK112" i="40872"/>
  <c r="CF137" i="40872"/>
  <c r="CG136" i="40872"/>
  <c r="BT199" i="40872"/>
  <c r="CX55" i="40875"/>
  <c r="CY54" i="40875"/>
  <c r="BU207" i="40872"/>
  <c r="BS105" i="40872"/>
  <c r="CV105" i="40872" s="1"/>
  <c r="BT28" i="40872"/>
  <c r="BS207" i="40872"/>
  <c r="BT207" i="40872" s="1"/>
  <c r="BV207" i="40872"/>
  <c r="DI51" i="40875"/>
  <c r="DI36" i="40875"/>
  <c r="DJ19" i="40875"/>
  <c r="BO185" i="40872"/>
  <c r="DK42" i="40875"/>
  <c r="DJ23" i="40876"/>
  <c r="BR113" i="40872"/>
  <c r="CW56" i="40875"/>
  <c r="BO55" i="40872"/>
  <c r="BR112" i="40872"/>
  <c r="DL50" i="40875"/>
  <c r="BZ70" i="40872" l="1"/>
  <c r="CE70" i="40872" s="1"/>
  <c r="CJ70" i="40872" s="1"/>
  <c r="BM216" i="40872"/>
  <c r="BM217" i="40872" s="1"/>
  <c r="BN117" i="40872"/>
  <c r="BN118" i="40872" s="1"/>
  <c r="BN225" i="40872"/>
  <c r="BN237" i="40872" s="1"/>
  <c r="BL230" i="40872"/>
  <c r="BL240" i="40872" s="1"/>
  <c r="BL232" i="40872"/>
  <c r="BL242" i="40872" s="1"/>
  <c r="BL233" i="40872"/>
  <c r="BL243" i="40872" s="1"/>
  <c r="BL231" i="40872"/>
  <c r="BL241" i="40872" s="1"/>
  <c r="CS28" i="40872"/>
  <c r="AQ112" i="40872"/>
  <c r="BO227" i="40872"/>
  <c r="BO224" i="40872"/>
  <c r="BO229" i="40872"/>
  <c r="BM61" i="40876"/>
  <c r="BH243" i="40872"/>
  <c r="BC243" i="40872"/>
  <c r="BD233" i="40872"/>
  <c r="BD231" i="40872"/>
  <c r="BD232" i="40872"/>
  <c r="BD230" i="40872"/>
  <c r="BD239" i="40872"/>
  <c r="BI239" i="40872"/>
  <c r="BH240" i="40872"/>
  <c r="BC240" i="40872"/>
  <c r="BF227" i="40872"/>
  <c r="BF224" i="40872"/>
  <c r="BF229" i="40872"/>
  <c r="BE148" i="40872"/>
  <c r="BE227" i="40872"/>
  <c r="BE224" i="40872"/>
  <c r="BE236" i="40872" s="1"/>
  <c r="BE229" i="40872"/>
  <c r="BE239" i="40872" s="1"/>
  <c r="BD148" i="40872"/>
  <c r="BI148" i="40872"/>
  <c r="BC241" i="40872"/>
  <c r="BH241" i="40872"/>
  <c r="BJ227" i="40872"/>
  <c r="BJ229" i="40872"/>
  <c r="BJ224" i="40872"/>
  <c r="BJ118" i="40872"/>
  <c r="BE118" i="40872"/>
  <c r="BJ216" i="40872"/>
  <c r="BJ217" i="40872" s="1"/>
  <c r="BF216" i="40872"/>
  <c r="BF217" i="40872" s="1"/>
  <c r="BE216" i="40872"/>
  <c r="BE217" i="40872" s="1"/>
  <c r="BI236" i="40872"/>
  <c r="BD236" i="40872"/>
  <c r="BH242" i="40872"/>
  <c r="BC242" i="40872"/>
  <c r="BP62" i="40876"/>
  <c r="BQ60" i="40876"/>
  <c r="BU60" i="40876"/>
  <c r="BY60" i="40876"/>
  <c r="BT62" i="40876"/>
  <c r="BU78" i="40872"/>
  <c r="BZ72" i="40872"/>
  <c r="CE72" i="40872" s="1"/>
  <c r="CJ72" i="40872" s="1"/>
  <c r="BQ62" i="40872"/>
  <c r="BQ63" i="40872"/>
  <c r="DN46" i="40875"/>
  <c r="DN43" i="40875"/>
  <c r="DN33" i="40875"/>
  <c r="DN28" i="40875"/>
  <c r="DN26" i="40875"/>
  <c r="DN25" i="40875"/>
  <c r="DN23" i="40875"/>
  <c r="DM18" i="40875"/>
  <c r="DN12" i="40875"/>
  <c r="DM47" i="40875"/>
  <c r="DM44" i="40875"/>
  <c r="DI41" i="40875"/>
  <c r="DL40" i="40875"/>
  <c r="DM37" i="40875"/>
  <c r="DL27" i="40875"/>
  <c r="DM22" i="40875"/>
  <c r="DM21" i="40875"/>
  <c r="DM14" i="40875"/>
  <c r="DK13" i="40875"/>
  <c r="DL17" i="40875"/>
  <c r="DM35" i="40875"/>
  <c r="DN35" i="40875" s="1"/>
  <c r="DO35" i="40875" s="1"/>
  <c r="DP35" i="40875" s="1"/>
  <c r="DQ35" i="40875" s="1"/>
  <c r="DH190" i="40875"/>
  <c r="BN153" i="40872"/>
  <c r="DS78" i="40875"/>
  <c r="CJ105" i="40872"/>
  <c r="AR66" i="40872"/>
  <c r="DL35" i="40876"/>
  <c r="BU76" i="40872"/>
  <c r="BU73" i="40872"/>
  <c r="BU74" i="40872" s="1"/>
  <c r="BU79" i="40872" s="1"/>
  <c r="BG112" i="40872"/>
  <c r="CA125" i="40872"/>
  <c r="DK39" i="40875"/>
  <c r="BP153" i="40872"/>
  <c r="DI48" i="40875"/>
  <c r="M11" i="40877"/>
  <c r="M28" i="40877" s="1"/>
  <c r="AU243" i="40872"/>
  <c r="AZ243" i="40872"/>
  <c r="CD72" i="40875"/>
  <c r="CD69" i="40875"/>
  <c r="CD70" i="40875"/>
  <c r="AU126" i="40872" s="1"/>
  <c r="CD201" i="40875"/>
  <c r="AZ110" i="40872"/>
  <c r="J9" i="40877"/>
  <c r="BG82" i="40876"/>
  <c r="BI82" i="40876"/>
  <c r="BH82" i="40876"/>
  <c r="BF82" i="40876"/>
  <c r="AZ62" i="40872"/>
  <c r="BJ113" i="40872"/>
  <c r="AU73" i="40872"/>
  <c r="AU27" i="40872"/>
  <c r="AU24" i="40872"/>
  <c r="AY112" i="40872"/>
  <c r="BD112" i="40872"/>
  <c r="BJ112" i="40872"/>
  <c r="L11" i="40877"/>
  <c r="AW112" i="40872"/>
  <c r="BB112" i="40872"/>
  <c r="I12" i="40877"/>
  <c r="H12" i="40877"/>
  <c r="CG137" i="40872"/>
  <c r="CH136" i="40872"/>
  <c r="BX105" i="40872"/>
  <c r="CS105" i="40872" s="1"/>
  <c r="DG78" i="40875"/>
  <c r="DK23" i="40876"/>
  <c r="DL42" i="40875"/>
  <c r="DJ36" i="40875"/>
  <c r="DK19" i="40875"/>
  <c r="DJ51" i="40875"/>
  <c r="DI191" i="40875"/>
  <c r="CY55" i="40875"/>
  <c r="CZ54" i="40875"/>
  <c r="DC78" i="40875"/>
  <c r="BT105" i="40872"/>
  <c r="CX56" i="40875"/>
  <c r="BO111" i="40872"/>
  <c r="BO65" i="40872"/>
  <c r="BO97" i="40872"/>
  <c r="BO201" i="40872"/>
  <c r="BO57" i="40872"/>
  <c r="DM50" i="40875"/>
  <c r="BN216" i="40872" l="1"/>
  <c r="BN217" i="40872" s="1"/>
  <c r="BO225" i="40872"/>
  <c r="BO237" i="40872" s="1"/>
  <c r="BO117" i="40872"/>
  <c r="BO118" i="40872" s="1"/>
  <c r="BM232" i="40872"/>
  <c r="BM242" i="40872" s="1"/>
  <c r="BM231" i="40872"/>
  <c r="BM241" i="40872" s="1"/>
  <c r="BM233" i="40872"/>
  <c r="BM243" i="40872" s="1"/>
  <c r="BM230" i="40872"/>
  <c r="BM240" i="40872" s="1"/>
  <c r="BN60" i="40876"/>
  <c r="BM62" i="40876"/>
  <c r="BP148" i="40872"/>
  <c r="BP229" i="40872"/>
  <c r="BP239" i="40872" s="1"/>
  <c r="BP224" i="40872"/>
  <c r="BP236" i="40872" s="1"/>
  <c r="BP227" i="40872"/>
  <c r="L15" i="40877"/>
  <c r="M15" i="40877"/>
  <c r="BF148" i="40872"/>
  <c r="BK148" i="40872"/>
  <c r="BD241" i="40872"/>
  <c r="BI241" i="40872"/>
  <c r="BJ233" i="40872"/>
  <c r="BJ232" i="40872"/>
  <c r="BJ230" i="40872"/>
  <c r="BJ231" i="40872"/>
  <c r="BJ239" i="40872"/>
  <c r="BO239" i="40872"/>
  <c r="BF236" i="40872"/>
  <c r="BK236" i="40872"/>
  <c r="BI242" i="40872"/>
  <c r="BD242" i="40872"/>
  <c r="BF232" i="40872"/>
  <c r="BF233" i="40872"/>
  <c r="BF231" i="40872"/>
  <c r="BF230" i="40872"/>
  <c r="BI243" i="40872"/>
  <c r="BD243" i="40872"/>
  <c r="BE232" i="40872"/>
  <c r="BE242" i="40872" s="1"/>
  <c r="BE231" i="40872"/>
  <c r="BE241" i="40872" s="1"/>
  <c r="BE230" i="40872"/>
  <c r="BE240" i="40872" s="1"/>
  <c r="BE233" i="40872"/>
  <c r="BJ236" i="40872"/>
  <c r="BO236" i="40872"/>
  <c r="BO148" i="40872"/>
  <c r="BJ148" i="40872"/>
  <c r="BF239" i="40872"/>
  <c r="BK239" i="40872"/>
  <c r="BD240" i="40872"/>
  <c r="BI240" i="40872"/>
  <c r="BY61" i="40876"/>
  <c r="BQ61" i="40876"/>
  <c r="BU61" i="40876"/>
  <c r="BQ113" i="40872"/>
  <c r="BO152" i="40872"/>
  <c r="BO153" i="40872" s="1"/>
  <c r="BQ112" i="40872"/>
  <c r="DO46" i="40875"/>
  <c r="DO43" i="40875"/>
  <c r="DO33" i="40875"/>
  <c r="DO28" i="40875"/>
  <c r="DO26" i="40875"/>
  <c r="DO25" i="40875"/>
  <c r="DO23" i="40875"/>
  <c r="DN18" i="40875"/>
  <c r="DO12" i="40875"/>
  <c r="DN47" i="40875"/>
  <c r="DN44" i="40875"/>
  <c r="DJ41" i="40875"/>
  <c r="DM40" i="40875"/>
  <c r="DN37" i="40875"/>
  <c r="DM27" i="40875"/>
  <c r="DN22" i="40875"/>
  <c r="DN21" i="40875"/>
  <c r="DN14" i="40875"/>
  <c r="DL13" i="40875"/>
  <c r="DM35" i="40876"/>
  <c r="DM17" i="40875"/>
  <c r="AS66" i="40872"/>
  <c r="CB125" i="40872"/>
  <c r="DL39" i="40875"/>
  <c r="BT152" i="40872"/>
  <c r="DJ48" i="40875"/>
  <c r="DI190" i="40875"/>
  <c r="K10" i="40877"/>
  <c r="J10" i="40877"/>
  <c r="CD77" i="40875"/>
  <c r="CD79" i="40875" s="1"/>
  <c r="AU229" i="40872"/>
  <c r="AZ103" i="40872"/>
  <c r="AU103" i="40872"/>
  <c r="AU38" i="40872"/>
  <c r="AU74" i="40872"/>
  <c r="K11" i="40877"/>
  <c r="L12" i="40877" s="1"/>
  <c r="BE112" i="40872"/>
  <c r="M12" i="40877"/>
  <c r="L28" i="40877"/>
  <c r="CJ136" i="40872"/>
  <c r="CH137" i="40872"/>
  <c r="CI137" i="40872" s="1"/>
  <c r="DC67" i="40876"/>
  <c r="DC55" i="40876"/>
  <c r="O17" i="40877"/>
  <c r="O32" i="40877" s="1"/>
  <c r="BO63" i="40872"/>
  <c r="BO62" i="40872"/>
  <c r="CZ55" i="40875"/>
  <c r="DA54" i="40875"/>
  <c r="DA55" i="40875" s="1"/>
  <c r="CY56" i="40875"/>
  <c r="DM42" i="40875"/>
  <c r="DL23" i="40876"/>
  <c r="DK51" i="40875"/>
  <c r="DJ191" i="40875"/>
  <c r="DK36" i="40875"/>
  <c r="DL19" i="40875"/>
  <c r="DN50" i="40875"/>
  <c r="BP117" i="40872" l="1"/>
  <c r="BP118" i="40872" s="1"/>
  <c r="BP225" i="40872"/>
  <c r="BP237" i="40872" s="1"/>
  <c r="BN233" i="40872"/>
  <c r="BN243" i="40872" s="1"/>
  <c r="BN232" i="40872"/>
  <c r="BN242" i="40872" s="1"/>
  <c r="BN231" i="40872"/>
  <c r="BN241" i="40872" s="1"/>
  <c r="BN230" i="40872"/>
  <c r="BN240" i="40872" s="1"/>
  <c r="BO339" i="40872"/>
  <c r="BO216" i="40872"/>
  <c r="BO217" i="40872" s="1"/>
  <c r="N15" i="40877"/>
  <c r="BJ241" i="40872"/>
  <c r="BQ148" i="40872"/>
  <c r="BQ227" i="40872"/>
  <c r="BQ224" i="40872"/>
  <c r="BQ236" i="40872" s="1"/>
  <c r="BQ229" i="40872"/>
  <c r="BQ239" i="40872" s="1"/>
  <c r="BN61" i="40876"/>
  <c r="BF242" i="40872"/>
  <c r="BK242" i="40872"/>
  <c r="BF240" i="40872"/>
  <c r="BK240" i="40872"/>
  <c r="BJ240" i="40872"/>
  <c r="BF241" i="40872"/>
  <c r="BK241" i="40872"/>
  <c r="BJ242" i="40872"/>
  <c r="BJ243" i="40872"/>
  <c r="BE243" i="40872"/>
  <c r="BF243" i="40872"/>
  <c r="BK243" i="40872"/>
  <c r="BV60" i="40876"/>
  <c r="BU62" i="40876"/>
  <c r="BZ60" i="40876"/>
  <c r="CD60" i="40876"/>
  <c r="BY62" i="40876"/>
  <c r="BR60" i="40876"/>
  <c r="BQ62" i="40876"/>
  <c r="DP46" i="40875"/>
  <c r="DP43" i="40875"/>
  <c r="DN42" i="40875"/>
  <c r="DP33" i="40875"/>
  <c r="DP28" i="40875"/>
  <c r="DP26" i="40875"/>
  <c r="DP25" i="40875"/>
  <c r="DP23" i="40875"/>
  <c r="DN35" i="40876"/>
  <c r="DO18" i="40875"/>
  <c r="DP12" i="40875"/>
  <c r="DO47" i="40875"/>
  <c r="DO44" i="40875"/>
  <c r="DK41" i="40875"/>
  <c r="DN40" i="40875"/>
  <c r="DO37" i="40875"/>
  <c r="DN27" i="40875"/>
  <c r="DO22" i="40875"/>
  <c r="DO21" i="40875"/>
  <c r="DO14" i="40875"/>
  <c r="DM13" i="40875"/>
  <c r="DN17" i="40875"/>
  <c r="DM23" i="40876"/>
  <c r="AT66" i="40872"/>
  <c r="DM39" i="40875"/>
  <c r="CC125" i="40872"/>
  <c r="DK48" i="40875"/>
  <c r="DJ190" i="40875"/>
  <c r="AU239" i="40872"/>
  <c r="AZ239" i="40872"/>
  <c r="AZ79" i="40872"/>
  <c r="AU92" i="40872"/>
  <c r="AU40" i="40872"/>
  <c r="AU91" i="40872"/>
  <c r="AU50" i="40872"/>
  <c r="AU232" i="40872"/>
  <c r="J7" i="40877"/>
  <c r="AU107" i="40872"/>
  <c r="AZ107" i="40872"/>
  <c r="CJ137" i="40872"/>
  <c r="CK136" i="40872"/>
  <c r="BO113" i="40872"/>
  <c r="DM19" i="40875"/>
  <c r="DL36" i="40875"/>
  <c r="DK191" i="40875"/>
  <c r="DL51" i="40875"/>
  <c r="DA56" i="40875"/>
  <c r="CZ56" i="40875"/>
  <c r="N11" i="40877"/>
  <c r="BO112" i="40872"/>
  <c r="DO50" i="40875"/>
  <c r="BO230" i="40872" l="1"/>
  <c r="BO240" i="40872" s="1"/>
  <c r="BO233" i="40872"/>
  <c r="BO243" i="40872" s="1"/>
  <c r="BO231" i="40872"/>
  <c r="BO241" i="40872" s="1"/>
  <c r="BO232" i="40872"/>
  <c r="BO242" i="40872" s="1"/>
  <c r="BP216" i="40872"/>
  <c r="BP217" i="40872" s="1"/>
  <c r="BQ225" i="40872"/>
  <c r="BQ237" i="40872" s="1"/>
  <c r="BQ117" i="40872"/>
  <c r="BQ118" i="40872" s="1"/>
  <c r="DO42" i="40875"/>
  <c r="DN23" i="40876"/>
  <c r="BN62" i="40876"/>
  <c r="BR227" i="40872"/>
  <c r="BR229" i="40872"/>
  <c r="BR239" i="40872" s="1"/>
  <c r="BR224" i="40872"/>
  <c r="BR236" i="40872" s="1"/>
  <c r="CV115" i="40872"/>
  <c r="DC86" i="40876"/>
  <c r="BZ61" i="40876"/>
  <c r="BR61" i="40876"/>
  <c r="BV61" i="40876"/>
  <c r="CD61" i="40876"/>
  <c r="DQ46" i="40875"/>
  <c r="DQ43" i="40875"/>
  <c r="DQ33" i="40875"/>
  <c r="DQ28" i="40875"/>
  <c r="DQ26" i="40875"/>
  <c r="DQ25" i="40875"/>
  <c r="DQ23" i="40875"/>
  <c r="DP18" i="40875"/>
  <c r="DP35" i="40876" s="1"/>
  <c r="DO35" i="40876"/>
  <c r="DQ12" i="40875"/>
  <c r="DP47" i="40875"/>
  <c r="DP44" i="40875"/>
  <c r="DL41" i="40875"/>
  <c r="DO40" i="40875"/>
  <c r="DP37" i="40875"/>
  <c r="DO27" i="40875"/>
  <c r="DP22" i="40875"/>
  <c r="DP21" i="40875"/>
  <c r="DP14" i="40875"/>
  <c r="DN13" i="40875"/>
  <c r="DO17" i="40875"/>
  <c r="AV66" i="40872"/>
  <c r="AU66" i="40872"/>
  <c r="CD125" i="40872"/>
  <c r="DN39" i="40875"/>
  <c r="DL48" i="40875"/>
  <c r="DK190" i="40875"/>
  <c r="AU95" i="40872"/>
  <c r="AU53" i="40872"/>
  <c r="J8" i="40877"/>
  <c r="K8" i="40877"/>
  <c r="AZ242" i="40872"/>
  <c r="AU242" i="40872"/>
  <c r="AU108" i="40872"/>
  <c r="AZ108" i="40872"/>
  <c r="AU93" i="40872"/>
  <c r="CL136" i="40872"/>
  <c r="CK137" i="40872"/>
  <c r="N28" i="40877"/>
  <c r="N12" i="40877"/>
  <c r="DM36" i="40875"/>
  <c r="DN19" i="40875"/>
  <c r="DL191" i="40875"/>
  <c r="DM51" i="40875"/>
  <c r="DP50" i="40875"/>
  <c r="BQ216" i="40872" l="1"/>
  <c r="BQ217" i="40872" s="1"/>
  <c r="BP233" i="40872"/>
  <c r="BP243" i="40872" s="1"/>
  <c r="BP230" i="40872"/>
  <c r="BP240" i="40872" s="1"/>
  <c r="BP231" i="40872"/>
  <c r="BP241" i="40872" s="1"/>
  <c r="BP232" i="40872"/>
  <c r="BP242" i="40872" s="1"/>
  <c r="BR117" i="40872"/>
  <c r="BR118" i="40872" s="1"/>
  <c r="BR225" i="40872"/>
  <c r="BR237" i="40872" s="1"/>
  <c r="DP42" i="40875"/>
  <c r="BZ62" i="40876"/>
  <c r="CA60" i="40876"/>
  <c r="CE60" i="40876"/>
  <c r="CD62" i="40876"/>
  <c r="CI60" i="40876"/>
  <c r="BW60" i="40876"/>
  <c r="BV62" i="40876"/>
  <c r="BS60" i="40876"/>
  <c r="BR62" i="40876"/>
  <c r="DR46" i="40875"/>
  <c r="DR43" i="40875"/>
  <c r="DR33" i="40875"/>
  <c r="DR28" i="40875"/>
  <c r="DR26" i="40875"/>
  <c r="DR25" i="40875"/>
  <c r="DR23" i="40875"/>
  <c r="DQ18" i="40875"/>
  <c r="DQ35" i="40876" s="1"/>
  <c r="DR12" i="40875"/>
  <c r="DQ47" i="40875"/>
  <c r="DQ44" i="40875"/>
  <c r="DM41" i="40875"/>
  <c r="DP40" i="40875"/>
  <c r="DQ37" i="40875"/>
  <c r="DP27" i="40875"/>
  <c r="DQ22" i="40875"/>
  <c r="DQ21" i="40875"/>
  <c r="DQ14" i="40875"/>
  <c r="DO13" i="40875"/>
  <c r="DP17" i="40875"/>
  <c r="DP23" i="40876" s="1"/>
  <c r="DO23" i="40876"/>
  <c r="AZ66" i="40872"/>
  <c r="CE125" i="40872"/>
  <c r="DO39" i="40875"/>
  <c r="DM48" i="40875"/>
  <c r="DL190" i="40875"/>
  <c r="AU55" i="40872"/>
  <c r="AU185" i="40872"/>
  <c r="CM136" i="40872"/>
  <c r="CM137" i="40872" s="1"/>
  <c r="CL137" i="40872"/>
  <c r="DQ42" i="40875"/>
  <c r="DO19" i="40875"/>
  <c r="DN36" i="40875"/>
  <c r="DN51" i="40875"/>
  <c r="DM191" i="40875"/>
  <c r="DQ50" i="40875"/>
  <c r="BR216" i="40872" l="1"/>
  <c r="BR217" i="40872" s="1"/>
  <c r="BQ233" i="40872"/>
  <c r="BQ243" i="40872" s="1"/>
  <c r="BQ231" i="40872"/>
  <c r="BQ241" i="40872" s="1"/>
  <c r="BQ230" i="40872"/>
  <c r="BQ240" i="40872" s="1"/>
  <c r="BQ232" i="40872"/>
  <c r="BQ242" i="40872" s="1"/>
  <c r="BU148" i="40872"/>
  <c r="BW61" i="40876"/>
  <c r="CA61" i="40876"/>
  <c r="BS61" i="40876"/>
  <c r="CI61" i="40876"/>
  <c r="CE61" i="40876"/>
  <c r="DS46" i="40875"/>
  <c r="DS43" i="40875"/>
  <c r="DS33" i="40875"/>
  <c r="DS28" i="40875"/>
  <c r="DS26" i="40875"/>
  <c r="DS25" i="40875"/>
  <c r="DS23" i="40875"/>
  <c r="DR35" i="40876"/>
  <c r="DR18" i="40875"/>
  <c r="DS12" i="40875"/>
  <c r="DR47" i="40875"/>
  <c r="DR44" i="40875"/>
  <c r="DN41" i="40875"/>
  <c r="DQ40" i="40875"/>
  <c r="DR37" i="40875"/>
  <c r="DQ27" i="40875"/>
  <c r="DR22" i="40875"/>
  <c r="DR21" i="40875"/>
  <c r="DR14" i="40875"/>
  <c r="DP13" i="40875"/>
  <c r="DQ17" i="40875"/>
  <c r="DR35" i="40875"/>
  <c r="DP39" i="40875"/>
  <c r="CF125" i="40872"/>
  <c r="DN48" i="40875"/>
  <c r="DM190" i="40875"/>
  <c r="BI168" i="40872"/>
  <c r="AU97" i="40872"/>
  <c r="AU57" i="40872"/>
  <c r="AU65" i="40872"/>
  <c r="AZ111" i="40872"/>
  <c r="AU201" i="40872"/>
  <c r="AU111" i="40872"/>
  <c r="CN137" i="40872"/>
  <c r="DN191" i="40875"/>
  <c r="DO51" i="40875"/>
  <c r="DP19" i="40875"/>
  <c r="DO36" i="40875"/>
  <c r="DR42" i="40875"/>
  <c r="DR50" i="40875"/>
  <c r="CV116" i="40872" l="1"/>
  <c r="BS117" i="40872"/>
  <c r="BT117" i="40872"/>
  <c r="BT118" i="40872" s="1"/>
  <c r="BS216" i="40872"/>
  <c r="BS217" i="40872" s="1"/>
  <c r="BR233" i="40872"/>
  <c r="BR243" i="40872" s="1"/>
  <c r="BR231" i="40872"/>
  <c r="BR241" i="40872" s="1"/>
  <c r="BR230" i="40872"/>
  <c r="BR240" i="40872" s="1"/>
  <c r="BR232" i="40872"/>
  <c r="BR242" i="40872" s="1"/>
  <c r="DE95" i="40876"/>
  <c r="DD95" i="40876"/>
  <c r="CB60" i="40876"/>
  <c r="CA62" i="40876"/>
  <c r="CJ60" i="40876"/>
  <c r="CN60" i="40876"/>
  <c r="CI62" i="40876"/>
  <c r="BS62" i="40876"/>
  <c r="CF60" i="40876"/>
  <c r="CE62" i="40876"/>
  <c r="BX60" i="40876"/>
  <c r="BW62" i="40876"/>
  <c r="DT46" i="40875"/>
  <c r="DT43" i="40875"/>
  <c r="DS42" i="40875"/>
  <c r="DT33" i="40875"/>
  <c r="DT28" i="40875"/>
  <c r="DT26" i="40875"/>
  <c r="DT25" i="40875"/>
  <c r="DT23" i="40875"/>
  <c r="DS18" i="40875"/>
  <c r="DS35" i="40876" s="1"/>
  <c r="DT12" i="40875"/>
  <c r="DS47" i="40875"/>
  <c r="DS44" i="40875"/>
  <c r="DO41" i="40875"/>
  <c r="DR40" i="40875"/>
  <c r="DS37" i="40875"/>
  <c r="DR27" i="40875"/>
  <c r="DS22" i="40875"/>
  <c r="DS21" i="40875"/>
  <c r="DS14" i="40875"/>
  <c r="DQ13" i="40875"/>
  <c r="DR17" i="40875"/>
  <c r="DQ23" i="40876"/>
  <c r="DR23" i="40876" s="1"/>
  <c r="DS35" i="40875"/>
  <c r="CG125" i="40872"/>
  <c r="DQ39" i="40875"/>
  <c r="DO48" i="40875"/>
  <c r="DN190" i="40875"/>
  <c r="BG168" i="40872"/>
  <c r="BH168" i="40872"/>
  <c r="AU62" i="40872"/>
  <c r="DO191" i="40875"/>
  <c r="DP51" i="40875"/>
  <c r="DQ19" i="40875"/>
  <c r="DP36" i="40875"/>
  <c r="DS50" i="40875"/>
  <c r="CV122" i="40872" l="1"/>
  <c r="CV117" i="40872"/>
  <c r="BS118" i="40872"/>
  <c r="CV118" i="40872" s="1"/>
  <c r="O15" i="40877"/>
  <c r="BT216" i="40872"/>
  <c r="BT217" i="40872" s="1"/>
  <c r="BS230" i="40872"/>
  <c r="BS240" i="40872" s="1"/>
  <c r="BS231" i="40872"/>
  <c r="BS241" i="40872" s="1"/>
  <c r="BT339" i="40872"/>
  <c r="BU117" i="40872"/>
  <c r="BU118" i="40872" s="1"/>
  <c r="DT42" i="40875"/>
  <c r="BV148" i="40872"/>
  <c r="CJ61" i="40876"/>
  <c r="CF61" i="40876"/>
  <c r="BX61" i="40876"/>
  <c r="CN61" i="40876"/>
  <c r="CB61" i="40876"/>
  <c r="DU46" i="40875"/>
  <c r="DU43" i="40875"/>
  <c r="DU33" i="40875"/>
  <c r="DU28" i="40875"/>
  <c r="DU26" i="40875"/>
  <c r="DU25" i="40875"/>
  <c r="DU23" i="40875"/>
  <c r="DT18" i="40875"/>
  <c r="DT35" i="40876" s="1"/>
  <c r="DU12" i="40875"/>
  <c r="DT47" i="40875"/>
  <c r="DT44" i="40875"/>
  <c r="DP41" i="40875"/>
  <c r="DS40" i="40875"/>
  <c r="DT37" i="40875"/>
  <c r="DS27" i="40875"/>
  <c r="DT22" i="40875"/>
  <c r="DT21" i="40875"/>
  <c r="DT14" i="40875"/>
  <c r="DR13" i="40875"/>
  <c r="DS17" i="40875"/>
  <c r="DT35" i="40875"/>
  <c r="DR39" i="40875"/>
  <c r="CH125" i="40872"/>
  <c r="DP48" i="40875"/>
  <c r="DO190" i="40875"/>
  <c r="BJ168" i="40872"/>
  <c r="AU112" i="40872"/>
  <c r="AZ112" i="40872"/>
  <c r="J11" i="40877"/>
  <c r="DQ36" i="40875"/>
  <c r="DR19" i="40875"/>
  <c r="DP191" i="40875"/>
  <c r="DQ51" i="40875"/>
  <c r="DU42" i="40875"/>
  <c r="DT50" i="40875"/>
  <c r="BV117" i="40872" l="1"/>
  <c r="BV118" i="40872" s="1"/>
  <c r="BT231" i="40872"/>
  <c r="BT241" i="40872" s="1"/>
  <c r="BT230" i="40872"/>
  <c r="BT240" i="40872" s="1"/>
  <c r="BU216" i="40872"/>
  <c r="BU217" i="40872" s="1"/>
  <c r="BW99" i="40872"/>
  <c r="DG95" i="40876"/>
  <c r="DF95" i="40876"/>
  <c r="CN62" i="40876"/>
  <c r="CO60" i="40876"/>
  <c r="CS60" i="40876"/>
  <c r="CG60" i="40876"/>
  <c r="CF62" i="40876"/>
  <c r="BX62" i="40876"/>
  <c r="CK60" i="40876"/>
  <c r="CJ62" i="40876"/>
  <c r="CC60" i="40876"/>
  <c r="CB62" i="40876"/>
  <c r="DV46" i="40875"/>
  <c r="DV43" i="40875"/>
  <c r="DV33" i="40875"/>
  <c r="DV28" i="40875"/>
  <c r="DV26" i="40875"/>
  <c r="DV25" i="40875"/>
  <c r="DV23" i="40875"/>
  <c r="DU18" i="40875"/>
  <c r="DV12" i="40875"/>
  <c r="CW16" i="40872"/>
  <c r="CU16" i="40872"/>
  <c r="DU47" i="40875"/>
  <c r="DU44" i="40875"/>
  <c r="DQ41" i="40875"/>
  <c r="DT40" i="40875"/>
  <c r="DU37" i="40875"/>
  <c r="DT27" i="40875"/>
  <c r="DU22" i="40875"/>
  <c r="DU21" i="40875"/>
  <c r="DU14" i="40875"/>
  <c r="DS13" i="40875"/>
  <c r="DT17" i="40875"/>
  <c r="DS23" i="40876"/>
  <c r="DU35" i="40875"/>
  <c r="BU168" i="40872"/>
  <c r="BU169" i="40872"/>
  <c r="BS168" i="40872"/>
  <c r="BS169" i="40872"/>
  <c r="DS39" i="40875"/>
  <c r="CI125" i="40872"/>
  <c r="BV168" i="40872"/>
  <c r="BV161" i="40872"/>
  <c r="BV162" i="40872" s="1"/>
  <c r="BV163" i="40872" s="1"/>
  <c r="DQ48" i="40875"/>
  <c r="DP190" i="40875"/>
  <c r="BT167" i="40872"/>
  <c r="J12" i="40877"/>
  <c r="K12" i="40877"/>
  <c r="DQ191" i="40875"/>
  <c r="DR51" i="40875"/>
  <c r="DV42" i="40875"/>
  <c r="DR36" i="40875"/>
  <c r="DS19" i="40875"/>
  <c r="DU50" i="40875"/>
  <c r="CS115" i="40872" l="1"/>
  <c r="BU230" i="40872"/>
  <c r="BU240" i="40872" s="1"/>
  <c r="BU231" i="40872"/>
  <c r="BU241" i="40872" s="1"/>
  <c r="BW117" i="40872"/>
  <c r="BW118" i="40872" s="1"/>
  <c r="BV216" i="40872"/>
  <c r="BV217" i="40872" s="1"/>
  <c r="BW71" i="40872"/>
  <c r="BW77" i="40872" s="1"/>
  <c r="BW70" i="40872"/>
  <c r="CB70" i="40872" s="1"/>
  <c r="BW24" i="40872"/>
  <c r="BW72" i="40872"/>
  <c r="BW78" i="40872" s="1"/>
  <c r="DH86" i="40876"/>
  <c r="DF65" i="40876"/>
  <c r="BW129" i="40872"/>
  <c r="DF46" i="40876"/>
  <c r="CS61" i="40876"/>
  <c r="CO61" i="40876"/>
  <c r="CC61" i="40876"/>
  <c r="CK61" i="40876"/>
  <c r="CG61" i="40876"/>
  <c r="BT169" i="40872"/>
  <c r="DW46" i="40875"/>
  <c r="DW43" i="40875"/>
  <c r="DW33" i="40875"/>
  <c r="DW28" i="40875"/>
  <c r="DW26" i="40875"/>
  <c r="DW25" i="40875"/>
  <c r="DW23" i="40875"/>
  <c r="DV18" i="40875"/>
  <c r="DV35" i="40876" s="1"/>
  <c r="DU35" i="40876"/>
  <c r="DW12" i="40875"/>
  <c r="DV47" i="40875"/>
  <c r="DV44" i="40875"/>
  <c r="DR41" i="40875"/>
  <c r="DU40" i="40875"/>
  <c r="DV37" i="40875"/>
  <c r="DU27" i="40875"/>
  <c r="DV22" i="40875"/>
  <c r="DV21" i="40875"/>
  <c r="DV14" i="40875"/>
  <c r="DT13" i="40875"/>
  <c r="DU17" i="40875"/>
  <c r="DT23" i="40876"/>
  <c r="DV35" i="40875"/>
  <c r="DT39" i="40875"/>
  <c r="CJ125" i="40872"/>
  <c r="BW161" i="40872"/>
  <c r="DR48" i="40875"/>
  <c r="DQ190" i="40875"/>
  <c r="BT168" i="40872"/>
  <c r="DS36" i="40875"/>
  <c r="DT19" i="40875"/>
  <c r="DS51" i="40875"/>
  <c r="DR191" i="40875"/>
  <c r="BU161" i="40872"/>
  <c r="DW42" i="40875"/>
  <c r="DV50" i="40875"/>
  <c r="BV231" i="40872" l="1"/>
  <c r="BV241" i="40872" s="1"/>
  <c r="BV230" i="40872"/>
  <c r="BV240" i="40872" s="1"/>
  <c r="CW115" i="40872"/>
  <c r="CU115" i="40872"/>
  <c r="BW73" i="40872"/>
  <c r="BW74" i="40872" s="1"/>
  <c r="BW79" i="40872" s="1"/>
  <c r="BW76" i="40872"/>
  <c r="BZ148" i="40872"/>
  <c r="CL60" i="40876"/>
  <c r="CK62" i="40876"/>
  <c r="CP60" i="40876"/>
  <c r="CO62" i="40876"/>
  <c r="CC62" i="40876"/>
  <c r="CG62" i="40876"/>
  <c r="CH60" i="40876"/>
  <c r="CS62" i="40876"/>
  <c r="CT60" i="40876"/>
  <c r="CX60" i="40876"/>
  <c r="BW162" i="40872"/>
  <c r="BW163" i="40872" s="1"/>
  <c r="DW35" i="40876"/>
  <c r="DW18" i="40875"/>
  <c r="DW47" i="40875"/>
  <c r="DW44" i="40875"/>
  <c r="DS41" i="40875"/>
  <c r="DV40" i="40875"/>
  <c r="DW37" i="40875"/>
  <c r="DV27" i="40875"/>
  <c r="DW22" i="40875"/>
  <c r="DW21" i="40875"/>
  <c r="DW14" i="40875"/>
  <c r="DU13" i="40875"/>
  <c r="DV17" i="40875"/>
  <c r="DU23" i="40876"/>
  <c r="DW35" i="40875"/>
  <c r="DU39" i="40875"/>
  <c r="CK125" i="40872"/>
  <c r="BX161" i="40872"/>
  <c r="CS37" i="40872" s="1"/>
  <c r="CW37" i="40872" s="1"/>
  <c r="DS48" i="40875"/>
  <c r="DR190" i="40875"/>
  <c r="BT37" i="40872"/>
  <c r="BS162" i="40872"/>
  <c r="BS225" i="40872"/>
  <c r="BS237" i="40872" s="1"/>
  <c r="BS101" i="40872"/>
  <c r="CV101" i="40872" s="1"/>
  <c r="BY161" i="40872"/>
  <c r="DT36" i="40875"/>
  <c r="DU19" i="40875"/>
  <c r="DS191" i="40875"/>
  <c r="DT51" i="40875"/>
  <c r="BU162" i="40872"/>
  <c r="BU163" i="40872" s="1"/>
  <c r="BU101" i="40872"/>
  <c r="BU225" i="40872"/>
  <c r="BU237" i="40872" s="1"/>
  <c r="DW50" i="40875"/>
  <c r="BX216" i="40872" l="1"/>
  <c r="BX217" i="40872" s="1"/>
  <c r="BX230" i="40872"/>
  <c r="BX240" i="40872" s="1"/>
  <c r="CS116" i="40872"/>
  <c r="BX117" i="40872"/>
  <c r="BY117" i="40872"/>
  <c r="BY118" i="40872" s="1"/>
  <c r="CU37" i="40872"/>
  <c r="DJ95" i="40876"/>
  <c r="DJ39" i="40876" s="1"/>
  <c r="CA148" i="40872"/>
  <c r="DI95" i="40876"/>
  <c r="DI39" i="40876" s="1"/>
  <c r="CP61" i="40876"/>
  <c r="CX61" i="40876"/>
  <c r="CH61" i="40876"/>
  <c r="CT61" i="40876"/>
  <c r="CL61" i="40876"/>
  <c r="BX162" i="40872"/>
  <c r="BX163" i="40872" s="1"/>
  <c r="DT41" i="40875"/>
  <c r="DW40" i="40875"/>
  <c r="DW27" i="40875"/>
  <c r="DV13" i="40875"/>
  <c r="DW17" i="40875"/>
  <c r="DV23" i="40876"/>
  <c r="DV39" i="40875"/>
  <c r="CL125" i="40872"/>
  <c r="BY37" i="40872"/>
  <c r="DT48" i="40875"/>
  <c r="DS190" i="40875"/>
  <c r="BT162" i="40872"/>
  <c r="BT225" i="40872"/>
  <c r="BT237" i="40872" s="1"/>
  <c r="BT101" i="40872"/>
  <c r="DT191" i="40875"/>
  <c r="DU51" i="40875"/>
  <c r="DV19" i="40875"/>
  <c r="DU36" i="40875"/>
  <c r="BV101" i="40872"/>
  <c r="BV225" i="40872"/>
  <c r="BV237" i="40872" s="1"/>
  <c r="CU116" i="40872" l="1"/>
  <c r="CW116" i="40872"/>
  <c r="P15" i="40877"/>
  <c r="CS122" i="40872"/>
  <c r="BY339" i="40872"/>
  <c r="BZ117" i="40872"/>
  <c r="BZ118" i="40872" s="1"/>
  <c r="BX118" i="40872"/>
  <c r="CS118" i="40872" s="1"/>
  <c r="CU118" i="40872" s="1"/>
  <c r="CS117" i="40872"/>
  <c r="BZ129" i="40872"/>
  <c r="DI65" i="40876"/>
  <c r="DI46" i="40876"/>
  <c r="CA129" i="40872"/>
  <c r="DJ46" i="40876"/>
  <c r="DJ65" i="40876"/>
  <c r="CT62" i="40876"/>
  <c r="CU60" i="40876"/>
  <c r="DC60" i="40876"/>
  <c r="CX62" i="40876"/>
  <c r="CY60" i="40876"/>
  <c r="CP62" i="40876"/>
  <c r="CQ60" i="40876"/>
  <c r="CL62" i="40876"/>
  <c r="CM60" i="40876"/>
  <c r="CH62" i="40876"/>
  <c r="DU41" i="40875"/>
  <c r="DW13" i="40875"/>
  <c r="DW23" i="40876"/>
  <c r="DW39" i="40875"/>
  <c r="CM125" i="40872"/>
  <c r="BY162" i="40872"/>
  <c r="BY163" i="40872" s="1"/>
  <c r="DU48" i="40875"/>
  <c r="DT190" i="40875"/>
  <c r="DV36" i="40875"/>
  <c r="DW19" i="40875"/>
  <c r="BW101" i="40872"/>
  <c r="BW225" i="40872"/>
  <c r="BW237" i="40872" s="1"/>
  <c r="DU191" i="40875"/>
  <c r="DV51" i="40875"/>
  <c r="BZ216" i="40872" l="1"/>
  <c r="BZ217" i="40872" s="1"/>
  <c r="CA117" i="40872"/>
  <c r="CA118" i="40872" s="1"/>
  <c r="CW122" i="40872"/>
  <c r="CU122" i="40872"/>
  <c r="CU117" i="40872"/>
  <c r="CW117" i="40872"/>
  <c r="DK95" i="40876"/>
  <c r="DK39" i="40876" s="1"/>
  <c r="CB14" i="40872"/>
  <c r="DL95" i="40876"/>
  <c r="DL39" i="40876" s="1"/>
  <c r="CM61" i="40876"/>
  <c r="CU61" i="40876"/>
  <c r="CQ61" i="40876"/>
  <c r="CY61" i="40876"/>
  <c r="DW36" i="40875"/>
  <c r="DV41" i="40875"/>
  <c r="CN125" i="40872"/>
  <c r="CA161" i="40872"/>
  <c r="CA37" i="40872" s="1"/>
  <c r="DV48" i="40875"/>
  <c r="DU190" i="40875"/>
  <c r="BX225" i="40872"/>
  <c r="BX237" i="40872" s="1"/>
  <c r="BX101" i="40872"/>
  <c r="CS101" i="40872" s="1"/>
  <c r="CU101" i="40872" s="1"/>
  <c r="DW51" i="40875"/>
  <c r="DV191" i="40875"/>
  <c r="BZ161" i="40872"/>
  <c r="BY16" i="40872"/>
  <c r="BZ37" i="40872" l="1"/>
  <c r="CB117" i="40872"/>
  <c r="CB118" i="40872" s="1"/>
  <c r="BZ230" i="40872"/>
  <c r="BZ240" i="40872" s="1"/>
  <c r="BZ231" i="40872"/>
  <c r="BZ241" i="40872" s="1"/>
  <c r="CA231" i="40872"/>
  <c r="CA241" i="40872" s="1"/>
  <c r="DM39" i="40876"/>
  <c r="DL46" i="40876"/>
  <c r="DL65" i="40876"/>
  <c r="CC129" i="40872"/>
  <c r="DM86" i="40876"/>
  <c r="DM95" i="40876" s="1"/>
  <c r="DK65" i="40876"/>
  <c r="DK46" i="40876"/>
  <c r="CB129" i="40872"/>
  <c r="CY62" i="40876"/>
  <c r="CZ60" i="40876"/>
  <c r="CV60" i="40876"/>
  <c r="CU62" i="40876"/>
  <c r="CM62" i="40876"/>
  <c r="CQ62" i="40876"/>
  <c r="CR60" i="40876"/>
  <c r="DW191" i="40875"/>
  <c r="CA162" i="40872"/>
  <c r="CA163" i="40872" s="1"/>
  <c r="DW41" i="40875"/>
  <c r="DW48" i="40875"/>
  <c r="DV190" i="40875"/>
  <c r="BY225" i="40872"/>
  <c r="BY237" i="40872" s="1"/>
  <c r="BY101" i="40872"/>
  <c r="BZ162" i="40872" l="1"/>
  <c r="BZ163" i="40872" s="1"/>
  <c r="CC117" i="40872"/>
  <c r="CC118" i="40872" s="1"/>
  <c r="CD129" i="40872"/>
  <c r="DM65" i="40876"/>
  <c r="DM46" i="40876"/>
  <c r="CR61" i="40876"/>
  <c r="CV61" i="40876"/>
  <c r="CZ61" i="40876"/>
  <c r="DW190" i="40875"/>
  <c r="CC161" i="40872"/>
  <c r="CC37" i="40872" s="1"/>
  <c r="BZ101" i="40872"/>
  <c r="BZ225" i="40872"/>
  <c r="BZ237" i="40872" s="1"/>
  <c r="CE148" i="40872" l="1"/>
  <c r="CD117" i="40872"/>
  <c r="CD118" i="40872" s="1"/>
  <c r="CB99" i="40872"/>
  <c r="DO95" i="40876"/>
  <c r="DO39" i="40876" s="1"/>
  <c r="CF148" i="40872"/>
  <c r="DN95" i="40876"/>
  <c r="DN39" i="40876" s="1"/>
  <c r="CW60" i="40876"/>
  <c r="CV62" i="40876"/>
  <c r="CZ62" i="40876"/>
  <c r="DA60" i="40876"/>
  <c r="CR62" i="40876"/>
  <c r="CC162" i="40872"/>
  <c r="CC163" i="40872" s="1"/>
  <c r="CB161" i="40872"/>
  <c r="CD161" i="40872"/>
  <c r="CB37" i="40872" l="1"/>
  <c r="CE117" i="40872"/>
  <c r="CE118" i="40872" s="1"/>
  <c r="Q15" i="40877"/>
  <c r="DN65" i="40876"/>
  <c r="CE129" i="40872"/>
  <c r="DN46" i="40876"/>
  <c r="CF129" i="40872"/>
  <c r="DO46" i="40876"/>
  <c r="DO65" i="40876"/>
  <c r="CW61" i="40876"/>
  <c r="DA61" i="40876"/>
  <c r="CB101" i="40872"/>
  <c r="CB225" i="40872"/>
  <c r="CB237" i="40872" s="1"/>
  <c r="CB162" i="40872" l="1"/>
  <c r="CB163" i="40872" s="1"/>
  <c r="CD37" i="40872"/>
  <c r="CF117" i="40872"/>
  <c r="CF118" i="40872" s="1"/>
  <c r="CE216" i="40872"/>
  <c r="CE217" i="40872" s="1"/>
  <c r="DQ95" i="40876"/>
  <c r="DQ39" i="40876" s="1"/>
  <c r="CG14" i="40872"/>
  <c r="DP95" i="40876"/>
  <c r="DP39" i="40876" s="1"/>
  <c r="DA62" i="40876"/>
  <c r="DB60" i="40876"/>
  <c r="CW62" i="40876"/>
  <c r="CF161" i="40872"/>
  <c r="CF37" i="40872" s="1"/>
  <c r="CD162" i="40872"/>
  <c r="CD163" i="40872" s="1"/>
  <c r="CC225" i="40872"/>
  <c r="CC237" i="40872" s="1"/>
  <c r="CC101" i="40872"/>
  <c r="CG117" i="40872" l="1"/>
  <c r="CG118" i="40872" s="1"/>
  <c r="CF231" i="40872"/>
  <c r="CF241" i="40872" s="1"/>
  <c r="CE231" i="40872"/>
  <c r="CE241" i="40872" s="1"/>
  <c r="CE230" i="40872"/>
  <c r="CE240" i="40872" s="1"/>
  <c r="DR86" i="40876"/>
  <c r="DR95" i="40876" s="1"/>
  <c r="DQ46" i="40876"/>
  <c r="CH129" i="40872"/>
  <c r="DQ65" i="40876"/>
  <c r="DP46" i="40876"/>
  <c r="CG129" i="40872"/>
  <c r="DP65" i="40876"/>
  <c r="DR39" i="40876"/>
  <c r="CF162" i="40872"/>
  <c r="CF163" i="40872" s="1"/>
  <c r="CE161" i="40872"/>
  <c r="CE37" i="40872" s="1"/>
  <c r="CH117" i="40872" l="1"/>
  <c r="CH118" i="40872" s="1"/>
  <c r="CI129" i="40872"/>
  <c r="DR65" i="40876"/>
  <c r="DR46" i="40876"/>
  <c r="CJ148" i="40872"/>
  <c r="CH161" i="40872"/>
  <c r="CH37" i="40872" s="1"/>
  <c r="CE225" i="40872"/>
  <c r="CE237" i="40872" s="1"/>
  <c r="CE101" i="40872"/>
  <c r="CE162" i="40872"/>
  <c r="CE163" i="40872" s="1"/>
  <c r="CI117" i="40872" l="1"/>
  <c r="CI118" i="40872" s="1"/>
  <c r="CG99" i="40872"/>
  <c r="DT95" i="40876"/>
  <c r="DT39" i="40876" s="1"/>
  <c r="CK148" i="40872"/>
  <c r="DS95" i="40876"/>
  <c r="DS39" i="40876" s="1"/>
  <c r="CH162" i="40872"/>
  <c r="CH163" i="40872" s="1"/>
  <c r="CG161" i="40872"/>
  <c r="CG37" i="40872" s="1"/>
  <c r="CI161" i="40872"/>
  <c r="R15" i="40877" l="1"/>
  <c r="CJ117" i="40872"/>
  <c r="CJ118" i="40872" s="1"/>
  <c r="DT65" i="40876"/>
  <c r="CK129" i="40872"/>
  <c r="DT46" i="40876"/>
  <c r="DU95" i="40876"/>
  <c r="DU39" i="40876" s="1"/>
  <c r="DS65" i="40876"/>
  <c r="DS46" i="40876"/>
  <c r="CJ129" i="40872"/>
  <c r="CG101" i="40872"/>
  <c r="CG225" i="40872"/>
  <c r="CG237" i="40872" s="1"/>
  <c r="CG162" i="40872"/>
  <c r="CG163" i="40872" s="1"/>
  <c r="CI37" i="40872"/>
  <c r="CK117" i="40872" l="1"/>
  <c r="CK118" i="40872" s="1"/>
  <c r="CJ216" i="40872"/>
  <c r="CJ217" i="40872" s="1"/>
  <c r="CL14" i="40872"/>
  <c r="CL129" i="40872"/>
  <c r="DU46" i="40876"/>
  <c r="DU65" i="40876"/>
  <c r="CI162" i="40872"/>
  <c r="CI163" i="40872" s="1"/>
  <c r="CK161" i="40872"/>
  <c r="CK37" i="40872" s="1"/>
  <c r="CH225" i="40872"/>
  <c r="CH237" i="40872" s="1"/>
  <c r="CH101" i="40872"/>
  <c r="CK231" i="40872" l="1"/>
  <c r="CK241" i="40872" s="1"/>
  <c r="CL117" i="40872"/>
  <c r="CL118" i="40872" s="1"/>
  <c r="CJ230" i="40872"/>
  <c r="CJ240" i="40872" s="1"/>
  <c r="CJ231" i="40872"/>
  <c r="CJ241" i="40872" s="1"/>
  <c r="DV95" i="40876"/>
  <c r="DV39" i="40876" s="1"/>
  <c r="DW86" i="40876"/>
  <c r="DW95" i="40876" s="1"/>
  <c r="CK162" i="40872"/>
  <c r="CK163" i="40872" s="1"/>
  <c r="CJ161" i="40872"/>
  <c r="CJ37" i="40872" s="1"/>
  <c r="CM117" i="40872" l="1"/>
  <c r="CM118" i="40872" s="1"/>
  <c r="DW39" i="40876"/>
  <c r="CM129" i="40872"/>
  <c r="DV46" i="40876"/>
  <c r="DV65" i="40876"/>
  <c r="CM161" i="40872"/>
  <c r="CM37" i="40872" s="1"/>
  <c r="CJ162" i="40872"/>
  <c r="CJ163" i="40872" s="1"/>
  <c r="CJ225" i="40872"/>
  <c r="CJ237" i="40872" s="1"/>
  <c r="CJ101" i="40872"/>
  <c r="CN117" i="40872" l="1"/>
  <c r="CN118" i="40872" s="1"/>
  <c r="CL99" i="40872"/>
  <c r="CN129" i="40872"/>
  <c r="DW46" i="40876"/>
  <c r="DW65" i="40876"/>
  <c r="CM162" i="40872"/>
  <c r="CM163" i="40872" s="1"/>
  <c r="CL161" i="40872"/>
  <c r="CL37" i="40872" s="1"/>
  <c r="CN161" i="40872"/>
  <c r="CL101" i="40872" l="1"/>
  <c r="CL225" i="40872"/>
  <c r="CL237" i="40872" s="1"/>
  <c r="CL162" i="40872"/>
  <c r="CL163" i="40872" s="1"/>
  <c r="CN37" i="40872"/>
  <c r="CM225" i="40872"/>
  <c r="CM237" i="40872" s="1"/>
  <c r="CM101" i="40872"/>
  <c r="CN162" i="40872" l="1"/>
  <c r="CN163" i="40872" s="1"/>
  <c r="BS224" i="40872" l="1"/>
  <c r="BS236" i="40872" s="1"/>
  <c r="DC82" i="40876"/>
  <c r="DC76" i="40875"/>
  <c r="O5" i="40877"/>
  <c r="BT87" i="40872"/>
  <c r="BT88" i="40872"/>
  <c r="BT89" i="40872"/>
  <c r="BT102" i="40872"/>
  <c r="BT90" i="40872"/>
  <c r="BT84" i="40872"/>
  <c r="BT86" i="40872"/>
  <c r="BT100" i="40872"/>
  <c r="BT224" i="40872"/>
  <c r="BT236" i="40872" s="1"/>
  <c r="BS100" i="40872"/>
  <c r="CV100" i="40872" s="1"/>
  <c r="BS86" i="40872" l="1"/>
  <c r="CV86" i="40872" s="1"/>
  <c r="BS84" i="40872"/>
  <c r="CV84" i="40872" s="1"/>
  <c r="BS90" i="40872"/>
  <c r="CV90" i="40872" s="1"/>
  <c r="BS102" i="40872"/>
  <c r="CV102" i="40872" s="1"/>
  <c r="DC15" i="40875"/>
  <c r="BS205" i="40872"/>
  <c r="BS52" i="40872"/>
  <c r="BS27" i="40872"/>
  <c r="O6" i="40877"/>
  <c r="O29" i="40877"/>
  <c r="DB54" i="40875" l="1"/>
  <c r="DC54" i="40875" s="1"/>
  <c r="CV52" i="40872"/>
  <c r="DB77" i="40875"/>
  <c r="DB79" i="40875" s="1"/>
  <c r="DB83" i="40875" s="1"/>
  <c r="CV27" i="40872"/>
  <c r="BT205" i="40872"/>
  <c r="BS38" i="40872"/>
  <c r="CV38" i="40872" s="1"/>
  <c r="BT73" i="40872"/>
  <c r="BT74" i="40872" s="1"/>
  <c r="BT27" i="40872"/>
  <c r="BT229" i="40872" s="1"/>
  <c r="BT239" i="40872" s="1"/>
  <c r="BT52" i="40872"/>
  <c r="BS206" i="40872"/>
  <c r="BT206" i="40872" s="1"/>
  <c r="BS229" i="40872"/>
  <c r="BS239" i="40872" s="1"/>
  <c r="BS103" i="40872"/>
  <c r="CV103" i="40872" s="1"/>
  <c r="DB82" i="40875" l="1"/>
  <c r="DC77" i="40875"/>
  <c r="DC79" i="40875" s="1"/>
  <c r="BT96" i="40872"/>
  <c r="BS345" i="40872"/>
  <c r="BS350" i="40872" s="1"/>
  <c r="BS39" i="40872"/>
  <c r="BT39" i="40872" s="1"/>
  <c r="BS50" i="40872"/>
  <c r="CV50" i="40872" s="1"/>
  <c r="BT38" i="40872"/>
  <c r="BT103" i="40872"/>
  <c r="BS92" i="40872"/>
  <c r="CV92" i="40872" s="1"/>
  <c r="BS107" i="40872"/>
  <c r="CV107" i="40872" s="1"/>
  <c r="BS232" i="40872"/>
  <c r="BS242" i="40872" s="1"/>
  <c r="BS40" i="40872"/>
  <c r="CV40" i="40872" s="1"/>
  <c r="BS91" i="40872"/>
  <c r="CV91" i="40872" s="1"/>
  <c r="BS208" i="40872"/>
  <c r="DB59" i="40875" s="1"/>
  <c r="BS42" i="40872"/>
  <c r="CV42" i="40872" s="1"/>
  <c r="BT79" i="40872"/>
  <c r="BS352" i="40872" l="1"/>
  <c r="BS354" i="40872" s="1"/>
  <c r="BS95" i="40872"/>
  <c r="CV95" i="40872" s="1"/>
  <c r="BT40" i="40872"/>
  <c r="BT108" i="40872" s="1"/>
  <c r="BT232" i="40872"/>
  <c r="BT242" i="40872" s="1"/>
  <c r="BT345" i="40872"/>
  <c r="BT350" i="40872" s="1"/>
  <c r="O7" i="40877"/>
  <c r="O8" i="40877" s="1"/>
  <c r="BT107" i="40872"/>
  <c r="BT42" i="40872"/>
  <c r="BT233" i="40872" s="1"/>
  <c r="BT243" i="40872" s="1"/>
  <c r="BT91" i="40872"/>
  <c r="BT92" i="40872"/>
  <c r="BT50" i="40872"/>
  <c r="BT352" i="40872" s="1"/>
  <c r="BS94" i="40872"/>
  <c r="CV94" i="40872" s="1"/>
  <c r="BS43" i="40872"/>
  <c r="CV43" i="40872" s="1"/>
  <c r="BS109" i="40872"/>
  <c r="CV109" i="40872" s="1"/>
  <c r="BS233" i="40872"/>
  <c r="BS243" i="40872" s="1"/>
  <c r="BS209" i="40872"/>
  <c r="BS93" i="40872"/>
  <c r="CV93" i="40872" s="1"/>
  <c r="BS108" i="40872"/>
  <c r="CV108" i="40872" s="1"/>
  <c r="BT208" i="40872"/>
  <c r="DC59" i="40875" s="1"/>
  <c r="DC34" i="40875"/>
  <c r="DC16" i="40875"/>
  <c r="BT94" i="40872" l="1"/>
  <c r="DB69" i="40875"/>
  <c r="DB70" i="40875"/>
  <c r="DB72" i="40875"/>
  <c r="BT93" i="40872"/>
  <c r="BS60" i="40872"/>
  <c r="CV60" i="40872" s="1"/>
  <c r="BS185" i="40872"/>
  <c r="BT109" i="40872"/>
  <c r="BS53" i="40872"/>
  <c r="DC38" i="40875"/>
  <c r="BT209" i="40872"/>
  <c r="BT43" i="40872"/>
  <c r="DB201" i="40875"/>
  <c r="BS110" i="40872"/>
  <c r="CV110" i="40872" s="1"/>
  <c r="BT51" i="40872"/>
  <c r="BT353" i="40872" s="1"/>
  <c r="BT354" i="40872" s="1"/>
  <c r="DB31" i="40876"/>
  <c r="CV53" i="40872" l="1"/>
  <c r="BT60" i="40872"/>
  <c r="BS362" i="40872"/>
  <c r="BS372" i="40872" s="1"/>
  <c r="BS55" i="40872"/>
  <c r="BT110" i="40872"/>
  <c r="DC201" i="40875"/>
  <c r="O9" i="40877"/>
  <c r="O10" i="40877" s="1"/>
  <c r="BT95" i="40872"/>
  <c r="BT53" i="40872"/>
  <c r="BT362" i="40872" s="1"/>
  <c r="BT372" i="40872" s="1"/>
  <c r="DC69" i="40875"/>
  <c r="DC72" i="40875"/>
  <c r="BS57" i="40872" l="1"/>
  <c r="CV57" i="40872" s="1"/>
  <c r="CV55" i="40872"/>
  <c r="DB189" i="40875"/>
  <c r="BS97" i="40872"/>
  <c r="CV97" i="40872" s="1"/>
  <c r="BS111" i="40872"/>
  <c r="CV111" i="40872" s="1"/>
  <c r="BS201" i="40872"/>
  <c r="DB52" i="40875"/>
  <c r="DB68" i="40875" s="1"/>
  <c r="BS211" i="40872"/>
  <c r="DB60" i="40875" s="1"/>
  <c r="BS65" i="40872"/>
  <c r="CV65" i="40872" s="1"/>
  <c r="BT55" i="40872"/>
  <c r="DC189" i="40875" s="1"/>
  <c r="BT185" i="40872"/>
  <c r="DB192" i="40875" l="1"/>
  <c r="DB193" i="40875" s="1"/>
  <c r="DB194" i="40875" s="1"/>
  <c r="BS63" i="40872"/>
  <c r="BT211" i="40872"/>
  <c r="DC60" i="40875" s="1"/>
  <c r="DC49" i="40875"/>
  <c r="BS62" i="40872"/>
  <c r="CV62" i="40872" s="1"/>
  <c r="BT57" i="40872"/>
  <c r="BT65" i="40872"/>
  <c r="BT111" i="40872"/>
  <c r="BT201" i="40872"/>
  <c r="BT97" i="40872"/>
  <c r="DB55" i="40875"/>
  <c r="BS113" i="40872" l="1"/>
  <c r="CV113" i="40872" s="1"/>
  <c r="CV63" i="40872"/>
  <c r="BS112" i="40872"/>
  <c r="CV112" i="40872" s="1"/>
  <c r="DC52" i="40875"/>
  <c r="DC192" i="40875"/>
  <c r="DC193" i="40875" s="1"/>
  <c r="BT62" i="40872"/>
  <c r="BT63" i="40872"/>
  <c r="BT113" i="40872" s="1"/>
  <c r="DH188" i="40875" l="1"/>
  <c r="DD188" i="40875"/>
  <c r="DC55" i="40875"/>
  <c r="DC194" i="40875"/>
  <c r="DC68" i="40875"/>
  <c r="BT112" i="40872"/>
  <c r="O11" i="40877"/>
  <c r="O28" i="40877" l="1"/>
  <c r="O12" i="40877"/>
  <c r="BS126" i="40872" l="1"/>
  <c r="CV126" i="40872" s="1"/>
  <c r="DB20" i="40875"/>
  <c r="BS124" i="40872"/>
  <c r="CV124" i="40872" s="1"/>
  <c r="DC11" i="40875"/>
  <c r="BU194" i="40872" s="1"/>
  <c r="BU196" i="40872" s="1"/>
  <c r="DB29" i="40875" l="1"/>
  <c r="DC20" i="40875"/>
  <c r="BT124" i="40872"/>
  <c r="DC70" i="40875"/>
  <c r="BT126" i="40872" s="1"/>
  <c r="DB62" i="40875" l="1"/>
  <c r="DB61" i="40875"/>
  <c r="BU46" i="40872"/>
  <c r="M27" i="40877"/>
  <c r="O27" i="40877"/>
  <c r="N27" i="40877"/>
  <c r="L27" i="40877"/>
  <c r="DB56" i="40875"/>
  <c r="DC29" i="40875"/>
  <c r="DB63" i="40875" l="1"/>
  <c r="DB64" i="40875"/>
  <c r="DC62" i="40875"/>
  <c r="DC56" i="40875"/>
  <c r="DC61" i="40875"/>
  <c r="N33" i="40877"/>
  <c r="M26" i="40877"/>
  <c r="L33" i="40877"/>
  <c r="M33" i="40877"/>
  <c r="N31" i="40877"/>
  <c r="O33" i="40877"/>
  <c r="N26" i="40877"/>
  <c r="M31" i="40877"/>
  <c r="L26" i="40877"/>
  <c r="L31" i="40877"/>
  <c r="O26" i="40877"/>
  <c r="DC63" i="40875" l="1"/>
  <c r="DC64" i="40875"/>
  <c r="BU17" i="40872" l="1"/>
  <c r="DD76" i="40875" l="1"/>
  <c r="DD81" i="40875" s="1"/>
  <c r="DI81" i="40875" s="1"/>
  <c r="DN81" i="40875" s="1"/>
  <c r="DS81" i="40875" s="1"/>
  <c r="DD82" i="40876"/>
  <c r="BU90" i="40872"/>
  <c r="BU86" i="40872"/>
  <c r="BU84" i="40872"/>
  <c r="BU24" i="40872"/>
  <c r="BU100" i="40872"/>
  <c r="BU224" i="40872"/>
  <c r="BU236" i="40872" s="1"/>
  <c r="BU102" i="40872"/>
  <c r="BU205" i="40872"/>
  <c r="BU52" i="40872"/>
  <c r="BU27" i="40872" l="1"/>
  <c r="DD54" i="40875"/>
  <c r="DD22" i="40876"/>
  <c r="DD77" i="40875" l="1"/>
  <c r="DD82" i="40875" s="1"/>
  <c r="DI82" i="40875" s="1"/>
  <c r="BU206" i="40872"/>
  <c r="BU38" i="40872"/>
  <c r="BU229" i="40872"/>
  <c r="BU239" i="40872" s="1"/>
  <c r="BU103" i="40872"/>
  <c r="DS82" i="40875" l="1"/>
  <c r="DN82" i="40875"/>
  <c r="BZ99" i="40872"/>
  <c r="DD79" i="40875"/>
  <c r="DD83" i="40875" s="1"/>
  <c r="DI83" i="40875" s="1"/>
  <c r="BZ14" i="40872"/>
  <c r="BU91" i="40872"/>
  <c r="BU345" i="40872"/>
  <c r="BU350" i="40872" s="1"/>
  <c r="BU39" i="40872"/>
  <c r="BU92" i="40872" s="1"/>
  <c r="BU42" i="40872"/>
  <c r="BU107" i="40872"/>
  <c r="BU40" i="40872"/>
  <c r="BU208" i="40872"/>
  <c r="DD59" i="40875" s="1"/>
  <c r="BU50" i="40872"/>
  <c r="DD38" i="40875"/>
  <c r="BU232" i="40872"/>
  <c r="BU242" i="40872" s="1"/>
  <c r="DN83" i="40875" l="1"/>
  <c r="DS83" i="40875"/>
  <c r="CE99" i="40872"/>
  <c r="CJ99" i="40872"/>
  <c r="BU352" i="40872"/>
  <c r="BU354" i="40872" s="1"/>
  <c r="BU94" i="40872"/>
  <c r="BU93" i="40872"/>
  <c r="CE14" i="40872"/>
  <c r="CJ14" i="40872"/>
  <c r="BU95" i="40872"/>
  <c r="BU60" i="40872" s="1"/>
  <c r="BU53" i="40872"/>
  <c r="BU109" i="40872"/>
  <c r="BU209" i="40872"/>
  <c r="DD69" i="40875" s="1"/>
  <c r="BU108" i="40872"/>
  <c r="BU233" i="40872"/>
  <c r="BU243" i="40872" s="1"/>
  <c r="BU43" i="40872"/>
  <c r="BU362" i="40872" l="1"/>
  <c r="BU372" i="40872" s="1"/>
  <c r="BU185" i="40872"/>
  <c r="BU110" i="40872"/>
  <c r="DD72" i="40875"/>
  <c r="DD201" i="40875"/>
  <c r="BU55" i="40872" l="1"/>
  <c r="DD189" i="40875" l="1"/>
  <c r="BV227" i="40872"/>
  <c r="CW14" i="40872"/>
  <c r="CU14" i="40872"/>
  <c r="BV17" i="40872"/>
  <c r="BU97" i="40872"/>
  <c r="BU57" i="40872"/>
  <c r="BU211" i="40872"/>
  <c r="DD60" i="40875" s="1"/>
  <c r="BU111" i="40872"/>
  <c r="BV100" i="40872"/>
  <c r="BV224" i="40872"/>
  <c r="BV236" i="40872" s="1"/>
  <c r="DE76" i="40875" l="1"/>
  <c r="DE81" i="40875" s="1"/>
  <c r="DJ81" i="40875" s="1"/>
  <c r="DO81" i="40875" s="1"/>
  <c r="DT81" i="40875" s="1"/>
  <c r="DE82" i="40876"/>
  <c r="DD192" i="40875"/>
  <c r="DD193" i="40875" s="1"/>
  <c r="BV24" i="40872"/>
  <c r="BV205" i="40872"/>
  <c r="BV86" i="40872"/>
  <c r="BV84" i="40872"/>
  <c r="BV52" i="40872"/>
  <c r="DE54" i="40875" s="1"/>
  <c r="BV90" i="40872"/>
  <c r="BV102" i="40872"/>
  <c r="BV27" i="40872"/>
  <c r="DE77" i="40875" s="1"/>
  <c r="DE82" i="40875" s="1"/>
  <c r="DJ82" i="40875" s="1"/>
  <c r="DT82" i="40875" l="1"/>
  <c r="DO82" i="40875"/>
  <c r="DE79" i="40875"/>
  <c r="DE83" i="40875" s="1"/>
  <c r="DJ83" i="40875" s="1"/>
  <c r="CA14" i="40872"/>
  <c r="BV229" i="40872"/>
  <c r="BV239" i="40872" s="1"/>
  <c r="BV103" i="40872"/>
  <c r="BV206" i="40872"/>
  <c r="DO83" i="40875" l="1"/>
  <c r="DT83" i="40875"/>
  <c r="CF14" i="40872"/>
  <c r="CK14" i="40872"/>
  <c r="DE38" i="40875" l="1"/>
  <c r="BW224" i="40872" l="1"/>
  <c r="BW236" i="40872" s="1"/>
  <c r="BW100" i="40872"/>
  <c r="BW52" i="40872" l="1"/>
  <c r="DF76" i="40875"/>
  <c r="BW102" i="40872"/>
  <c r="BW205" i="40872"/>
  <c r="DF81" i="40875" l="1"/>
  <c r="DK81" i="40875" s="1"/>
  <c r="DP81" i="40875" s="1"/>
  <c r="DU81" i="40875" s="1"/>
  <c r="DF54" i="40875"/>
  <c r="BW103" i="40872"/>
  <c r="BW206" i="40872"/>
  <c r="DF77" i="40875"/>
  <c r="DF82" i="40875" s="1"/>
  <c r="DK82" i="40875" s="1"/>
  <c r="BW229" i="40872"/>
  <c r="BW239" i="40872" s="1"/>
  <c r="DP82" i="40875" l="1"/>
  <c r="DU82" i="40875"/>
  <c r="CA22" i="40872"/>
  <c r="CA21" i="40872"/>
  <c r="CA20" i="40872"/>
  <c r="CA227" i="40872" s="1"/>
  <c r="BZ22" i="40872"/>
  <c r="CA23" i="40872" l="1"/>
  <c r="CA24" i="40872" s="1"/>
  <c r="BZ100" i="40872"/>
  <c r="BZ224" i="40872"/>
  <c r="BZ236" i="40872" s="1"/>
  <c r="CB100" i="40872"/>
  <c r="CB224" i="40872"/>
  <c r="CB236" i="40872" s="1"/>
  <c r="CA100" i="40872"/>
  <c r="CA224" i="40872"/>
  <c r="CA236" i="40872" s="1"/>
  <c r="CA27" i="40872" l="1"/>
  <c r="CA229" i="40872" l="1"/>
  <c r="CA239" i="40872" s="1"/>
  <c r="DJ77" i="40875"/>
  <c r="CA103" i="40872"/>
  <c r="CF22" i="40872" l="1"/>
  <c r="CF21" i="40872"/>
  <c r="CE22" i="40872"/>
  <c r="CF20" i="40872"/>
  <c r="CF227" i="40872" s="1"/>
  <c r="CE100" i="40872"/>
  <c r="CF23" i="40872" l="1"/>
  <c r="CF24" i="40872" s="1"/>
  <c r="CF100" i="40872"/>
  <c r="CF224" i="40872"/>
  <c r="CF236" i="40872" s="1"/>
  <c r="CE224" i="40872"/>
  <c r="CE236" i="40872" s="1"/>
  <c r="CG100" i="40872"/>
  <c r="CG224" i="40872"/>
  <c r="CG236" i="40872" s="1"/>
  <c r="CF27" i="40872" l="1"/>
  <c r="CF229" i="40872" l="1"/>
  <c r="CF239" i="40872" s="1"/>
  <c r="CF103" i="40872"/>
  <c r="DO77" i="40875"/>
  <c r="CK22" i="40872" l="1"/>
  <c r="CK21" i="40872"/>
  <c r="CK20" i="40872"/>
  <c r="CK227" i="40872" s="1"/>
  <c r="CJ22" i="40872"/>
  <c r="CK100" i="40872"/>
  <c r="CK23" i="40872" l="1"/>
  <c r="CK24" i="40872" s="1"/>
  <c r="CK224" i="40872"/>
  <c r="CK236" i="40872" s="1"/>
  <c r="CJ224" i="40872"/>
  <c r="CJ236" i="40872" s="1"/>
  <c r="CJ100" i="40872"/>
  <c r="CL224" i="40872"/>
  <c r="CL236" i="40872" s="1"/>
  <c r="CL100" i="40872"/>
  <c r="CK27" i="40872" l="1"/>
  <c r="DT77" i="40875" l="1"/>
  <c r="CK229" i="40872"/>
  <c r="CK239" i="40872" s="1"/>
  <c r="CK103" i="40872"/>
  <c r="DJ16" i="40875" l="1"/>
  <c r="DO16" i="40875"/>
  <c r="DD37" i="40876" l="1"/>
  <c r="DT16" i="40875"/>
  <c r="DD64" i="40876" l="1"/>
  <c r="DD66" i="40876" s="1"/>
  <c r="BU128" i="40872"/>
  <c r="BU130" i="40872" l="1"/>
  <c r="BS138" i="40872" l="1"/>
  <c r="BT138" i="40872" s="1"/>
  <c r="BT139" i="40872"/>
  <c r="BU138" i="40872" s="1"/>
  <c r="BV68" i="40872" l="1"/>
  <c r="BV64" i="40872"/>
  <c r="BW134" i="40872"/>
  <c r="BV319" i="40872"/>
  <c r="BV199" i="40872" l="1"/>
  <c r="BV326" i="40872"/>
  <c r="BV320" i="40872"/>
  <c r="BV327" i="40872" s="1"/>
  <c r="BU64" i="40872" l="1"/>
  <c r="BU62" i="40872"/>
  <c r="BU68" i="40872"/>
  <c r="BU65" i="40872"/>
  <c r="BV134" i="40872"/>
  <c r="BU63" i="40872"/>
  <c r="BU319" i="40872"/>
  <c r="DE55" i="40876"/>
  <c r="BU113" i="40872" l="1"/>
  <c r="BU326" i="40872"/>
  <c r="BU320" i="40872"/>
  <c r="BU327" i="40872" s="1"/>
  <c r="BU112" i="40872"/>
  <c r="BU199" i="40872"/>
  <c r="BU201" i="40872" l="1"/>
  <c r="DD67" i="40876" l="1"/>
  <c r="DD71" i="40876" s="1"/>
  <c r="DD55" i="40876"/>
  <c r="DD57" i="40876" l="1"/>
  <c r="DD52" i="40875"/>
  <c r="DD59" i="40876" l="1"/>
  <c r="DE188" i="40875"/>
  <c r="DD194" i="40875"/>
  <c r="DD68" i="40875"/>
  <c r="DD55" i="40875"/>
  <c r="DB20" i="40876" l="1"/>
  <c r="DB22" i="40876" l="1"/>
  <c r="DB28" i="40876"/>
  <c r="DB27" i="40876"/>
  <c r="DB26" i="40876"/>
  <c r="DB25" i="40876"/>
  <c r="DB21" i="40876" l="1"/>
  <c r="DB23" i="40876" l="1"/>
  <c r="DC37" i="40876"/>
  <c r="DC84" i="40875" l="1"/>
  <c r="DC64" i="40876"/>
  <c r="DC66" i="40876" s="1"/>
  <c r="DC73" i="40876" s="1"/>
  <c r="BT128" i="40872"/>
  <c r="BT130" i="40872" s="1"/>
  <c r="O16" i="40877" s="1"/>
  <c r="DB37" i="40876"/>
  <c r="DB64" i="40876" l="1"/>
  <c r="DB66" i="40876" s="1"/>
  <c r="DB71" i="40876" s="1"/>
  <c r="BS128" i="40872"/>
  <c r="CV128" i="40872" s="1"/>
  <c r="O31" i="40877"/>
  <c r="O30" i="40877"/>
  <c r="DC71" i="40876"/>
  <c r="DC86" i="40875"/>
  <c r="BS130" i="40872" l="1"/>
  <c r="CV130" i="40872" s="1"/>
  <c r="DB41" i="40876" l="1"/>
  <c r="DB42" i="40876" l="1"/>
  <c r="DC46" i="40876"/>
  <c r="DC57" i="40876" l="1"/>
  <c r="DB46" i="40876"/>
  <c r="DB57" i="40876" s="1"/>
  <c r="DC59" i="40876" l="1"/>
  <c r="DC61" i="40876" l="1"/>
  <c r="DB59" i="40876"/>
  <c r="DH60" i="40876" l="1"/>
  <c r="DD60" i="40876"/>
  <c r="DC62" i="40876"/>
  <c r="DB61" i="40876"/>
  <c r="BU124" i="40872"/>
  <c r="DD70" i="40875"/>
  <c r="BU126" i="40872" s="1"/>
  <c r="DD20" i="40875"/>
  <c r="BV194" i="40872"/>
  <c r="DD61" i="40876" l="1"/>
  <c r="DD29" i="40875"/>
  <c r="BV46" i="40872"/>
  <c r="DB62" i="40876"/>
  <c r="DD56" i="40875" l="1"/>
  <c r="DD61" i="40875"/>
  <c r="DD62" i="40876"/>
  <c r="DE60" i="40876"/>
  <c r="DD62" i="40875"/>
  <c r="DD64" i="40875" l="1"/>
  <c r="DD63" i="40875"/>
  <c r="DB132" i="40875"/>
  <c r="BR153" i="40872"/>
  <c r="BR150" i="40872"/>
  <c r="BR146" i="40872"/>
  <c r="BR151" i="40872" l="1"/>
  <c r="BW151" i="40872"/>
  <c r="BR148" i="40872"/>
  <c r="BW148" i="40872"/>
  <c r="CB145" i="40872"/>
  <c r="CB153" i="40872" l="1"/>
  <c r="CB148" i="40872"/>
  <c r="CB150" i="40872"/>
  <c r="CG145" i="40872"/>
  <c r="BW346" i="40872" l="1"/>
  <c r="CG153" i="40872"/>
  <c r="CG148" i="40872"/>
  <c r="CL145" i="40872"/>
  <c r="CG150" i="40872"/>
  <c r="CB151" i="40872"/>
  <c r="CB29" i="40872"/>
  <c r="BW106" i="40872"/>
  <c r="BW231" i="40872"/>
  <c r="BW241" i="40872" s="1"/>
  <c r="CB106" i="40872" l="1"/>
  <c r="CB231" i="40872"/>
  <c r="CB241" i="40872" s="1"/>
  <c r="DK14" i="40876"/>
  <c r="CL153" i="40872"/>
  <c r="CL148" i="40872"/>
  <c r="CL150" i="40872"/>
  <c r="CG151" i="40872"/>
  <c r="CG29" i="40872"/>
  <c r="CG106" i="40872" l="1"/>
  <c r="CG231" i="40872"/>
  <c r="CG241" i="40872" s="1"/>
  <c r="DP14" i="40876"/>
  <c r="CL151" i="40872"/>
  <c r="CL29" i="40872"/>
  <c r="CL106" i="40872" l="1"/>
  <c r="CL231" i="40872"/>
  <c r="CL241" i="40872" s="1"/>
  <c r="DU14" i="40876"/>
  <c r="BS153" i="40872" l="1"/>
  <c r="BS148" i="40872"/>
  <c r="BS150" i="40872"/>
  <c r="BS151" i="40872" s="1"/>
  <c r="BT145" i="40872"/>
  <c r="BT150" i="40872" s="1"/>
  <c r="BT151" i="40872" s="1"/>
  <c r="BS146" i="40872"/>
  <c r="BX145" i="40872"/>
  <c r="BX150" i="40872" s="1"/>
  <c r="BX151" i="40872" l="1"/>
  <c r="BX153" i="40872"/>
  <c r="BX148" i="40872"/>
  <c r="BY145" i="40872"/>
  <c r="CC145" i="40872"/>
  <c r="BT146" i="40872"/>
  <c r="BT153" i="40872"/>
  <c r="BT148" i="40872"/>
  <c r="CS29" i="40872" l="1"/>
  <c r="BY146" i="40872"/>
  <c r="BY153" i="40872"/>
  <c r="BY150" i="40872"/>
  <c r="BY151" i="40872" s="1"/>
  <c r="BY148" i="40872"/>
  <c r="CC153" i="40872"/>
  <c r="CC148" i="40872"/>
  <c r="CD145" i="40872"/>
  <c r="CC150" i="40872"/>
  <c r="CH145" i="40872"/>
  <c r="BX106" i="40872"/>
  <c r="CS106" i="40872" s="1"/>
  <c r="CU106" i="40872" s="1"/>
  <c r="BX231" i="40872"/>
  <c r="BX241" i="40872" s="1"/>
  <c r="BY29" i="40872"/>
  <c r="BY346" i="40872" l="1"/>
  <c r="CU29" i="40872"/>
  <c r="CW29" i="40872"/>
  <c r="CC151" i="40872"/>
  <c r="CC29" i="40872"/>
  <c r="CD153" i="40872"/>
  <c r="CD150" i="40872"/>
  <c r="CD151" i="40872" s="1"/>
  <c r="CD148" i="40872"/>
  <c r="BY106" i="40872"/>
  <c r="BY231" i="40872"/>
  <c r="BY241" i="40872" s="1"/>
  <c r="CH153" i="40872"/>
  <c r="CH148" i="40872"/>
  <c r="CI145" i="40872"/>
  <c r="CH150" i="40872"/>
  <c r="CM145" i="40872"/>
  <c r="DH24" i="40875" l="1"/>
  <c r="DI24" i="40875" s="1"/>
  <c r="DJ24" i="40875" s="1"/>
  <c r="DK24" i="40875" s="1"/>
  <c r="CC106" i="40872"/>
  <c r="CC231" i="40872"/>
  <c r="CC241" i="40872" s="1"/>
  <c r="DL14" i="40876"/>
  <c r="CD29" i="40872"/>
  <c r="CH151" i="40872"/>
  <c r="CH29" i="40872"/>
  <c r="CI146" i="40872"/>
  <c r="CI153" i="40872"/>
  <c r="CI148" i="40872"/>
  <c r="CI150" i="40872"/>
  <c r="CI151" i="40872" s="1"/>
  <c r="CN145" i="40872"/>
  <c r="CM153" i="40872"/>
  <c r="CM148" i="40872"/>
  <c r="CM150" i="40872"/>
  <c r="DL24" i="40875" l="1"/>
  <c r="DM14" i="40876"/>
  <c r="CH106" i="40872"/>
  <c r="CH231" i="40872"/>
  <c r="CH241" i="40872" s="1"/>
  <c r="CI29" i="40872"/>
  <c r="DQ14" i="40876"/>
  <c r="CD231" i="40872"/>
  <c r="CD241" i="40872" s="1"/>
  <c r="CD106" i="40872"/>
  <c r="CN153" i="40872"/>
  <c r="CN148" i="40872"/>
  <c r="CN150" i="40872"/>
  <c r="CN151" i="40872" s="1"/>
  <c r="CN146" i="40872"/>
  <c r="CM151" i="40872"/>
  <c r="CM29" i="40872"/>
  <c r="DR14" i="40876" l="1"/>
  <c r="CI106" i="40872"/>
  <c r="CI231" i="40872"/>
  <c r="CI241" i="40872" s="1"/>
  <c r="CM106" i="40872"/>
  <c r="CM231" i="40872"/>
  <c r="CM241" i="40872" s="1"/>
  <c r="DV14" i="40876"/>
  <c r="CN29" i="40872"/>
  <c r="DW14" i="40876" l="1"/>
  <c r="CN106" i="40872"/>
  <c r="CN231" i="40872"/>
  <c r="CN241" i="40872" s="1"/>
  <c r="BS160" i="40872" l="1"/>
  <c r="BR180" i="40872"/>
  <c r="BT172" i="40872"/>
  <c r="BT177" i="40872" s="1"/>
  <c r="BT178" i="40872" s="1"/>
  <c r="BR173" i="40872"/>
  <c r="DM24" i="40875" l="1"/>
  <c r="DN24" i="40875" s="1"/>
  <c r="DO24" i="40875" s="1"/>
  <c r="DP24" i="40875" s="1"/>
  <c r="DQ24" i="40875" s="1"/>
  <c r="BT180" i="40872"/>
  <c r="BT173" i="40872"/>
  <c r="BW216" i="40872" l="1"/>
  <c r="BW217" i="40872" s="1"/>
  <c r="BX207" i="40872"/>
  <c r="BY207" i="40872" s="1"/>
  <c r="BW207" i="40872"/>
  <c r="BY28" i="40872"/>
  <c r="BW230" i="40872"/>
  <c r="BW240" i="40872" s="1"/>
  <c r="DF78" i="40875"/>
  <c r="DF79" i="40875" s="1"/>
  <c r="BZ207" i="40872"/>
  <c r="BW105" i="40872"/>
  <c r="CU105" i="40872" s="1"/>
  <c r="DF83" i="40875" l="1"/>
  <c r="DK83" i="40875" s="1"/>
  <c r="BY105" i="40872"/>
  <c r="BY230" i="40872"/>
  <c r="BY240" i="40872" s="1"/>
  <c r="DH78" i="40875"/>
  <c r="BY216" i="40872"/>
  <c r="BY217" i="40872" s="1"/>
  <c r="CU28" i="40872"/>
  <c r="CX28" i="40872" s="1"/>
  <c r="CW28" i="40872"/>
  <c r="DP83" i="40875" l="1"/>
  <c r="DU83" i="40875"/>
  <c r="DF31" i="40876"/>
  <c r="DR24" i="40875" l="1"/>
  <c r="DS24" i="40875" s="1"/>
  <c r="DT24" i="40875" s="1"/>
  <c r="DU24" i="40875" s="1"/>
  <c r="DV24" i="40875" s="1"/>
  <c r="BK196" i="40872" l="1"/>
  <c r="BO192" i="40872"/>
  <c r="BO193" i="40872" s="1"/>
  <c r="BL196" i="40872"/>
  <c r="BO196" i="40872" l="1"/>
  <c r="BT142" i="40872"/>
  <c r="BT141" i="40872" s="1"/>
  <c r="BR141" i="40872"/>
  <c r="BS157" i="40872"/>
  <c r="BS161" i="40872" s="1"/>
  <c r="BS163" i="40872" s="1"/>
  <c r="BT161" i="40872"/>
  <c r="BT163" i="40872" s="1"/>
  <c r="BT227" i="40872"/>
  <c r="DW24" i="40875" l="1"/>
  <c r="BS227" i="40872" l="1"/>
  <c r="BS70" i="40872"/>
  <c r="CV70" i="40872" l="1"/>
  <c r="BX76" i="40872"/>
  <c r="BS76" i="40872"/>
  <c r="BS71" i="40872" l="1"/>
  <c r="BX77" i="40872" l="1"/>
  <c r="BX73" i="40872"/>
  <c r="BX74" i="40872" s="1"/>
  <c r="CV71" i="40872"/>
  <c r="BS72" i="40872" l="1"/>
  <c r="CV72" i="40872" l="1"/>
  <c r="BX78" i="40872"/>
  <c r="BS73" i="40872"/>
  <c r="BS74" i="40872" l="1"/>
  <c r="BS79" i="40872" s="1"/>
  <c r="CV73" i="40872"/>
  <c r="CV74" i="40872" l="1"/>
  <c r="BX79" i="40872"/>
  <c r="BS24" i="40872"/>
  <c r="CV24" i="40872" s="1"/>
  <c r="BT12" i="40872"/>
  <c r="BT71" i="40872" l="1"/>
  <c r="BT72" i="40872"/>
  <c r="BT70" i="40872"/>
  <c r="BT24" i="40872"/>
  <c r="BT77" i="40872" l="1"/>
  <c r="BT76" i="40872"/>
  <c r="BT78" i="40872"/>
  <c r="BX99" i="40872" l="1"/>
  <c r="CS12" i="40872"/>
  <c r="CU12" i="40872" l="1"/>
  <c r="CW12" i="40872"/>
  <c r="BY12" i="40872"/>
  <c r="CS23" i="40872" l="1"/>
  <c r="BY14" i="40872"/>
  <c r="BX100" i="40872"/>
  <c r="CS100" i="40872" s="1"/>
  <c r="CU100" i="40872" s="1"/>
  <c r="BX224" i="40872"/>
  <c r="BX236" i="40872" s="1"/>
  <c r="CU23" i="40872" l="1"/>
  <c r="CW23" i="40872"/>
  <c r="CS17" i="40872"/>
  <c r="BX102" i="40872"/>
  <c r="CS102" i="40872" s="1"/>
  <c r="CU102" i="40872" s="1"/>
  <c r="CS84" i="40872"/>
  <c r="CS90" i="40872"/>
  <c r="CS86" i="40872"/>
  <c r="DG76" i="40875"/>
  <c r="BX205" i="40872"/>
  <c r="BX52" i="40872"/>
  <c r="BX24" i="40872"/>
  <c r="CS24" i="40872" s="1"/>
  <c r="BY100" i="40872"/>
  <c r="BY224" i="40872"/>
  <c r="BY236" i="40872" s="1"/>
  <c r="BY17" i="40872"/>
  <c r="DG81" i="40875" l="1"/>
  <c r="DL81" i="40875" s="1"/>
  <c r="DQ81" i="40875" s="1"/>
  <c r="DV81" i="40875" s="1"/>
  <c r="CW24" i="40872"/>
  <c r="CU24" i="40872"/>
  <c r="CS27" i="40872"/>
  <c r="CW84" i="40872"/>
  <c r="CU84" i="40872"/>
  <c r="CW86" i="40872"/>
  <c r="CU86" i="40872"/>
  <c r="CS52" i="40872"/>
  <c r="CU52" i="40872" s="1"/>
  <c r="CW90" i="40872"/>
  <c r="CU90" i="40872"/>
  <c r="CW17" i="40872"/>
  <c r="CU17" i="40872"/>
  <c r="DH76" i="40875"/>
  <c r="P5" i="40877"/>
  <c r="BY89" i="40872"/>
  <c r="BY87" i="40872"/>
  <c r="BY90" i="40872"/>
  <c r="BY102" i="40872"/>
  <c r="BY84" i="40872"/>
  <c r="BY88" i="40872"/>
  <c r="BY86" i="40872"/>
  <c r="BY52" i="40872"/>
  <c r="DG54" i="40875"/>
  <c r="DH54" i="40875" s="1"/>
  <c r="BY205" i="40872"/>
  <c r="BX103" i="40872"/>
  <c r="CS103" i="40872" s="1"/>
  <c r="CU103" i="40872" s="1"/>
  <c r="BX206" i="40872"/>
  <c r="BY206" i="40872" s="1"/>
  <c r="BX229" i="40872"/>
  <c r="BX239" i="40872" s="1"/>
  <c r="DG77" i="40875"/>
  <c r="DG82" i="40875" s="1"/>
  <c r="DL82" i="40875" s="1"/>
  <c r="DH15" i="40875"/>
  <c r="CC99" i="40872" l="1"/>
  <c r="DV82" i="40875"/>
  <c r="DQ82" i="40875"/>
  <c r="CU27" i="40872"/>
  <c r="CX27" i="40872" s="1"/>
  <c r="CX29" i="40872" s="1"/>
  <c r="CW27" i="40872"/>
  <c r="BY96" i="40872"/>
  <c r="DG79" i="40875"/>
  <c r="P33" i="40877"/>
  <c r="P29" i="40877"/>
  <c r="P6" i="40877"/>
  <c r="CH99" i="40872" l="1"/>
  <c r="CC14" i="40872"/>
  <c r="CD12" i="40872"/>
  <c r="DG83" i="40875"/>
  <c r="DL83" i="40875" s="1"/>
  <c r="DH16" i="40875"/>
  <c r="DG38" i="40875"/>
  <c r="DH34" i="40875"/>
  <c r="CD14" i="40872" l="1"/>
  <c r="CM99" i="40872"/>
  <c r="CI12" i="40872"/>
  <c r="CH14" i="40872"/>
  <c r="CC224" i="40872"/>
  <c r="CC236" i="40872" s="1"/>
  <c r="CC100" i="40872"/>
  <c r="DQ83" i="40875"/>
  <c r="DV83" i="40875"/>
  <c r="DH38" i="40875"/>
  <c r="CI14" i="40872" l="1"/>
  <c r="CD224" i="40872"/>
  <c r="CD236" i="40872" s="1"/>
  <c r="CD100" i="40872"/>
  <c r="CN12" i="40872"/>
  <c r="CM14" i="40872"/>
  <c r="CH100" i="40872"/>
  <c r="CH224" i="40872"/>
  <c r="CH236" i="40872" s="1"/>
  <c r="CM224" i="40872" l="1"/>
  <c r="CM236" i="40872" s="1"/>
  <c r="CM100" i="40872"/>
  <c r="CI100" i="40872"/>
  <c r="CI224" i="40872"/>
  <c r="CI236" i="40872" s="1"/>
  <c r="CN14" i="40872"/>
  <c r="CN224" i="40872" l="1"/>
  <c r="CN236" i="40872" s="1"/>
  <c r="CN100" i="40872"/>
  <c r="BZ71" i="40872"/>
  <c r="BZ21" i="40872" s="1"/>
  <c r="BZ76" i="40872"/>
  <c r="CE71" i="40872" l="1"/>
  <c r="CE21" i="40872" s="1"/>
  <c r="BU227" i="40872"/>
  <c r="BZ20" i="40872"/>
  <c r="BZ73" i="40872"/>
  <c r="BZ74" i="40872" s="1"/>
  <c r="BZ79" i="40872" s="1"/>
  <c r="CJ71" i="40872" l="1"/>
  <c r="CJ21" i="40872" s="1"/>
  <c r="CE73" i="40872"/>
  <c r="CE74" i="40872" s="1"/>
  <c r="CE79" i="40872" s="1"/>
  <c r="CE20" i="40872"/>
  <c r="BZ227" i="40872"/>
  <c r="BZ23" i="40872"/>
  <c r="CE227" i="40872" l="1"/>
  <c r="CE23" i="40872"/>
  <c r="BZ24" i="40872"/>
  <c r="BZ27" i="40872"/>
  <c r="CJ73" i="40872"/>
  <c r="CJ74" i="40872" s="1"/>
  <c r="CJ79" i="40872" s="1"/>
  <c r="CJ20" i="40872"/>
  <c r="CE24" i="40872" l="1"/>
  <c r="CE27" i="40872"/>
  <c r="CJ227" i="40872"/>
  <c r="CJ23" i="40872"/>
  <c r="BZ103" i="40872"/>
  <c r="CA206" i="40872"/>
  <c r="BZ206" i="40872"/>
  <c r="BZ229" i="40872"/>
  <c r="BZ239" i="40872" s="1"/>
  <c r="DI77" i="40875"/>
  <c r="CJ24" i="40872" l="1"/>
  <c r="CJ27" i="40872"/>
  <c r="DI16" i="40875"/>
  <c r="DI79" i="40875"/>
  <c r="DI34" i="40875" s="1"/>
  <c r="CE103" i="40872"/>
  <c r="CE229" i="40872"/>
  <c r="CE239" i="40872" s="1"/>
  <c r="DN77" i="40875"/>
  <c r="DJ34" i="40876" l="1"/>
  <c r="DI34" i="40876"/>
  <c r="DN79" i="40875"/>
  <c r="DN34" i="40875" s="1"/>
  <c r="DN16" i="40875"/>
  <c r="CJ103" i="40872"/>
  <c r="CJ229" i="40872"/>
  <c r="CJ239" i="40872" s="1"/>
  <c r="DS77" i="40875"/>
  <c r="DI38" i="40875"/>
  <c r="DI36" i="40876"/>
  <c r="DO34" i="40876" l="1"/>
  <c r="DN38" i="40875"/>
  <c r="DS16" i="40875"/>
  <c r="DS79" i="40875"/>
  <c r="DS34" i="40875" s="1"/>
  <c r="DT34" i="40876" l="1"/>
  <c r="DS38" i="40875"/>
  <c r="BX167" i="40872" l="1"/>
  <c r="BV169" i="40872"/>
  <c r="BX169" i="40872" l="1"/>
  <c r="CS25" i="40872" l="1"/>
  <c r="CS38" i="40872"/>
  <c r="BV83" i="40872"/>
  <c r="BV38" i="40872"/>
  <c r="BY25" i="40872"/>
  <c r="BW345" i="40872" l="1"/>
  <c r="BW350" i="40872" s="1"/>
  <c r="BV42" i="40872"/>
  <c r="BW232" i="40872"/>
  <c r="BW242" i="40872" s="1"/>
  <c r="BV345" i="40872"/>
  <c r="BV350" i="40872" s="1"/>
  <c r="BW107" i="40872"/>
  <c r="BW42" i="40872"/>
  <c r="BW94" i="40872" s="1"/>
  <c r="BX107" i="40872"/>
  <c r="CS107" i="40872" s="1"/>
  <c r="BW39" i="40872"/>
  <c r="BW208" i="40872"/>
  <c r="DF59" i="40875" s="1"/>
  <c r="CS39" i="40872"/>
  <c r="CS91" i="40872"/>
  <c r="BX232" i="40872"/>
  <c r="CS40" i="40872"/>
  <c r="CS92" i="40872"/>
  <c r="BX42" i="40872"/>
  <c r="BX94" i="40872" s="1"/>
  <c r="BV91" i="40872"/>
  <c r="BV232" i="40872"/>
  <c r="BV107" i="40872"/>
  <c r="BV40" i="40872"/>
  <c r="BV92" i="40872"/>
  <c r="BX208" i="40872"/>
  <c r="BV208" i="40872"/>
  <c r="DE59" i="40875" s="1"/>
  <c r="BV50" i="40872"/>
  <c r="BV39" i="40872"/>
  <c r="BY83" i="40872"/>
  <c r="BX233" i="40872" l="1"/>
  <c r="BX243" i="40872" s="1"/>
  <c r="CS42" i="40872"/>
  <c r="CW42" i="40872" s="1"/>
  <c r="CU107" i="40872"/>
  <c r="BV95" i="40872"/>
  <c r="BW108" i="40872"/>
  <c r="CW92" i="40872"/>
  <c r="CU92" i="40872"/>
  <c r="CU91" i="40872"/>
  <c r="CW91" i="40872"/>
  <c r="CU38" i="40872"/>
  <c r="CW38" i="40872"/>
  <c r="BW233" i="40872"/>
  <c r="BW43" i="40872"/>
  <c r="BW109" i="40872"/>
  <c r="BV352" i="40872"/>
  <c r="CS94" i="40872"/>
  <c r="BX109" i="40872"/>
  <c r="CS109" i="40872" s="1"/>
  <c r="BX242" i="40872"/>
  <c r="BY39" i="40872"/>
  <c r="BX43" i="40872"/>
  <c r="CS93" i="40872"/>
  <c r="BX108" i="40872"/>
  <c r="CS108" i="40872" s="1"/>
  <c r="DG59" i="40875"/>
  <c r="BY208" i="40872"/>
  <c r="DH59" i="40875" s="1"/>
  <c r="BW209" i="40872"/>
  <c r="BV242" i="40872"/>
  <c r="BV108" i="40872"/>
  <c r="BV93" i="40872"/>
  <c r="BV209" i="40872"/>
  <c r="BV94" i="40872"/>
  <c r="BV233" i="40872"/>
  <c r="BV109" i="40872"/>
  <c r="BV43" i="40872"/>
  <c r="BX209" i="40872"/>
  <c r="BX110" i="40872" l="1"/>
  <c r="CS110" i="40872" s="1"/>
  <c r="CS43" i="40872"/>
  <c r="CW43" i="40872" s="1"/>
  <c r="CU108" i="40872"/>
  <c r="CU109" i="40872"/>
  <c r="CU42" i="40872"/>
  <c r="BW110" i="40872"/>
  <c r="DF201" i="40875"/>
  <c r="DE70" i="40875"/>
  <c r="DE72" i="40875"/>
  <c r="DE69" i="40875"/>
  <c r="BV60" i="40872"/>
  <c r="CW94" i="40872"/>
  <c r="CU94" i="40872"/>
  <c r="CX17" i="40872"/>
  <c r="BV353" i="40872"/>
  <c r="BV354" i="40872" s="1"/>
  <c r="CU93" i="40872"/>
  <c r="CW93" i="40872"/>
  <c r="CU40" i="40872"/>
  <c r="CW40" i="40872"/>
  <c r="BW243" i="40872"/>
  <c r="DG201" i="40875"/>
  <c r="BV53" i="40872"/>
  <c r="DG69" i="40875"/>
  <c r="BY209" i="40872"/>
  <c r="BV243" i="40872"/>
  <c r="DF72" i="40875"/>
  <c r="DF69" i="40875"/>
  <c r="BV110" i="40872"/>
  <c r="BY43" i="40872"/>
  <c r="DE201" i="40875"/>
  <c r="CU43" i="40872" l="1"/>
  <c r="CU110" i="40872"/>
  <c r="BV362" i="40872"/>
  <c r="BV372" i="40872" s="1"/>
  <c r="BV55" i="40872"/>
  <c r="P9" i="40877"/>
  <c r="BY110" i="40872"/>
  <c r="DH69" i="40875"/>
  <c r="DE189" i="40875" l="1"/>
  <c r="BV111" i="40872"/>
  <c r="BV65" i="40872"/>
  <c r="BV201" i="40872"/>
  <c r="BV211" i="40872"/>
  <c r="DE60" i="40875" s="1"/>
  <c r="BV97" i="40872"/>
  <c r="BV57" i="40872"/>
  <c r="P26" i="40877"/>
  <c r="P27" i="40877"/>
  <c r="P10" i="40877"/>
  <c r="DE192" i="40875" l="1"/>
  <c r="DE193" i="40875" s="1"/>
  <c r="DE52" i="40875"/>
  <c r="DE68" i="40875" s="1"/>
  <c r="BV62" i="40872"/>
  <c r="BV63" i="40872"/>
  <c r="DE37" i="40876"/>
  <c r="DE64" i="40876" s="1"/>
  <c r="DE66" i="40876" s="1"/>
  <c r="DE71" i="40876" s="1"/>
  <c r="DE194" i="40875" l="1"/>
  <c r="BV113" i="40872"/>
  <c r="DF188" i="40875"/>
  <c r="DE55" i="40875"/>
  <c r="BV112" i="40872"/>
  <c r="DE57" i="40876"/>
  <c r="BV128" i="40872"/>
  <c r="BV130" i="40872" l="1"/>
  <c r="DE59" i="40876"/>
  <c r="DE61" i="40876" l="1"/>
  <c r="DE62" i="40876" s="1"/>
  <c r="DF60" i="40876" l="1"/>
  <c r="BV126" i="40872" l="1"/>
  <c r="BV124" i="40872"/>
  <c r="DE20" i="40875"/>
  <c r="BW194" i="40872"/>
  <c r="BW46" i="40872" l="1"/>
  <c r="DE29" i="40875"/>
  <c r="BW50" i="40872" l="1"/>
  <c r="DE62" i="40875"/>
  <c r="DE61" i="40875"/>
  <c r="DE56" i="40875"/>
  <c r="BW95" i="40872" l="1"/>
  <c r="BW352" i="40872"/>
  <c r="BW354" i="40872" s="1"/>
  <c r="BW53" i="40872"/>
  <c r="BW362" i="40872" s="1"/>
  <c r="BW372" i="40872" s="1"/>
  <c r="DE63" i="40875"/>
  <c r="DE64" i="40875"/>
  <c r="BW185" i="40872" l="1"/>
  <c r="BY185" i="40872" s="1"/>
  <c r="BW60" i="40872"/>
  <c r="BW55" i="40872" l="1"/>
  <c r="BW97" i="40872" s="1"/>
  <c r="BW211" i="40872" l="1"/>
  <c r="DF60" i="40875" s="1"/>
  <c r="BW57" i="40872"/>
  <c r="BW111" i="40872"/>
  <c r="DF37" i="40876" l="1"/>
  <c r="BW128" i="40872" l="1"/>
  <c r="BW130" i="40872" s="1"/>
  <c r="DF64" i="40876"/>
  <c r="DF66" i="40876" s="1"/>
  <c r="BV173" i="40872" l="1"/>
  <c r="CA172" i="40872"/>
  <c r="CA180" i="40872" l="1"/>
  <c r="CF172" i="40872"/>
  <c r="CA177" i="40872"/>
  <c r="CF180" i="40872" l="1"/>
  <c r="CK172" i="40872"/>
  <c r="CF177" i="40872"/>
  <c r="CA178" i="40872"/>
  <c r="CA28" i="40872"/>
  <c r="CF178" i="40872" l="1"/>
  <c r="CF28" i="40872"/>
  <c r="CK180" i="40872"/>
  <c r="CK177" i="40872"/>
  <c r="CA216" i="40872"/>
  <c r="CA217" i="40872" s="1"/>
  <c r="CA207" i="40872"/>
  <c r="CA105" i="40872"/>
  <c r="CA230" i="40872"/>
  <c r="CA240" i="40872" s="1"/>
  <c r="DJ78" i="40875"/>
  <c r="DJ79" i="40875" s="1"/>
  <c r="DJ34" i="40875" s="1"/>
  <c r="DJ38" i="40875" l="1"/>
  <c r="DJ36" i="40876"/>
  <c r="CK178" i="40872"/>
  <c r="CK28" i="40872"/>
  <c r="CF216" i="40872"/>
  <c r="CF217" i="40872" s="1"/>
  <c r="CF105" i="40872"/>
  <c r="CF230" i="40872"/>
  <c r="CF240" i="40872" s="1"/>
  <c r="DO78" i="40875"/>
  <c r="DO79" i="40875" s="1"/>
  <c r="DO34" i="40875" s="1"/>
  <c r="DO38" i="40875" l="1"/>
  <c r="DO36" i="40876"/>
  <c r="CK230" i="40872"/>
  <c r="CK240" i="40872" s="1"/>
  <c r="CK216" i="40872"/>
  <c r="CK217" i="40872" s="1"/>
  <c r="CK105" i="40872"/>
  <c r="DT78" i="40875"/>
  <c r="DT79" i="40875" s="1"/>
  <c r="DT34" i="40875" s="1"/>
  <c r="DT38" i="40875" l="1"/>
  <c r="DT36" i="40876"/>
  <c r="CA99" i="40872" l="1"/>
  <c r="BY99" i="40872"/>
  <c r="CF99" i="40872" l="1"/>
  <c r="CD99" i="40872"/>
  <c r="BZ17" i="40872"/>
  <c r="BZ167" i="40872" l="1"/>
  <c r="BZ169" i="40872" s="1"/>
  <c r="CI99" i="40872"/>
  <c r="CK99" i="40872"/>
  <c r="CB17" i="40872"/>
  <c r="BZ84" i="40872"/>
  <c r="BZ102" i="40872"/>
  <c r="BZ90" i="40872"/>
  <c r="BZ86" i="40872"/>
  <c r="BZ52" i="40872"/>
  <c r="BZ205" i="40872"/>
  <c r="DI76" i="40875"/>
  <c r="DI15" i="40875" s="1"/>
  <c r="CC17" i="40872"/>
  <c r="DI33" i="40876" l="1"/>
  <c r="CC167" i="40872"/>
  <c r="CC25" i="40872" s="1"/>
  <c r="CC83" i="40872" s="1"/>
  <c r="BZ25" i="40872"/>
  <c r="CB90" i="40872"/>
  <c r="CB102" i="40872"/>
  <c r="CB86" i="40872"/>
  <c r="CB52" i="40872"/>
  <c r="DK76" i="40875"/>
  <c r="DK15" i="40875" s="1"/>
  <c r="DI54" i="40875"/>
  <c r="DI22" i="40876"/>
  <c r="CA101" i="40872"/>
  <c r="CA225" i="40872"/>
  <c r="CA237" i="40872" s="1"/>
  <c r="CA17" i="40872"/>
  <c r="CB205" i="40872" s="1"/>
  <c r="CD16" i="40872"/>
  <c r="CF101" i="40872"/>
  <c r="CF225" i="40872"/>
  <c r="CI16" i="40872"/>
  <c r="CC90" i="40872"/>
  <c r="CC52" i="40872"/>
  <c r="CC86" i="40872"/>
  <c r="CC102" i="40872"/>
  <c r="DL76" i="40875"/>
  <c r="DL15" i="40875" s="1"/>
  <c r="CA167" i="40872"/>
  <c r="CA25" i="40872" s="1"/>
  <c r="CA83" i="40872" s="1"/>
  <c r="CB167" i="40872"/>
  <c r="CB25" i="40872" s="1"/>
  <c r="CB83" i="40872" s="1"/>
  <c r="CF237" i="40872" l="1"/>
  <c r="CK225" i="40872"/>
  <c r="CK237" i="40872" s="1"/>
  <c r="CN16" i="40872"/>
  <c r="CN101" i="40872" s="1"/>
  <c r="CK101" i="40872"/>
  <c r="CB169" i="40872"/>
  <c r="DI31" i="40876"/>
  <c r="CD225" i="40872"/>
  <c r="CD237" i="40872" s="1"/>
  <c r="CD101" i="40872"/>
  <c r="CD17" i="40872"/>
  <c r="CA169" i="40872"/>
  <c r="DL22" i="40876"/>
  <c r="CA84" i="40872"/>
  <c r="CA90" i="40872"/>
  <c r="CA102" i="40872"/>
  <c r="CA52" i="40872"/>
  <c r="CA86" i="40872"/>
  <c r="DJ76" i="40875"/>
  <c r="DJ15" i="40875" s="1"/>
  <c r="CA38" i="40872"/>
  <c r="CA205" i="40872"/>
  <c r="CC205" i="40872"/>
  <c r="CD25" i="40872"/>
  <c r="BZ83" i="40872"/>
  <c r="BZ38" i="40872"/>
  <c r="DM15" i="40875"/>
  <c r="DL33" i="40876"/>
  <c r="CD167" i="40872"/>
  <c r="CD168" i="40872" s="1"/>
  <c r="CI101" i="40872"/>
  <c r="CI225" i="40872"/>
  <c r="DK22" i="40876"/>
  <c r="CC169" i="40872"/>
  <c r="CI237" i="40872" l="1"/>
  <c r="CN225" i="40872"/>
  <c r="CN237" i="40872" s="1"/>
  <c r="CD83" i="40872"/>
  <c r="CD205" i="40872"/>
  <c r="DK33" i="40876"/>
  <c r="DJ33" i="40876"/>
  <c r="BZ92" i="40872"/>
  <c r="BZ91" i="40872"/>
  <c r="BZ40" i="40872"/>
  <c r="BZ107" i="40872"/>
  <c r="BZ208" i="40872"/>
  <c r="DI59" i="40875" s="1"/>
  <c r="BZ232" i="40872"/>
  <c r="BZ242" i="40872" s="1"/>
  <c r="BZ42" i="40872"/>
  <c r="BZ39" i="40872"/>
  <c r="DJ54" i="40875"/>
  <c r="DK54" i="40875" s="1"/>
  <c r="DL54" i="40875" s="1"/>
  <c r="DM54" i="40875" s="1"/>
  <c r="DJ22" i="40876"/>
  <c r="CD52" i="40872"/>
  <c r="CE17" i="40872"/>
  <c r="CD169" i="40872"/>
  <c r="CA107" i="40872"/>
  <c r="CA39" i="40872"/>
  <c r="CA40" i="40872"/>
  <c r="CA232" i="40872"/>
  <c r="CA242" i="40872" s="1"/>
  <c r="CA91" i="40872"/>
  <c r="CA42" i="40872"/>
  <c r="CA208" i="40872"/>
  <c r="DJ59" i="40875" s="1"/>
  <c r="CA92" i="40872"/>
  <c r="CD90" i="40872"/>
  <c r="Q5" i="40877"/>
  <c r="CD88" i="40872"/>
  <c r="CD102" i="40872"/>
  <c r="DM76" i="40875"/>
  <c r="DM82" i="40876"/>
  <c r="CD87" i="40872"/>
  <c r="CD89" i="40872"/>
  <c r="CD86" i="40872"/>
  <c r="CA209" i="40872" l="1"/>
  <c r="CA109" i="40872"/>
  <c r="CA94" i="40872"/>
  <c r="CA233" i="40872"/>
  <c r="CA243" i="40872" s="1"/>
  <c r="CA43" i="40872"/>
  <c r="CA110" i="40872" s="1"/>
  <c r="CE167" i="40872"/>
  <c r="CE169" i="40872" s="1"/>
  <c r="DM22" i="40876"/>
  <c r="BZ108" i="40872"/>
  <c r="BZ93" i="40872"/>
  <c r="DJ31" i="40876"/>
  <c r="DM33" i="40876"/>
  <c r="CE86" i="40872"/>
  <c r="CE84" i="40872"/>
  <c r="CE102" i="40872"/>
  <c r="CE90" i="40872"/>
  <c r="CE52" i="40872"/>
  <c r="DN76" i="40875"/>
  <c r="DN15" i="40875" s="1"/>
  <c r="CE205" i="40872"/>
  <c r="BZ209" i="40872"/>
  <c r="BZ94" i="40872"/>
  <c r="BZ233" i="40872"/>
  <c r="BZ243" i="40872" s="1"/>
  <c r="BZ109" i="40872"/>
  <c r="BZ43" i="40872"/>
  <c r="CF17" i="40872"/>
  <c r="Q6" i="40877"/>
  <c r="Q29" i="40877"/>
  <c r="Q33" i="40877"/>
  <c r="CA93" i="40872"/>
  <c r="CA108" i="40872"/>
  <c r="CD96" i="40872"/>
  <c r="DJ201" i="40875" l="1"/>
  <c r="CF102" i="40872"/>
  <c r="CF84" i="40872"/>
  <c r="CF90" i="40872"/>
  <c r="CF52" i="40872"/>
  <c r="CF86" i="40872"/>
  <c r="DO76" i="40875"/>
  <c r="DO15" i="40875" s="1"/>
  <c r="DO33" i="40876" s="1"/>
  <c r="CF205" i="40872"/>
  <c r="BZ110" i="40872"/>
  <c r="DI201" i="40875"/>
  <c r="CF167" i="40872"/>
  <c r="CF25" i="40872" s="1"/>
  <c r="CF83" i="40872" s="1"/>
  <c r="DI69" i="40875"/>
  <c r="DN33" i="40876"/>
  <c r="CG17" i="40872"/>
  <c r="DN54" i="40875"/>
  <c r="DN22" i="40876"/>
  <c r="CH17" i="40872"/>
  <c r="CE25" i="40872"/>
  <c r="DJ69" i="40875"/>
  <c r="CF169" i="40872" l="1"/>
  <c r="CG167" i="40872"/>
  <c r="CG169" i="40872" s="1"/>
  <c r="DO54" i="40875"/>
  <c r="DO22" i="40876"/>
  <c r="CH102" i="40872"/>
  <c r="CH52" i="40872"/>
  <c r="CH86" i="40872"/>
  <c r="CH90" i="40872"/>
  <c r="DQ76" i="40875"/>
  <c r="DQ15" i="40875" s="1"/>
  <c r="DO31" i="40876"/>
  <c r="CF38" i="40872"/>
  <c r="CE83" i="40872"/>
  <c r="CE38" i="40872"/>
  <c r="CH167" i="40872"/>
  <c r="CH25" i="40872" s="1"/>
  <c r="CH83" i="40872" s="1"/>
  <c r="CG86" i="40872"/>
  <c r="CG102" i="40872"/>
  <c r="CG90" i="40872"/>
  <c r="CG52" i="40872"/>
  <c r="DP76" i="40875"/>
  <c r="DP15" i="40875" s="1"/>
  <c r="DP33" i="40876" s="1"/>
  <c r="CG205" i="40872"/>
  <c r="CH205" i="40872"/>
  <c r="CI17" i="40872" l="1"/>
  <c r="CH169" i="40872"/>
  <c r="CF39" i="40872"/>
  <c r="CF232" i="40872"/>
  <c r="CF242" i="40872" s="1"/>
  <c r="CF107" i="40872"/>
  <c r="CF40" i="40872"/>
  <c r="CF92" i="40872"/>
  <c r="CF91" i="40872"/>
  <c r="CF42" i="40872"/>
  <c r="DQ33" i="40876"/>
  <c r="CI205" i="40872"/>
  <c r="DR15" i="40875"/>
  <c r="CG25" i="40872"/>
  <c r="CI167" i="40872"/>
  <c r="CI168" i="40872" s="1"/>
  <c r="DP54" i="40875"/>
  <c r="DQ54" i="40875" s="1"/>
  <c r="DR54" i="40875" s="1"/>
  <c r="DP22" i="40876"/>
  <c r="CI52" i="40872"/>
  <c r="CE91" i="40872"/>
  <c r="CE107" i="40872"/>
  <c r="CE40" i="40872"/>
  <c r="CE232" i="40872"/>
  <c r="CE242" i="40872" s="1"/>
  <c r="CE92" i="40872"/>
  <c r="CE42" i="40872"/>
  <c r="CE39" i="40872"/>
  <c r="DQ22" i="40876"/>
  <c r="DR76" i="40875" l="1"/>
  <c r="CI87" i="40872"/>
  <c r="CI90" i="40872"/>
  <c r="CI88" i="40872"/>
  <c r="R5" i="40877"/>
  <c r="R33" i="40877" s="1"/>
  <c r="CI102" i="40872"/>
  <c r="CI89" i="40872"/>
  <c r="CI86" i="40872"/>
  <c r="DR82" i="40876"/>
  <c r="CE94" i="40872"/>
  <c r="CE109" i="40872"/>
  <c r="CE233" i="40872"/>
  <c r="CE243" i="40872" s="1"/>
  <c r="CE43" i="40872"/>
  <c r="CI96" i="40872"/>
  <c r="CG83" i="40872"/>
  <c r="CI25" i="40872"/>
  <c r="CI169" i="40872"/>
  <c r="CJ17" i="40872"/>
  <c r="CF93" i="40872"/>
  <c r="CF108" i="40872"/>
  <c r="CE108" i="40872"/>
  <c r="CE93" i="40872"/>
  <c r="CF109" i="40872"/>
  <c r="CF94" i="40872"/>
  <c r="CF233" i="40872"/>
  <c r="CF243" i="40872" s="1"/>
  <c r="CF43" i="40872"/>
  <c r="CF110" i="40872" s="1"/>
  <c r="DR33" i="40876"/>
  <c r="DR22" i="40876"/>
  <c r="R6" i="40877" l="1"/>
  <c r="R29" i="40877"/>
  <c r="CE110" i="40872"/>
  <c r="DN201" i="40875"/>
  <c r="CJ167" i="40872"/>
  <c r="CJ169" i="40872" s="1"/>
  <c r="CI83" i="40872"/>
  <c r="CK17" i="40872"/>
  <c r="DO201" i="40875"/>
  <c r="CJ86" i="40872"/>
  <c r="CJ84" i="40872"/>
  <c r="CJ90" i="40872"/>
  <c r="CJ102" i="40872"/>
  <c r="CJ52" i="40872"/>
  <c r="DS76" i="40875"/>
  <c r="DS15" i="40875" s="1"/>
  <c r="CJ205" i="40872"/>
  <c r="DS33" i="40876" l="1"/>
  <c r="CM17" i="40872"/>
  <c r="DS54" i="40875"/>
  <c r="DS22" i="40876"/>
  <c r="CK167" i="40872"/>
  <c r="CK25" i="40872" s="1"/>
  <c r="CK83" i="40872" s="1"/>
  <c r="CL17" i="40872"/>
  <c r="CK86" i="40872"/>
  <c r="CK84" i="40872"/>
  <c r="CK102" i="40872"/>
  <c r="CK52" i="40872"/>
  <c r="CK90" i="40872"/>
  <c r="DT76" i="40875"/>
  <c r="DT15" i="40875" s="1"/>
  <c r="CK205" i="40872"/>
  <c r="CJ25" i="40872"/>
  <c r="CK38" i="40872" l="1"/>
  <c r="CK39" i="40872" s="1"/>
  <c r="CJ83" i="40872"/>
  <c r="CJ38" i="40872"/>
  <c r="CL86" i="40872"/>
  <c r="CL90" i="40872"/>
  <c r="CL52" i="40872"/>
  <c r="CL102" i="40872"/>
  <c r="DU76" i="40875"/>
  <c r="DU15" i="40875" s="1"/>
  <c r="DU33" i="40876" s="1"/>
  <c r="CL205" i="40872"/>
  <c r="CM205" i="40872"/>
  <c r="CM102" i="40872"/>
  <c r="CM90" i="40872"/>
  <c r="DV76" i="40875"/>
  <c r="DV15" i="40875" s="1"/>
  <c r="CM86" i="40872"/>
  <c r="CM52" i="40872"/>
  <c r="CL167" i="40872"/>
  <c r="CL169" i="40872" s="1"/>
  <c r="CK169" i="40872"/>
  <c r="CM167" i="40872"/>
  <c r="CM25" i="40872" s="1"/>
  <c r="CM83" i="40872" s="1"/>
  <c r="DT33" i="40876"/>
  <c r="CN17" i="40872"/>
  <c r="DT54" i="40875"/>
  <c r="DT22" i="40876"/>
  <c r="CK91" i="40872" l="1"/>
  <c r="CK40" i="40872"/>
  <c r="CK93" i="40872" s="1"/>
  <c r="CK92" i="40872"/>
  <c r="CK232" i="40872"/>
  <c r="CK242" i="40872" s="1"/>
  <c r="CK107" i="40872"/>
  <c r="CK42" i="40872"/>
  <c r="CK43" i="40872" s="1"/>
  <c r="CK110" i="40872" s="1"/>
  <c r="CM169" i="40872"/>
  <c r="CN205" i="40872"/>
  <c r="DV33" i="40876"/>
  <c r="CJ92" i="40872"/>
  <c r="CJ91" i="40872"/>
  <c r="CJ107" i="40872"/>
  <c r="CJ232" i="40872"/>
  <c r="CJ242" i="40872" s="1"/>
  <c r="CJ40" i="40872"/>
  <c r="CJ42" i="40872"/>
  <c r="CJ39" i="40872"/>
  <c r="DW76" i="40875"/>
  <c r="CN86" i="40872"/>
  <c r="CN90" i="40872"/>
  <c r="CN102" i="40872"/>
  <c r="CN88" i="40872"/>
  <c r="CN87" i="40872"/>
  <c r="DW82" i="40876"/>
  <c r="CN89" i="40872"/>
  <c r="DW15" i="40875"/>
  <c r="DT31" i="40876"/>
  <c r="DV22" i="40876"/>
  <c r="DU54" i="40875"/>
  <c r="DV54" i="40875" s="1"/>
  <c r="DW54" i="40875" s="1"/>
  <c r="DU22" i="40876"/>
  <c r="CL25" i="40872"/>
  <c r="CN167" i="40872"/>
  <c r="CN168" i="40872" s="1"/>
  <c r="CN52" i="40872"/>
  <c r="CK233" i="40872" l="1"/>
  <c r="CK243" i="40872" s="1"/>
  <c r="CK109" i="40872"/>
  <c r="CK94" i="40872"/>
  <c r="DT201" i="40875"/>
  <c r="CK108" i="40872"/>
  <c r="CL83" i="40872"/>
  <c r="CN25" i="40872"/>
  <c r="CN169" i="40872"/>
  <c r="DW22" i="40876"/>
  <c r="CJ43" i="40872"/>
  <c r="DS201" i="40875" s="1"/>
  <c r="CJ109" i="40872"/>
  <c r="CJ94" i="40872"/>
  <c r="CJ233" i="40872"/>
  <c r="CJ243" i="40872" s="1"/>
  <c r="CN96" i="40872"/>
  <c r="CJ93" i="40872"/>
  <c r="CJ108" i="40872"/>
  <c r="DW33" i="40876"/>
  <c r="CN83" i="40872" l="1"/>
  <c r="CJ110" i="40872"/>
  <c r="BV138" i="40872" l="1"/>
  <c r="BV141" i="40872" l="1"/>
  <c r="BW65" i="40872" l="1"/>
  <c r="BW62" i="40872"/>
  <c r="BW63" i="40872"/>
  <c r="BX134" i="40872"/>
  <c r="BW319" i="40872"/>
  <c r="BW64" i="40872"/>
  <c r="BW113" i="40872" l="1"/>
  <c r="BW199" i="40872"/>
  <c r="BW320" i="40872"/>
  <c r="BW327" i="40872" s="1"/>
  <c r="BW326" i="40872"/>
  <c r="BW112" i="40872"/>
  <c r="BW201" i="40872" l="1"/>
  <c r="DF67" i="40876" l="1"/>
  <c r="DF71" i="40876" s="1"/>
  <c r="DF55" i="40876"/>
  <c r="DF192" i="40875" l="1"/>
  <c r="DF193" i="40875" s="1"/>
  <c r="DF52" i="40875"/>
  <c r="DF57" i="40876"/>
  <c r="DF59" i="40876" l="1"/>
  <c r="DF55" i="40875"/>
  <c r="DF68" i="40875"/>
  <c r="DG188" i="40875"/>
  <c r="DF194" i="40875"/>
  <c r="DF61" i="40876" l="1"/>
  <c r="DG60" i="40876" s="1"/>
  <c r="DF70" i="40875" l="1"/>
  <c r="BW126" i="40872" s="1"/>
  <c r="BW124" i="40872"/>
  <c r="BX194" i="40872"/>
  <c r="DF62" i="40876"/>
  <c r="BY194" i="40872" l="1"/>
  <c r="BX46" i="40872"/>
  <c r="DF29" i="40875"/>
  <c r="CS46" i="40872" l="1"/>
  <c r="CU46" i="40872" s="1"/>
  <c r="BX50" i="40872"/>
  <c r="BY46" i="40872"/>
  <c r="DF61" i="40875"/>
  <c r="DF62" i="40875"/>
  <c r="DF56" i="40875"/>
  <c r="BX352" i="40872" l="1"/>
  <c r="BX354" i="40872" s="1"/>
  <c r="BX95" i="40872"/>
  <c r="DF64" i="40875"/>
  <c r="DF63" i="40875"/>
  <c r="BX60" i="40872" l="1"/>
  <c r="CS60" i="40872" s="1"/>
  <c r="CS95" i="40872"/>
  <c r="CU95" i="40872" s="1"/>
  <c r="BY60" i="40872" l="1"/>
  <c r="CW95" i="40872"/>
  <c r="CB71" i="40872"/>
  <c r="CB21" i="40872" s="1"/>
  <c r="CB72" i="40872"/>
  <c r="CB22" i="40872" s="1"/>
  <c r="CB20" i="40872" l="1"/>
  <c r="CB227" i="40872" s="1"/>
  <c r="CG70" i="40872"/>
  <c r="CL70" i="40872" s="1"/>
  <c r="BW227" i="40872"/>
  <c r="CG71" i="40872"/>
  <c r="CB76" i="40872"/>
  <c r="CB73" i="40872"/>
  <c r="CB74" i="40872" s="1"/>
  <c r="CB79" i="40872" s="1"/>
  <c r="CG72" i="40872"/>
  <c r="CB23" i="40872" l="1"/>
  <c r="CB24" i="40872" s="1"/>
  <c r="CG22" i="40872"/>
  <c r="CL72" i="40872"/>
  <c r="CL22" i="40872" s="1"/>
  <c r="CL71" i="40872"/>
  <c r="CL21" i="40872" s="1"/>
  <c r="CG21" i="40872"/>
  <c r="CG73" i="40872"/>
  <c r="CG74" i="40872" s="1"/>
  <c r="CG79" i="40872" s="1"/>
  <c r="CG20" i="40872"/>
  <c r="CB27" i="40872" l="1"/>
  <c r="CB103" i="40872" s="1"/>
  <c r="CL73" i="40872"/>
  <c r="CL74" i="40872" s="1"/>
  <c r="CL79" i="40872" s="1"/>
  <c r="CL20" i="40872"/>
  <c r="CG227" i="40872"/>
  <c r="CG23" i="40872"/>
  <c r="CB229" i="40872" l="1"/>
  <c r="CB239" i="40872" s="1"/>
  <c r="CB206" i="40872"/>
  <c r="DK77" i="40875"/>
  <c r="DK16" i="40875" s="1"/>
  <c r="CG24" i="40872"/>
  <c r="CG27" i="40872"/>
  <c r="CL227" i="40872"/>
  <c r="CL23" i="40872"/>
  <c r="CL24" i="40872" l="1"/>
  <c r="CL27" i="40872"/>
  <c r="DK34" i="40876"/>
  <c r="CG103" i="40872"/>
  <c r="CG229" i="40872"/>
  <c r="CG239" i="40872" s="1"/>
  <c r="DP77" i="40875"/>
  <c r="CL103" i="40872" l="1"/>
  <c r="CL229" i="40872"/>
  <c r="CL239" i="40872" s="1"/>
  <c r="DU77" i="40875"/>
  <c r="DP16" i="40875"/>
  <c r="DP34" i="40876" l="1"/>
  <c r="DU16" i="40875"/>
  <c r="DU34" i="40876" l="1"/>
  <c r="BW172" i="40872" l="1"/>
  <c r="BW180" i="40872" s="1"/>
  <c r="BW173" i="40872" l="1"/>
  <c r="CB172" i="40872"/>
  <c r="CB180" i="40872" l="1"/>
  <c r="CG172" i="40872"/>
  <c r="CB177" i="40872"/>
  <c r="CG180" i="40872" l="1"/>
  <c r="CG177" i="40872"/>
  <c r="CL172" i="40872"/>
  <c r="CB178" i="40872"/>
  <c r="CB28" i="40872"/>
  <c r="CB105" i="40872" l="1"/>
  <c r="CB207" i="40872"/>
  <c r="CB216" i="40872"/>
  <c r="CB217" i="40872" s="1"/>
  <c r="CB84" i="40872"/>
  <c r="CB230" i="40872"/>
  <c r="CB240" i="40872" s="1"/>
  <c r="DK78" i="40875"/>
  <c r="DK79" i="40875" s="1"/>
  <c r="DK34" i="40875" s="1"/>
  <c r="CB38" i="40872"/>
  <c r="CL180" i="40872"/>
  <c r="CL177" i="40872"/>
  <c r="CG28" i="40872"/>
  <c r="CG178" i="40872"/>
  <c r="CL178" i="40872" l="1"/>
  <c r="CL28" i="40872"/>
  <c r="DK38" i="40875"/>
  <c r="DK36" i="40876"/>
  <c r="CG84" i="40872"/>
  <c r="CG105" i="40872"/>
  <c r="CG230" i="40872"/>
  <c r="CG240" i="40872" s="1"/>
  <c r="CG216" i="40872"/>
  <c r="CG217" i="40872" s="1"/>
  <c r="DP78" i="40875"/>
  <c r="DP79" i="40875" s="1"/>
  <c r="DP34" i="40875" s="1"/>
  <c r="CG38" i="40872"/>
  <c r="CB107" i="40872"/>
  <c r="CB91" i="40872"/>
  <c r="CB40" i="40872"/>
  <c r="CB232" i="40872"/>
  <c r="CB242" i="40872" s="1"/>
  <c r="CB42" i="40872"/>
  <c r="CB92" i="40872"/>
  <c r="CB208" i="40872"/>
  <c r="DK59" i="40875" s="1"/>
  <c r="CB39" i="40872"/>
  <c r="CB93" i="40872" l="1"/>
  <c r="CB108" i="40872"/>
  <c r="DP38" i="40875"/>
  <c r="DP36" i="40876"/>
  <c r="DK31" i="40876"/>
  <c r="CL216" i="40872"/>
  <c r="CL217" i="40872" s="1"/>
  <c r="CL84" i="40872"/>
  <c r="CL105" i="40872"/>
  <c r="DU78" i="40875"/>
  <c r="DU79" i="40875" s="1"/>
  <c r="DU34" i="40875" s="1"/>
  <c r="CL38" i="40872"/>
  <c r="CL230" i="40872"/>
  <c r="CL240" i="40872" s="1"/>
  <c r="CB94" i="40872"/>
  <c r="CB109" i="40872"/>
  <c r="CB233" i="40872"/>
  <c r="CB243" i="40872" s="1"/>
  <c r="CB209" i="40872"/>
  <c r="CB43" i="40872"/>
  <c r="DK201" i="40875" s="1"/>
  <c r="CG40" i="40872"/>
  <c r="CG92" i="40872"/>
  <c r="CG107" i="40872"/>
  <c r="CG91" i="40872"/>
  <c r="CG232" i="40872"/>
  <c r="CG242" i="40872" s="1"/>
  <c r="CG42" i="40872"/>
  <c r="CG39" i="40872"/>
  <c r="DU38" i="40875" l="1"/>
  <c r="DU36" i="40876"/>
  <c r="CG108" i="40872"/>
  <c r="CG93" i="40872"/>
  <c r="CB110" i="40872"/>
  <c r="DK69" i="40875"/>
  <c r="CG94" i="40872"/>
  <c r="CG43" i="40872"/>
  <c r="CG109" i="40872"/>
  <c r="CG233" i="40872"/>
  <c r="CG243" i="40872" s="1"/>
  <c r="CL91" i="40872"/>
  <c r="CL232" i="40872"/>
  <c r="CL242" i="40872" s="1"/>
  <c r="CL107" i="40872"/>
  <c r="CL40" i="40872"/>
  <c r="CL92" i="40872"/>
  <c r="CL42" i="40872"/>
  <c r="CL39" i="40872"/>
  <c r="DP31" i="40876"/>
  <c r="DU31" i="40876" l="1"/>
  <c r="CL108" i="40872"/>
  <c r="CL93" i="40872"/>
  <c r="CL94" i="40872"/>
  <c r="CL109" i="40872"/>
  <c r="CL233" i="40872"/>
  <c r="CL243" i="40872" s="1"/>
  <c r="CL43" i="40872"/>
  <c r="CG110" i="40872"/>
  <c r="DP201" i="40875"/>
  <c r="CL110" i="40872" l="1"/>
  <c r="DU201" i="40875"/>
  <c r="BW169" i="40872" l="1"/>
  <c r="BY167" i="40872"/>
  <c r="BY169" i="40872" s="1"/>
  <c r="BW168" i="40872"/>
  <c r="BW138" i="40872"/>
  <c r="BY138" i="40872" s="1"/>
  <c r="BY168" i="40872" l="1"/>
  <c r="BX141" i="40872" l="1"/>
  <c r="CS67" i="40872" l="1"/>
  <c r="CU67" i="40872" l="1"/>
  <c r="CW67" i="40872"/>
  <c r="BY67" i="40872"/>
  <c r="BZ134" i="40872"/>
  <c r="BX319" i="40872"/>
  <c r="BX64" i="40872"/>
  <c r="CS66" i="40872"/>
  <c r="CW66" i="40872" l="1"/>
  <c r="CU66" i="40872"/>
  <c r="CS64" i="40872"/>
  <c r="BX326" i="40872"/>
  <c r="BY326" i="40872" s="1"/>
  <c r="BX320" i="40872"/>
  <c r="BX327" i="40872" s="1"/>
  <c r="BY327" i="40872" s="1"/>
  <c r="BY68" i="40872"/>
  <c r="BY64" i="40872"/>
  <c r="BY319" i="40872"/>
  <c r="BY320" i="40872" s="1"/>
  <c r="BY66" i="40872"/>
  <c r="BX199" i="40872"/>
  <c r="CW64" i="40872" l="1"/>
  <c r="CU64" i="40872"/>
  <c r="BY199" i="40872"/>
  <c r="BV196" i="40872" l="1"/>
  <c r="BW196" i="40872"/>
  <c r="BV193" i="40872"/>
  <c r="BW193" i="40872"/>
  <c r="CA193" i="40872" l="1"/>
  <c r="BY192" i="40872"/>
  <c r="BY196" i="40872" s="1"/>
  <c r="BZ192" i="40872" l="1"/>
  <c r="BZ44" i="40872" s="1"/>
  <c r="BX196" i="40872"/>
  <c r="BY193" i="40872"/>
  <c r="CA192" i="40872"/>
  <c r="CB193" i="40872"/>
  <c r="CS50" i="40872" l="1"/>
  <c r="CU50" i="40872" s="1"/>
  <c r="CS44" i="40872"/>
  <c r="BY44" i="40872"/>
  <c r="BX210" i="40872"/>
  <c r="DG72" i="40875" s="1"/>
  <c r="CB192" i="40872"/>
  <c r="CC193" i="40872"/>
  <c r="BZ210" i="40872"/>
  <c r="DI72" i="40875" s="1"/>
  <c r="CA44" i="40872"/>
  <c r="CW50" i="40872" l="1"/>
  <c r="CS51" i="40872"/>
  <c r="CW51" i="40872" s="1"/>
  <c r="CU44" i="40872"/>
  <c r="CW44" i="40872"/>
  <c r="BY210" i="40872"/>
  <c r="DH72" i="40875" s="1"/>
  <c r="CC192" i="40872"/>
  <c r="CD192" i="40872" s="1"/>
  <c r="CE193" i="40872"/>
  <c r="CA210" i="40872"/>
  <c r="DJ72" i="40875" s="1"/>
  <c r="CB44" i="40872"/>
  <c r="BY51" i="40872" l="1"/>
  <c r="BY353" i="40872" s="1"/>
  <c r="BX53" i="40872"/>
  <c r="CU51" i="40872"/>
  <c r="CD193" i="40872"/>
  <c r="CB210" i="40872"/>
  <c r="DK72" i="40875" s="1"/>
  <c r="CE192" i="40872"/>
  <c r="CF193" i="40872"/>
  <c r="CC44" i="40872"/>
  <c r="CD44" i="40872" s="1"/>
  <c r="CS53" i="40872" l="1"/>
  <c r="CW53" i="40872" s="1"/>
  <c r="BX362" i="40872"/>
  <c r="BX372" i="40872" s="1"/>
  <c r="BX55" i="40872"/>
  <c r="BX97" i="40872" s="1"/>
  <c r="CC210" i="40872"/>
  <c r="CE44" i="40872"/>
  <c r="CF192" i="40872"/>
  <c r="CG193" i="40872"/>
  <c r="CU53" i="40872" l="1"/>
  <c r="CS55" i="40872"/>
  <c r="CU55" i="40872" s="1"/>
  <c r="BX57" i="40872"/>
  <c r="CS57" i="40872" s="1"/>
  <c r="CU57" i="40872" s="1"/>
  <c r="BX211" i="40872"/>
  <c r="DG60" i="40875" s="1"/>
  <c r="DG52" i="40875"/>
  <c r="BX201" i="40872"/>
  <c r="BX65" i="40872"/>
  <c r="CS65" i="40872" s="1"/>
  <c r="CS97" i="40872"/>
  <c r="CU97" i="40872" s="1"/>
  <c r="CW55" i="40872"/>
  <c r="BX111" i="40872"/>
  <c r="CS111" i="40872" s="1"/>
  <c r="CU111" i="40872" s="1"/>
  <c r="CE210" i="40872"/>
  <c r="CH193" i="40872"/>
  <c r="CG192" i="40872"/>
  <c r="CF44" i="40872"/>
  <c r="CD210" i="40872"/>
  <c r="DH49" i="40875" l="1"/>
  <c r="DH192" i="40875" s="1"/>
  <c r="DH193" i="40875" s="1"/>
  <c r="CW97" i="40872"/>
  <c r="BY211" i="40872"/>
  <c r="DH60" i="40875" s="1"/>
  <c r="DG192" i="40875"/>
  <c r="DG193" i="40875" s="1"/>
  <c r="DG194" i="40875" s="1"/>
  <c r="BX62" i="40872"/>
  <c r="CS62" i="40872" s="1"/>
  <c r="CW62" i="40872" s="1"/>
  <c r="CW57" i="40872"/>
  <c r="BX63" i="40872"/>
  <c r="BX113" i="40872" s="1"/>
  <c r="CU65" i="40872"/>
  <c r="CW65" i="40872"/>
  <c r="CF210" i="40872"/>
  <c r="CG44" i="40872"/>
  <c r="DG68" i="40875"/>
  <c r="DG55" i="40875"/>
  <c r="CH192" i="40872"/>
  <c r="CI192" i="40872" s="1"/>
  <c r="CJ193" i="40872"/>
  <c r="DH52" i="40875" l="1"/>
  <c r="CU62" i="40872"/>
  <c r="BX112" i="40872"/>
  <c r="CS112" i="40872" s="1"/>
  <c r="CU112" i="40872" s="1"/>
  <c r="CS63" i="40872"/>
  <c r="CG210" i="40872"/>
  <c r="CJ192" i="40872"/>
  <c r="CK193" i="40872"/>
  <c r="CI193" i="40872"/>
  <c r="CH44" i="40872"/>
  <c r="DH194" i="40875" l="1"/>
  <c r="DM188" i="40875"/>
  <c r="DH68" i="40875"/>
  <c r="DH55" i="40875"/>
  <c r="DI188" i="40875"/>
  <c r="CJ44" i="40872"/>
  <c r="CI44" i="40872"/>
  <c r="CH210" i="40872"/>
  <c r="CK192" i="40872"/>
  <c r="CL193" i="40872"/>
  <c r="CK44" i="40872" l="1"/>
  <c r="CJ210" i="40872"/>
  <c r="CI210" i="40872"/>
  <c r="CM193" i="40872"/>
  <c r="CM192" i="40872" s="1"/>
  <c r="CL192" i="40872"/>
  <c r="CM44" i="40872" l="1"/>
  <c r="CN192" i="40872"/>
  <c r="BX124" i="40872"/>
  <c r="CS124" i="40872" s="1"/>
  <c r="DG70" i="40875"/>
  <c r="BX126" i="40872" s="1"/>
  <c r="CS126" i="40872" s="1"/>
  <c r="DH11" i="40875"/>
  <c r="CK210" i="40872"/>
  <c r="CL44" i="40872"/>
  <c r="CW126" i="40872" l="1"/>
  <c r="CU126" i="40872"/>
  <c r="CU124" i="40872"/>
  <c r="CW124" i="40872"/>
  <c r="CM210" i="40872"/>
  <c r="CN193" i="40872"/>
  <c r="CL210" i="40872"/>
  <c r="CN44" i="40872"/>
  <c r="BY124" i="40872"/>
  <c r="DH70" i="40875"/>
  <c r="BY126" i="40872" s="1"/>
  <c r="DH20" i="40875"/>
  <c r="BZ194" i="40872"/>
  <c r="DG29" i="40875"/>
  <c r="CN210" i="40872" l="1"/>
  <c r="DH29" i="40875"/>
  <c r="DG62" i="40875"/>
  <c r="DG61" i="40875"/>
  <c r="DG56" i="40875"/>
  <c r="BZ46" i="40872"/>
  <c r="BZ196" i="40872"/>
  <c r="BZ50" i="40872" l="1"/>
  <c r="DG63" i="40875"/>
  <c r="DG64" i="40875"/>
  <c r="DH62" i="40875"/>
  <c r="DH61" i="40875"/>
  <c r="DH56" i="40875"/>
  <c r="DH63" i="40875" l="1"/>
  <c r="DH64" i="40875"/>
  <c r="BZ51" i="40872"/>
  <c r="BZ53" i="40872" s="1"/>
  <c r="BZ55" i="40872" l="1"/>
  <c r="BZ111" i="40872" l="1"/>
  <c r="BZ97" i="40872"/>
  <c r="BZ57" i="40872"/>
  <c r="DI10" i="40876"/>
  <c r="BZ211" i="40872"/>
  <c r="DI60" i="40875" s="1"/>
  <c r="DI37" i="40876" l="1"/>
  <c r="BZ128" i="40872" l="1"/>
  <c r="BZ130" i="40872" s="1"/>
  <c r="DI64" i="40876"/>
  <c r="DI66" i="40876" s="1"/>
  <c r="CS21" i="40872" l="1"/>
  <c r="CW21" i="40872" s="1"/>
  <c r="CS70" i="40872"/>
  <c r="CW70" i="40872" s="1"/>
  <c r="CC71" i="40872"/>
  <c r="CC21" i="40872" s="1"/>
  <c r="CD21" i="40872" s="1"/>
  <c r="CS71" i="40872"/>
  <c r="CU71" i="40872" s="1"/>
  <c r="CC72" i="40872"/>
  <c r="CC22" i="40872" s="1"/>
  <c r="CD22" i="40872" s="1"/>
  <c r="CS72" i="40872"/>
  <c r="CU72" i="40872" s="1"/>
  <c r="CS73" i="40872"/>
  <c r="CU73" i="40872" s="1"/>
  <c r="CS74" i="40872"/>
  <c r="CU74" i="40872" s="1"/>
  <c r="CC20" i="40872" l="1"/>
  <c r="CC227" i="40872" s="1"/>
  <c r="CH70" i="40872"/>
  <c r="CM70" i="40872" s="1"/>
  <c r="BX227" i="40872"/>
  <c r="CW74" i="40872"/>
  <c r="CC76" i="40872"/>
  <c r="CS22" i="40872"/>
  <c r="CU22" i="40872" s="1"/>
  <c r="BY72" i="40872"/>
  <c r="CU70" i="40872"/>
  <c r="CH71" i="40872"/>
  <c r="CH21" i="40872" s="1"/>
  <c r="CI21" i="40872" s="1"/>
  <c r="CI71" i="40872" s="1"/>
  <c r="CW72" i="40872"/>
  <c r="CU21" i="40872"/>
  <c r="CS20" i="40872"/>
  <c r="CU20" i="40872" s="1"/>
  <c r="CC73" i="40872"/>
  <c r="CC74" i="40872" s="1"/>
  <c r="CC79" i="40872" s="1"/>
  <c r="BY70" i="40872"/>
  <c r="BY227" i="40872"/>
  <c r="CD72" i="40872"/>
  <c r="CD71" i="40872"/>
  <c r="CW73" i="40872"/>
  <c r="CH72" i="40872"/>
  <c r="CW71" i="40872"/>
  <c r="CD20" i="40872" l="1"/>
  <c r="CD70" i="40872" s="1"/>
  <c r="CC23" i="40872"/>
  <c r="CC24" i="40872" s="1"/>
  <c r="BY71" i="40872"/>
  <c r="CM71" i="40872"/>
  <c r="CM21" i="40872" s="1"/>
  <c r="CN21" i="40872" s="1"/>
  <c r="CN71" i="40872" s="1"/>
  <c r="CW22" i="40872"/>
  <c r="BY23" i="40872"/>
  <c r="BY27" i="40872" s="1"/>
  <c r="CW20" i="40872"/>
  <c r="BY78" i="40872"/>
  <c r="CI77" i="40872"/>
  <c r="CD78" i="40872"/>
  <c r="CM72" i="40872"/>
  <c r="CM22" i="40872" s="1"/>
  <c r="CN22" i="40872" s="1"/>
  <c r="CN72" i="40872" s="1"/>
  <c r="CH22" i="40872"/>
  <c r="CI22" i="40872" s="1"/>
  <c r="BY76" i="40872"/>
  <c r="CH20" i="40872"/>
  <c r="CH73" i="40872"/>
  <c r="CH74" i="40872" s="1"/>
  <c r="CH79" i="40872" s="1"/>
  <c r="CC27" i="40872" l="1"/>
  <c r="CE206" i="40872" s="1"/>
  <c r="CD77" i="40872"/>
  <c r="CD23" i="40872"/>
  <c r="CD27" i="40872" s="1"/>
  <c r="CD227" i="40872"/>
  <c r="BY77" i="40872"/>
  <c r="BY73" i="40872"/>
  <c r="BY24" i="40872"/>
  <c r="CH23" i="40872"/>
  <c r="CI20" i="40872"/>
  <c r="CH227" i="40872"/>
  <c r="DH77" i="40875"/>
  <c r="DH79" i="40875" s="1"/>
  <c r="BY103" i="40872"/>
  <c r="BY38" i="40872"/>
  <c r="BY345" i="40872" s="1"/>
  <c r="BY350" i="40872" s="1"/>
  <c r="BY229" i="40872"/>
  <c r="BY239" i="40872" s="1"/>
  <c r="CM20" i="40872"/>
  <c r="CM73" i="40872"/>
  <c r="CM74" i="40872" s="1"/>
  <c r="CM79" i="40872" s="1"/>
  <c r="CI72" i="40872"/>
  <c r="CD76" i="40872"/>
  <c r="CC206" i="40872" l="1"/>
  <c r="CD206" i="40872" s="1"/>
  <c r="CF206" i="40872"/>
  <c r="CC103" i="40872"/>
  <c r="DL77" i="40875"/>
  <c r="DL16" i="40875" s="1"/>
  <c r="CC229" i="40872"/>
  <c r="CC239" i="40872" s="1"/>
  <c r="CG206" i="40872"/>
  <c r="CD73" i="40872"/>
  <c r="CD24" i="40872"/>
  <c r="BY74" i="40872"/>
  <c r="CH27" i="40872"/>
  <c r="CH24" i="40872"/>
  <c r="BY91" i="40872"/>
  <c r="BY107" i="40872"/>
  <c r="BY50" i="40872"/>
  <c r="BY352" i="40872" s="1"/>
  <c r="BY354" i="40872" s="1"/>
  <c r="P7" i="40877"/>
  <c r="P8" i="40877" s="1"/>
  <c r="BY42" i="40872"/>
  <c r="BY232" i="40872"/>
  <c r="BY242" i="40872" s="1"/>
  <c r="BY40" i="40872"/>
  <c r="BY92" i="40872"/>
  <c r="CI78" i="40872"/>
  <c r="CM227" i="40872"/>
  <c r="CM23" i="40872"/>
  <c r="CN20" i="40872"/>
  <c r="DM77" i="40875"/>
  <c r="CD229" i="40872"/>
  <c r="CD239" i="40872" s="1"/>
  <c r="CD103" i="40872"/>
  <c r="CI70" i="40872"/>
  <c r="CI227" i="40872"/>
  <c r="CI23" i="40872"/>
  <c r="CD74" i="40872" l="1"/>
  <c r="BY79" i="40872"/>
  <c r="BY95" i="40872"/>
  <c r="BY53" i="40872"/>
  <c r="BY362" i="40872" s="1"/>
  <c r="BY372" i="40872" s="1"/>
  <c r="DM16" i="40875"/>
  <c r="DL34" i="40876"/>
  <c r="CI76" i="40872"/>
  <c r="CN70" i="40872"/>
  <c r="CN76" i="40872" s="1"/>
  <c r="CN227" i="40872"/>
  <c r="CN23" i="40872"/>
  <c r="DQ77" i="40875"/>
  <c r="CH103" i="40872"/>
  <c r="CH206" i="40872"/>
  <c r="CI206" i="40872" s="1"/>
  <c r="CL206" i="40872"/>
  <c r="CJ206" i="40872"/>
  <c r="CH229" i="40872"/>
  <c r="CH239" i="40872" s="1"/>
  <c r="CK206" i="40872"/>
  <c r="CI24" i="40872"/>
  <c r="CI73" i="40872"/>
  <c r="CI27" i="40872"/>
  <c r="BY93" i="40872"/>
  <c r="BY108" i="40872"/>
  <c r="CM27" i="40872"/>
  <c r="CM24" i="40872"/>
  <c r="DH201" i="40875"/>
  <c r="BY94" i="40872"/>
  <c r="BY233" i="40872"/>
  <c r="BY243" i="40872" s="1"/>
  <c r="BY109" i="40872"/>
  <c r="CD79" i="40872" l="1"/>
  <c r="CI74" i="40872"/>
  <c r="DV77" i="40875"/>
  <c r="CM229" i="40872"/>
  <c r="CM239" i="40872" s="1"/>
  <c r="CM206" i="40872"/>
  <c r="CN206" i="40872" s="1"/>
  <c r="CM103" i="40872"/>
  <c r="DM34" i="40876"/>
  <c r="BY55" i="40872"/>
  <c r="CN73" i="40872"/>
  <c r="CN74" i="40872" s="1"/>
  <c r="CN27" i="40872"/>
  <c r="CN24" i="40872"/>
  <c r="DR77" i="40875"/>
  <c r="CI103" i="40872"/>
  <c r="CI229" i="40872"/>
  <c r="CI239" i="40872" s="1"/>
  <c r="DQ16" i="40875"/>
  <c r="DN34" i="40876"/>
  <c r="CN79" i="40872" l="1"/>
  <c r="CI79" i="40872"/>
  <c r="DW77" i="40875"/>
  <c r="CN229" i="40872"/>
  <c r="CN239" i="40872" s="1"/>
  <c r="CN103" i="40872"/>
  <c r="BY57" i="40872"/>
  <c r="BY97" i="40872"/>
  <c r="BY201" i="40872"/>
  <c r="BY65" i="40872"/>
  <c r="BY111" i="40872"/>
  <c r="DR16" i="40875"/>
  <c r="DQ34" i="40876"/>
  <c r="DR34" i="40876" s="1"/>
  <c r="DV16" i="40875"/>
  <c r="DW16" i="40875" l="1"/>
  <c r="DV34" i="40876"/>
  <c r="DS34" i="40876"/>
  <c r="BY62" i="40872"/>
  <c r="BY63" i="40872"/>
  <c r="BY113" i="40872" s="1"/>
  <c r="BY112" i="40872" l="1"/>
  <c r="P11" i="40877"/>
  <c r="DW34" i="40876"/>
  <c r="P12" i="40877" l="1"/>
  <c r="P28" i="40877"/>
  <c r="DG10" i="40876" l="1"/>
  <c r="DG14" i="40876"/>
  <c r="DG15" i="40876"/>
  <c r="DG16" i="40876"/>
  <c r="DG17" i="40876"/>
  <c r="BX174" i="40872" s="1"/>
  <c r="BY174" i="40872" s="1"/>
  <c r="DG18" i="40876" l="1"/>
  <c r="DG19" i="40876"/>
  <c r="DG29" i="40876"/>
  <c r="DG20" i="40876"/>
  <c r="DG21" i="40876"/>
  <c r="DG22" i="40876"/>
  <c r="DG23" i="40876"/>
  <c r="DG25" i="40876"/>
  <c r="DG26" i="40876"/>
  <c r="DG27" i="40876"/>
  <c r="DG28" i="40876" l="1"/>
  <c r="DG30" i="40876"/>
  <c r="DG32" i="40876"/>
  <c r="DG33" i="40876"/>
  <c r="DG34" i="40876"/>
  <c r="DG35" i="40876"/>
  <c r="DH31" i="40876"/>
  <c r="DG36" i="40876"/>
  <c r="DG31" i="40876" l="1"/>
  <c r="DG37" i="40876" s="1"/>
  <c r="BX128" i="40872" s="1"/>
  <c r="CS128" i="40872" s="1"/>
  <c r="CU128" i="40872" s="1"/>
  <c r="DH37" i="40876"/>
  <c r="CW128" i="40872" l="1"/>
  <c r="DG64" i="40876"/>
  <c r="DH64" i="40876"/>
  <c r="BY128" i="40872"/>
  <c r="DG39" i="40876"/>
  <c r="DG65" i="40876" s="1"/>
  <c r="DH65" i="40876"/>
  <c r="DH82" i="40876"/>
  <c r="BX129" i="40872"/>
  <c r="CS129" i="40872" s="1"/>
  <c r="CW129" i="40872" s="1"/>
  <c r="BY129" i="40872"/>
  <c r="BY130" i="40872"/>
  <c r="P16" i="40877" s="1"/>
  <c r="DG66" i="40876" l="1"/>
  <c r="P31" i="40877"/>
  <c r="P30" i="40877"/>
  <c r="BX130" i="40872"/>
  <c r="CS130" i="40872" s="1"/>
  <c r="CU130" i="40872" s="1"/>
  <c r="CU129" i="40872"/>
  <c r="DH66" i="40876"/>
  <c r="DH73" i="40876" s="1"/>
  <c r="DG40" i="40876"/>
  <c r="DH70" i="40876"/>
  <c r="DG44" i="40876"/>
  <c r="DG69" i="40876" s="1"/>
  <c r="DH69" i="40876"/>
  <c r="DG43" i="40876"/>
  <c r="DG45" i="40876"/>
  <c r="DG48" i="40876"/>
  <c r="DG49" i="40876"/>
  <c r="DG50" i="40876"/>
  <c r="DG67" i="40876" s="1"/>
  <c r="DH67" i="40876"/>
  <c r="P17" i="40877"/>
  <c r="P32" i="40877"/>
  <c r="DG51" i="40876"/>
  <c r="DG68" i="40876" s="1"/>
  <c r="DH68" i="40876"/>
  <c r="BX135" i="40872" l="1"/>
  <c r="DG70" i="40876"/>
  <c r="DG71" i="40876" s="1"/>
  <c r="DH71" i="40876"/>
  <c r="CW130" i="40872"/>
  <c r="BX137" i="40872" l="1"/>
  <c r="BY135" i="40872"/>
  <c r="BY137" i="40872" l="1"/>
  <c r="BX139" i="40872"/>
  <c r="BX140" i="40872" l="1"/>
  <c r="BY139" i="40872"/>
  <c r="BZ139" i="40872" s="1"/>
  <c r="CA139" i="40872" s="1"/>
  <c r="CA140" i="40872" s="1"/>
  <c r="BZ140" i="40872" l="1"/>
  <c r="BX142" i="40872"/>
  <c r="BY142" i="40872" s="1"/>
  <c r="BY140" i="40872"/>
  <c r="CB139" i="40872"/>
  <c r="CB140" i="40872" s="1"/>
  <c r="BY141" i="40872" l="1"/>
  <c r="BZ141" i="40872" s="1"/>
  <c r="CA141" i="40872" s="1"/>
  <c r="CB141" i="40872" s="1"/>
  <c r="CC141" i="40872" s="1"/>
  <c r="CE141" i="40872" s="1"/>
  <c r="CF141" i="40872" s="1"/>
  <c r="CG141" i="40872" s="1"/>
  <c r="CH141" i="40872" s="1"/>
  <c r="CJ141" i="40872" s="1"/>
  <c r="CK141" i="40872" s="1"/>
  <c r="CL141" i="40872" s="1"/>
  <c r="CM141" i="40872" s="1"/>
  <c r="CA142" i="40872"/>
  <c r="CA67" i="40872" s="1"/>
  <c r="CA319" i="40872" s="1"/>
  <c r="CA320" i="40872" s="1"/>
  <c r="CA327" i="40872" s="1"/>
  <c r="CB142" i="40872"/>
  <c r="CB67" i="40872" s="1"/>
  <c r="BZ142" i="40872"/>
  <c r="CB134" i="40872"/>
  <c r="BZ67" i="40872"/>
  <c r="CB66" i="40872"/>
  <c r="CC134" i="40872"/>
  <c r="CB68" i="40872"/>
  <c r="CB319" i="40872"/>
  <c r="CB64" i="40872"/>
  <c r="CC139" i="40872"/>
  <c r="CD139" i="40872" s="1"/>
  <c r="CA326" i="40872" l="1"/>
  <c r="CA68" i="40872"/>
  <c r="CA64" i="40872"/>
  <c r="CA66" i="40872"/>
  <c r="CA199" i="40872" s="1"/>
  <c r="DJ50" i="40876" s="1"/>
  <c r="CC140" i="40872"/>
  <c r="CE139" i="40872"/>
  <c r="CE140" i="40872" s="1"/>
  <c r="CB320" i="40872"/>
  <c r="CB327" i="40872" s="1"/>
  <c r="CB326" i="40872"/>
  <c r="BZ64" i="40872"/>
  <c r="BZ68" i="40872"/>
  <c r="BZ63" i="40872"/>
  <c r="BZ113" i="40872" s="1"/>
  <c r="BZ65" i="40872"/>
  <c r="BZ66" i="40872"/>
  <c r="BZ319" i="40872"/>
  <c r="BZ62" i="40872"/>
  <c r="CA134" i="40872"/>
  <c r="CB199" i="40872"/>
  <c r="CC142" i="40872" l="1"/>
  <c r="CD140" i="40872"/>
  <c r="DK50" i="40876"/>
  <c r="BZ3" i="40872"/>
  <c r="BZ112" i="40872"/>
  <c r="CE142" i="40872"/>
  <c r="DJ55" i="40876"/>
  <c r="DJ67" i="40876"/>
  <c r="BZ326" i="40872"/>
  <c r="BZ320" i="40872"/>
  <c r="BZ327" i="40872" s="1"/>
  <c r="BZ199" i="40872"/>
  <c r="CF139" i="40872"/>
  <c r="CF140" i="40872" s="1"/>
  <c r="CF142" i="40872" s="1"/>
  <c r="CF67" i="40872" s="1"/>
  <c r="CC67" i="40872" l="1"/>
  <c r="CD142" i="40872"/>
  <c r="CD141" i="40872" s="1"/>
  <c r="CF66" i="40872"/>
  <c r="CF319" i="40872"/>
  <c r="CF64" i="40872"/>
  <c r="CG134" i="40872"/>
  <c r="CF68" i="40872"/>
  <c r="DI50" i="40876"/>
  <c r="BZ201" i="40872"/>
  <c r="CE67" i="40872"/>
  <c r="CG139" i="40872"/>
  <c r="CG140" i="40872" s="1"/>
  <c r="CG142" i="40872" s="1"/>
  <c r="CG67" i="40872" s="1"/>
  <c r="DK55" i="40876"/>
  <c r="DK67" i="40876"/>
  <c r="CE134" i="40872" l="1"/>
  <c r="CC68" i="40872"/>
  <c r="CC66" i="40872"/>
  <c r="CC64" i="40872"/>
  <c r="CC319" i="40872"/>
  <c r="CD67" i="40872"/>
  <c r="CG66" i="40872"/>
  <c r="CG64" i="40872"/>
  <c r="CG68" i="40872"/>
  <c r="CH134" i="40872"/>
  <c r="CG319" i="40872"/>
  <c r="DI49" i="40875"/>
  <c r="DI55" i="40876"/>
  <c r="DI67" i="40876"/>
  <c r="DI71" i="40876" s="1"/>
  <c r="CE64" i="40872"/>
  <c r="CE68" i="40872"/>
  <c r="CE66" i="40872"/>
  <c r="CE319" i="40872"/>
  <c r="CF134" i="40872"/>
  <c r="CF320" i="40872"/>
  <c r="CF327" i="40872" s="1"/>
  <c r="CF326" i="40872"/>
  <c r="CH139" i="40872"/>
  <c r="CI139" i="40872" s="1"/>
  <c r="CF199" i="40872"/>
  <c r="CD64" i="40872" l="1"/>
  <c r="CD319" i="40872"/>
  <c r="CD320" i="40872" s="1"/>
  <c r="CD68" i="40872"/>
  <c r="CD66" i="40872"/>
  <c r="CC199" i="40872"/>
  <c r="CH140" i="40872"/>
  <c r="CH142" i="40872" s="1"/>
  <c r="CC326" i="40872"/>
  <c r="CD326" i="40872" s="1"/>
  <c r="CC320" i="40872"/>
  <c r="CC327" i="40872" s="1"/>
  <c r="CD327" i="40872" s="1"/>
  <c r="CJ139" i="40872"/>
  <c r="CJ140" i="40872" s="1"/>
  <c r="CE320" i="40872"/>
  <c r="CE327" i="40872" s="1"/>
  <c r="CE326" i="40872"/>
  <c r="DI57" i="40876"/>
  <c r="CE199" i="40872"/>
  <c r="DO50" i="40876"/>
  <c r="DI52" i="40875"/>
  <c r="DI192" i="40875"/>
  <c r="DI193" i="40875" s="1"/>
  <c r="CG326" i="40872"/>
  <c r="CG320" i="40872"/>
  <c r="CG327" i="40872" s="1"/>
  <c r="CG199" i="40872"/>
  <c r="CI140" i="40872" l="1"/>
  <c r="DL50" i="40876"/>
  <c r="CD199" i="40872"/>
  <c r="CJ142" i="40872"/>
  <c r="DJ188" i="40875"/>
  <c r="DI55" i="40875"/>
  <c r="DI68" i="40875"/>
  <c r="DO55" i="40876"/>
  <c r="DO67" i="40876"/>
  <c r="DN50" i="40876"/>
  <c r="DI59" i="40876"/>
  <c r="CK139" i="40872"/>
  <c r="DP50" i="40876"/>
  <c r="DI194" i="40875"/>
  <c r="CH67" i="40872"/>
  <c r="CI142" i="40872"/>
  <c r="CI141" i="40872" s="1"/>
  <c r="DM50" i="40876" l="1"/>
  <c r="DL55" i="40876"/>
  <c r="DL67" i="40876"/>
  <c r="DN55" i="40876"/>
  <c r="DN67" i="40876"/>
  <c r="CH64" i="40872"/>
  <c r="CH68" i="40872"/>
  <c r="CJ134" i="40872"/>
  <c r="CH66" i="40872"/>
  <c r="CH319" i="40872"/>
  <c r="CI67" i="40872"/>
  <c r="CL139" i="40872"/>
  <c r="CL140" i="40872" s="1"/>
  <c r="CL142" i="40872" s="1"/>
  <c r="CL67" i="40872" s="1"/>
  <c r="DP55" i="40876"/>
  <c r="DP67" i="40876"/>
  <c r="CK140" i="40872"/>
  <c r="CJ67" i="40872"/>
  <c r="DM55" i="40876" l="1"/>
  <c r="DM67" i="40876"/>
  <c r="Q17" i="40877"/>
  <c r="Q32" i="40877" s="1"/>
  <c r="CL64" i="40872"/>
  <c r="CL68" i="40872"/>
  <c r="CL66" i="40872"/>
  <c r="CM134" i="40872"/>
  <c r="CL319" i="40872"/>
  <c r="CH326" i="40872"/>
  <c r="CI326" i="40872" s="1"/>
  <c r="CH320" i="40872"/>
  <c r="CH327" i="40872" s="1"/>
  <c r="CI327" i="40872" s="1"/>
  <c r="CH199" i="40872"/>
  <c r="CI66" i="40872"/>
  <c r="CM139" i="40872"/>
  <c r="CN139" i="40872" s="1"/>
  <c r="CK142" i="40872"/>
  <c r="CJ66" i="40872"/>
  <c r="CJ64" i="40872"/>
  <c r="CJ319" i="40872"/>
  <c r="CJ68" i="40872"/>
  <c r="CK134" i="40872"/>
  <c r="CI64" i="40872"/>
  <c r="CI68" i="40872"/>
  <c r="CI319" i="40872"/>
  <c r="CI320" i="40872" s="1"/>
  <c r="CM140" i="40872" l="1"/>
  <c r="CM142" i="40872" s="1"/>
  <c r="CM67" i="40872" s="1"/>
  <c r="CM64" i="40872" s="1"/>
  <c r="CJ199" i="40872"/>
  <c r="CK67" i="40872"/>
  <c r="CL199" i="40872"/>
  <c r="CJ320" i="40872"/>
  <c r="CJ327" i="40872" s="1"/>
  <c r="CJ326" i="40872"/>
  <c r="DQ50" i="40876"/>
  <c r="CI199" i="40872"/>
  <c r="CL326" i="40872"/>
  <c r="CL320" i="40872"/>
  <c r="CL327" i="40872" s="1"/>
  <c r="CN140" i="40872" l="1"/>
  <c r="CM319" i="40872"/>
  <c r="CM326" i="40872" s="1"/>
  <c r="CN326" i="40872" s="1"/>
  <c r="CM66" i="40872"/>
  <c r="CN142" i="40872"/>
  <c r="CM68" i="40872"/>
  <c r="CM199" i="40872"/>
  <c r="CK66" i="40872"/>
  <c r="CK64" i="40872"/>
  <c r="CK68" i="40872"/>
  <c r="CL134" i="40872"/>
  <c r="CK319" i="40872"/>
  <c r="CN67" i="40872"/>
  <c r="DQ55" i="40876"/>
  <c r="DQ67" i="40876"/>
  <c r="DR50" i="40876"/>
  <c r="DS50" i="40876"/>
  <c r="DU50" i="40876"/>
  <c r="CM320" i="40872" l="1"/>
  <c r="CM327" i="40872" s="1"/>
  <c r="CN327" i="40872" s="1"/>
  <c r="CN141" i="40872"/>
  <c r="CK199" i="40872"/>
  <c r="CN66" i="40872"/>
  <c r="DR55" i="40876"/>
  <c r="DR67" i="40876"/>
  <c r="R17" i="40877"/>
  <c r="R32" i="40877" s="1"/>
  <c r="CN68" i="40872"/>
  <c r="CN64" i="40872"/>
  <c r="CN319" i="40872"/>
  <c r="CN320" i="40872" s="1"/>
  <c r="DV50" i="40876"/>
  <c r="DS55" i="40876"/>
  <c r="DS67" i="40876"/>
  <c r="DU55" i="40876"/>
  <c r="DU67" i="40876"/>
  <c r="CK326" i="40872"/>
  <c r="CK320" i="40872"/>
  <c r="CK327" i="40872" s="1"/>
  <c r="DT50" i="40876" l="1"/>
  <c r="CN199" i="40872"/>
  <c r="DV55" i="40876"/>
  <c r="DV67" i="40876"/>
  <c r="DT55" i="40876" l="1"/>
  <c r="DT67" i="40876"/>
  <c r="DW50" i="40876"/>
  <c r="DW55" i="40876" l="1"/>
  <c r="DW67" i="40876"/>
  <c r="DG52" i="40876" l="1"/>
  <c r="DG53" i="40876"/>
  <c r="DG54" i="40876"/>
  <c r="DG56" i="40876"/>
  <c r="DG41" i="40876"/>
  <c r="DG42" i="40876"/>
  <c r="DH46" i="40876"/>
  <c r="DH57" i="40876"/>
  <c r="DH59" i="40876" s="1"/>
  <c r="DG55" i="40876" l="1"/>
  <c r="DG46" i="40876"/>
  <c r="DH61" i="40876"/>
  <c r="DI60" i="40876" s="1"/>
  <c r="DI61" i="40876" s="1"/>
  <c r="DM60" i="40876" l="1"/>
  <c r="DH62" i="40876"/>
  <c r="DG57" i="40876"/>
  <c r="DI11" i="40875"/>
  <c r="DI62" i="40876" s="1"/>
  <c r="DJ60" i="40876"/>
  <c r="DG59" i="40876" l="1"/>
  <c r="BZ124" i="40872"/>
  <c r="CA194" i="40872"/>
  <c r="CA196" i="40872" s="1"/>
  <c r="DI70" i="40875"/>
  <c r="BZ126" i="40872" s="1"/>
  <c r="DI20" i="40875"/>
  <c r="DI29" i="40875" s="1"/>
  <c r="DG61" i="40876"/>
  <c r="DI62" i="40875" l="1"/>
  <c r="DI56" i="40875"/>
  <c r="DI61" i="40875"/>
  <c r="DI63" i="40875" s="1"/>
  <c r="CA46" i="40872"/>
  <c r="DG62" i="40876"/>
  <c r="CA50" i="40872" l="1"/>
  <c r="DI64" i="40875"/>
  <c r="CA51" i="40872" l="1"/>
  <c r="CA53" i="40872" l="1"/>
  <c r="CA55" i="40872" s="1"/>
  <c r="CA57" i="40872" l="1"/>
  <c r="DJ49" i="40875"/>
  <c r="CA201" i="40872"/>
  <c r="CA97" i="40872"/>
  <c r="CA211" i="40872"/>
  <c r="DJ60" i="40875" s="1"/>
  <c r="DJ10" i="40876"/>
  <c r="CA111" i="40872"/>
  <c r="CA65" i="40872"/>
  <c r="DJ192" i="40875" l="1"/>
  <c r="DJ193" i="40875" s="1"/>
  <c r="DJ52" i="40875"/>
  <c r="DJ37" i="40876"/>
  <c r="CA63" i="40872"/>
  <c r="CA113" i="40872" s="1"/>
  <c r="CA62" i="40872"/>
  <c r="DJ194" i="40875" l="1"/>
  <c r="CA112" i="40872"/>
  <c r="CA3" i="40872"/>
  <c r="CA128" i="40872"/>
  <c r="CA130" i="40872" s="1"/>
  <c r="DJ57" i="40876"/>
  <c r="DJ64" i="40876"/>
  <c r="DJ66" i="40876" s="1"/>
  <c r="DJ71" i="40876" s="1"/>
  <c r="DK188" i="40875"/>
  <c r="DJ55" i="40875"/>
  <c r="DJ68" i="40875"/>
  <c r="DJ59" i="40876" l="1"/>
  <c r="DJ61" i="40876" l="1"/>
  <c r="DJ11" i="40875" l="1"/>
  <c r="DK60" i="40876"/>
  <c r="DJ70" i="40875" l="1"/>
  <c r="CA126" i="40872" s="1"/>
  <c r="DJ20" i="40875"/>
  <c r="CA124" i="40872"/>
  <c r="CB194" i="40872"/>
  <c r="DJ62" i="40876"/>
  <c r="DJ29" i="40875" l="1"/>
  <c r="CB46" i="40872"/>
  <c r="CB196" i="40872"/>
  <c r="DJ61" i="40875" l="1"/>
  <c r="DJ56" i="40875"/>
  <c r="DJ62" i="40875"/>
  <c r="CB50" i="40872"/>
  <c r="CB51" i="40872" l="1"/>
  <c r="DJ63" i="40875"/>
  <c r="DJ64" i="40875"/>
  <c r="CB53" i="40872" l="1"/>
  <c r="CB55" i="40872" s="1"/>
  <c r="CB57" i="40872" l="1"/>
  <c r="CB111" i="40872"/>
  <c r="CB65" i="40872"/>
  <c r="CB211" i="40872"/>
  <c r="DK60" i="40875" s="1"/>
  <c r="CB97" i="40872"/>
  <c r="DK10" i="40876"/>
  <c r="CB201" i="40872"/>
  <c r="DK49" i="40875"/>
  <c r="DK52" i="40875" l="1"/>
  <c r="DK192" i="40875"/>
  <c r="DK193" i="40875" s="1"/>
  <c r="CB63" i="40872"/>
  <c r="CB113" i="40872" s="1"/>
  <c r="CB62" i="40872"/>
  <c r="DK37" i="40876"/>
  <c r="CB3" i="40872" l="1"/>
  <c r="CB112" i="40872"/>
  <c r="DK64" i="40876"/>
  <c r="DK66" i="40876" s="1"/>
  <c r="DK71" i="40876" s="1"/>
  <c r="CB128" i="40872"/>
  <c r="CB130" i="40872" s="1"/>
  <c r="DK57" i="40876"/>
  <c r="DK68" i="40875"/>
  <c r="DL188" i="40875"/>
  <c r="DK55" i="40875"/>
  <c r="DK194" i="40875"/>
  <c r="DK59" i="40876" l="1"/>
  <c r="DK61" i="40876" l="1"/>
  <c r="DL60" i="40876" l="1"/>
  <c r="DK11" i="40875"/>
  <c r="DK62" i="40876" s="1"/>
  <c r="CB124" i="40872" l="1"/>
  <c r="CC194" i="40872"/>
  <c r="DK70" i="40875"/>
  <c r="CB126" i="40872" s="1"/>
  <c r="DK20" i="40875"/>
  <c r="CC46" i="40872" l="1"/>
  <c r="CC196" i="40872"/>
  <c r="CD194" i="40872"/>
  <c r="CD196" i="40872" s="1"/>
  <c r="DK29" i="40875"/>
  <c r="CD46" i="40872" l="1"/>
  <c r="DK61" i="40875"/>
  <c r="DK62" i="40875"/>
  <c r="DK56" i="40875"/>
  <c r="DK63" i="40875" l="1"/>
  <c r="DK64" i="40875"/>
  <c r="BX172" i="40872" l="1"/>
  <c r="BX173" i="40872" s="1"/>
  <c r="BY172" i="40872" l="1"/>
  <c r="BY173" i="40872" s="1"/>
  <c r="BX180" i="40872"/>
  <c r="CC172" i="40872"/>
  <c r="BY180" i="40872" l="1"/>
  <c r="BY177" i="40872"/>
  <c r="BY178" i="40872" s="1"/>
  <c r="CC177" i="40872"/>
  <c r="CC180" i="40872"/>
  <c r="CD172" i="40872"/>
  <c r="CH172" i="40872"/>
  <c r="CD173" i="40872" l="1"/>
  <c r="CD177" i="40872"/>
  <c r="CD178" i="40872" s="1"/>
  <c r="CD180" i="40872"/>
  <c r="CI172" i="40872"/>
  <c r="CM172" i="40872"/>
  <c r="CH177" i="40872"/>
  <c r="CH180" i="40872"/>
  <c r="CC28" i="40872"/>
  <c r="CC178" i="40872"/>
  <c r="CM177" i="40872" l="1"/>
  <c r="CM180" i="40872"/>
  <c r="CN172" i="40872"/>
  <c r="DL78" i="40875"/>
  <c r="DL79" i="40875" s="1"/>
  <c r="DL34" i="40875" s="1"/>
  <c r="CD28" i="40872"/>
  <c r="CC38" i="40872"/>
  <c r="CC84" i="40872"/>
  <c r="CC207" i="40872"/>
  <c r="CD207" i="40872" s="1"/>
  <c r="CG207" i="40872"/>
  <c r="CC216" i="40872"/>
  <c r="CC217" i="40872" s="1"/>
  <c r="CC230" i="40872"/>
  <c r="CC240" i="40872" s="1"/>
  <c r="CC105" i="40872"/>
  <c r="CE207" i="40872"/>
  <c r="CF207" i="40872"/>
  <c r="CI177" i="40872"/>
  <c r="CI178" i="40872" s="1"/>
  <c r="CI180" i="40872"/>
  <c r="CI173" i="40872"/>
  <c r="CH28" i="40872"/>
  <c r="CH178" i="40872"/>
  <c r="DQ78" i="40875" l="1"/>
  <c r="DQ79" i="40875" s="1"/>
  <c r="DQ34" i="40875" s="1"/>
  <c r="CI28" i="40872"/>
  <c r="CH38" i="40872"/>
  <c r="CH84" i="40872"/>
  <c r="CK207" i="40872"/>
  <c r="CH207" i="40872"/>
  <c r="CI207" i="40872" s="1"/>
  <c r="CL207" i="40872"/>
  <c r="CH216" i="40872"/>
  <c r="CH217" i="40872" s="1"/>
  <c r="CH230" i="40872"/>
  <c r="CH240" i="40872" s="1"/>
  <c r="CH105" i="40872"/>
  <c r="CJ207" i="40872"/>
  <c r="CM28" i="40872"/>
  <c r="CM178" i="40872"/>
  <c r="DL38" i="40875"/>
  <c r="DL36" i="40876"/>
  <c r="DM34" i="40875"/>
  <c r="DM78" i="40875"/>
  <c r="DM79" i="40875" s="1"/>
  <c r="CD38" i="40872"/>
  <c r="CD216" i="40872"/>
  <c r="CD217" i="40872" s="1"/>
  <c r="CD230" i="40872"/>
  <c r="CD240" i="40872" s="1"/>
  <c r="CD105" i="40872"/>
  <c r="CD84" i="40872"/>
  <c r="CN177" i="40872"/>
  <c r="CN178" i="40872" s="1"/>
  <c r="CN180" i="40872"/>
  <c r="CN173" i="40872"/>
  <c r="CC39" i="40872"/>
  <c r="CD39" i="40872" s="1"/>
  <c r="CC42" i="40872"/>
  <c r="CC40" i="40872"/>
  <c r="CC50" i="40872"/>
  <c r="CC92" i="40872"/>
  <c r="CC208" i="40872"/>
  <c r="CG208" i="40872"/>
  <c r="DP59" i="40875" s="1"/>
  <c r="CC91" i="40872"/>
  <c r="CE208" i="40872"/>
  <c r="DN59" i="40875" s="1"/>
  <c r="CC232" i="40872"/>
  <c r="CC242" i="40872" s="1"/>
  <c r="CC107" i="40872"/>
  <c r="CF208" i="40872"/>
  <c r="DO59" i="40875" s="1"/>
  <c r="CC51" i="40872" l="1"/>
  <c r="CC53" i="40872" s="1"/>
  <c r="CC108" i="40872"/>
  <c r="CC93" i="40872"/>
  <c r="DL59" i="40875"/>
  <c r="CD208" i="40872"/>
  <c r="DM59" i="40875" s="1"/>
  <c r="CC43" i="40872"/>
  <c r="DL201" i="40875" s="1"/>
  <c r="CC94" i="40872"/>
  <c r="CC209" i="40872"/>
  <c r="CG209" i="40872"/>
  <c r="CC233" i="40872"/>
  <c r="CC243" i="40872" s="1"/>
  <c r="CE209" i="40872"/>
  <c r="CC109" i="40872"/>
  <c r="CF209" i="40872"/>
  <c r="DN36" i="40876"/>
  <c r="DM38" i="40875"/>
  <c r="DV78" i="40875"/>
  <c r="DV79" i="40875" s="1"/>
  <c r="DV34" i="40875" s="1"/>
  <c r="CN28" i="40872"/>
  <c r="CM38" i="40872"/>
  <c r="CM216" i="40872"/>
  <c r="CM217" i="40872" s="1"/>
  <c r="CM230" i="40872"/>
  <c r="CM240" i="40872" s="1"/>
  <c r="CM105" i="40872"/>
  <c r="CM84" i="40872"/>
  <c r="CM207" i="40872"/>
  <c r="CN207" i="40872" s="1"/>
  <c r="CH40" i="40872"/>
  <c r="CH39" i="40872"/>
  <c r="CI39" i="40872" s="1"/>
  <c r="CH42" i="40872"/>
  <c r="CH91" i="40872"/>
  <c r="CK208" i="40872"/>
  <c r="DT59" i="40875" s="1"/>
  <c r="CH232" i="40872"/>
  <c r="CH242" i="40872" s="1"/>
  <c r="CH107" i="40872"/>
  <c r="CH208" i="40872"/>
  <c r="CL208" i="40872"/>
  <c r="DU59" i="40875" s="1"/>
  <c r="CH92" i="40872"/>
  <c r="CJ208" i="40872"/>
  <c r="DS59" i="40875" s="1"/>
  <c r="CD40" i="40872"/>
  <c r="CD50" i="40872"/>
  <c r="CD42" i="40872"/>
  <c r="CD107" i="40872"/>
  <c r="CD92" i="40872"/>
  <c r="CD91" i="40872"/>
  <c r="CD232" i="40872"/>
  <c r="CD242" i="40872" s="1"/>
  <c r="Q7" i="40877"/>
  <c r="Q8" i="40877" s="1"/>
  <c r="DL31" i="40876"/>
  <c r="DM36" i="40876"/>
  <c r="DR78" i="40875"/>
  <c r="DR79" i="40875" s="1"/>
  <c r="CI38" i="40872"/>
  <c r="CI105" i="40872"/>
  <c r="CI84" i="40872"/>
  <c r="CI216" i="40872"/>
  <c r="CI217" i="40872" s="1"/>
  <c r="CI230" i="40872"/>
  <c r="CI240" i="40872" s="1"/>
  <c r="DR34" i="40875"/>
  <c r="DQ36" i="40876"/>
  <c r="DQ38" i="40875"/>
  <c r="CC55" i="40872" l="1"/>
  <c r="CD109" i="40872"/>
  <c r="CD94" i="40872"/>
  <c r="CD233" i="40872"/>
  <c r="CD243" i="40872" s="1"/>
  <c r="CH93" i="40872"/>
  <c r="CH108" i="40872"/>
  <c r="DQ59" i="40875"/>
  <c r="CI208" i="40872"/>
  <c r="DR59" i="40875" s="1"/>
  <c r="DO69" i="40875"/>
  <c r="DO72" i="40875"/>
  <c r="DP69" i="40875"/>
  <c r="DP72" i="40875"/>
  <c r="CD108" i="40872"/>
  <c r="CD93" i="40872"/>
  <c r="CH43" i="40872"/>
  <c r="CK209" i="40872"/>
  <c r="CH109" i="40872"/>
  <c r="CH209" i="40872"/>
  <c r="CL209" i="40872"/>
  <c r="CH94" i="40872"/>
  <c r="CH233" i="40872"/>
  <c r="CH243" i="40872" s="1"/>
  <c r="CJ209" i="40872"/>
  <c r="DL69" i="40875"/>
  <c r="DL72" i="40875"/>
  <c r="CD209" i="40872"/>
  <c r="DQ31" i="40876"/>
  <c r="CM39" i="40872"/>
  <c r="CN39" i="40872" s="1"/>
  <c r="CM42" i="40872"/>
  <c r="CM40" i="40872"/>
  <c r="CM92" i="40872"/>
  <c r="CM91" i="40872"/>
  <c r="CM208" i="40872"/>
  <c r="CM232" i="40872"/>
  <c r="CM242" i="40872" s="1"/>
  <c r="CM107" i="40872"/>
  <c r="DR38" i="40875"/>
  <c r="DS36" i="40876"/>
  <c r="DM31" i="40876"/>
  <c r="DW78" i="40875"/>
  <c r="DW79" i="40875" s="1"/>
  <c r="CN38" i="40872"/>
  <c r="CN216" i="40872"/>
  <c r="CN217" i="40872" s="1"/>
  <c r="CN230" i="40872"/>
  <c r="CN240" i="40872" s="1"/>
  <c r="CN105" i="40872"/>
  <c r="CN84" i="40872"/>
  <c r="DN31" i="40876"/>
  <c r="DR36" i="40876"/>
  <c r="DN69" i="40875"/>
  <c r="DN72" i="40875"/>
  <c r="CI42" i="40872"/>
  <c r="CI40" i="40872"/>
  <c r="CI91" i="40872"/>
  <c r="CI232" i="40872"/>
  <c r="CI242" i="40872" s="1"/>
  <c r="CI107" i="40872"/>
  <c r="CI92" i="40872"/>
  <c r="R7" i="40877"/>
  <c r="R8" i="40877" s="1"/>
  <c r="DV38" i="40875"/>
  <c r="DV36" i="40876"/>
  <c r="DW34" i="40875"/>
  <c r="CD43" i="40872"/>
  <c r="DM201" i="40875" s="1"/>
  <c r="CC110" i="40872"/>
  <c r="CD51" i="40872"/>
  <c r="CI108" i="40872" l="1"/>
  <c r="CI93" i="40872"/>
  <c r="DR31" i="40876"/>
  <c r="DU69" i="40875"/>
  <c r="DU72" i="40875"/>
  <c r="CI43" i="40872"/>
  <c r="DR201" i="40875" s="1"/>
  <c r="CH110" i="40872"/>
  <c r="DV31" i="40876"/>
  <c r="CN40" i="40872"/>
  <c r="CN42" i="40872"/>
  <c r="CN107" i="40872"/>
  <c r="CN92" i="40872"/>
  <c r="CN91" i="40872"/>
  <c r="CN232" i="40872"/>
  <c r="CN242" i="40872" s="1"/>
  <c r="DW36" i="40876"/>
  <c r="DS31" i="40876"/>
  <c r="CM108" i="40872"/>
  <c r="CM93" i="40872"/>
  <c r="DM69" i="40875"/>
  <c r="DM72" i="40875"/>
  <c r="DS69" i="40875"/>
  <c r="DS72" i="40875"/>
  <c r="DQ69" i="40875"/>
  <c r="DQ72" i="40875"/>
  <c r="CI209" i="40872"/>
  <c r="DQ201" i="40875"/>
  <c r="CD110" i="40872"/>
  <c r="Q9" i="40877"/>
  <c r="CD95" i="40872"/>
  <c r="DW38" i="40875"/>
  <c r="CI109" i="40872"/>
  <c r="CI94" i="40872"/>
  <c r="CI233" i="40872"/>
  <c r="CI243" i="40872" s="1"/>
  <c r="DV59" i="40875"/>
  <c r="CN208" i="40872"/>
  <c r="DW59" i="40875" s="1"/>
  <c r="CD53" i="40872"/>
  <c r="CM43" i="40872"/>
  <c r="CM94" i="40872"/>
  <c r="CM233" i="40872"/>
  <c r="CM243" i="40872" s="1"/>
  <c r="CM209" i="40872"/>
  <c r="CM109" i="40872"/>
  <c r="DT69" i="40875"/>
  <c r="DT72" i="40875"/>
  <c r="DL49" i="40875"/>
  <c r="DL10" i="40876"/>
  <c r="CC57" i="40872"/>
  <c r="CC65" i="40872"/>
  <c r="CC201" i="40872"/>
  <c r="CC211" i="40872"/>
  <c r="CC97" i="40872"/>
  <c r="CC111" i="40872"/>
  <c r="DL192" i="40875" l="1"/>
  <c r="DL193" i="40875" s="1"/>
  <c r="DL52" i="40875"/>
  <c r="DM49" i="40875"/>
  <c r="CN43" i="40872"/>
  <c r="CN110" i="40872" s="1"/>
  <c r="CM110" i="40872"/>
  <c r="DV69" i="40875"/>
  <c r="DV72" i="40875"/>
  <c r="CN209" i="40872"/>
  <c r="DV201" i="40875"/>
  <c r="CI110" i="40872"/>
  <c r="R9" i="40877"/>
  <c r="CC62" i="40872"/>
  <c r="CC63" i="40872"/>
  <c r="CC113" i="40872" s="1"/>
  <c r="CD185" i="40872"/>
  <c r="DL60" i="40875"/>
  <c r="CD211" i="40872"/>
  <c r="DM60" i="40875" s="1"/>
  <c r="DL37" i="40876"/>
  <c r="DM10" i="40876"/>
  <c r="Q27" i="40877"/>
  <c r="Q10" i="40877"/>
  <c r="Q26" i="40877"/>
  <c r="CN109" i="40872"/>
  <c r="CN94" i="40872"/>
  <c r="CN233" i="40872"/>
  <c r="CN243" i="40872" s="1"/>
  <c r="CD55" i="40872"/>
  <c r="DR69" i="40875"/>
  <c r="DR72" i="40875"/>
  <c r="DW31" i="40876"/>
  <c r="CN108" i="40872"/>
  <c r="CN93" i="40872"/>
  <c r="DL194" i="40875" l="1"/>
  <c r="DL57" i="40876"/>
  <c r="DL64" i="40876"/>
  <c r="DL66" i="40876" s="1"/>
  <c r="DL71" i="40876" s="1"/>
  <c r="CC128" i="40872"/>
  <c r="CC130" i="40872" s="1"/>
  <c r="CC3" i="40872"/>
  <c r="CC112" i="40872"/>
  <c r="DM192" i="40875"/>
  <c r="DM193" i="40875" s="1"/>
  <c r="DM52" i="40875"/>
  <c r="DM37" i="40876"/>
  <c r="CD57" i="40872"/>
  <c r="CD111" i="40872"/>
  <c r="CD201" i="40872"/>
  <c r="CD97" i="40872"/>
  <c r="CD65" i="40872"/>
  <c r="DW201" i="40875"/>
  <c r="R10" i="40877"/>
  <c r="R26" i="40877"/>
  <c r="R27" i="40877"/>
  <c r="DW69" i="40875"/>
  <c r="DW72" i="40875"/>
  <c r="DL55" i="40875"/>
  <c r="DL68" i="40875"/>
  <c r="DM194" i="40875" l="1"/>
  <c r="DM57" i="40876"/>
  <c r="DM64" i="40876"/>
  <c r="DM66" i="40876" s="1"/>
  <c r="DM73" i="40876" s="1"/>
  <c r="CD128" i="40872"/>
  <c r="CD130" i="40872" s="1"/>
  <c r="Q16" i="40877" s="1"/>
  <c r="DL59" i="40876"/>
  <c r="CD62" i="40872"/>
  <c r="CD63" i="40872"/>
  <c r="CD113" i="40872" s="1"/>
  <c r="DN188" i="40875"/>
  <c r="DR188" i="40875"/>
  <c r="DM55" i="40875"/>
  <c r="DM68" i="40875"/>
  <c r="DL61" i="40876" l="1"/>
  <c r="Q30" i="40877"/>
  <c r="Q31" i="40877"/>
  <c r="DM71" i="40876"/>
  <c r="CD3" i="40872"/>
  <c r="CD112" i="40872"/>
  <c r="Q11" i="40877"/>
  <c r="DM59" i="40876"/>
  <c r="DL11" i="40875" l="1"/>
  <c r="DL62" i="40876" s="1"/>
  <c r="DM61" i="40876"/>
  <c r="Q12" i="40877"/>
  <c r="Q28" i="40877"/>
  <c r="DN60" i="40876" l="1"/>
  <c r="DR60" i="40876"/>
  <c r="DL20" i="40875"/>
  <c r="DL70" i="40875"/>
  <c r="CC126" i="40872" s="1"/>
  <c r="DM11" i="40875"/>
  <c r="CC124" i="40872"/>
  <c r="DM20" i="40875" l="1"/>
  <c r="DM70" i="40875"/>
  <c r="CD126" i="40872" s="1"/>
  <c r="CD124" i="40872"/>
  <c r="CE194" i="40872"/>
  <c r="DL29" i="40875"/>
  <c r="DM62" i="40876"/>
  <c r="DL61" i="40875" l="1"/>
  <c r="DL62" i="40875"/>
  <c r="DL56" i="40875"/>
  <c r="CE46" i="40872"/>
  <c r="CE196" i="40872"/>
  <c r="DM29" i="40875"/>
  <c r="CE50" i="40872" l="1"/>
  <c r="DL63" i="40875"/>
  <c r="DL64" i="40875"/>
  <c r="DM61" i="40875"/>
  <c r="DM62" i="40875"/>
  <c r="DM56" i="40875"/>
  <c r="DM63" i="40875" l="1"/>
  <c r="DM64" i="40875"/>
  <c r="CE51" i="40872"/>
  <c r="CE53" i="40872" s="1"/>
  <c r="CE55" i="40872" l="1"/>
  <c r="DN10" i="40876" l="1"/>
  <c r="CE57" i="40872"/>
  <c r="CE65" i="40872"/>
  <c r="CE111" i="40872"/>
  <c r="CE201" i="40872"/>
  <c r="CE211" i="40872"/>
  <c r="DN60" i="40875" s="1"/>
  <c r="CE97" i="40872"/>
  <c r="DN49" i="40875"/>
  <c r="CE62" i="40872" l="1"/>
  <c r="CE63" i="40872"/>
  <c r="CE113" i="40872" s="1"/>
  <c r="DN52" i="40875"/>
  <c r="DN192" i="40875"/>
  <c r="DN193" i="40875" s="1"/>
  <c r="DN37" i="40876"/>
  <c r="DN194" i="40875" l="1"/>
  <c r="CE3" i="40872"/>
  <c r="CE112" i="40872"/>
  <c r="DN55" i="40875"/>
  <c r="DN68" i="40875"/>
  <c r="DO188" i="40875"/>
  <c r="DN57" i="40876"/>
  <c r="DN64" i="40876"/>
  <c r="DN66" i="40876" s="1"/>
  <c r="CE128" i="40872"/>
  <c r="CE130" i="40872" s="1"/>
  <c r="DN73" i="40876" l="1"/>
  <c r="DN71" i="40876"/>
  <c r="DN59" i="40876"/>
  <c r="DN61" i="40876" l="1"/>
  <c r="DN11" i="40875" l="1"/>
  <c r="DN62" i="40876" s="1"/>
  <c r="DO60" i="40876"/>
  <c r="DN20" i="40875" l="1"/>
  <c r="DN70" i="40875"/>
  <c r="CE126" i="40872" s="1"/>
  <c r="CE124" i="40872"/>
  <c r="CF194" i="40872"/>
  <c r="DN29" i="40875" l="1"/>
  <c r="CF46" i="40872"/>
  <c r="CF196" i="40872"/>
  <c r="CF50" i="40872" l="1"/>
  <c r="DN61" i="40875"/>
  <c r="DN62" i="40875"/>
  <c r="DN56" i="40875"/>
  <c r="CF51" i="40872" l="1"/>
  <c r="DN63" i="40875"/>
  <c r="DN64" i="40875"/>
  <c r="CF53" i="40872" l="1"/>
  <c r="CF55" i="40872" l="1"/>
  <c r="DO10" i="40876" l="1"/>
  <c r="CF57" i="40872"/>
  <c r="CF65" i="40872"/>
  <c r="CF97" i="40872"/>
  <c r="CF111" i="40872"/>
  <c r="CF201" i="40872"/>
  <c r="CF211" i="40872"/>
  <c r="DO60" i="40875" s="1"/>
  <c r="DO49" i="40875"/>
  <c r="DO37" i="40876" l="1"/>
  <c r="DO52" i="40875"/>
  <c r="DO192" i="40875"/>
  <c r="DO193" i="40875" s="1"/>
  <c r="CF62" i="40872"/>
  <c r="CF63" i="40872"/>
  <c r="CF113" i="40872" s="1"/>
  <c r="DO194" i="40875" l="1"/>
  <c r="DO57" i="40876"/>
  <c r="DO64" i="40876"/>
  <c r="DO66" i="40876" s="1"/>
  <c r="CF128" i="40872"/>
  <c r="CF130" i="40872" s="1"/>
  <c r="CF3" i="40872"/>
  <c r="CF112" i="40872"/>
  <c r="DP188" i="40875"/>
  <c r="DO55" i="40875"/>
  <c r="DO68" i="40875"/>
  <c r="DO59" i="40876" l="1"/>
  <c r="DO73" i="40876"/>
  <c r="DO71" i="40876"/>
  <c r="DO61" i="40876" l="1"/>
  <c r="DO11" i="40875" l="1"/>
  <c r="DO62" i="40876" s="1"/>
  <c r="DP60" i="40876"/>
  <c r="DO20" i="40875" l="1"/>
  <c r="DO70" i="40875"/>
  <c r="CF126" i="40872" s="1"/>
  <c r="CF124" i="40872"/>
  <c r="CG194" i="40872"/>
  <c r="CG46" i="40872" l="1"/>
  <c r="CG196" i="40872"/>
  <c r="DO29" i="40875"/>
  <c r="CG50" i="40872" l="1"/>
  <c r="DO61" i="40875"/>
  <c r="DO62" i="40875"/>
  <c r="DO56" i="40875"/>
  <c r="CG51" i="40872" l="1"/>
  <c r="DO63" i="40875"/>
  <c r="DO64" i="40875"/>
  <c r="CG53" i="40872" l="1"/>
  <c r="CG55" i="40872" l="1"/>
  <c r="DP10" i="40876" l="1"/>
  <c r="CG57" i="40872"/>
  <c r="CG65" i="40872"/>
  <c r="CG201" i="40872"/>
  <c r="CG211" i="40872"/>
  <c r="DP60" i="40875" s="1"/>
  <c r="CG97" i="40872"/>
  <c r="CG111" i="40872"/>
  <c r="DP49" i="40875"/>
  <c r="DP192" i="40875" l="1"/>
  <c r="DP193" i="40875" s="1"/>
  <c r="DP52" i="40875"/>
  <c r="CG62" i="40872"/>
  <c r="CG63" i="40872"/>
  <c r="CG113" i="40872" s="1"/>
  <c r="DP37" i="40876"/>
  <c r="DP194" i="40875" l="1"/>
  <c r="DQ188" i="40875"/>
  <c r="DP55" i="40875"/>
  <c r="DP68" i="40875"/>
  <c r="DP57" i="40876"/>
  <c r="DP64" i="40876"/>
  <c r="DP66" i="40876" s="1"/>
  <c r="CG128" i="40872"/>
  <c r="CG130" i="40872" s="1"/>
  <c r="CG3" i="40872"/>
  <c r="CG112" i="40872"/>
  <c r="DP59" i="40876" l="1"/>
  <c r="DP71" i="40876"/>
  <c r="DP73" i="40876"/>
  <c r="DP61" i="40876" l="1"/>
  <c r="DP11" i="40875" l="1"/>
  <c r="DP62" i="40876" s="1"/>
  <c r="DQ60" i="40876"/>
  <c r="DP20" i="40875" l="1"/>
  <c r="DP70" i="40875"/>
  <c r="CG126" i="40872" s="1"/>
  <c r="CG124" i="40872"/>
  <c r="CH194" i="40872"/>
  <c r="CH46" i="40872" l="1"/>
  <c r="CH196" i="40872"/>
  <c r="CI194" i="40872"/>
  <c r="CI196" i="40872" s="1"/>
  <c r="DP29" i="40875"/>
  <c r="CH50" i="40872" l="1"/>
  <c r="CI46" i="40872"/>
  <c r="DP61" i="40875"/>
  <c r="DP62" i="40875"/>
  <c r="DP56" i="40875"/>
  <c r="DP63" i="40875" l="1"/>
  <c r="DP64" i="40875"/>
  <c r="CH51" i="40872"/>
  <c r="CH53" i="40872" s="1"/>
  <c r="CI50" i="40872"/>
  <c r="CH55" i="40872" l="1"/>
  <c r="CI51" i="40872"/>
  <c r="CI95" i="40872" l="1"/>
  <c r="DQ10" i="40876"/>
  <c r="CH57" i="40872"/>
  <c r="CH65" i="40872"/>
  <c r="CH111" i="40872"/>
  <c r="CH201" i="40872"/>
  <c r="CH97" i="40872"/>
  <c r="CH211" i="40872"/>
  <c r="DQ49" i="40875"/>
  <c r="CI53" i="40872"/>
  <c r="CH63" i="40872" l="1"/>
  <c r="CH113" i="40872" s="1"/>
  <c r="CH62" i="40872"/>
  <c r="DQ37" i="40876"/>
  <c r="DR10" i="40876"/>
  <c r="DQ60" i="40875"/>
  <c r="CI211" i="40872"/>
  <c r="DR60" i="40875" s="1"/>
  <c r="CI185" i="40872"/>
  <c r="DR49" i="40875"/>
  <c r="DQ192" i="40875"/>
  <c r="DQ193" i="40875" s="1"/>
  <c r="DQ52" i="40875"/>
  <c r="CI55" i="40872"/>
  <c r="DQ194" i="40875" l="1"/>
  <c r="DQ57" i="40876"/>
  <c r="DQ64" i="40876"/>
  <c r="DQ66" i="40876" s="1"/>
  <c r="CH128" i="40872"/>
  <c r="CH130" i="40872" s="1"/>
  <c r="DR37" i="40876"/>
  <c r="CH3" i="40872"/>
  <c r="CH112" i="40872"/>
  <c r="CI57" i="40872"/>
  <c r="CI65" i="40872"/>
  <c r="CI111" i="40872"/>
  <c r="CI201" i="40872"/>
  <c r="CI97" i="40872"/>
  <c r="DR52" i="40875"/>
  <c r="DR192" i="40875"/>
  <c r="DR193" i="40875" s="1"/>
  <c r="DQ55" i="40875"/>
  <c r="DQ68" i="40875"/>
  <c r="DR194" i="40875" l="1"/>
  <c r="CI62" i="40872"/>
  <c r="CI63" i="40872"/>
  <c r="CI113" i="40872" s="1"/>
  <c r="DQ73" i="40876"/>
  <c r="DQ71" i="40876"/>
  <c r="DQ59" i="40876"/>
  <c r="DR55" i="40875"/>
  <c r="DR68" i="40875"/>
  <c r="DS188" i="40875"/>
  <c r="DW188" i="40875"/>
  <c r="DR57" i="40876"/>
  <c r="DR64" i="40876"/>
  <c r="DR66" i="40876" s="1"/>
  <c r="DR73" i="40876" s="1"/>
  <c r="CI128" i="40872"/>
  <c r="CI130" i="40872" s="1"/>
  <c r="R16" i="40877" s="1"/>
  <c r="DR59" i="40876" l="1"/>
  <c r="CI3" i="40872"/>
  <c r="CI112" i="40872"/>
  <c r="R11" i="40877"/>
  <c r="R31" i="40877"/>
  <c r="R30" i="40877"/>
  <c r="DR71" i="40876"/>
  <c r="DQ61" i="40876"/>
  <c r="DQ11" i="40875" l="1"/>
  <c r="DQ62" i="40876" s="1"/>
  <c r="R12" i="40877"/>
  <c r="R28" i="40877"/>
  <c r="DR61" i="40876"/>
  <c r="DS60" i="40876" l="1"/>
  <c r="DW60" i="40876"/>
  <c r="DR11" i="40875"/>
  <c r="DQ20" i="40875"/>
  <c r="DQ70" i="40875"/>
  <c r="CH126" i="40872" s="1"/>
  <c r="CH124" i="40872"/>
  <c r="DQ29" i="40875" l="1"/>
  <c r="DR20" i="40875"/>
  <c r="DR70" i="40875"/>
  <c r="CI126" i="40872" s="1"/>
  <c r="CI124" i="40872"/>
  <c r="CJ194" i="40872"/>
  <c r="DR62" i="40876"/>
  <c r="DR29" i="40875" l="1"/>
  <c r="DQ61" i="40875"/>
  <c r="DQ62" i="40875"/>
  <c r="DQ56" i="40875"/>
  <c r="CJ46" i="40872"/>
  <c r="CJ196" i="40872"/>
  <c r="DQ63" i="40875" l="1"/>
  <c r="DQ64" i="40875"/>
  <c r="CJ50" i="40872"/>
  <c r="DR61" i="40875"/>
  <c r="DR62" i="40875"/>
  <c r="DR56" i="40875"/>
  <c r="CJ51" i="40872" l="1"/>
  <c r="CJ53" i="40872" s="1"/>
  <c r="DR63" i="40875"/>
  <c r="DR64" i="40875"/>
  <c r="CJ55" i="40872" l="1"/>
  <c r="DS10" i="40876" l="1"/>
  <c r="CJ57" i="40872"/>
  <c r="CJ65" i="40872"/>
  <c r="CJ97" i="40872"/>
  <c r="CJ111" i="40872"/>
  <c r="CJ201" i="40872"/>
  <c r="CJ211" i="40872"/>
  <c r="DS60" i="40875" s="1"/>
  <c r="DS49" i="40875"/>
  <c r="DS52" i="40875" l="1"/>
  <c r="DS192" i="40875"/>
  <c r="DS193" i="40875" s="1"/>
  <c r="CJ62" i="40872"/>
  <c r="CJ63" i="40872"/>
  <c r="CJ113" i="40872" s="1"/>
  <c r="DS37" i="40876"/>
  <c r="CJ3" i="40872" l="1"/>
  <c r="CJ112" i="40872"/>
  <c r="DT188" i="40875"/>
  <c r="DS55" i="40875"/>
  <c r="DS68" i="40875"/>
  <c r="DS57" i="40876"/>
  <c r="DS64" i="40876"/>
  <c r="DS66" i="40876" s="1"/>
  <c r="CJ128" i="40872"/>
  <c r="CJ130" i="40872" s="1"/>
  <c r="DS194" i="40875"/>
  <c r="DS59" i="40876" l="1"/>
  <c r="DS73" i="40876"/>
  <c r="DS71" i="40876"/>
  <c r="DS61" i="40876" l="1"/>
  <c r="DS11" i="40875" l="1"/>
  <c r="DS62" i="40876" s="1"/>
  <c r="DT60" i="40876"/>
  <c r="DS20" i="40875" l="1"/>
  <c r="DS70" i="40875"/>
  <c r="CJ126" i="40872" s="1"/>
  <c r="CJ124" i="40872"/>
  <c r="CK194" i="40872"/>
  <c r="DS29" i="40875" l="1"/>
  <c r="CK46" i="40872"/>
  <c r="CK196" i="40872"/>
  <c r="CK50" i="40872" l="1"/>
  <c r="DS61" i="40875"/>
  <c r="DS62" i="40875"/>
  <c r="DS56" i="40875"/>
  <c r="DS63" i="40875" l="1"/>
  <c r="DS64" i="40875"/>
  <c r="CK51" i="40872"/>
  <c r="CK53" i="40872" s="1"/>
  <c r="CK55" i="40872" l="1"/>
  <c r="DT10" i="40876" l="1"/>
  <c r="CK57" i="40872"/>
  <c r="CK65" i="40872"/>
  <c r="CK201" i="40872"/>
  <c r="CK211" i="40872"/>
  <c r="DT60" i="40875" s="1"/>
  <c r="CK97" i="40872"/>
  <c r="CK111" i="40872"/>
  <c r="DT49" i="40875"/>
  <c r="DT192" i="40875" l="1"/>
  <c r="DT193" i="40875" s="1"/>
  <c r="DT52" i="40875"/>
  <c r="CK62" i="40872"/>
  <c r="CK63" i="40872"/>
  <c r="CK113" i="40872" s="1"/>
  <c r="DT37" i="40876"/>
  <c r="DT194" i="40875" l="1"/>
  <c r="DT64" i="40876"/>
  <c r="DT66" i="40876" s="1"/>
  <c r="DT57" i="40876"/>
  <c r="CK128" i="40872"/>
  <c r="CK130" i="40872" s="1"/>
  <c r="CK3" i="40872"/>
  <c r="CK112" i="40872"/>
  <c r="DU188" i="40875"/>
  <c r="DT55" i="40875"/>
  <c r="DT68" i="40875"/>
  <c r="DT59" i="40876" l="1"/>
  <c r="DT71" i="40876"/>
  <c r="DT73" i="40876"/>
  <c r="DT61" i="40876" l="1"/>
  <c r="DT11" i="40875" l="1"/>
  <c r="DT62" i="40876" s="1"/>
  <c r="DU60" i="40876"/>
  <c r="DT20" i="40875" l="1"/>
  <c r="DT70" i="40875"/>
  <c r="CK126" i="40872" s="1"/>
  <c r="CK124" i="40872"/>
  <c r="CL194" i="40872"/>
  <c r="DT29" i="40875" l="1"/>
  <c r="CL46" i="40872"/>
  <c r="CL196" i="40872"/>
  <c r="CL50" i="40872" l="1"/>
  <c r="DT61" i="40875"/>
  <c r="DT62" i="40875"/>
  <c r="DT56" i="40875"/>
  <c r="DT63" i="40875" l="1"/>
  <c r="DT64" i="40875"/>
  <c r="CL51" i="40872"/>
  <c r="CL53" i="40872" s="1"/>
  <c r="CL55" i="40872" l="1"/>
  <c r="DU10" i="40876" l="1"/>
  <c r="CL57" i="40872"/>
  <c r="CL111" i="40872"/>
  <c r="CL65" i="40872"/>
  <c r="CL201" i="40872"/>
  <c r="CL211" i="40872"/>
  <c r="DU60" i="40875" s="1"/>
  <c r="CL97" i="40872"/>
  <c r="DU49" i="40875"/>
  <c r="CL63" i="40872" l="1"/>
  <c r="CL113" i="40872" s="1"/>
  <c r="CL62" i="40872"/>
  <c r="DU192" i="40875"/>
  <c r="DU193" i="40875" s="1"/>
  <c r="DU52" i="40875"/>
  <c r="DU37" i="40876"/>
  <c r="DU64" i="40876" l="1"/>
  <c r="DU66" i="40876" s="1"/>
  <c r="DU57" i="40876"/>
  <c r="CL128" i="40872"/>
  <c r="CL130" i="40872" s="1"/>
  <c r="CL3" i="40872"/>
  <c r="CL112" i="40872"/>
  <c r="DV188" i="40875"/>
  <c r="DU55" i="40875"/>
  <c r="DU68" i="40875"/>
  <c r="DU194" i="40875"/>
  <c r="DU59" i="40876" l="1"/>
  <c r="DU73" i="40876"/>
  <c r="DU71" i="40876"/>
  <c r="DU61" i="40876" l="1"/>
  <c r="DU11" i="40875" l="1"/>
  <c r="DU62" i="40876" s="1"/>
  <c r="DV60" i="40876"/>
  <c r="DU20" i="40875" l="1"/>
  <c r="DU70" i="40875"/>
  <c r="CL126" i="40872" s="1"/>
  <c r="CL124" i="40872"/>
  <c r="CM194" i="40872"/>
  <c r="DU29" i="40875" l="1"/>
  <c r="CM46" i="40872"/>
  <c r="CM196" i="40872"/>
  <c r="CN194" i="40872"/>
  <c r="CN196" i="40872" s="1"/>
  <c r="CM50" i="40872" l="1"/>
  <c r="CN46" i="40872"/>
  <c r="DU61" i="40875"/>
  <c r="DU62" i="40875"/>
  <c r="DU56" i="40875"/>
  <c r="CN50" i="40872" l="1"/>
  <c r="CM51" i="40872"/>
  <c r="CM53" i="40872" s="1"/>
  <c r="DU63" i="40875"/>
  <c r="DU64" i="40875"/>
  <c r="CN51" i="40872" l="1"/>
  <c r="CM55" i="40872"/>
  <c r="CN95" i="40872" l="1"/>
  <c r="DV10" i="40876"/>
  <c r="CM57" i="40872"/>
  <c r="CM65" i="40872"/>
  <c r="CM111" i="40872"/>
  <c r="CM201" i="40872"/>
  <c r="CM97" i="40872"/>
  <c r="CM211" i="40872"/>
  <c r="DV49" i="40875"/>
  <c r="CN53" i="40872"/>
  <c r="DV60" i="40875" l="1"/>
  <c r="CN211" i="40872"/>
  <c r="DW60" i="40875" s="1"/>
  <c r="CM62" i="40872"/>
  <c r="CM63" i="40872"/>
  <c r="CM113" i="40872" s="1"/>
  <c r="CN55" i="40872"/>
  <c r="DV52" i="40875"/>
  <c r="DW49" i="40875"/>
  <c r="DV192" i="40875"/>
  <c r="DV193" i="40875" s="1"/>
  <c r="DV37" i="40876"/>
  <c r="DW10" i="40876"/>
  <c r="CN185" i="40872"/>
  <c r="DV194" i="40875" l="1"/>
  <c r="CN57" i="40872"/>
  <c r="CN97" i="40872"/>
  <c r="CN65" i="40872"/>
  <c r="CN111" i="40872"/>
  <c r="CN201" i="40872"/>
  <c r="DW37" i="40876"/>
  <c r="DW52" i="40875"/>
  <c r="DW192" i="40875"/>
  <c r="DW193" i="40875" s="1"/>
  <c r="DV57" i="40876"/>
  <c r="DV64" i="40876"/>
  <c r="DV66" i="40876" s="1"/>
  <c r="CM128" i="40872"/>
  <c r="CM130" i="40872" s="1"/>
  <c r="DV55" i="40875"/>
  <c r="DV68" i="40875"/>
  <c r="CM3" i="40872"/>
  <c r="CM112" i="40872"/>
  <c r="DW194" i="40875" l="1"/>
  <c r="DW57" i="40876"/>
  <c r="DW64" i="40876"/>
  <c r="DW66" i="40876" s="1"/>
  <c r="DW73" i="40876" s="1"/>
  <c r="CN128" i="40872"/>
  <c r="CN130" i="40872" s="1"/>
  <c r="DV73" i="40876"/>
  <c r="DV71" i="40876"/>
  <c r="DV59" i="40876"/>
  <c r="DW55" i="40875"/>
  <c r="DW68" i="40875"/>
  <c r="CN62" i="40872"/>
  <c r="CN63" i="40872"/>
  <c r="CN113" i="40872" s="1"/>
  <c r="DV61" i="40876" l="1"/>
  <c r="DW71" i="40876"/>
  <c r="DW59" i="40876"/>
  <c r="CN3" i="40872"/>
  <c r="CN112" i="40872"/>
  <c r="DV11" i="40875" l="1"/>
  <c r="DV62" i="40876" s="1"/>
  <c r="DW61" i="40876"/>
  <c r="DV20" i="40875" l="1"/>
  <c r="DV70" i="40875"/>
  <c r="CM126" i="40872" s="1"/>
  <c r="DW11" i="40875"/>
  <c r="CM124" i="40872"/>
  <c r="DV29" i="40875" l="1"/>
  <c r="DW20" i="40875"/>
  <c r="DW70" i="40875"/>
  <c r="CN126" i="40872" s="1"/>
  <c r="CN124" i="40872"/>
  <c r="DW62" i="40876"/>
  <c r="DW29" i="40875" l="1"/>
  <c r="DV61" i="40875"/>
  <c r="DV62" i="40875"/>
  <c r="DV56" i="40875"/>
  <c r="DV63" i="40875" l="1"/>
  <c r="DV64" i="40875"/>
  <c r="DW61" i="40875"/>
  <c r="DW62" i="40875"/>
  <c r="DW56" i="40875"/>
  <c r="DW63" i="40875" l="1"/>
  <c r="DW64" i="40875"/>
  <c r="BU99" i="40872" l="1"/>
  <c r="BV99" i="40872"/>
</calcChain>
</file>

<file path=xl/comments1.xml><?xml version="1.0" encoding="utf-8"?>
<comments xmlns="http://schemas.openxmlformats.org/spreadsheetml/2006/main">
  <authors>
    <author>Jon Tower</author>
  </authors>
  <commentList>
    <comment ref="A1" authorId="0">
      <text>
        <r>
          <rPr>
            <b/>
            <sz val="8"/>
            <color indexed="81"/>
            <rFont val="Tahoma"/>
            <family val="2"/>
          </rPr>
          <t>卟䙄_x0001_＀＀棰䣻_x0013_䕗幎䝆䵟呋噟䱁䕕〨착_x0018_＀＀_x0018_＀＀_x0008_＀＀_x0001_＀＀_x0001_＀＀㙺㺫魗䁲꺈䟙_x001B_䕗幎䝆䵟䅅彎偅当奆⠲ⰰⰬ〹착_x0018_＀＀_x0018_＀＀_x0008_＀＀_x0001_＀＀_x0001_＀＀俵녰ڢ㿸껤䟙_x000F_䕗幎䝆偟䥒䕃〨착_x0018_＀＀_x0018_＀＀_x0008_＀＀_x0001_＀＀_x0001_＀＀尩슏䀷</t>
        </r>
      </text>
    </comment>
    <comment ref="B1" authorId="0">
      <text>
        <r>
          <rPr>
            <b/>
            <sz val="8"/>
            <color indexed="81"/>
            <rFont val="Tahoma"/>
            <family val="2"/>
          </rPr>
          <t>103</t>
        </r>
      </text>
    </comment>
  </commentList>
</comments>
</file>

<file path=xl/comments2.xml><?xml version="1.0" encoding="utf-8"?>
<comments xmlns="http://schemas.openxmlformats.org/spreadsheetml/2006/main">
  <authors>
    <author>Jon Tower</author>
    <author>O'Brien, Courtney (Research)</author>
    <author>Carril, Christopher E (Research)</author>
    <author>Glass, John (Research)</author>
    <author>John Glass</author>
    <author>glassjoh</author>
    <author>Sushama Dasari</author>
    <author>Jake Bartlett</author>
    <author>Bartlett, Jake (Research)</author>
    <author>sushamad</author>
    <author>David Dorfman</author>
    <author>bartljak</author>
    <author>Dana Greenberg</author>
  </authors>
  <commentList>
    <comment ref="AK7" authorId="0">
      <text>
        <r>
          <rPr>
            <b/>
            <sz val="8"/>
            <color indexed="81"/>
            <rFont val="Tahoma"/>
            <family val="2"/>
          </rPr>
          <t>Jon Tower:
2008 10K
Each fiscal year generally is comprised of four 13-week fiscal quarters, although in the years with 53 weeks, including 2009, the fourth quarter represents a 14-week period.</t>
        </r>
      </text>
    </comment>
    <comment ref="BP7" authorId="1">
      <text>
        <r>
          <rPr>
            <b/>
            <sz val="9"/>
            <color indexed="81"/>
            <rFont val="Tahoma"/>
            <family val="2"/>
          </rPr>
          <t>O'Brien, Courtney (Research):</t>
        </r>
        <r>
          <rPr>
            <sz val="9"/>
            <color indexed="81"/>
            <rFont val="Tahoma"/>
            <family val="2"/>
          </rPr>
          <t xml:space="preserve">
1q15 #s should be restated ex bakery when 1q16 is reported, so please adjust in model</t>
        </r>
      </text>
    </comment>
    <comment ref="BV7" authorId="1">
      <text>
        <r>
          <rPr>
            <b/>
            <sz val="9"/>
            <color indexed="81"/>
            <rFont val="Tahoma"/>
            <family val="2"/>
          </rPr>
          <t>O'Brien, Courtney (Research):6.1.17
NPC aquired 140 DavCo restaurants; agreeed to remodel 90 by 2021, and build 15 new by 2022</t>
        </r>
      </text>
    </comment>
    <comment ref="BN8" authorId="1">
      <text>
        <r>
          <rPr>
            <b/>
            <sz val="9"/>
            <color indexed="81"/>
            <rFont val="Tahoma"/>
            <family val="2"/>
          </rPr>
          <t>O'Brien, Courtney (Research):</t>
        </r>
        <r>
          <rPr>
            <sz val="9"/>
            <color indexed="81"/>
            <rFont val="Tahoma"/>
            <family val="2"/>
          </rPr>
          <t xml:space="preserve">
ends 1/3/16</t>
        </r>
      </text>
    </comment>
    <comment ref="CN9" authorId="2">
      <text>
        <r>
          <rPr>
            <b/>
            <sz val="9"/>
            <color indexed="81"/>
            <rFont val="Tahoma"/>
            <family val="2"/>
          </rPr>
          <t>Carril, Christopher E (Research):</t>
        </r>
        <r>
          <rPr>
            <sz val="9"/>
            <color indexed="81"/>
            <rFont val="Tahoma"/>
            <family val="2"/>
          </rPr>
          <t xml:space="preserve">
2.21.2018
Reit: Global systemwide sales (in constant currency and excluding Venezuela) of ~$12 billion</t>
        </r>
      </text>
    </comment>
    <comment ref="BG13" authorId="1">
      <text>
        <r>
          <rPr>
            <b/>
            <sz val="9"/>
            <color indexed="81"/>
            <rFont val="Tahoma"/>
            <family val="2"/>
          </rPr>
          <t>O'Brien, Courtney (Research):</t>
        </r>
        <r>
          <rPr>
            <sz val="9"/>
            <color indexed="81"/>
            <rFont val="Tahoma"/>
            <family val="2"/>
          </rPr>
          <t xml:space="preserve">
17.1 prior to restatement
</t>
        </r>
      </text>
    </comment>
    <comment ref="BK13" authorId="1">
      <text>
        <r>
          <rPr>
            <b/>
            <sz val="9"/>
            <color indexed="81"/>
            <rFont val="Tahoma"/>
            <family val="2"/>
          </rPr>
          <t>O'Brien, Courtney (Research):</t>
        </r>
        <r>
          <rPr>
            <sz val="9"/>
            <color indexed="81"/>
            <rFont val="Tahoma"/>
            <family val="2"/>
          </rPr>
          <t xml:space="preserve">
5.5.15 bakery = 16m in profit</t>
        </r>
      </text>
    </comment>
    <comment ref="BL13" authorId="3">
      <text>
        <r>
          <rPr>
            <b/>
            <sz val="9"/>
            <color indexed="81"/>
            <rFont val="Tahoma"/>
            <family val="2"/>
          </rPr>
          <t>8.5.15 SALES FORM DISCONTINUED OPERATIONS
Glass, John (Research):</t>
        </r>
        <r>
          <rPr>
            <sz val="9"/>
            <color indexed="81"/>
            <rFont val="Tahoma"/>
            <family val="2"/>
          </rPr>
          <t xml:space="preserve">
annoucned selling bakery on 6.2.15 for $50 M</t>
        </r>
      </text>
    </comment>
    <comment ref="BO13" authorId="1">
      <text>
        <r>
          <rPr>
            <b/>
            <sz val="9"/>
            <color indexed="81"/>
            <rFont val="Tahoma"/>
            <family val="2"/>
          </rPr>
          <t>O'Brien, Courtney (Research):</t>
        </r>
        <r>
          <rPr>
            <sz val="9"/>
            <color indexed="81"/>
            <rFont val="Tahoma"/>
            <family val="2"/>
          </rPr>
          <t xml:space="preserve">
5.5.15
~16M EBITDA, not fully loaded, have to attach pension liability and G&amp;A, substantially less, the bitda that they will base sale price on</t>
        </r>
      </text>
    </comment>
    <comment ref="A14" authorId="0">
      <text>
        <r>
          <rPr>
            <b/>
            <sz val="8"/>
            <color indexed="81"/>
            <rFont val="Tahoma"/>
            <family val="2"/>
          </rPr>
          <t>Jon Tower:</t>
        </r>
        <r>
          <rPr>
            <sz val="8"/>
            <color indexed="81"/>
            <rFont val="Tahoma"/>
            <family val="2"/>
          </rPr>
          <t xml:space="preserve">
Revenue recognition
“Sales” in the Company’s Consolidated Statements of Operations includes revenues recognized upon delivery of food to the customer, and revenues for shipments of bakery items and kid’s meal promotional items to our franchisees and others. “Sales” excludes sales taxes collected from the Company’s customers.
</t>
        </r>
      </text>
    </comment>
    <comment ref="BD14" authorId="4">
      <text>
        <r>
          <rPr>
            <b/>
            <sz val="8"/>
            <color indexed="81"/>
            <rFont val="Tahoma"/>
            <family val="2"/>
          </rPr>
          <t>John Glass:</t>
        </r>
        <r>
          <rPr>
            <sz val="8"/>
            <color indexed="81"/>
            <rFont val="Tahoma"/>
            <family val="2"/>
          </rPr>
          <t xml:space="preserve">
1.13: prelim $505.9 M</t>
        </r>
      </text>
    </comment>
    <comment ref="CR14" authorId="0">
      <text>
        <r>
          <rPr>
            <b/>
            <sz val="8"/>
            <color indexed="81"/>
            <rFont val="Tahoma"/>
            <family val="2"/>
          </rPr>
          <t>Jon Tower:</t>
        </r>
        <r>
          <rPr>
            <sz val="8"/>
            <color indexed="81"/>
            <rFont val="Tahoma"/>
            <family val="2"/>
          </rPr>
          <t xml:space="preserve">
Revenue recognition
“Sales” in the Company’s Consolidated Statements of Operations includes revenues recognized upon delivery of food to the customer, and revenues for shipments of bakery items and kid’s meal promotional items to our franchisees and others. “Sales” excludes sales taxes collected from the Company’s customers.
</t>
        </r>
      </text>
    </comment>
    <comment ref="BT15" authorId="1">
      <text>
        <r>
          <rPr>
            <b/>
            <sz val="9"/>
            <color indexed="81"/>
            <rFont val="Tahoma"/>
            <family val="2"/>
          </rPr>
          <t>O'Brien, Courtney (Research):</t>
        </r>
        <r>
          <rPr>
            <sz val="9"/>
            <color indexed="81"/>
            <rFont val="Tahoma"/>
            <family val="2"/>
          </rPr>
          <t xml:space="preserve">
143M</t>
        </r>
      </text>
    </comment>
    <comment ref="A16" authorId="0">
      <text>
        <r>
          <rPr>
            <b/>
            <sz val="8"/>
            <color indexed="81"/>
            <rFont val="Tahoma"/>
            <family val="2"/>
          </rPr>
          <t>Jon Tower:</t>
        </r>
        <r>
          <rPr>
            <sz val="8"/>
            <color indexed="81"/>
            <rFont val="Tahoma"/>
            <family val="2"/>
          </rPr>
          <t xml:space="preserve">
Revenue recognition
Franchise revenues”, as reported in the Company’s Consolidated Statements of Operations, include royalties, franchise fees, and rental income. Royalties from franchised restaurants are based on a percentage of net sales of the franchised restaurant and are recognized as earned.  Initial franchise fees are recorded as deferred income when received and are recognized as revenue when a franchised restaurant is opened since all material services and conditions related to the franchise fee have been substantially performed by the Company upon the restaurant opening.  Renewal franchise fees are recognized as revenue when the license agreements are signed and the fee is paid since there are no material services and conditions related to the renewal franchise fee.  Franchise commitment fee deposits are forfeited and recognized as revenue upon the termination of the related commitments to open new franchised restaurants.  Rental income from locations owned by the Company and leased to franchisees is recognized on a straight-line basis over the respective operating lease terms.
</t>
        </r>
      </text>
    </comment>
    <comment ref="AV16" authorId="5">
      <text>
        <r>
          <rPr>
            <b/>
            <sz val="8"/>
            <color indexed="81"/>
            <rFont val="Tahoma"/>
            <family val="2"/>
          </rPr>
          <t>glassjoh:</t>
        </r>
        <r>
          <rPr>
            <sz val="8"/>
            <color indexed="81"/>
            <rFont val="Tahoma"/>
            <family val="2"/>
          </rPr>
          <t xml:space="preserve">
includs $67.7 m in royalties</t>
        </r>
      </text>
    </comment>
    <comment ref="BV16" authorId="1">
      <text>
        <r>
          <rPr>
            <b/>
            <sz val="9"/>
            <color indexed="81"/>
            <rFont val="Tahoma"/>
            <family val="2"/>
          </rPr>
          <t>O'Brien, Courtney (Research):</t>
        </r>
        <r>
          <rPr>
            <sz val="9"/>
            <color indexed="81"/>
            <rFont val="Tahoma"/>
            <family val="2"/>
          </rPr>
          <t xml:space="preserve">
6.1.17
The Company received franchise fees of $6.4 million upon the closing of NPC/DavCo transaction, which will be recorded as revenue</t>
        </r>
      </text>
    </comment>
    <comment ref="BY16" authorId="1">
      <text>
        <r>
          <rPr>
            <b/>
            <sz val="9"/>
            <color indexed="81"/>
            <rFont val="Tahoma"/>
            <family val="2"/>
          </rPr>
          <t>O'Brien, Courtney (Research):</t>
        </r>
        <r>
          <rPr>
            <sz val="9"/>
            <color indexed="81"/>
            <rFont val="Tahoma"/>
            <family val="2"/>
          </rPr>
          <t xml:space="preserve">
8.5.15 anticiapte 170M in rental rev from real estate we own and lease (+100M from '14)</t>
        </r>
      </text>
    </comment>
    <comment ref="CR16" authorId="0">
      <text>
        <r>
          <rPr>
            <b/>
            <sz val="8"/>
            <color indexed="81"/>
            <rFont val="Tahoma"/>
            <family val="2"/>
          </rPr>
          <t>Jon Tower:</t>
        </r>
        <r>
          <rPr>
            <sz val="8"/>
            <color indexed="81"/>
            <rFont val="Tahoma"/>
            <family val="2"/>
          </rPr>
          <t xml:space="preserve">
Revenue recognition
Franchise revenues”, as reported in the Company’s Consolidated Statements of Operations, include royalties, franchise fees, and rental income. Royalties from franchised restaurants are based on a percentage of net sales of the franchised restaurant and are recognized as earned.  Initial franchise fees are recorded as deferred income when received and are recognized as revenue when a franchised restaurant is opened since all material services and conditions related to the franchise fee have been substantially performed by the Company upon the restaurant opening.  Renewal franchise fees are recognized as revenue when the license agreements are signed and the fee is paid since there are no material services and conditions related to the renewal franchise fee.  Franchise commitment fee deposits are forfeited and recognized as revenue upon the termination of the related commitments to open new franchised restaurants.  Rental income from locations owned by the Company and leased to franchisees is recognized on a straight-line basis over the respective operating lease terms.
</t>
        </r>
      </text>
    </comment>
    <comment ref="AO17" authorId="0">
      <text>
        <r>
          <rPr>
            <b/>
            <sz val="8"/>
            <color indexed="81"/>
            <rFont val="Tahoma"/>
            <family val="2"/>
          </rPr>
          <t>Jon Tower:</t>
        </r>
        <r>
          <rPr>
            <sz val="8"/>
            <color indexed="81"/>
            <rFont val="Tahoma"/>
            <family val="2"/>
          </rPr>
          <t xml:space="preserve">
1.26.11
Consolidated revenues were $840.7 million as compared to fourth quarter 2009 revenues of $900.9 million.
Net loss was $10.8 million or $0.03 per share, including net after-tax special charges of $16.5 million or $0.04 per share. Fourth quarter 2009 net loss from continuing operations was $14.7 million, or $0.03 per
share, including after-tax special charges of $44.5 million or $0.10 per share.</t>
        </r>
      </text>
    </comment>
    <comment ref="AT17" authorId="0">
      <text>
        <r>
          <rPr>
            <b/>
            <sz val="8"/>
            <color indexed="81"/>
            <rFont val="Tahoma"/>
            <family val="2"/>
          </rPr>
          <t>Jon Tower:</t>
        </r>
        <r>
          <rPr>
            <sz val="8"/>
            <color indexed="81"/>
            <rFont val="Tahoma"/>
            <family val="2"/>
          </rPr>
          <t xml:space="preserve">
1.30.12
$615mn</t>
        </r>
      </text>
    </comment>
    <comment ref="AY17"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Pre-release: Consolidated revenues were $629.9 million</t>
        </r>
      </text>
    </comment>
    <comment ref="AZ17"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Pre-release: Consolidated revenues were $2.505 billion</t>
        </r>
      </text>
    </comment>
    <comment ref="BO17" authorId="3">
      <text>
        <r>
          <rPr>
            <b/>
            <sz val="9"/>
            <color indexed="81"/>
            <rFont val="Tahoma"/>
            <family val="2"/>
          </rPr>
          <t>Glass, John (Research):</t>
        </r>
        <r>
          <rPr>
            <sz val="9"/>
            <color indexed="81"/>
            <rFont val="Tahoma"/>
            <family val="2"/>
          </rPr>
          <t xml:space="preserve">
6.15: 
margin guidance of 20-22% implies revs of $1.75 - $1.875 m in rev
MIDPOINT = $1.8125</t>
        </r>
      </text>
    </comment>
    <comment ref="BT17" authorId="3">
      <text>
        <r>
          <rPr>
            <b/>
            <sz val="9"/>
            <color indexed="81"/>
            <rFont val="Tahoma"/>
            <family val="2"/>
          </rPr>
          <t>Glass, John (Research):</t>
        </r>
        <r>
          <rPr>
            <sz val="9"/>
            <color indexed="81"/>
            <rFont val="Tahoma"/>
            <family val="2"/>
          </rPr>
          <t xml:space="preserve">
6.15: 
margin guidance implies revs of $1.285-$1.34 b
MIDPOINT $1.3125</t>
        </r>
      </text>
    </comment>
    <comment ref="BY17" authorId="3">
      <text>
        <r>
          <rPr>
            <b/>
            <sz val="9"/>
            <color indexed="81"/>
            <rFont val="Tahoma"/>
            <family val="2"/>
          </rPr>
          <t>Glass, John (Research):</t>
        </r>
        <r>
          <rPr>
            <sz val="9"/>
            <color indexed="81"/>
            <rFont val="Tahoma"/>
            <family val="2"/>
          </rPr>
          <t xml:space="preserve">
6.15: margin guidance implies revs of $1.175-$1.235</t>
        </r>
      </text>
    </comment>
    <comment ref="CD17" authorId="3">
      <text>
        <r>
          <rPr>
            <b/>
            <sz val="9"/>
            <color indexed="81"/>
            <rFont val="Tahoma"/>
            <family val="2"/>
          </rPr>
          <t>Glass, John (Research):</t>
        </r>
        <r>
          <rPr>
            <sz val="9"/>
            <color indexed="81"/>
            <rFont val="Tahoma"/>
            <family val="2"/>
          </rPr>
          <t xml:space="preserve">
6.15: margin gudiance implies revs of $1.215</t>
        </r>
      </text>
    </comment>
    <comment ref="BT25" authorId="1">
      <text>
        <r>
          <rPr>
            <b/>
            <sz val="9"/>
            <color indexed="81"/>
            <rFont val="Tahoma"/>
            <family val="2"/>
          </rPr>
          <t>O'Brien, Courtney (Research):</t>
        </r>
        <r>
          <rPr>
            <sz val="9"/>
            <color indexed="81"/>
            <rFont val="Tahoma"/>
            <family val="2"/>
          </rPr>
          <t xml:space="preserve">
2.16.17
67M</t>
        </r>
      </text>
    </comment>
    <comment ref="BY25" authorId="1">
      <text>
        <r>
          <rPr>
            <b/>
            <sz val="9"/>
            <color indexed="81"/>
            <rFont val="Tahoma"/>
            <family val="2"/>
          </rPr>
          <t xml:space="preserve">11.8.2017
</t>
        </r>
        <r>
          <rPr>
            <sz val="9"/>
            <color indexed="81"/>
            <rFont val="Tahoma"/>
            <family val="2"/>
          </rPr>
          <t xml:space="preserve">Net franchise rental income of approximately $100 to $105 million (gross rental income of approximately $190 to $195 million)
</t>
        </r>
        <r>
          <rPr>
            <b/>
            <sz val="9"/>
            <color indexed="81"/>
            <rFont val="Tahoma"/>
            <family val="2"/>
          </rPr>
          <t xml:space="preserve">
8.9.17
</t>
        </r>
        <r>
          <rPr>
            <sz val="9"/>
            <color indexed="81"/>
            <rFont val="Tahoma"/>
            <family val="2"/>
          </rPr>
          <t xml:space="preserve">net rental income of 100m-105m vs 95m prior
</t>
        </r>
        <r>
          <rPr>
            <b/>
            <sz val="9"/>
            <color indexed="81"/>
            <rFont val="Tahoma"/>
            <family val="2"/>
          </rPr>
          <t xml:space="preserve">2.16.17 
</t>
        </r>
        <r>
          <rPr>
            <sz val="9"/>
            <color indexed="81"/>
            <rFont val="Tahoma"/>
            <family val="2"/>
          </rPr>
          <t>Per mgmt: ~95M net rental income (assuming 175M rev, 80m expense)</t>
        </r>
      </text>
    </comment>
    <comment ref="BD26" authorId="7">
      <text>
        <r>
          <rPr>
            <b/>
            <sz val="8"/>
            <color indexed="81"/>
            <rFont val="Tahoma"/>
            <family val="2"/>
          </rPr>
          <t xml:space="preserve">1.13.14:
</t>
        </r>
        <r>
          <rPr>
            <sz val="8"/>
            <color indexed="81"/>
            <rFont val="Tahoma"/>
            <family val="2"/>
          </rPr>
          <t>Excludes a $13.5M charge from exiting pension plan, which is included in reported results</t>
        </r>
        <r>
          <rPr>
            <sz val="8"/>
            <color indexed="81"/>
            <rFont val="Tahoma"/>
            <family val="2"/>
          </rPr>
          <t xml:space="preserve">
</t>
        </r>
      </text>
    </comment>
    <comment ref="A27" authorId="0">
      <text>
        <r>
          <rPr>
            <b/>
            <sz val="8"/>
            <color indexed="81"/>
            <rFont val="Tahoma"/>
            <family val="2"/>
          </rPr>
          <t>Jon Tower:</t>
        </r>
        <r>
          <rPr>
            <sz val="8"/>
            <color indexed="81"/>
            <rFont val="Tahoma"/>
            <family val="2"/>
          </rPr>
          <t xml:space="preserve">
</t>
        </r>
        <r>
          <rPr>
            <b/>
            <sz val="8"/>
            <color indexed="81"/>
            <rFont val="Tahoma"/>
            <family val="2"/>
          </rPr>
          <t>Advertising costs</t>
        </r>
        <r>
          <rPr>
            <sz val="8"/>
            <color indexed="81"/>
            <rFont val="Tahoma"/>
            <family val="2"/>
          </rPr>
          <t xml:space="preserve">
The Company incurs various advertising costs, including contributions to certain advertising cooperatives based upon a percentage of net sales by Company-owned restaurants.  The Company accounts for contributions made by the Company-owned restaurants to advertising cooperatives as an expense the first time the related advertising takes place.  All advertising costs are expensed as incurred with the exception of media development costs that are expensed beginning in the month that the advertisement is first communicated.  </t>
        </r>
        <r>
          <rPr>
            <b/>
            <sz val="8"/>
            <color indexed="81"/>
            <rFont val="Tahoma"/>
            <family val="2"/>
          </rPr>
          <t>These amounts are included in the “Cost of sales” expenses in the accompanying Consolidated Statements of Operations.</t>
        </r>
        <r>
          <rPr>
            <sz val="8"/>
            <color indexed="81"/>
            <rFont val="Tahoma"/>
            <family val="2"/>
          </rPr>
          <t xml:space="preserve">
</t>
        </r>
        <r>
          <rPr>
            <b/>
            <sz val="8"/>
            <color indexed="81"/>
            <rFont val="Tahoma"/>
            <family val="2"/>
          </rPr>
          <t xml:space="preserve">Vendor incentives
</t>
        </r>
        <r>
          <rPr>
            <sz val="8"/>
            <color indexed="81"/>
            <rFont val="Tahoma"/>
            <family val="2"/>
          </rPr>
          <t xml:space="preserve">
The Company receives incentives from its vendors. These incentives are recognized as earned and, in accordance with Emerging Issues Task Force Issue 02-16 “Accounting by a Customer (Including a Reseller) for Certain Consideration Received from a Vendor,” are generally classified as a reduction of “Cost of Sales” in the Consolidated Statements of Operations.
</t>
        </r>
        <r>
          <rPr>
            <b/>
            <sz val="8"/>
            <color indexed="81"/>
            <rFont val="Tahoma"/>
            <family val="2"/>
          </rPr>
          <t>Favorable and unfavorable lease amounts are recorded as components of “Other intangible assets” and “Other liabilities”, respectively, when we purchase restaurants (see Note 3) and are amortized to “Cost of sales” – both on a straight-line basis over the remaining term of the leases</t>
        </r>
        <r>
          <rPr>
            <sz val="8"/>
            <color indexed="81"/>
            <rFont val="Tahoma"/>
            <family val="2"/>
          </rPr>
          <t xml:space="preserve">.  Upon early termination of a lease, the favorable or unfavorable lease balance associated with the lease is recognized as a loss or gain, respectively, in the Consolidated Statements of Operations.
</t>
        </r>
      </text>
    </comment>
    <comment ref="BD27" authorId="7">
      <text>
        <r>
          <rPr>
            <b/>
            <sz val="8"/>
            <color indexed="81"/>
            <rFont val="Tahoma"/>
            <family val="2"/>
          </rPr>
          <t xml:space="preserve">1.13.14:
</t>
        </r>
        <r>
          <rPr>
            <sz val="8"/>
            <color indexed="81"/>
            <rFont val="Tahoma"/>
            <family val="2"/>
          </rPr>
          <t>Excludes a $13.5M charge from exiting pension plan, which is included in reported results</t>
        </r>
        <r>
          <rPr>
            <sz val="8"/>
            <color indexed="81"/>
            <rFont val="Tahoma"/>
            <family val="2"/>
          </rPr>
          <t xml:space="preserve">
</t>
        </r>
      </text>
    </comment>
    <comment ref="CR27" authorId="0">
      <text>
        <r>
          <rPr>
            <b/>
            <sz val="8"/>
            <color indexed="81"/>
            <rFont val="Tahoma"/>
            <family val="2"/>
          </rPr>
          <t>Jon Tower:</t>
        </r>
        <r>
          <rPr>
            <sz val="8"/>
            <color indexed="81"/>
            <rFont val="Tahoma"/>
            <family val="2"/>
          </rPr>
          <t xml:space="preserve">
</t>
        </r>
        <r>
          <rPr>
            <b/>
            <sz val="8"/>
            <color indexed="81"/>
            <rFont val="Tahoma"/>
            <family val="2"/>
          </rPr>
          <t>Advertising costs</t>
        </r>
        <r>
          <rPr>
            <sz val="8"/>
            <color indexed="81"/>
            <rFont val="Tahoma"/>
            <family val="2"/>
          </rPr>
          <t xml:space="preserve">
The Company incurs various advertising costs, including contributions to certain advertising cooperatives based upon a percentage of net sales by Company-owned restaurants.  The Company accounts for contributions made by the Company-owned restaurants to advertising cooperatives as an expense the first time the related advertising takes place.  All advertising costs are expensed as incurred with the exception of media development costs that are expensed beginning in the month that the advertisement is first communicated.  </t>
        </r>
        <r>
          <rPr>
            <b/>
            <sz val="8"/>
            <color indexed="81"/>
            <rFont val="Tahoma"/>
            <family val="2"/>
          </rPr>
          <t>These amounts are included in the “Cost of sales” expenses in the accompanying Consolidated Statements of Operations.</t>
        </r>
        <r>
          <rPr>
            <sz val="8"/>
            <color indexed="81"/>
            <rFont val="Tahoma"/>
            <family val="2"/>
          </rPr>
          <t xml:space="preserve">
</t>
        </r>
        <r>
          <rPr>
            <b/>
            <sz val="8"/>
            <color indexed="81"/>
            <rFont val="Tahoma"/>
            <family val="2"/>
          </rPr>
          <t xml:space="preserve">Vendor incentives
</t>
        </r>
        <r>
          <rPr>
            <sz val="8"/>
            <color indexed="81"/>
            <rFont val="Tahoma"/>
            <family val="2"/>
          </rPr>
          <t xml:space="preserve">
The Company receives incentives from its vendors. These incentives are recognized as earned and, in accordance with Emerging Issues Task Force Issue 02-16 “Accounting by a Customer (Including a Reseller) for Certain Consideration Received from a Vendor,” are generally classified as a reduction of “Cost of Sales” in the Consolidated Statements of Operations.
</t>
        </r>
        <r>
          <rPr>
            <b/>
            <sz val="8"/>
            <color indexed="81"/>
            <rFont val="Tahoma"/>
            <family val="2"/>
          </rPr>
          <t>Favorable and unfavorable lease amounts are recorded as components of “Other intangible assets” and “Other liabilities”, respectively, when we purchase restaurants (see Note 3) and are amortized to “Cost of sales” – both on a straight-line basis over the remaining term of the leases</t>
        </r>
        <r>
          <rPr>
            <sz val="8"/>
            <color indexed="81"/>
            <rFont val="Tahoma"/>
            <family val="2"/>
          </rPr>
          <t xml:space="preserve">.  Upon early termination of a lease, the favorable or unfavorable lease balance associated with the lease is recognized as a loss or gain, respectively, in the Consolidated Statements of Operations.
</t>
        </r>
      </text>
    </comment>
    <comment ref="AE28" authorId="0">
      <text>
        <r>
          <rPr>
            <b/>
            <sz val="8"/>
            <color indexed="81"/>
            <rFont val="Tahoma"/>
            <family val="2"/>
          </rPr>
          <t>Jon Tower:</t>
        </r>
        <r>
          <rPr>
            <sz val="8"/>
            <color indexed="81"/>
            <rFont val="Tahoma"/>
            <family val="2"/>
          </rPr>
          <t xml:space="preserve">
8.6.09
includes $1.857M of integration costs included in G&amp;A</t>
        </r>
      </text>
    </comment>
    <comment ref="AF28" authorId="0">
      <text>
        <r>
          <rPr>
            <b/>
            <sz val="8"/>
            <color indexed="81"/>
            <rFont val="Tahoma"/>
            <family val="2"/>
          </rPr>
          <t xml:space="preserve">Jon Tower:
3.4.10
2008 Baseline G&amp;A
• As a starting point, our pro forma combined G&amp;A for 2008 was $455mm
• To provide a basis for comparing a run rate G&amp;A level against 2009:
 -You need to first subtract the integration cost of $2mm
 - Second, add back $29mm for performance-based bonuses that were not paid in 2008
-  And third adjust for merger-related synergies that were achieved in Q4 2008 of $6mm
These adjustments in total provide a 2008 baseline G&amp;A of $488mm for comparison purposes
</t>
        </r>
        <r>
          <rPr>
            <sz val="8"/>
            <color indexed="81"/>
            <rFont val="Tahoma"/>
            <family val="2"/>
          </rPr>
          <t xml:space="preserve">
8.6.09
Baseline '08 G&amp;A $488M 
As a starting point, our pro-forma G&amp;A for 2008 was
$455 million. To provide a basis for comparing against 2009, you need to first subtract integration cost. Second, add back $29 million for performance-based bonuses that were not paid in 2008, but
are being accrued as G&amp;A expense in 2009. And third, adjust for merger-related synergies that were achieved in the fourth quarter of 2008 of approximately $6 million. These adjustments in total provide a 2008 base line G&amp;A of $488 million for comparison purposes.</t>
        </r>
      </text>
    </comment>
    <comment ref="AG28" authorId="0">
      <text>
        <r>
          <rPr>
            <b/>
            <sz val="8"/>
            <color indexed="81"/>
            <rFont val="Tahoma"/>
            <family val="2"/>
          </rPr>
          <t>Jon Tower:</t>
        </r>
        <r>
          <rPr>
            <sz val="8"/>
            <color indexed="81"/>
            <rFont val="Tahoma"/>
            <family val="2"/>
          </rPr>
          <t xml:space="preserve">
5.7.09
includes $3.653M related to integration-related costs</t>
        </r>
      </text>
    </comment>
    <comment ref="AH28" authorId="0">
      <text>
        <r>
          <rPr>
            <b/>
            <sz val="8"/>
            <color indexed="81"/>
            <rFont val="Tahoma"/>
            <family val="2"/>
          </rPr>
          <t>Jon Tower:</t>
        </r>
        <r>
          <rPr>
            <sz val="8"/>
            <color indexed="81"/>
            <rFont val="Tahoma"/>
            <family val="2"/>
          </rPr>
          <t xml:space="preserve">
8.6.09
Our general and administrative expenses increased $70.6 million to $112.7 million for the three months ended June 28, 2009 from $42.1 million for the three months ended June 29, 2008 principally due to the Wendy’s Merger which added $62.4 million of general and administrative expenses in the 2009 second quarter. Excluding the effect of the Wendy’s Merger, general and administrative expenses increased $8.2 million principally due to </t>
        </r>
        <r>
          <rPr>
            <b/>
            <sz val="8"/>
            <color indexed="81"/>
            <rFont val="Tahoma"/>
            <family val="2"/>
          </rPr>
          <t>(1) $4.3 million of integration costs related to the Wendy’s Merger and (2) a $3.2 million increase in incentive compensation accruals due to stronger consolidated performance as compared to plan in the 2009 second quarter compared to weaker consolidated performance as compared to plan in the 2008 second quarte</t>
        </r>
        <r>
          <rPr>
            <sz val="8"/>
            <color indexed="81"/>
            <rFont val="Tahoma"/>
            <family val="2"/>
          </rPr>
          <t>r.  These increases were partially offset by a $1.2 million decrease in the fees for professional and strategic services provided to us under the terms of the transition services agreement with the Management Company.</t>
        </r>
      </text>
    </comment>
    <comment ref="AM28" authorId="0">
      <text>
        <r>
          <rPr>
            <b/>
            <sz val="8"/>
            <color indexed="81"/>
            <rFont val="Tahoma"/>
            <family val="2"/>
          </rPr>
          <t>Jon Tower:</t>
        </r>
        <r>
          <rPr>
            <sz val="8"/>
            <color indexed="81"/>
            <rFont val="Tahoma"/>
            <family val="2"/>
          </rPr>
          <t xml:space="preserve">
8.12.10
integration costs in G&amp;A = $0.856
-----
Y/Y benefit from $5.6M lower incentive comp</t>
        </r>
      </text>
    </comment>
    <comment ref="AN28" authorId="0">
      <text>
        <r>
          <rPr>
            <b/>
            <sz val="8"/>
            <color indexed="81"/>
            <rFont val="Tahoma"/>
            <family val="2"/>
          </rPr>
          <t>Jon Tower:</t>
        </r>
        <r>
          <rPr>
            <sz val="8"/>
            <color indexed="81"/>
            <rFont val="Tahoma"/>
            <family val="2"/>
          </rPr>
          <t xml:space="preserve">
11.12.10
includes $0.6M in integration costs</t>
        </r>
      </text>
    </comment>
    <comment ref="AO28" authorId="0">
      <text>
        <r>
          <rPr>
            <b/>
            <sz val="8"/>
            <color indexed="81"/>
            <rFont val="Tahoma"/>
            <family val="2"/>
          </rPr>
          <t>Jon Tower:</t>
        </r>
        <r>
          <rPr>
            <sz val="8"/>
            <color indexed="81"/>
            <rFont val="Tahoma"/>
            <family val="2"/>
          </rPr>
          <t xml:space="preserve">
11.12.10
will include integration costs similar to 3Q (or $0.6)</t>
        </r>
      </text>
    </comment>
    <comment ref="AP28" authorId="0">
      <text>
        <r>
          <rPr>
            <b/>
            <sz val="8"/>
            <color indexed="81"/>
            <rFont val="Tahoma"/>
            <family val="2"/>
          </rPr>
          <t xml:space="preserve">Jon Tower:
5.13.10
INCLUDES:
$2.894M in integration costs 
$4.9M in SSG purchasing co-op expenses in G&amp;A -- seed program
----
</t>
        </r>
        <r>
          <rPr>
            <sz val="8"/>
            <color indexed="81"/>
            <rFont val="Tahoma"/>
            <family val="2"/>
          </rPr>
          <t xml:space="preserve">from CALL
G&amp;A expense was $110.5 million including a total of $7.8 million of merger related integration cost and the charge related to formation of the new purchasing Co-Op. Excluding these cost and executive severance, G&amp;A was lower on a comparable basis by approximately 5%. We anticipate integration cost and G&amp;A to be approximately $8 million for 2010 primarily related to continuing IT integration projects.
</t>
        </r>
        <r>
          <rPr>
            <b/>
            <sz val="8"/>
            <color indexed="81"/>
            <rFont val="Tahoma"/>
            <family val="2"/>
          </rPr>
          <t xml:space="preserve">
3.4.10
</t>
        </r>
        <r>
          <rPr>
            <sz val="8"/>
            <color indexed="81"/>
            <rFont val="Tahoma"/>
            <family val="2"/>
          </rPr>
          <t xml:space="preserve">2009 G&amp;A 
intergration costs $16.598M
Wendy's purchasing co-op cost $15.5M
benefit from vaca policy standard in G&amp;A $3.339M
Net $28.76M -- one time charges
</t>
        </r>
        <r>
          <rPr>
            <b/>
            <sz val="8"/>
            <color indexed="81"/>
            <rFont val="Tahoma"/>
            <family val="2"/>
          </rPr>
          <t xml:space="preserve">therefore base = $423.9M
8.6.09
comparable G&amp;A in '09 = $435-$445M
grow by 2%, back out $25M in savings --- reach ~$423M for 2010
3.2.09
our est. 
$429M base ('09) 
3% inflation
back out $25M of additional cost savings
implies --- $417M
</t>
        </r>
        <r>
          <rPr>
            <sz val="8"/>
            <color indexed="81"/>
            <rFont val="Tahoma"/>
            <family val="2"/>
          </rPr>
          <t xml:space="preserve">
1.15.08
expect to hit G&amp;A savings target of $60M through completion of IT project rationalization</t>
        </r>
      </text>
    </comment>
    <comment ref="AT28" authorId="0">
      <text>
        <r>
          <rPr>
            <b/>
            <sz val="8"/>
            <color indexed="81"/>
            <rFont val="Tahoma"/>
            <family val="2"/>
          </rPr>
          <t xml:space="preserve">Sushama Dasari:
</t>
        </r>
        <r>
          <rPr>
            <b/>
            <sz val="8"/>
            <color indexed="81"/>
            <rFont val="Tahoma"/>
            <family val="2"/>
          </rPr>
          <t>11.8.12</t>
        </r>
        <r>
          <rPr>
            <sz val="8"/>
            <color indexed="81"/>
            <rFont val="Tahoma"/>
            <family val="2"/>
          </rPr>
          <t xml:space="preserve">
Ex non-recurring restructuring charges G&amp;A was $57.6M / 9.4% sales</t>
        </r>
      </text>
    </comment>
    <comment ref="AX28" authorId="0">
      <text>
        <r>
          <rPr>
            <b/>
            <sz val="8"/>
            <color indexed="81"/>
            <rFont val="Tahoma"/>
            <family val="2"/>
          </rPr>
          <t xml:space="preserve">Sushama Dasari:
</t>
        </r>
        <r>
          <rPr>
            <b/>
            <sz val="8"/>
            <color indexed="81"/>
            <rFont val="Tahoma"/>
            <family val="2"/>
          </rPr>
          <t>11.8.12</t>
        </r>
        <r>
          <rPr>
            <sz val="8"/>
            <color indexed="81"/>
            <rFont val="Tahoma"/>
            <family val="2"/>
          </rPr>
          <t xml:space="preserve">
Adjusted 3Q'12 G&amp;A (ex facilities relocation/corporate restructuring and transaction costs): $60.745M / 9.5% revenue</t>
        </r>
      </text>
    </comment>
    <comment ref="AY28"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G&amp;A ex. Breakfast restructuring costs ($14.6M) was $55-56M / 8.8% revenue</t>
        </r>
      </text>
    </comment>
    <comment ref="AZ28" authorId="0">
      <text>
        <r>
          <rPr>
            <b/>
            <sz val="8"/>
            <color indexed="81"/>
            <rFont val="Tahoma"/>
            <family val="2"/>
          </rPr>
          <t>Jon Tower:</t>
        </r>
        <r>
          <rPr>
            <sz val="8"/>
            <color indexed="81"/>
            <rFont val="Tahoma"/>
            <family val="2"/>
          </rPr>
          <t xml:space="preserve">
G&amp;A +20 m vs adjusted 11 or ~$300 m
11.9.11
adjusted 2011 G&amp;A $275-$280mn</t>
        </r>
      </text>
    </comment>
    <comment ref="BB28" authorId="7">
      <text>
        <r>
          <rPr>
            <b/>
            <sz val="8"/>
            <color indexed="81"/>
            <rFont val="Tahoma"/>
            <family val="2"/>
          </rPr>
          <t xml:space="preserve">11.7.13
</t>
        </r>
        <r>
          <rPr>
            <sz val="8"/>
            <color indexed="81"/>
            <rFont val="Tahoma"/>
            <family val="2"/>
          </rPr>
          <t>Includes $1M in franchise incentive payments</t>
        </r>
        <r>
          <rPr>
            <b/>
            <sz val="8"/>
            <color indexed="81"/>
            <rFont val="Tahoma"/>
            <family val="2"/>
          </rPr>
          <t xml:space="preserve">
Jake Bartlett:</t>
        </r>
        <r>
          <rPr>
            <sz val="8"/>
            <color indexed="81"/>
            <rFont val="Tahoma"/>
            <family val="2"/>
          </rPr>
          <t xml:space="preserve">
Includes $3.3M in severance expensem, $2.2M more incentive comp Y/Y.</t>
        </r>
      </text>
    </comment>
    <comment ref="BC28" authorId="7">
      <text>
        <r>
          <rPr>
            <b/>
            <sz val="8"/>
            <color indexed="81"/>
            <rFont val="Tahoma"/>
            <family val="2"/>
          </rPr>
          <t xml:space="preserve">11.7.13
</t>
        </r>
        <r>
          <rPr>
            <sz val="8"/>
            <color indexed="81"/>
            <rFont val="Tahoma"/>
            <family val="2"/>
          </rPr>
          <t>Includes $3.8M in franchise incentive payments</t>
        </r>
        <r>
          <rPr>
            <sz val="8"/>
            <color indexed="81"/>
            <rFont val="Tahoma"/>
            <family val="2"/>
          </rPr>
          <t xml:space="preserve">
</t>
        </r>
      </text>
    </comment>
    <comment ref="BD28" authorId="6">
      <text>
        <r>
          <rPr>
            <b/>
            <sz val="8"/>
            <color indexed="81"/>
            <rFont val="Tahoma"/>
            <family val="2"/>
          </rPr>
          <t xml:space="preserve">11.7.13
</t>
        </r>
        <r>
          <rPr>
            <sz val="8"/>
            <color indexed="81"/>
            <rFont val="Tahoma"/>
            <family val="2"/>
          </rPr>
          <t>Expected to include $5M in franchise incentive payments</t>
        </r>
        <r>
          <rPr>
            <sz val="8"/>
            <color indexed="81"/>
            <rFont val="Tahoma"/>
            <family val="2"/>
          </rPr>
          <t xml:space="preserve">
</t>
        </r>
        <r>
          <rPr>
            <b/>
            <sz val="8"/>
            <color indexed="81"/>
            <rFont val="Tahoma"/>
            <family val="2"/>
          </rPr>
          <t xml:space="preserve">1.16.13
</t>
        </r>
        <r>
          <rPr>
            <sz val="8"/>
            <color indexed="81"/>
            <rFont val="Tahoma"/>
            <family val="2"/>
          </rPr>
          <t>4Q12 G&amp;A was $55-56M excluding breakfast restructuring costs. Growing that by 5% y/y and adding $10M franchisee incentive yields ~$68M</t>
        </r>
      </text>
    </comment>
    <comment ref="BE28" authorId="4">
      <text>
        <r>
          <rPr>
            <b/>
            <sz val="8"/>
            <color indexed="81"/>
            <rFont val="Tahoma"/>
            <family val="2"/>
          </rPr>
          <t xml:space="preserve">1.13.14:
</t>
        </r>
        <r>
          <rPr>
            <sz val="8"/>
            <color indexed="81"/>
            <rFont val="Tahoma"/>
            <family val="2"/>
          </rPr>
          <t xml:space="preserve">Includes $9.3M incentive expense
</t>
        </r>
        <r>
          <rPr>
            <sz val="8"/>
            <color indexed="81"/>
            <rFont val="Tahoma"/>
            <family val="2"/>
          </rPr>
          <t xml:space="preserve">
5.13: falttish w 12 including $10 m exopense in 4Q</t>
        </r>
      </text>
    </comment>
    <comment ref="BJ28" authorId="4">
      <text>
        <r>
          <rPr>
            <b/>
            <sz val="8"/>
            <color indexed="81"/>
            <rFont val="Tahoma"/>
            <family val="2"/>
          </rPr>
          <t xml:space="preserve">11.14: $267 M before cost saves, $265 wi $2 m of the $30 m of saleves to occur in 15
8.7.14
</t>
        </r>
        <r>
          <rPr>
            <sz val="8"/>
            <color indexed="81"/>
            <rFont val="Tahoma"/>
            <family val="2"/>
          </rPr>
          <t>$275M guidance.gross savings = $30 M , net down to $19 M due ot an increase of $11 M in SBC</t>
        </r>
        <r>
          <rPr>
            <b/>
            <sz val="8"/>
            <color indexed="81"/>
            <rFont val="Tahoma"/>
            <family val="2"/>
          </rPr>
          <t xml:space="preserve">
5.8.14:</t>
        </r>
        <r>
          <rPr>
            <sz val="8"/>
            <color indexed="81"/>
            <rFont val="Tahoma"/>
            <family val="2"/>
          </rPr>
          <t xml:space="preserve">
of the $8M in franchise incentives, $3M in cash and $2M in construction support (both hit G&amp;A). $3M will be in royalty relief which does not hit G&amp;A.</t>
        </r>
        <r>
          <rPr>
            <b/>
            <sz val="8"/>
            <color indexed="81"/>
            <rFont val="Tahoma"/>
            <family val="2"/>
          </rPr>
          <t xml:space="preserve">
2.27.14:
</t>
        </r>
        <r>
          <rPr>
            <sz val="8"/>
            <color indexed="81"/>
            <rFont val="Tahoma"/>
            <family val="2"/>
          </rPr>
          <t xml:space="preserve">$4.5M of incentive payment expected to be cash. </t>
        </r>
        <r>
          <rPr>
            <b/>
            <sz val="8"/>
            <color indexed="81"/>
            <rFont val="Tahoma"/>
            <family val="2"/>
          </rPr>
          <t xml:space="preserve">
1.21.14: </t>
        </r>
        <r>
          <rPr>
            <sz val="8"/>
            <color indexed="81"/>
            <rFont val="Tahoma"/>
            <family val="2"/>
          </rPr>
          <t>conversation with Dave P. Roughly 2/3 of $8M incentive is cash incentive and franchise support (in G&amp;A). Roughly 50% of the $30M in G&amp;A savings from infranchising . We estimate ~$5M was realized in '13. Rest in '14. 
G&amp;A base (ex franchise incentive is $284M. Our estimate grows 3% from there, plus $6M franchisin incentive fee, less $25M remaining G&amp;A savings from reimaging = ~$273.5M</t>
        </r>
        <r>
          <rPr>
            <b/>
            <sz val="8"/>
            <color indexed="81"/>
            <rFont val="Tahoma"/>
            <family val="2"/>
          </rPr>
          <t xml:space="preserve">
1.13.14:
</t>
        </r>
        <r>
          <rPr>
            <sz val="8"/>
            <color indexed="81"/>
            <rFont val="Tahoma"/>
            <family val="2"/>
          </rPr>
          <t xml:space="preserve">Expected to include $8M (less an unspecified amount of royalty relief with hits franchise revenue) of IA incentive expenses.
</t>
        </r>
        <r>
          <rPr>
            <sz val="8"/>
            <color indexed="81"/>
            <rFont val="Tahoma"/>
            <family val="2"/>
          </rPr>
          <t xml:space="preserve">
7.13: goal is to reduce to $30 M below 12 levels (or ~$258 M)</t>
        </r>
      </text>
    </comment>
    <comment ref="BK28" authorId="1">
      <text>
        <r>
          <rPr>
            <b/>
            <sz val="9"/>
            <color indexed="81"/>
            <rFont val="Tahoma"/>
            <family val="2"/>
          </rPr>
          <t>O'Brien, Courtney (Research):</t>
        </r>
        <r>
          <rPr>
            <sz val="9"/>
            <color indexed="81"/>
            <rFont val="Tahoma"/>
            <family val="2"/>
          </rPr>
          <t xml:space="preserve">
5.5.15
down 14% y/y due to cost savings related to company system optimization, 2014 resource realignment, and lower equity comp</t>
        </r>
      </text>
    </comment>
    <comment ref="BN28" authorId="1">
      <text>
        <r>
          <rPr>
            <b/>
            <sz val="9"/>
            <color indexed="81"/>
            <rFont val="Tahoma"/>
            <family val="2"/>
          </rPr>
          <t>O'Brien, Courtney (Research):</t>
        </r>
        <r>
          <rPr>
            <sz val="9"/>
            <color indexed="81"/>
            <rFont val="Tahoma"/>
            <family val="2"/>
          </rPr>
          <t xml:space="preserve">
2.9.16
higher incentive comp, includes extra week</t>
        </r>
      </text>
    </comment>
    <comment ref="BO28" authorId="7">
      <text>
        <r>
          <rPr>
            <b/>
            <sz val="8"/>
            <color indexed="81"/>
            <rFont val="Tahoma"/>
            <family val="2"/>
          </rPr>
          <t xml:space="preserve">11.4.15
~250M
8.4.15
on track to more $240M
5.5.15
reit 250M
2.3.15:
</t>
        </r>
        <r>
          <rPr>
            <sz val="8"/>
            <color indexed="81"/>
            <rFont val="Tahoma"/>
            <family val="2"/>
          </rPr>
          <t>$250M guidance</t>
        </r>
        <r>
          <rPr>
            <b/>
            <sz val="8"/>
            <color indexed="81"/>
            <rFont val="Tahoma"/>
            <family val="2"/>
          </rPr>
          <t xml:space="preserve">
10.14: </t>
        </r>
        <r>
          <rPr>
            <sz val="8"/>
            <color indexed="81"/>
            <rFont val="Tahoma"/>
            <family val="2"/>
          </rPr>
          <t>$250 M, inclding $30 M in cost reductions , including $20 m from G&amp;A cuts, $8 from canda sale, $4 m from less franchsie incnetives and offset by $10 m in higher incentive comp andinvestmesnand $7 m in extra week etc</t>
        </r>
        <r>
          <rPr>
            <b/>
            <sz val="8"/>
            <color indexed="81"/>
            <rFont val="Tahoma"/>
            <family val="2"/>
          </rPr>
          <t xml:space="preserve">
8.7.14:</t>
        </r>
        <r>
          <rPr>
            <sz val="8"/>
            <color indexed="81"/>
            <rFont val="Tahoma"/>
            <family val="2"/>
          </rPr>
          <t xml:space="preserve">
Sale of Canada units will save $8M of G&amp;A in 2015</t>
        </r>
      </text>
    </comment>
    <comment ref="BP28" authorId="3">
      <text>
        <r>
          <rPr>
            <b/>
            <sz val="9"/>
            <color indexed="81"/>
            <rFont val="Tahoma"/>
            <family val="2"/>
          </rPr>
          <t>Glass, John (Research):</t>
        </r>
        <r>
          <rPr>
            <sz val="9"/>
            <color indexed="81"/>
            <rFont val="Tahoma"/>
            <family val="2"/>
          </rPr>
          <t xml:space="preserve">
5.16: includes $3.7 m in legal/professioal fees + $1.2 M in add'l comp accruals</t>
        </r>
      </text>
    </comment>
    <comment ref="BR28" authorId="1">
      <text>
        <r>
          <rPr>
            <b/>
            <sz val="9"/>
            <color indexed="81"/>
            <rFont val="Tahoma"/>
            <family val="2"/>
          </rPr>
          <t>O'Brien, Courtney (Research):</t>
        </r>
        <r>
          <rPr>
            <sz val="9"/>
            <color indexed="81"/>
            <rFont val="Tahoma"/>
            <family val="2"/>
          </rPr>
          <t xml:space="preserve">
11.9.16
This 7.5% year-over-year decrease was mainly
due to savings from systems optimization and lower share-based compensation and incentive compensation; offset by ~2M legal fee for cc</t>
        </r>
      </text>
    </comment>
    <comment ref="BT28" authorId="8">
      <text>
        <r>
          <rPr>
            <b/>
            <sz val="9"/>
            <color indexed="81"/>
            <rFont val="Tahoma"/>
            <family val="2"/>
          </rPr>
          <t xml:space="preserve">11.9.16
$245-250M; includes 4-5M credit card
8.10.16
$245-250M, which includes absorbing the incremental cost related to the unusual payment card activity, as well as increased legal reserves. 
5.11.2016
</t>
        </r>
        <r>
          <rPr>
            <sz val="9"/>
            <color indexed="81"/>
            <rFont val="Tahoma"/>
            <family val="2"/>
          </rPr>
          <t>to $245-250M, primarily due to higher incentive compensation accruals and increased professional fees and legal reserves.</t>
        </r>
        <r>
          <rPr>
            <b/>
            <sz val="9"/>
            <color indexed="81"/>
            <rFont val="Tahoma"/>
            <family val="2"/>
          </rPr>
          <t xml:space="preserve">
2.9.16
</t>
        </r>
        <r>
          <rPr>
            <sz val="9"/>
            <color indexed="81"/>
            <rFont val="Tahoma"/>
            <family val="2"/>
          </rPr>
          <t>G&amp;A of $235M</t>
        </r>
        <r>
          <rPr>
            <b/>
            <sz val="9"/>
            <color indexed="81"/>
            <rFont val="Tahoma"/>
            <family val="2"/>
          </rPr>
          <t xml:space="preserve">
2.3.15:</t>
        </r>
        <r>
          <rPr>
            <sz val="9"/>
            <color indexed="81"/>
            <rFont val="Tahoma"/>
            <family val="2"/>
          </rPr>
          <t xml:space="preserve">
G&amp;A of $230M RUN RATE once refranchising (5% mix is achieved (expected in 2Q16) but will likely never be $230 m in a given year b/c of iniflation</t>
        </r>
      </text>
    </comment>
    <comment ref="BU28" authorId="1">
      <text>
        <r>
          <rPr>
            <b/>
            <sz val="9"/>
            <color indexed="81"/>
            <rFont val="Tahoma"/>
            <family val="2"/>
          </rPr>
          <t>O'Brien, Courtney (Research):</t>
        </r>
        <r>
          <rPr>
            <sz val="9"/>
            <color indexed="81"/>
            <rFont val="Tahoma"/>
            <family val="2"/>
          </rPr>
          <t xml:space="preserve">
5.10.17
Down 12M Y/Y as ZBB rolls out; due to decreases in (1) professional services due to legal and other costs associated with the cybersecurity incident recognized during the first quarter of 2016, (2) employee compensation and related expenses primarily as a result of changes in staffing driven by our system optimization initiative, (3) incentive compensation accruals due to a decrease in operating performance as compared to plan in 2017 versus 2016, (4) share-based compensation primarily as a result of awards granted and timing of expense recognition and (5) legal reserves.
</t>
        </r>
      </text>
    </comment>
    <comment ref="BW28" authorId="2">
      <text>
        <r>
          <rPr>
            <b/>
            <sz val="9"/>
            <color indexed="81"/>
            <rFont val="Tahoma"/>
            <family val="2"/>
          </rPr>
          <t>Carril, Christopher E (Research):</t>
        </r>
        <r>
          <rPr>
            <sz val="9"/>
            <color indexed="81"/>
            <rFont val="Tahoma"/>
            <family val="2"/>
          </rPr>
          <t xml:space="preserve">
</t>
        </r>
        <r>
          <rPr>
            <b/>
            <sz val="9"/>
            <color indexed="81"/>
            <rFont val="Tahoma"/>
            <family val="2"/>
          </rPr>
          <t>11.8.2017</t>
        </r>
        <r>
          <rPr>
            <sz val="9"/>
            <color indexed="81"/>
            <rFont val="Tahoma"/>
            <family val="2"/>
          </rPr>
          <t xml:space="preserve">
The 10.1% year-over-year decrease was mainly due to lower professional
fees and savings from our system optimization initiatives.</t>
        </r>
      </text>
    </comment>
    <comment ref="BY28" authorId="2">
      <text>
        <r>
          <rPr>
            <b/>
            <sz val="9"/>
            <color indexed="81"/>
            <rFont val="Tahoma"/>
            <family val="2"/>
          </rPr>
          <t xml:space="preserve">11.8.2017
</t>
        </r>
        <r>
          <rPr>
            <sz val="9"/>
            <color indexed="81"/>
            <rFont val="Tahoma"/>
            <family val="2"/>
          </rPr>
          <t xml:space="preserve">Reit low end of prior range ~$210-220M
</t>
        </r>
        <r>
          <rPr>
            <b/>
            <sz val="9"/>
            <color indexed="81"/>
            <rFont val="Tahoma"/>
            <family val="2"/>
          </rPr>
          <t xml:space="preserve">
8.10.17
</t>
        </r>
        <r>
          <rPr>
            <sz val="9"/>
            <color indexed="81"/>
            <rFont val="Tahoma"/>
            <family val="2"/>
          </rPr>
          <t xml:space="preserve">low end of previously issued range of $210-220M
</t>
        </r>
        <r>
          <rPr>
            <b/>
            <sz val="9"/>
            <color indexed="81"/>
            <rFont val="Tahoma"/>
            <family val="2"/>
          </rPr>
          <t xml:space="preserve">
5.10.17
</t>
        </r>
        <r>
          <rPr>
            <sz val="9"/>
            <color indexed="81"/>
            <rFont val="Tahoma"/>
            <family val="2"/>
          </rPr>
          <t xml:space="preserve">General and administrative expense at the low end of its previously issued
range of approximately $210 to $220 million.
</t>
        </r>
        <r>
          <rPr>
            <b/>
            <sz val="9"/>
            <color indexed="81"/>
            <rFont val="Tahoma"/>
            <family val="2"/>
          </rPr>
          <t xml:space="preserve">
2.16.17
</t>
        </r>
        <r>
          <rPr>
            <sz val="9"/>
            <color indexed="81"/>
            <rFont val="Tahoma"/>
            <family val="2"/>
          </rPr>
          <t xml:space="preserve">$210 to $220 million
</t>
        </r>
        <r>
          <rPr>
            <b/>
            <sz val="9"/>
            <color indexed="81"/>
            <rFont val="Tahoma"/>
            <family val="2"/>
          </rPr>
          <t xml:space="preserve">5.11.2016
</t>
        </r>
        <r>
          <rPr>
            <sz val="9"/>
            <color indexed="81"/>
            <rFont val="Tahoma"/>
            <family val="2"/>
          </rPr>
          <t>The Company remains committed to its previously articulated goal of reducing G&amp;A expense to a level of approximately $230 million in 2017</t>
        </r>
      </text>
    </comment>
    <comment ref="CD28" authorId="1">
      <text>
        <r>
          <rPr>
            <b/>
            <sz val="9"/>
            <color indexed="81"/>
            <rFont val="Tahoma"/>
            <family val="2"/>
          </rPr>
          <t>O'Brien, Courtney (Research):</t>
        </r>
        <r>
          <rPr>
            <sz val="9"/>
            <color indexed="81"/>
            <rFont val="Tahoma"/>
            <family val="2"/>
          </rPr>
          <t xml:space="preserve">
</t>
        </r>
        <r>
          <rPr>
            <b/>
            <sz val="9"/>
            <color indexed="81"/>
            <rFont val="Tahoma"/>
            <family val="2"/>
          </rPr>
          <t xml:space="preserve">2.21.2018
</t>
        </r>
        <r>
          <rPr>
            <sz val="9"/>
            <color indexed="81"/>
            <rFont val="Tahoma"/>
            <family val="2"/>
          </rPr>
          <t xml:space="preserve">General and administrative expense of approximately $195 million. 
</t>
        </r>
        <r>
          <rPr>
            <b/>
            <sz val="9"/>
            <color indexed="81"/>
            <rFont val="Tahoma"/>
            <family val="2"/>
          </rPr>
          <t>11.8.2017</t>
        </r>
        <r>
          <rPr>
            <sz val="9"/>
            <color indexed="81"/>
            <rFont val="Tahoma"/>
            <family val="2"/>
          </rPr>
          <t xml:space="preserve">
Again, transparency, headwinds are going to be the G&amp;A restructuring plan is going to be an adverse effect on our cash flows in '18. And again, we have disclosed that it's in the range of $12 million to $13 million for 2018.
</t>
        </r>
        <r>
          <rPr>
            <b/>
            <sz val="9"/>
            <color indexed="81"/>
            <rFont val="Tahoma"/>
            <family val="2"/>
          </rPr>
          <t>5.10.17</t>
        </r>
        <r>
          <rPr>
            <sz val="9"/>
            <color indexed="81"/>
            <rFont val="Tahoma"/>
            <family val="2"/>
          </rPr>
          <t xml:space="preserve">
Cut ~25m from base of 215M by 2018 (probably a run rate)
Approximately three-quarters of the total G&amp;A expense reduction of
approximately $35 million is expected to be realized by the end of 2018, with
the remainder of the savings being realized in 2019.
</t>
        </r>
      </text>
    </comment>
    <comment ref="CI28" authorId="1">
      <text>
        <r>
          <rPr>
            <b/>
            <sz val="9"/>
            <color indexed="81"/>
            <rFont val="Tahoma"/>
            <family val="2"/>
          </rPr>
          <t>O'Brien, Courtney (Research):</t>
        </r>
        <r>
          <rPr>
            <sz val="9"/>
            <color indexed="81"/>
            <rFont val="Tahoma"/>
            <family val="2"/>
          </rPr>
          <t xml:space="preserve">
5.10.17
Cut 35 M from base of 215M (run rate?)</t>
        </r>
      </text>
    </comment>
    <comment ref="CN28" authorId="1">
      <text>
        <r>
          <rPr>
            <b/>
            <sz val="9"/>
            <color indexed="81"/>
            <rFont val="Tahoma"/>
            <family val="2"/>
          </rPr>
          <t>O'Brien, Courtney (Research):</t>
        </r>
        <r>
          <rPr>
            <sz val="9"/>
            <color indexed="81"/>
            <rFont val="Tahoma"/>
            <family val="2"/>
          </rPr>
          <t xml:space="preserve">
2.16.17
G&amp;A to approximately 1.5 percent of global restaurant sales by 2020 = 180M on 12B system sales</t>
        </r>
      </text>
    </comment>
    <comment ref="AG29" authorId="0">
      <text>
        <r>
          <rPr>
            <b/>
            <sz val="8"/>
            <color indexed="81"/>
            <rFont val="Tahoma"/>
            <family val="2"/>
          </rPr>
          <t>Jon Tower:</t>
        </r>
        <r>
          <rPr>
            <sz val="8"/>
            <color indexed="81"/>
            <rFont val="Tahoma"/>
            <family val="2"/>
          </rPr>
          <t xml:space="preserve">
5.7.09
The additional one time charge of $6.5 million of depreciation and amortization recorded in the first quarter of 2009, as a result of refinements to the Wendy’s purchase price allocation (including long-lived assets), is not expected to recur for the remainder of 2009.
-----
During the 2009 first quarter, the Company received proceeds from dispositions of $6,246 consisting of $3,384 from the sale of 10 Wendy’s units to a franchisee and $2,862 related to other dispositions. These sales resulted in a gain of $2,334 which is included in “Depreciation and amortization”.</t>
        </r>
      </text>
    </comment>
    <comment ref="AM29" authorId="0">
      <text>
        <r>
          <rPr>
            <b/>
            <sz val="8"/>
            <color indexed="81"/>
            <rFont val="Tahoma"/>
            <family val="2"/>
          </rPr>
          <t>Jon Tower:</t>
        </r>
        <r>
          <rPr>
            <sz val="8"/>
            <color indexed="81"/>
            <rFont val="Tahoma"/>
            <family val="2"/>
          </rPr>
          <t xml:space="preserve">
5.13.10
Depreciation and amortization was approximately $46 million (1Q) and we expect the quarterly amount will increase slightly throughout the year due to our remodel spending.</t>
        </r>
      </text>
    </comment>
    <comment ref="AN29" authorId="0">
      <text>
        <r>
          <rPr>
            <b/>
            <sz val="8"/>
            <color indexed="81"/>
            <rFont val="Tahoma"/>
            <family val="2"/>
          </rPr>
          <t>Jon Tower:</t>
        </r>
        <r>
          <rPr>
            <sz val="8"/>
            <color indexed="81"/>
            <rFont val="Tahoma"/>
            <family val="2"/>
          </rPr>
          <t xml:space="preserve">
5.13.10
Depreciation and amortization was approximately $46 million (1Q) and we expect the quarterly amount will increase slightly throughout the year due to our remodel spending.</t>
        </r>
      </text>
    </comment>
    <comment ref="AO29" authorId="0">
      <text>
        <r>
          <rPr>
            <b/>
            <sz val="8"/>
            <color indexed="81"/>
            <rFont val="Tahoma"/>
            <family val="2"/>
          </rPr>
          <t>Jon Tower:</t>
        </r>
        <r>
          <rPr>
            <sz val="8"/>
            <color indexed="81"/>
            <rFont val="Tahoma"/>
            <family val="2"/>
          </rPr>
          <t xml:space="preserve">
5.13.10
Depreciation and amortization was approximately $46 million (1Q) and we expect the quarterly amount will increase slightly throughout the year due to our remodel spending.</t>
        </r>
      </text>
    </comment>
    <comment ref="AP29" authorId="0">
      <text>
        <r>
          <rPr>
            <b/>
            <sz val="8"/>
            <color indexed="81"/>
            <rFont val="Tahoma"/>
            <family val="2"/>
          </rPr>
          <t>Jon Tower:</t>
        </r>
        <r>
          <rPr>
            <sz val="8"/>
            <color indexed="81"/>
            <rFont val="Tahoma"/>
            <family val="2"/>
          </rPr>
          <t xml:space="preserve">
5.13.10
post 1Q call follow-up --- Steve Hare -- expect D&amp;A to be up slightly Y/Y (~$2M).</t>
        </r>
      </text>
    </comment>
    <comment ref="AQ29" authorId="0">
      <text>
        <r>
          <rPr>
            <b/>
            <sz val="8"/>
            <color indexed="81"/>
            <rFont val="Tahoma"/>
            <family val="2"/>
          </rPr>
          <t>Jon Tower:</t>
        </r>
        <r>
          <rPr>
            <sz val="8"/>
            <color indexed="81"/>
            <rFont val="Tahoma"/>
            <family val="2"/>
          </rPr>
          <t xml:space="preserve">
1Q11 adjusted D&amp;A = $30.314 mn
</t>
        </r>
      </text>
    </comment>
    <comment ref="AV29" authorId="0">
      <text>
        <r>
          <rPr>
            <b/>
            <sz val="8"/>
            <color indexed="81"/>
            <rFont val="Tahoma"/>
            <family val="2"/>
          </rPr>
          <t>Jon Tower:</t>
        </r>
        <r>
          <rPr>
            <sz val="8"/>
            <color indexed="81"/>
            <rFont val="Tahoma"/>
            <family val="2"/>
          </rPr>
          <t xml:space="preserve">
1Q11 adjusted D&amp;A = $30.314 mn
</t>
        </r>
      </text>
    </comment>
    <comment ref="AW29" authorId="6">
      <text>
        <r>
          <rPr>
            <b/>
            <sz val="8"/>
            <color indexed="81"/>
            <rFont val="Tahoma"/>
            <family val="2"/>
          </rPr>
          <t>Sushama Dasari:</t>
        </r>
        <r>
          <rPr>
            <sz val="8"/>
            <color indexed="81"/>
            <rFont val="Tahoma"/>
            <family val="2"/>
          </rPr>
          <t xml:space="preserve">
</t>
        </r>
        <r>
          <rPr>
            <b/>
            <sz val="8"/>
            <color indexed="81"/>
            <rFont val="Tahoma"/>
            <family val="2"/>
          </rPr>
          <t xml:space="preserve">8.9.12:
</t>
        </r>
        <r>
          <rPr>
            <sz val="8"/>
            <color indexed="81"/>
            <rFont val="Tahoma"/>
            <family val="2"/>
          </rPr>
          <t>D&amp;A will continue to run higher as cap ex for Image Activation kicks in</t>
        </r>
      </text>
    </comment>
    <comment ref="AX29"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Depreciation will run higher on an ongoing basis due to Image Activation program. In 3Q, there was ~$2M accelerated depreciation, which will part part of program going forward</t>
        </r>
      </text>
    </comment>
    <comment ref="BB29" authorId="7">
      <text>
        <r>
          <rPr>
            <b/>
            <sz val="8"/>
            <color indexed="81"/>
            <rFont val="Tahoma"/>
            <family val="2"/>
          </rPr>
          <t>Jake Bartlett:</t>
        </r>
        <r>
          <rPr>
            <sz val="8"/>
            <color indexed="81"/>
            <rFont val="Tahoma"/>
            <family val="2"/>
          </rPr>
          <t xml:space="preserve">
2Q 10Q:
Includes a net gains of $3.163M from sale of proporties included in D&amp;A. 
Includes $4.2M of accelerated depreciation vs. $2.4M in 2Q12.</t>
        </r>
      </text>
    </comment>
    <comment ref="BC29" authorId="7">
      <text>
        <r>
          <rPr>
            <b/>
            <sz val="8"/>
            <color indexed="81"/>
            <rFont val="Tahoma"/>
            <family val="2"/>
          </rPr>
          <t xml:space="preserve">11.7.13:
</t>
        </r>
        <r>
          <rPr>
            <sz val="8"/>
            <color indexed="81"/>
            <rFont val="Tahoma"/>
            <family val="2"/>
          </rPr>
          <t>Depreciation and amortization during the third quarter of 2013 includes accelerated depreciation of $0.9 million and $4.9 million on existing assets that
will be replaced in 2013 and 2014, respectively, as part of our Image Activation program, compared to $4.5 million during the third quarter of 2012 on assets that were replaced during the fourth quarter of 2012. The increase in restaurant depreciation and amortization during the third quarter of 2013 also includes a $2.0 million increase on new and reimaged Image Activation restaurants.</t>
        </r>
        <r>
          <rPr>
            <sz val="8"/>
            <color indexed="81"/>
            <rFont val="Tahoma"/>
            <family val="2"/>
          </rPr>
          <t xml:space="preserve">
</t>
        </r>
      </text>
    </comment>
    <comment ref="BE29" authorId="6">
      <text>
        <r>
          <rPr>
            <b/>
            <sz val="8"/>
            <color indexed="81"/>
            <rFont val="Tahoma"/>
            <family val="2"/>
          </rPr>
          <t xml:space="preserve">3.11.14
</t>
        </r>
        <r>
          <rPr>
            <sz val="8"/>
            <color indexed="81"/>
            <rFont val="Tahoma"/>
            <family val="2"/>
          </rPr>
          <t>Includes roughly $12M in D&amp;A that is corporate in nature) as per Dave Poplar.</t>
        </r>
        <r>
          <rPr>
            <b/>
            <sz val="8"/>
            <color indexed="81"/>
            <rFont val="Tahoma"/>
            <family val="2"/>
          </rPr>
          <t xml:space="preserve">
11.7.13
"</t>
        </r>
        <r>
          <rPr>
            <sz val="8"/>
            <color indexed="81"/>
            <rFont val="Tahoma"/>
            <family val="2"/>
          </rPr>
          <t>Estimated 2013 Adjusted Earnings Per Share excludes approximately $40 million of anticipated pretax depreciation for existing assets to be replaced as part of the Image Activation initiative. This amount is up from the previous guidance of $20 to $25 million, due to accelerated depreciation from the 2014 class of Company-operated Image Activation reimaged restaurants. The Company expects its total 2013 depreciation and amortization expense to increase approximately 20 percent compared to 2012, up from the previous outlook of 15 to 20 percent due to the anticipated net impact of system optimization and Image Activation."</t>
        </r>
        <r>
          <rPr>
            <b/>
            <sz val="8"/>
            <color indexed="81"/>
            <rFont val="Tahoma"/>
            <family val="2"/>
          </rPr>
          <t xml:space="preserve">
7.23.13
</t>
        </r>
        <r>
          <rPr>
            <sz val="8"/>
            <color indexed="81"/>
            <rFont val="Tahoma"/>
            <family val="2"/>
          </rPr>
          <t>Expect D&amp;A in '13 to increase 15-20% vs. '12 due to $20-25M pre-tax accelerated depreciation for existing assets that will be replaced during Image Activation</t>
        </r>
        <r>
          <rPr>
            <sz val="8"/>
            <color indexed="81"/>
            <rFont val="Tahoma"/>
            <family val="2"/>
          </rPr>
          <t xml:space="preserve">
</t>
        </r>
        <r>
          <rPr>
            <b/>
            <sz val="8"/>
            <color indexed="81"/>
            <rFont val="Tahoma"/>
            <family val="2"/>
          </rPr>
          <t xml:space="preserve">1.16.13
</t>
        </r>
        <r>
          <rPr>
            <sz val="8"/>
            <color indexed="81"/>
            <rFont val="Tahoma"/>
            <family val="2"/>
          </rPr>
          <t xml:space="preserve">Expect D&amp;A in '13 to increase 15-20% vs. '12 due to $20-30M pre-tax accelerated depreciation for existing assets that will be replaced during Image Activation
E-mail with Dave Poplar 2/20/13: This $20-30M accelerated depreciation is not included in operating EPS guidance of 18c ( i.e., adjusted out) and will likely grow in the coming years with increased remodels. </t>
        </r>
        <r>
          <rPr>
            <b/>
            <sz val="8"/>
            <color indexed="81"/>
            <rFont val="Tahoma"/>
            <family val="2"/>
          </rPr>
          <t>However</t>
        </r>
        <r>
          <rPr>
            <sz val="8"/>
            <color indexed="81"/>
            <rFont val="Tahoma"/>
            <family val="2"/>
          </rPr>
          <t xml:space="preserve">, since most other companies (JACK, MCD) do not exclude accelerated depreciation from operating EPS, we will treat WEN the same </t>
        </r>
      </text>
    </comment>
    <comment ref="BJ29" authorId="9">
      <text>
        <r>
          <rPr>
            <b/>
            <sz val="8"/>
            <color indexed="81"/>
            <rFont val="Tahoma"/>
            <family val="2"/>
          </rPr>
          <t xml:space="preserve">8.7.14:
</t>
        </r>
        <r>
          <rPr>
            <sz val="8"/>
            <color indexed="81"/>
            <rFont val="Tahoma"/>
            <family val="2"/>
          </rPr>
          <t>Reiterated</t>
        </r>
        <r>
          <rPr>
            <b/>
            <sz val="8"/>
            <color indexed="81"/>
            <rFont val="Tahoma"/>
            <family val="2"/>
          </rPr>
          <t xml:space="preserve">
5.8.14:
</t>
        </r>
        <r>
          <rPr>
            <sz val="8"/>
            <color indexed="81"/>
            <rFont val="Tahoma"/>
            <family val="2"/>
          </rPr>
          <t>Reiterated</t>
        </r>
        <r>
          <rPr>
            <b/>
            <sz val="8"/>
            <color indexed="81"/>
            <rFont val="Tahoma"/>
            <family val="2"/>
          </rPr>
          <t xml:space="preserve">
2.27.14:</t>
        </r>
        <r>
          <rPr>
            <sz val="8"/>
            <color indexed="81"/>
            <rFont val="Tahoma"/>
            <family val="2"/>
          </rPr>
          <t xml:space="preserve">
Reiterated</t>
        </r>
        <r>
          <rPr>
            <b/>
            <sz val="8"/>
            <color indexed="81"/>
            <rFont val="Tahoma"/>
            <family val="2"/>
          </rPr>
          <t xml:space="preserve">
1.13.14:
</t>
        </r>
        <r>
          <rPr>
            <sz val="8"/>
            <color indexed="81"/>
            <rFont val="Tahoma"/>
            <family val="2"/>
          </rPr>
          <t>Guidance for total D&amp;A to decrease 10% vs. '13 (= $164.2M), including $40M of accelerated D&amp;A in '14 and a similar amount in '13.</t>
        </r>
        <r>
          <rPr>
            <b/>
            <sz val="8"/>
            <color indexed="81"/>
            <rFont val="Tahoma"/>
            <family val="2"/>
          </rPr>
          <t xml:space="preserve">
7.23.13
</t>
        </r>
        <r>
          <rPr>
            <sz val="8"/>
            <color indexed="81"/>
            <rFont val="Tahoma"/>
            <family val="2"/>
          </rPr>
          <t xml:space="preserve">D&amp;A lower by $30 run rate by end of 14 due to refranchsing
</t>
        </r>
        <r>
          <rPr>
            <b/>
            <sz val="8"/>
            <color indexed="81"/>
            <rFont val="Tahoma"/>
            <family val="2"/>
          </rPr>
          <t xml:space="preserve">
2.22.13
</t>
        </r>
        <r>
          <rPr>
            <sz val="8"/>
            <color indexed="81"/>
            <rFont val="Tahoma"/>
            <family val="2"/>
          </rPr>
          <t>Assume base D&amp;A of $150M + $30-40M accelerated depreciation (1.5x the $20-30M in FY13 since # remodels double from 64 to 125 but fewer Tier 1s)</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BO29" authorId="9">
      <text>
        <r>
          <rPr>
            <b/>
            <sz val="8"/>
            <color indexed="81"/>
            <rFont val="Tahoma"/>
            <family val="2"/>
          </rPr>
          <t xml:space="preserve">11.4.15
145-150M
2.3.15
</t>
        </r>
        <r>
          <rPr>
            <sz val="8"/>
            <color indexed="81"/>
            <rFont val="Tahoma"/>
            <family val="2"/>
          </rPr>
          <t>Up 3-5% Y/Y, including $20M in accelerated depreciation. Implies $164-167M.</t>
        </r>
        <r>
          <rPr>
            <b/>
            <sz val="8"/>
            <color indexed="81"/>
            <rFont val="Tahoma"/>
            <family val="2"/>
          </rPr>
          <t xml:space="preserve">
2.22.13
</t>
        </r>
        <r>
          <rPr>
            <sz val="8"/>
            <color indexed="81"/>
            <rFont val="Tahoma"/>
            <family val="2"/>
          </rPr>
          <t>Assume base D&amp;A of $150M + ~$50M accelerated depreciation   (# remodels are 225 vs. 64 in 2013 but fewer of them are Tier 1)</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BT29" authorId="1">
      <text>
        <r>
          <rPr>
            <b/>
            <sz val="9"/>
            <color indexed="81"/>
            <rFont val="Tahoma"/>
            <family val="2"/>
          </rPr>
          <t xml:space="preserve">11.1.16
125M (accel dep = 4M), included)
8.10.16
reit $130-135M
</t>
        </r>
        <r>
          <rPr>
            <sz val="9"/>
            <color indexed="81"/>
            <rFont val="Tahoma"/>
            <family val="2"/>
          </rPr>
          <t xml:space="preserve">
</t>
        </r>
        <r>
          <rPr>
            <b/>
            <sz val="9"/>
            <color indexed="81"/>
            <rFont val="Tahoma"/>
            <family val="2"/>
          </rPr>
          <t xml:space="preserve">5.11.2016
</t>
        </r>
        <r>
          <rPr>
            <sz val="9"/>
            <color indexed="81"/>
            <rFont val="Tahoma"/>
            <family val="2"/>
          </rPr>
          <t xml:space="preserve">Reit $130-135M incl $5M accel depreciation
</t>
        </r>
        <r>
          <rPr>
            <b/>
            <sz val="9"/>
            <color indexed="81"/>
            <rFont val="Tahoma"/>
            <family val="2"/>
          </rPr>
          <t>2.9.16</t>
        </r>
        <r>
          <rPr>
            <sz val="9"/>
            <color indexed="81"/>
            <rFont val="Tahoma"/>
            <family val="2"/>
          </rPr>
          <t xml:space="preserve">
$130-135M incl $5M accel depreciation</t>
        </r>
      </text>
    </comment>
    <comment ref="BU29" authorId="1">
      <text>
        <r>
          <rPr>
            <b/>
            <sz val="9"/>
            <color indexed="81"/>
            <rFont val="Tahoma"/>
            <family val="2"/>
          </rPr>
          <t>O'Brien, Courtney (Research):</t>
        </r>
        <r>
          <rPr>
            <sz val="9"/>
            <color indexed="81"/>
            <rFont val="Tahoma"/>
            <family val="2"/>
          </rPr>
          <t xml:space="preserve">
5.10.15
The decrease in restaurant depreciation and amortization during the first quarter of 2017 was primarily due to (1) a decrease in depreciation on assets sold under our system optimization initiative of $2.5 million and (2) a decrease in accelerated depreciation on existing assets that are being replaced as part of our Image Activation program of $1.4 million.</t>
        </r>
      </text>
    </comment>
    <comment ref="BY29" authorId="1">
      <text>
        <r>
          <rPr>
            <b/>
            <sz val="9"/>
            <color indexed="81"/>
            <rFont val="Tahoma"/>
            <family val="2"/>
          </rPr>
          <t xml:space="preserve">11.8.2017
</t>
        </r>
        <r>
          <rPr>
            <sz val="9"/>
            <color indexed="81"/>
            <rFont val="Tahoma"/>
            <family val="2"/>
          </rPr>
          <t xml:space="preserve">Reit: ~$120 to $125 million, including accelerated depreciation of approximately $1 million
</t>
        </r>
        <r>
          <rPr>
            <b/>
            <sz val="9"/>
            <color indexed="81"/>
            <rFont val="Tahoma"/>
            <family val="2"/>
          </rPr>
          <t xml:space="preserve">
8.9.17
</t>
        </r>
        <r>
          <rPr>
            <sz val="9"/>
            <color indexed="81"/>
            <rFont val="Tahoma"/>
            <family val="2"/>
          </rPr>
          <t xml:space="preserve">$120-125M, incl accel of $1M
</t>
        </r>
        <r>
          <rPr>
            <b/>
            <sz val="9"/>
            <color indexed="81"/>
            <rFont val="Tahoma"/>
            <family val="2"/>
          </rPr>
          <t xml:space="preserve">
5.10.17
</t>
        </r>
        <r>
          <rPr>
            <sz val="9"/>
            <color indexed="81"/>
            <rFont val="Tahoma"/>
            <family val="2"/>
          </rPr>
          <t xml:space="preserve">Depreciation and amortization expense of approximately $120 million, including accelerated depreciation of approximately $2 million
</t>
        </r>
        <r>
          <rPr>
            <b/>
            <sz val="9"/>
            <color indexed="81"/>
            <rFont val="Tahoma"/>
            <family val="2"/>
          </rPr>
          <t xml:space="preserve">
2.6.17</t>
        </r>
        <r>
          <rPr>
            <sz val="9"/>
            <color indexed="81"/>
            <rFont val="Tahoma"/>
            <family val="2"/>
          </rPr>
          <t xml:space="preserve">
$120 million, including accelerated depreciation of approximately $2 million</t>
        </r>
      </text>
    </comment>
    <comment ref="CD29" authorId="2">
      <text>
        <r>
          <rPr>
            <b/>
            <sz val="9"/>
            <color indexed="81"/>
            <rFont val="Tahoma"/>
            <family val="2"/>
          </rPr>
          <t>Carril, Christopher E (Research):</t>
        </r>
        <r>
          <rPr>
            <sz val="9"/>
            <color indexed="81"/>
            <rFont val="Tahoma"/>
            <family val="2"/>
          </rPr>
          <t xml:space="preserve">
2.21.2018
Depreciation and amortization expense of approximately $128 million. </t>
        </r>
      </text>
    </comment>
    <comment ref="CI29" authorId="9">
      <text>
        <r>
          <rPr>
            <b/>
            <sz val="8"/>
            <color indexed="81"/>
            <rFont val="Tahoma"/>
            <family val="2"/>
          </rPr>
          <t xml:space="preserve">
2.22.13
</t>
        </r>
        <r>
          <rPr>
            <sz val="8"/>
            <color indexed="81"/>
            <rFont val="Tahoma"/>
            <family val="2"/>
          </rPr>
          <t>Assume base D&amp;A of $150M + ~$50M accelerated depreciation   (similar to FY15)</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CN29" authorId="9">
      <text>
        <r>
          <rPr>
            <b/>
            <sz val="8"/>
            <color indexed="81"/>
            <rFont val="Tahoma"/>
            <family val="2"/>
          </rPr>
          <t xml:space="preserve">Sushama Dasari:
2.22.13
</t>
        </r>
        <r>
          <rPr>
            <sz val="8"/>
            <color indexed="81"/>
            <rFont val="Tahoma"/>
            <family val="2"/>
          </rPr>
          <t>Assume base D&amp;A of $150M + ~$50M accelerated depreciation   (similar to FY15)</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BV30" authorId="1">
      <text>
        <r>
          <rPr>
            <b/>
            <sz val="9"/>
            <color indexed="81"/>
            <rFont val="Tahoma"/>
            <family val="2"/>
          </rPr>
          <t>O'Brien, Courtney (Research):</t>
        </r>
        <r>
          <rPr>
            <sz val="9"/>
            <color indexed="81"/>
            <rFont val="Tahoma"/>
            <family val="2"/>
          </rPr>
          <t xml:space="preserve">
6.1.17
The Company expects to report a pre-tax loss on the NPC/DavCo transaction for the fiscal quarter that will end on July 2, 2017. The expected loss will be recorded to System optimization losses (gains), net in the Companys consolidated statements of operations. The amount of the loss is not estimable at this time. </t>
        </r>
      </text>
    </comment>
    <comment ref="A31" authorId="3">
      <text>
        <r>
          <rPr>
            <b/>
            <sz val="9"/>
            <color indexed="81"/>
            <rFont val="Tahoma"/>
            <family val="2"/>
          </rPr>
          <t>Glass, John (Research):</t>
        </r>
        <r>
          <rPr>
            <sz val="9"/>
            <color indexed="81"/>
            <rFont val="Tahoma"/>
            <family val="2"/>
          </rPr>
          <t xml:space="preserve">
fomerly "Facilities Actions and corporate estructuring"</t>
        </r>
      </text>
    </comment>
    <comment ref="AG31" authorId="0">
      <text>
        <r>
          <rPr>
            <b/>
            <sz val="8"/>
            <color indexed="81"/>
            <rFont val="Tahoma"/>
            <family val="2"/>
          </rPr>
          <t>Jon Tower:</t>
        </r>
        <r>
          <rPr>
            <sz val="8"/>
            <color indexed="81"/>
            <rFont val="Tahoma"/>
            <family val="2"/>
          </rPr>
          <t xml:space="preserve">
5.7.09
The facilities relocation and corporate restructuring charges in our Wendy’s restaurant segment for the first quarter of 2009 of $4,161 primarily related to severance costs in connection with the Wendy’s Merger. We expect to incur additional facilities relocation and corporate restructuring charges with respect to additional severance costs in connection with the Wendy’s Merger of $3,190 in the remainder of 2009.</t>
        </r>
      </text>
    </comment>
    <comment ref="AH31" authorId="0">
      <text>
        <r>
          <rPr>
            <b/>
            <sz val="8"/>
            <color indexed="81"/>
            <rFont val="Tahoma"/>
            <family val="2"/>
          </rPr>
          <t>Jon Tower:</t>
        </r>
        <r>
          <rPr>
            <sz val="8"/>
            <color indexed="81"/>
            <rFont val="Tahoma"/>
            <family val="2"/>
          </rPr>
          <t xml:space="preserve">
5.7.09
The facilities relocation and corporate restructuring charges in our Wendy’s restaurant segment for the first quarter of 2009 o</t>
        </r>
        <r>
          <rPr>
            <b/>
            <sz val="8"/>
            <color indexed="81"/>
            <rFont val="Tahoma"/>
            <family val="2"/>
          </rPr>
          <t>f $4,161 primarily related to severance costs in connection with the Wendy’s Merger. We expect to incur additional facilities relocation and corporate restructuring charges with respect to additional severance costs in connection with the Wendy’s Merger of $3,190 in the remainder of 2009.</t>
        </r>
        <r>
          <rPr>
            <sz val="8"/>
            <color indexed="81"/>
            <rFont val="Tahoma"/>
            <family val="2"/>
          </rPr>
          <t xml:space="preserve">
We expect that our facilities relocation and corporate restructuring expense for the remainder of 2009 will be higher than the same period in 2008 primarily due to additional Wendy’s Merger related costs that cannot yet be recognized under applicable accounting standards</t>
        </r>
      </text>
    </comment>
    <comment ref="AJ31" authorId="0">
      <text>
        <r>
          <rPr>
            <b/>
            <sz val="8"/>
            <color indexed="81"/>
            <rFont val="Tahoma"/>
            <family val="2"/>
          </rPr>
          <t>Jon Tower:</t>
        </r>
        <r>
          <rPr>
            <sz val="8"/>
            <color indexed="81"/>
            <rFont val="Tahoma"/>
            <family val="2"/>
          </rPr>
          <t xml:space="preserve">
11.5.09 - 10Q
For the remainder of 2009, we expect to incur additional facilities relocation and corporate restructuring charges of $1,349 related to additional severance costs from the Wendy’s Merger
We expect that our facilities relocation and corporate restructuring expense for the fourth quarter of 2009 will be lower than the same period in 2008 primarily due to the timing of restructuring activities</t>
        </r>
      </text>
    </comment>
    <comment ref="AK31" authorId="0">
      <text>
        <r>
          <rPr>
            <b/>
            <sz val="8"/>
            <color indexed="81"/>
            <rFont val="Tahoma"/>
            <family val="2"/>
          </rPr>
          <t>Jon Tower:</t>
        </r>
        <r>
          <rPr>
            <sz val="8"/>
            <color indexed="81"/>
            <rFont val="Tahoma"/>
            <family val="2"/>
          </rPr>
          <t xml:space="preserve">
5.7.09
The facilities relocation and corporate restructuring charges in our Wendy’s restaurant segment for the first quarter of 2009 o</t>
        </r>
        <r>
          <rPr>
            <b/>
            <sz val="8"/>
            <color indexed="81"/>
            <rFont val="Tahoma"/>
            <family val="2"/>
          </rPr>
          <t>f $4,161 primarily related to severance costs in connection with the Wendy’s Merger. We expect to incur additional facilities relocation and corporate restructuring charges with respect to additional severance costs in connection with the Wendy’s Merger of $3,190 in the remainder of 2009.</t>
        </r>
        <r>
          <rPr>
            <sz val="8"/>
            <color indexed="81"/>
            <rFont val="Tahoma"/>
            <family val="2"/>
          </rPr>
          <t xml:space="preserve">
We expect that our facilities relocation and corporate restructuring expense for the remainder of 2009 will be higher than the same period in 2008 primarily due to additional Wendy’s Merger related costs that cannot yet be recognized under applicable accounting standards</t>
        </r>
      </text>
    </comment>
    <comment ref="AY31"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$14.6M of the $17.5M restructuring charge is to remove breakfast from underperforming restaurants</t>
        </r>
      </text>
    </comment>
    <comment ref="BB31" authorId="7">
      <text>
        <r>
          <rPr>
            <b/>
            <sz val="8"/>
            <color indexed="81"/>
            <rFont val="Tahoma"/>
            <family val="2"/>
          </rPr>
          <t>Jake Bartlett:</t>
        </r>
        <r>
          <rPr>
            <sz val="8"/>
            <color indexed="81"/>
            <rFont val="Tahoma"/>
            <family val="2"/>
          </rPr>
          <t xml:space="preserve">
$4.8M for system optimization. $1.2M facilities relocation, $0.4M breakfast discontinuation.</t>
        </r>
      </text>
    </comment>
    <comment ref="BD31" authorId="7">
      <text>
        <r>
          <rPr>
            <b/>
            <sz val="8"/>
            <color indexed="81"/>
            <rFont val="Tahoma"/>
            <family val="2"/>
          </rPr>
          <t>1.13.14:
Includes at $16 m gain from facilities actions, partially offset by a $13.5M pension charge reported in bakery COGS.</t>
        </r>
        <r>
          <rPr>
            <sz val="8"/>
            <color indexed="81"/>
            <rFont val="Tahoma"/>
            <family val="2"/>
          </rPr>
          <t xml:space="preserve">
</t>
        </r>
      </text>
    </comment>
    <comment ref="BE31" authorId="7">
      <text>
        <r>
          <rPr>
            <b/>
            <sz val="8"/>
            <color indexed="81"/>
            <rFont val="Tahoma"/>
            <family val="2"/>
          </rPr>
          <t>Jake Bartlett:</t>
        </r>
        <r>
          <rPr>
            <sz val="8"/>
            <color indexed="81"/>
            <rFont val="Tahoma"/>
            <family val="2"/>
          </rPr>
          <t xml:space="preserve">
2Q 10Q
In July 2013, the Company announced a system optimization initiative, as part of its brand transformation, which includes a plan to sell approximately 425 company-owned restaurants to franchisees by mid-year 2014. The Company’s system optimization initiative also includes the consolidation of regional and divisional territories. As a result of the system optimization initiative, the Company anticipates recognizing the following costs during 2013 and 2014: (1) losses on remeasuring long-lived assets to fair value upon determination that the assets will be leased and/or subleased to franchisees in connection with the sale or anticipated sale of restaurants (“System Optimization Remeasurement”), (2) professional fees and (3) severance and related employee costs. These costs, as well as gains or losses recognized on the sale of restaurants under the system optimization initiative will be recorded to “Facilities action charges, net” in our condensed consolidated statement of operations. The Company estimates severance and related employee costs will total between $7,000 and $10,000. The Company cannot estimate the other components of the system optimization initiative resulting from future sales of restaurants.</t>
        </r>
      </text>
    </comment>
    <comment ref="BI31" authorId="8">
      <text>
        <r>
          <rPr>
            <b/>
            <sz val="9"/>
            <color indexed="81"/>
            <rFont val="Tahoma"/>
            <family val="2"/>
          </rPr>
          <t>11.6.14:</t>
        </r>
        <r>
          <rPr>
            <sz val="9"/>
            <color indexed="81"/>
            <rFont val="Tahoma"/>
            <family val="2"/>
          </rPr>
          <t xml:space="preserve">
Charges related to corp cost reduction expected to by $20-25M in 4Q and 1H15 combined</t>
        </r>
      </text>
    </comment>
    <comment ref="CD31" authorId="2">
      <text>
        <r>
          <rPr>
            <b/>
            <sz val="9"/>
            <color indexed="81"/>
            <rFont val="Tahoma"/>
            <family val="2"/>
          </rPr>
          <t>Carril, Christopher E (Research):</t>
        </r>
        <r>
          <rPr>
            <sz val="9"/>
            <color indexed="81"/>
            <rFont val="Tahoma"/>
            <family val="2"/>
          </rPr>
          <t xml:space="preserve">
11.8.2017
Again, transparency, headwinds are going to be the G&amp;A restructuring plan is going to
be an adverse effect on our cash flows in '18. And again, we have disclosed that it's in the range of $12 million to $13 million for 2018.</t>
        </r>
      </text>
    </comment>
    <comment ref="BD32" authorId="4">
      <text>
        <r>
          <rPr>
            <b/>
            <sz val="8"/>
            <color indexed="81"/>
            <rFont val="Tahoma"/>
            <family val="2"/>
          </rPr>
          <t>John Glass:</t>
        </r>
        <r>
          <rPr>
            <sz val="8"/>
            <color indexed="81"/>
            <rFont val="Tahoma"/>
            <family val="2"/>
          </rPr>
          <t xml:space="preserve">
1.13: relates to an international goodwill impariment charge</t>
        </r>
      </text>
    </comment>
    <comment ref="A37" authorId="3">
      <text>
        <r>
          <rPr>
            <b/>
            <sz val="9"/>
            <color indexed="81"/>
            <rFont val="Tahoma"/>
            <family val="2"/>
          </rPr>
          <t>Glass, John (Research):</t>
        </r>
        <r>
          <rPr>
            <sz val="9"/>
            <color indexed="81"/>
            <rFont val="Tahoma"/>
            <family val="2"/>
          </rPr>
          <t xml:space="preserve">
other op inc/exp is where sub rent will be recorded</t>
        </r>
      </text>
    </comment>
    <comment ref="AG37" authorId="0">
      <text>
        <r>
          <rPr>
            <b/>
            <sz val="8"/>
            <color indexed="81"/>
            <rFont val="Tahoma"/>
            <family val="2"/>
          </rPr>
          <t>Jon Tower:</t>
        </r>
        <r>
          <rPr>
            <sz val="8"/>
            <color indexed="81"/>
            <rFont val="Tahoma"/>
            <family val="2"/>
          </rPr>
          <t xml:space="preserve">
5.7.09
The aggregate purchase price of $16,243 also included $693 of losses from the settlement of unfavorable franchise rights and a $1,180 gain on the termination of subleases both included in “Other operating expense (income), net” in the accompanying unaudited condensed consolidated statement of operations.</t>
        </r>
      </text>
    </comment>
    <comment ref="AS37" authorId="10">
      <text>
        <r>
          <rPr>
            <b/>
            <sz val="8"/>
            <color indexed="81"/>
            <rFont val="Tahoma"/>
            <family val="2"/>
          </rPr>
          <t>David Dorfman:</t>
        </r>
        <r>
          <rPr>
            <sz val="8"/>
            <color indexed="81"/>
            <rFont val="Tahoma"/>
            <family val="2"/>
          </rPr>
          <t xml:space="preserve">
includes transaction related costs</t>
        </r>
      </text>
    </comment>
    <comment ref="BF37" authorId="7">
      <text>
        <r>
          <rPr>
            <b/>
            <sz val="8"/>
            <color indexed="81"/>
            <rFont val="Tahoma"/>
            <family val="2"/>
          </rPr>
          <t xml:space="preserve">1Q14 10Q:
</t>
        </r>
        <r>
          <rPr>
            <sz val="8"/>
            <color indexed="81"/>
            <rFont val="Tahoma"/>
            <family val="2"/>
          </rPr>
          <t xml:space="preserve">Includes $12.1M gain from dispositions. </t>
        </r>
        <r>
          <rPr>
            <sz val="8"/>
            <color indexed="81"/>
            <rFont val="Tahoma"/>
            <family val="2"/>
          </rPr>
          <t xml:space="preserve">
</t>
        </r>
      </text>
    </comment>
    <comment ref="BG37" authorId="7">
      <text>
        <r>
          <rPr>
            <b/>
            <sz val="8"/>
            <color indexed="81"/>
            <rFont val="Tahoma"/>
            <family val="2"/>
          </rPr>
          <t xml:space="preserve">8.7.14
</t>
        </r>
        <r>
          <rPr>
            <sz val="8"/>
            <color indexed="81"/>
            <rFont val="Tahoma"/>
            <family val="2"/>
          </rPr>
          <t>Rental expense for leased units to franchisees. $0.9M</t>
        </r>
        <r>
          <rPr>
            <sz val="8"/>
            <color indexed="81"/>
            <rFont val="Tahoma"/>
            <family val="2"/>
          </rPr>
          <t xml:space="preserve">
</t>
        </r>
      </text>
    </comment>
    <comment ref="BH37" authorId="8">
      <text>
        <r>
          <rPr>
            <b/>
            <sz val="9"/>
            <color indexed="81"/>
            <rFont val="Tahoma"/>
            <family val="2"/>
          </rPr>
          <t>Bartlett, Jake (Research):</t>
        </r>
        <r>
          <rPr>
            <sz val="9"/>
            <color indexed="81"/>
            <rFont val="Tahoma"/>
            <family val="2"/>
          </rPr>
          <t xml:space="preserve">
includes $0.6M net gains ($13.602M YTD including $7.027M gains from restaurant sales and $8.616M from the sale of an airplane</t>
        </r>
      </text>
    </comment>
    <comment ref="BJ37" authorId="1">
      <text>
        <r>
          <rPr>
            <b/>
            <sz val="9"/>
            <color indexed="81"/>
            <rFont val="Tahoma"/>
            <family val="2"/>
          </rPr>
          <t>O'Brien, Courtney (Research):</t>
        </r>
        <r>
          <rPr>
            <sz val="9"/>
            <color indexed="81"/>
            <rFont val="Tahoma"/>
            <family val="2"/>
          </rPr>
          <t xml:space="preserve">
includes 12.1M gain from dispositions, would be 4.2M ex gain</t>
        </r>
      </text>
    </comment>
    <comment ref="BP37" authorId="3">
      <text>
        <r>
          <rPr>
            <b/>
            <sz val="9"/>
            <color indexed="81"/>
            <rFont val="Tahoma"/>
            <family val="2"/>
          </rPr>
          <t>Glass, John (Research):</t>
        </r>
        <r>
          <rPr>
            <sz val="9"/>
            <color indexed="81"/>
            <rFont val="Tahoma"/>
            <family val="2"/>
          </rPr>
          <t xml:space="preserve">
5.11.2016
The Company's 2016 results include a year-over-year net positive impact of approximately $9.6 million from a lease buyout, which is included in the "Other operating expense, net" line.
increases due ot sub rent expense as refranchisng occurs and keeps properties </t>
        </r>
      </text>
    </comment>
    <comment ref="BU37" authorId="3">
      <text>
        <r>
          <rPr>
            <b/>
            <sz val="9"/>
            <color indexed="81"/>
            <rFont val="Tahoma"/>
            <family val="2"/>
          </rPr>
          <t>Glass, John (Research):</t>
        </r>
        <r>
          <rPr>
            <sz val="9"/>
            <color indexed="81"/>
            <rFont val="Tahoma"/>
            <family val="2"/>
          </rPr>
          <t xml:space="preserve">
increases due ot sub rent expense as refranchisng occurs and keeps properties </t>
        </r>
      </text>
    </comment>
    <comment ref="BY37" authorId="1">
      <text>
        <r>
          <rPr>
            <b/>
            <sz val="9"/>
            <color indexed="81"/>
            <rFont val="Tahoma"/>
            <family val="2"/>
          </rPr>
          <t xml:space="preserve">2.6.17
</t>
        </r>
        <r>
          <rPr>
            <sz val="9"/>
            <color indexed="81"/>
            <rFont val="Tahoma"/>
            <family val="2"/>
          </rPr>
          <t xml:space="preserve">no longer includes rent
$80M
</t>
        </r>
        <r>
          <rPr>
            <b/>
            <sz val="9"/>
            <color indexed="81"/>
            <rFont val="Tahoma"/>
            <family val="2"/>
          </rPr>
          <t>8.5.15</t>
        </r>
        <r>
          <rPr>
            <sz val="9"/>
            <color indexed="81"/>
            <rFont val="Tahoma"/>
            <family val="2"/>
          </rPr>
          <t xml:space="preserve">
will be 90M by FY15 (rent expenses offsetting rent revenue)
</t>
        </r>
      </text>
    </comment>
    <comment ref="BZ37" authorId="3">
      <text>
        <r>
          <rPr>
            <b/>
            <sz val="9"/>
            <color indexed="81"/>
            <rFont val="Tahoma"/>
            <family val="2"/>
          </rPr>
          <t>Glass, John (Research):</t>
        </r>
        <r>
          <rPr>
            <sz val="9"/>
            <color indexed="81"/>
            <rFont val="Tahoma"/>
            <family val="2"/>
          </rPr>
          <t xml:space="preserve">
Increases due to sub rent expense as refranchisng occurs and keeps properties </t>
        </r>
      </text>
    </comment>
    <comment ref="CE37" authorId="3">
      <text>
        <r>
          <rPr>
            <b/>
            <sz val="9"/>
            <color indexed="81"/>
            <rFont val="Tahoma"/>
            <family val="2"/>
          </rPr>
          <t>Glass, John (Research):</t>
        </r>
        <r>
          <rPr>
            <sz val="9"/>
            <color indexed="81"/>
            <rFont val="Tahoma"/>
            <family val="2"/>
          </rPr>
          <t xml:space="preserve">
increases due ot sub rent expense as refranchisng occurs and keeps properties </t>
        </r>
      </text>
    </comment>
    <comment ref="CJ37" authorId="3">
      <text>
        <r>
          <rPr>
            <b/>
            <sz val="9"/>
            <color indexed="81"/>
            <rFont val="Tahoma"/>
            <family val="2"/>
          </rPr>
          <t>Glass, John (Research):</t>
        </r>
        <r>
          <rPr>
            <sz val="9"/>
            <color indexed="81"/>
            <rFont val="Tahoma"/>
            <family val="2"/>
          </rPr>
          <t xml:space="preserve">
increases due ot sub rent expense as refranchisng occurs and keeps properties </t>
        </r>
      </text>
    </comment>
    <comment ref="AE42" authorId="0">
      <text>
        <r>
          <rPr>
            <b/>
            <sz val="8"/>
            <color indexed="81"/>
            <rFont val="Tahoma"/>
            <family val="2"/>
          </rPr>
          <t>Jon Tower:</t>
        </r>
        <r>
          <rPr>
            <sz val="8"/>
            <color indexed="81"/>
            <rFont val="Tahoma"/>
            <family val="2"/>
          </rPr>
          <t xml:space="preserve">
8.6.09
includes $1.857M of integration costs included in G&amp;A</t>
        </r>
      </text>
    </comment>
    <comment ref="AF42" authorId="0">
      <text>
        <r>
          <rPr>
            <b/>
            <sz val="8"/>
            <color indexed="81"/>
            <rFont val="Tahoma"/>
            <family val="2"/>
          </rPr>
          <t>Jon Tower:</t>
        </r>
        <r>
          <rPr>
            <sz val="8"/>
            <color indexed="81"/>
            <rFont val="Tahoma"/>
            <family val="2"/>
          </rPr>
          <t xml:space="preserve">
3.2.09
proforma adjusted EBITDA is $366.937M -- we're at $373.2M, or a $6.26M difference, which includes</t>
        </r>
      </text>
    </comment>
    <comment ref="AG42" authorId="0">
      <text>
        <r>
          <rPr>
            <b/>
            <sz val="8"/>
            <color indexed="81"/>
            <rFont val="Tahoma"/>
            <family val="2"/>
          </rPr>
          <t xml:space="preserve">Jon Tower:
5.7.09 1Q09 was even below seasonal expectations for the Wendy's brand (traditionally 20% of annual total).
</t>
        </r>
        <r>
          <rPr>
            <sz val="8"/>
            <color indexed="81"/>
            <rFont val="Tahoma"/>
            <family val="2"/>
          </rPr>
          <t xml:space="preserve">
5.7.09
EBITDA $ 72,476
Plus integration-related costs included in:
General and administrative 3,653
Facilities relocation and corporate restructuring 4,161
7,814
Adjusted EBITDA $ 80,290</t>
        </r>
      </text>
    </comment>
    <comment ref="AI42" authorId="0">
      <text>
        <r>
          <rPr>
            <b/>
            <sz val="8"/>
            <color indexed="81"/>
            <rFont val="Tahoma"/>
            <family val="2"/>
          </rPr>
          <t>Jon Tower:</t>
        </r>
        <r>
          <rPr>
            <sz val="8"/>
            <color indexed="81"/>
            <rFont val="Tahoma"/>
            <family val="2"/>
          </rPr>
          <t xml:space="preserve">
11.5.09
base $119.370M
add back
facilities relocation etc = $1.725M
integration costs in G&amp;A = 3.292M
Adjusted EBITDA = $124.387</t>
        </r>
      </text>
    </comment>
    <comment ref="AK42" authorId="0">
      <text>
        <r>
          <rPr>
            <b/>
            <sz val="8"/>
            <color indexed="81"/>
            <rFont val="Tahoma"/>
            <family val="2"/>
          </rPr>
          <t xml:space="preserve">Jon Tower:
8.12.10
adjusted EBITDA normalized for 53rd week = $411.6M
5.13.10
EXTRA WEEK ADDED $14M to EBITDA
11.5.09
if SSS trends improve from Oct level (as expected), then expect mid-teens EBITDA growth in '09
</t>
        </r>
        <r>
          <rPr>
            <sz val="8"/>
            <color indexed="81"/>
            <rFont val="Tahoma"/>
            <family val="2"/>
          </rPr>
          <t xml:space="preserve">
3.2.09
Deliver average annual EBITDA growth in the mid-teens through 2011.
----
Off of adjusted EBITDA base of $366.937M in '08, 15% growth would imply '09 EBITDA of $422M</t>
        </r>
      </text>
    </comment>
    <comment ref="AL42" authorId="0">
      <text>
        <r>
          <rPr>
            <b/>
            <sz val="8"/>
            <color indexed="81"/>
            <rFont val="Tahoma"/>
            <family val="2"/>
          </rPr>
          <t>Jon Tower:</t>
        </r>
        <r>
          <rPr>
            <sz val="8"/>
            <color indexed="81"/>
            <rFont val="Tahoma"/>
            <family val="2"/>
          </rPr>
          <t xml:space="preserve">
5.13.10
backs out:
$2.894M - Integration costs in G&amp;A
$4.9M - SSG purchasing coop expenses in G&amp;A</t>
        </r>
      </text>
    </comment>
    <comment ref="AM42" authorId="0">
      <text>
        <r>
          <rPr>
            <b/>
            <sz val="8"/>
            <color indexed="81"/>
            <rFont val="Tahoma"/>
            <family val="2"/>
          </rPr>
          <t>Jon Tower:</t>
        </r>
        <r>
          <rPr>
            <sz val="8"/>
            <color indexed="81"/>
            <rFont val="Tahoma"/>
            <family val="2"/>
          </rPr>
          <t xml:space="preserve">
8.12.10
integration costs in G&amp;A = $0.856</t>
        </r>
      </text>
    </comment>
    <comment ref="AN42" authorId="0">
      <text>
        <r>
          <rPr>
            <b/>
            <sz val="8"/>
            <color indexed="81"/>
            <rFont val="Tahoma"/>
            <family val="2"/>
          </rPr>
          <t xml:space="preserve">Jon Tower:
11.12.10
OUR ADJUSTED EBITDA # INCLUDES the INCREMENTAL BREAKFAST SPEND of $5.5M
</t>
        </r>
        <r>
          <rPr>
            <sz val="8"/>
            <color indexed="81"/>
            <rFont val="Tahoma"/>
            <family val="2"/>
          </rPr>
          <t xml:space="preserve">
11.12.10
Adjusted EBITDA was $100.0 million, excluding pre-tax incremental advertising for Wendy’s new breakfast
of $5.5 million and integration-related costs of $0.6 million</t>
        </r>
      </text>
    </comment>
    <comment ref="AO42" authorId="0">
      <text>
        <r>
          <rPr>
            <b/>
            <sz val="8"/>
            <color indexed="81"/>
            <rFont val="Tahoma"/>
            <family val="2"/>
          </rPr>
          <t xml:space="preserve">Jon Tower:
1.26.11 -- by our calcs, ex-breakfast, EBITDA was 82.3M
Adjusted EBITDA1 was $84.0 million, excluding a non-recurring credit of $5.0 million, pre-tax integration
costs of $1.2 million, incremental advertising for Wendy’s new breakfast of $1.7 million and purchasing coop expense of $0.3 million. This is a decrease of 6.4% as compared to fourth quarter 2009 adjusted EBITDA of $89.7 million, excluding pre-tax integration-related costs and non-recurring net costs of $20.7 million and adjusted EBITDA of $13.6 million for the extra week in the quarter
</t>
        </r>
        <r>
          <rPr>
            <sz val="8"/>
            <color indexed="81"/>
            <rFont val="Tahoma"/>
            <family val="2"/>
          </rPr>
          <t xml:space="preserve">
11.12.10
our # includes ~$2.5M related to incremental breakfast expense
---
GUIDANCE implies (including breakast) $76-84M</t>
        </r>
      </text>
    </comment>
    <comment ref="AP42" authorId="0">
      <text>
        <r>
          <rPr>
            <b/>
            <sz val="8"/>
            <color indexed="81"/>
            <rFont val="Tahoma"/>
            <family val="2"/>
          </rPr>
          <t xml:space="preserve">Jon Tower:
11.12.10
OUR NUMBER INCLUDES THE BREAKFAST INVESTMENT (~$8M for the year)
therefore in the $383-391M range
</t>
        </r>
        <r>
          <rPr>
            <sz val="8"/>
            <color indexed="81"/>
            <rFont val="Tahoma"/>
            <family val="2"/>
          </rPr>
          <t>Given the Company’s year-to-date results and updated expectations for the remainder of the year, the Company now anticipates 2010 adjusted EBITDA to be at the lower end of its previously communicated range, which was an estimated 3% to 5% decline as compared to 2009 adjusted EBITDA of $411.6 million. 2009 was normalized for the effect of the 53rd week (2009 net income was $5.1 million). As previously disclosed, the outlook for adjusted EBITDA excludes the incremental spending to support the expansion of Wendy’s new breakfast program to additional company and franchise test markets.</t>
        </r>
        <r>
          <rPr>
            <b/>
            <sz val="8"/>
            <color indexed="81"/>
            <rFont val="Tahoma"/>
            <family val="2"/>
          </rPr>
          <t xml:space="preserve">
LOW END OF RANGE, or $383M including breakfast or $391M ex-breakfast.
Guidance IMPLIES $383-391M including breakfast, or $391-399M ex breakfast push
8.12.10
</t>
        </r>
        <r>
          <rPr>
            <sz val="8"/>
            <color indexed="81"/>
            <rFont val="Tahoma"/>
            <family val="2"/>
          </rPr>
          <t xml:space="preserve">The Company updated its outlook and now anticipates 2010 adjusted EBITDA to decline approximately 3% to 5%, as compared to 2009 adjusted EBITDA of $411.6 million normalized for the effect of the 53rd week (2009 net income was $5.1 million). The revised outlook for adjusted EBITDA excludes the incremental advertising of approximately $8 million to support the expansion of Wendy’s new breakfast program later this year to additional company and franchise markets.
</t>
        </r>
        <r>
          <rPr>
            <b/>
            <sz val="8"/>
            <color indexed="81"/>
            <rFont val="Tahoma"/>
            <family val="2"/>
          </rPr>
          <t>Guidance IMPLIES $383-391M including breakfast, or $391-399M ex breakfast push</t>
        </r>
        <r>
          <rPr>
            <b/>
            <sz val="8"/>
            <color indexed="81"/>
            <rFont val="Tahoma"/>
            <family val="2"/>
          </rPr>
          <t xml:space="preserve">
5.13.10
</t>
        </r>
        <r>
          <rPr>
            <sz val="8"/>
            <color indexed="81"/>
            <rFont val="Tahoma"/>
            <family val="2"/>
          </rPr>
          <t xml:space="preserve">Still expect Adjusted EBITDA growth in the low to mid single-digits, excluding the effect of the 53rd week in 2009 and an
incremental expense for Wendy’s breakfast program in 2010 to expand into additional markets.
EXTRA WEEK ADDED $14M to EBITDA in '09 ...
Breakfast is $9M impact in '10
</t>
        </r>
        <r>
          <rPr>
            <b/>
            <sz val="8"/>
            <color indexed="81"/>
            <rFont val="Tahoma"/>
            <family val="2"/>
          </rPr>
          <t xml:space="preserve">
THEREFORE:
</t>
        </r>
        <r>
          <rPr>
            <sz val="8"/>
            <color indexed="81"/>
            <rFont val="Tahoma"/>
            <family val="2"/>
          </rPr>
          <t xml:space="preserve">'09 Adjusted EBITDA = $425.2M
less Extra week = 14M
less breakfast impact = $9M
Grow by 1-5% 
</t>
        </r>
        <r>
          <rPr>
            <b/>
            <sz val="8"/>
            <color indexed="81"/>
            <rFont val="Tahoma"/>
            <family val="2"/>
          </rPr>
          <t xml:space="preserve">= $406M to $423M
</t>
        </r>
        <r>
          <rPr>
            <b/>
            <sz val="8"/>
            <color indexed="81"/>
            <rFont val="Tahoma"/>
            <family val="2"/>
          </rPr>
          <t xml:space="preserve">
3.4.10</t>
        </r>
        <r>
          <rPr>
            <sz val="8"/>
            <color indexed="81"/>
            <rFont val="Tahoma"/>
            <family val="2"/>
          </rPr>
          <t xml:space="preserve">
Adjusted EBITDA growth in the low to mid single-digits, excluding the effect of the 53rd week in 2009 and an
incremental expense for Wendy’s breakfast program in 2010 to expand into additional markets</t>
        </r>
        <r>
          <rPr>
            <b/>
            <sz val="8"/>
            <color indexed="81"/>
            <rFont val="Tahoma"/>
            <family val="2"/>
          </rPr>
          <t xml:space="preserve">
</t>
        </r>
        <r>
          <rPr>
            <sz val="8"/>
            <color indexed="81"/>
            <rFont val="Tahoma"/>
            <family val="2"/>
          </rPr>
          <t>IMPLIES ~$426M-$438.9M</t>
        </r>
        <r>
          <rPr>
            <b/>
            <sz val="8"/>
            <color indexed="81"/>
            <rFont val="Tahoma"/>
            <family val="2"/>
          </rPr>
          <t xml:space="preserve">
</t>
        </r>
        <r>
          <rPr>
            <sz val="8"/>
            <color indexed="81"/>
            <rFont val="Tahoma"/>
            <family val="2"/>
          </rPr>
          <t xml:space="preserve">
3.2.09
Deliver average annual EBITDA growth in the mid-teens through 2011.</t>
        </r>
      </text>
    </comment>
    <comment ref="AX42"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Includes ~$4M negative impact from temporary closure of remodeled restaurants</t>
        </r>
      </text>
    </comment>
    <comment ref="AY42"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Pre-release: Adjusted EBITDA from continuing operations was $95.9 million</t>
        </r>
        <r>
          <rPr>
            <sz val="8"/>
            <color indexed="81"/>
            <rFont val="Tahoma"/>
            <family val="2"/>
          </rPr>
          <t xml:space="preserve">
</t>
        </r>
        <r>
          <rPr>
            <b/>
            <sz val="8"/>
            <color indexed="81"/>
            <rFont val="Tahoma"/>
            <family val="2"/>
          </rPr>
          <t xml:space="preserve">11.8.12
</t>
        </r>
        <r>
          <rPr>
            <sz val="8"/>
            <color indexed="81"/>
            <rFont val="Tahoma"/>
            <family val="2"/>
          </rPr>
          <t>For 2012, the Company reiterated its outlook for Adjusted EBITDA from continuing operations in a range of $320 million to $335 million. The Company expects its 4Q results to benefit from 47 remodeled restaurants that reopened late 3Q/early 4Q.
The outlook for Adjusted EBITDA from continuing operations excludes items such as debt extinguishment costs, as well as relocation costs and other transition expenses from the consolidation of the Company’s Atlanta restaurant support center with its Dublin, Ohio restaurant support center, in addition to impairment and other costs related to the closure of underperforming restaurants.</t>
        </r>
      </text>
    </comment>
    <comment ref="AZ42" authorId="5">
      <text>
        <r>
          <rPr>
            <b/>
            <sz val="8"/>
            <color indexed="81"/>
            <rFont val="Tahoma"/>
            <family val="2"/>
          </rPr>
          <t xml:space="preserve">Sushama Dasari:
1.16.13
</t>
        </r>
        <r>
          <rPr>
            <sz val="8"/>
            <color indexed="81"/>
            <rFont val="Tahoma"/>
            <family val="2"/>
          </rPr>
          <t>Pre-release: Adjusted EBITDA from continuing operations was $333.3 million</t>
        </r>
        <r>
          <rPr>
            <b/>
            <sz val="8"/>
            <color indexed="81"/>
            <rFont val="Tahoma"/>
            <family val="2"/>
          </rPr>
          <t xml:space="preserve">
11.8.12
</t>
        </r>
        <r>
          <rPr>
            <b/>
            <sz val="8"/>
            <color indexed="81"/>
            <rFont val="Tahoma"/>
            <family val="2"/>
          </rPr>
          <t>AFFIRMED.</t>
        </r>
        <r>
          <rPr>
            <sz val="8"/>
            <color indexed="81"/>
            <rFont val="Tahoma"/>
            <family val="2"/>
          </rPr>
          <t xml:space="preserve"> For 2012, the Company reiterated its outlook for Adjusted EBITDA from continuing operations in a range of $320 million to $335 million </t>
        </r>
        <r>
          <rPr>
            <b/>
            <sz val="8"/>
            <color indexed="81"/>
            <rFont val="Tahoma"/>
            <family val="2"/>
          </rPr>
          <t xml:space="preserve">(aiming for higher end) </t>
        </r>
        <r>
          <rPr>
            <sz val="8"/>
            <color indexed="81"/>
            <rFont val="Tahoma"/>
            <family val="2"/>
          </rPr>
          <t>including Hurricane Sandy effects. The Company expects its 4Q results to benefit from 47 remodeled restaurants that reopened late 3Q/early 4Q.
The outlook for Adjusted EBITDA from continuing operations excludes items such as debt extinguishment costs, as well as relocation costs and other transition expenses from the consolidation of the Company’s Atlanta restaurant support center with its Dublin, Ohio restaurant support center, in addition to impairment and other costs related to the closure of underperforming restaurants.</t>
        </r>
        <r>
          <rPr>
            <b/>
            <sz val="8"/>
            <color indexed="81"/>
            <rFont val="Tahoma"/>
            <family val="2"/>
          </rPr>
          <t xml:space="preserve">
</t>
        </r>
        <r>
          <rPr>
            <b/>
            <sz val="8"/>
            <color indexed="81"/>
            <rFont val="Tahoma"/>
            <family val="2"/>
          </rPr>
          <t>8.9.12:</t>
        </r>
        <r>
          <rPr>
            <sz val="8"/>
            <color indexed="81"/>
            <rFont val="Tahoma"/>
            <family val="2"/>
          </rPr>
          <t xml:space="preserve">
</t>
        </r>
        <r>
          <rPr>
            <b/>
            <sz val="8"/>
            <color indexed="81"/>
            <rFont val="Tahoma"/>
            <family val="2"/>
          </rPr>
          <t>AFFIRMED</t>
        </r>
        <r>
          <rPr>
            <sz val="8"/>
            <color indexed="81"/>
            <rFont val="Tahoma"/>
            <family val="2"/>
          </rPr>
          <t xml:space="preserve"> The Company is reaffirming its 2012 outlook for Adjusted EBITDA from continuing operations in a range of $320 million to $335 million. The outlook for Adjusted EBITDA from continuing operations excludes items such as debt extinguishment costs, as well as relocation costs and other transition expenses from the consolidation of the Atlanta restaurant support center with the Dublin, Ohio restaurant support center, in addition to impairment and costs related to the closure of underperforming restaurants. The Company continues to target an average annual Adjusted EBITDA growth rate in the high-single-digit to low-double-digit range beginning in 2013.</t>
        </r>
        <r>
          <rPr>
            <b/>
            <sz val="8"/>
            <color indexed="81"/>
            <rFont val="Tahoma"/>
            <family val="2"/>
          </rPr>
          <t xml:space="preserve">
</t>
        </r>
        <r>
          <rPr>
            <sz val="8"/>
            <color indexed="81"/>
            <rFont val="Tahoma"/>
            <family val="2"/>
          </rPr>
          <t xml:space="preserve">
</t>
        </r>
        <r>
          <rPr>
            <b/>
            <sz val="8"/>
            <color indexed="81"/>
            <rFont val="Tahoma"/>
            <family val="2"/>
          </rPr>
          <t>6.27.12</t>
        </r>
        <r>
          <rPr>
            <sz val="8"/>
            <color indexed="81"/>
            <rFont val="Tahoma"/>
            <family val="2"/>
          </rPr>
          <t xml:space="preserve">: affired adjsuted EBITDA of $320 to $335 M. Continues ot expect hihg single to low double digit growth LT beginning in '13
</t>
        </r>
        <r>
          <rPr>
            <b/>
            <sz val="8"/>
            <color indexed="81"/>
            <rFont val="Tahoma"/>
            <family val="2"/>
          </rPr>
          <t>5.12:</t>
        </r>
        <r>
          <rPr>
            <sz val="8"/>
            <color indexed="81"/>
            <rFont val="Tahoma"/>
            <family val="2"/>
          </rPr>
          <t xml:space="preserve"> Company lowered annual EBITDA to $320 - $335 M
</t>
        </r>
        <r>
          <rPr>
            <b/>
            <sz val="8"/>
            <color indexed="81"/>
            <rFont val="Tahoma"/>
            <family val="2"/>
          </rPr>
          <t>1.30.12</t>
        </r>
        <r>
          <rPr>
            <sz val="8"/>
            <color indexed="81"/>
            <rFont val="Tahoma"/>
            <family val="2"/>
          </rPr>
          <t xml:space="preserve">
The Company issued its outlook for Adjusted EBITDA of $335 million to $345 million for fiscal 2012. The outlook reflects continuing operations and excludes items such as relocation costs and other expenses related to the consolidation of the Atlanta restaurant support center with the Dublin, Ohio restaurant support center, which the Company estimates to be approximately $23 million</t>
        </r>
      </text>
    </comment>
    <comment ref="BA42"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 xml:space="preserve">Expect ~21% of FY13 adjusted EBITDA in Q1 (vs. 19% in Q1'12 which was much softer than usual) so at mid point is $74-$75 M </t>
        </r>
      </text>
    </comment>
    <comment ref="BE42" authorId="5">
      <text>
        <r>
          <rPr>
            <b/>
            <sz val="8"/>
            <color indexed="81"/>
            <rFont val="Tahoma"/>
            <family val="2"/>
          </rPr>
          <t xml:space="preserve">11.7.13
</t>
        </r>
        <r>
          <rPr>
            <sz val="8"/>
            <color indexed="81"/>
            <rFont val="Tahoma"/>
            <family val="2"/>
          </rPr>
          <t>$365M guidance</t>
        </r>
        <r>
          <rPr>
            <b/>
            <sz val="8"/>
            <color indexed="81"/>
            <rFont val="Tahoma"/>
            <family val="2"/>
          </rPr>
          <t xml:space="preserve">
7.23.13
</t>
        </r>
        <r>
          <rPr>
            <sz val="8"/>
            <color indexed="81"/>
            <rFont val="Tahoma"/>
            <family val="2"/>
          </rPr>
          <t>Reaffirmed $350-360M adj. EBITDA guidance. Currently trending toward the high end of the range due to $179.4M YTD performance.</t>
        </r>
        <r>
          <rPr>
            <b/>
            <sz val="8"/>
            <color indexed="81"/>
            <rFont val="Tahoma"/>
            <family val="2"/>
          </rPr>
          <t xml:space="preserve">
1.16.13
</t>
        </r>
        <r>
          <rPr>
            <sz val="8"/>
            <color indexed="81"/>
            <rFont val="Tahoma"/>
            <family val="2"/>
          </rPr>
          <t>Reaffirmed $350-360M adjusted EBITDA in '13 (+5-8% y/y)</t>
        </r>
        <r>
          <rPr>
            <b/>
            <sz val="8"/>
            <color indexed="81"/>
            <rFont val="Tahoma"/>
            <family val="2"/>
          </rPr>
          <t xml:space="preserve">
11.8.12
</t>
        </r>
        <r>
          <rPr>
            <sz val="8"/>
            <color indexed="81"/>
            <rFont val="Tahoma"/>
            <family val="2"/>
          </rPr>
          <t xml:space="preserve">For 2013, the Company issued its preliminary outlook for Adjusted EBITDA of </t>
        </r>
        <r>
          <rPr>
            <b/>
            <sz val="8"/>
            <color indexed="81"/>
            <rFont val="Tahoma"/>
            <family val="2"/>
          </rPr>
          <t>$350 million to $360 million</t>
        </r>
        <r>
          <rPr>
            <sz val="8"/>
            <color indexed="81"/>
            <rFont val="Tahoma"/>
            <family val="2"/>
          </rPr>
          <t>. Included in the outlook is the cost of a $10 million incentive program for franchisees to reimage their restaurants in 2013. The Company plans to provide more details regarding the underlying assumptions for this outlook in January 2013.
The Company is targeting long-term Adjusted EBITDA and Adjusted Earnings Per Share growth beyond 2013 in the high single-digit to low double-digit range.</t>
        </r>
        <r>
          <rPr>
            <b/>
            <sz val="8"/>
            <color indexed="81"/>
            <rFont val="Tahoma"/>
            <family val="2"/>
          </rPr>
          <t xml:space="preserve">
</t>
        </r>
        <r>
          <rPr>
            <b/>
            <sz val="8"/>
            <color indexed="81"/>
            <rFont val="Tahoma"/>
            <family val="2"/>
          </rPr>
          <t>8.9.12:</t>
        </r>
        <r>
          <rPr>
            <sz val="8"/>
            <color indexed="81"/>
            <rFont val="Tahoma"/>
            <family val="2"/>
          </rPr>
          <t xml:space="preserve">
</t>
        </r>
        <r>
          <rPr>
            <b/>
            <sz val="8"/>
            <color indexed="81"/>
            <rFont val="Tahoma"/>
            <family val="2"/>
          </rPr>
          <t>AFFIRMED</t>
        </r>
        <r>
          <rPr>
            <sz val="8"/>
            <color indexed="81"/>
            <rFont val="Tahoma"/>
            <family val="2"/>
          </rPr>
          <t xml:space="preserve"> The Company continues to target an average annual Adjusted EBITDA growth rate in the high-single-digit to low-double-digit range beginning in 2013.</t>
        </r>
        <r>
          <rPr>
            <b/>
            <sz val="8"/>
            <color indexed="81"/>
            <rFont val="Tahoma"/>
            <family val="2"/>
          </rPr>
          <t xml:space="preserve">
</t>
        </r>
        <r>
          <rPr>
            <sz val="8"/>
            <color indexed="81"/>
            <rFont val="Tahoma"/>
            <family val="2"/>
          </rPr>
          <t xml:space="preserve">
</t>
        </r>
        <r>
          <rPr>
            <b/>
            <sz val="8"/>
            <color indexed="81"/>
            <rFont val="Tahoma"/>
            <family val="2"/>
          </rPr>
          <t>6.27.12</t>
        </r>
        <r>
          <rPr>
            <sz val="8"/>
            <color indexed="81"/>
            <rFont val="Tahoma"/>
            <family val="2"/>
          </rPr>
          <t>: affired adjsuted EBITDA of $320 to $335 M. Continues ot expect hihg single to low double digit growth LT beginning in '13</t>
        </r>
      </text>
    </comment>
    <comment ref="BF42" authorId="1">
      <text>
        <r>
          <rPr>
            <b/>
            <sz val="9"/>
            <color indexed="81"/>
            <rFont val="Tahoma"/>
            <family val="2"/>
          </rPr>
          <t>O'Brien, Courtney (Research):</t>
        </r>
        <r>
          <rPr>
            <sz val="9"/>
            <color indexed="81"/>
            <rFont val="Tahoma"/>
            <family val="2"/>
          </rPr>
          <t xml:space="preserve">
5.5.15
update to exclude net gain on disposal of assets to conform to FY15 presentation</t>
        </r>
      </text>
    </comment>
    <comment ref="BG42" authorId="1">
      <text>
        <r>
          <rPr>
            <b/>
            <sz val="9"/>
            <color indexed="81"/>
            <rFont val="Tahoma"/>
            <family val="2"/>
          </rPr>
          <t xml:space="preserve">O'Brien, Courtney (Research):
8.5.15
</t>
        </r>
        <r>
          <rPr>
            <sz val="9"/>
            <color indexed="81"/>
            <rFont val="Tahoma"/>
            <family val="2"/>
          </rPr>
          <t xml:space="preserve">
restated ex bakery</t>
        </r>
      </text>
    </comment>
    <comment ref="BH42" authorId="7">
      <text>
        <r>
          <rPr>
            <b/>
            <sz val="8"/>
            <color indexed="81"/>
            <rFont val="Tahoma"/>
            <family val="2"/>
          </rPr>
          <t xml:space="preserve">8.7.14:
</t>
        </r>
        <r>
          <rPr>
            <sz val="8"/>
            <color indexed="81"/>
            <rFont val="Tahoma"/>
            <family val="2"/>
          </rPr>
          <t>Flat Y/Y due to IA closure weeks 165% higher Y/Y. Also lap Pretzel burger last year</t>
        </r>
        <r>
          <rPr>
            <sz val="8"/>
            <color indexed="81"/>
            <rFont val="Tahoma"/>
            <family val="2"/>
          </rPr>
          <t xml:space="preserve">
</t>
        </r>
      </text>
    </comment>
    <comment ref="BJ42" authorId="5">
      <text>
        <r>
          <rPr>
            <b/>
            <sz val="8"/>
            <color indexed="81"/>
            <rFont val="Tahoma"/>
            <family val="2"/>
          </rPr>
          <t xml:space="preserve">8.7.14
</t>
        </r>
        <r>
          <rPr>
            <sz val="8"/>
            <color indexed="81"/>
            <rFont val="Tahoma"/>
            <family val="2"/>
          </rPr>
          <t>$390-400M reiterated.</t>
        </r>
        <r>
          <rPr>
            <b/>
            <sz val="8"/>
            <color indexed="81"/>
            <rFont val="Tahoma"/>
            <family val="2"/>
          </rPr>
          <t xml:space="preserve">
5.5..14
</t>
        </r>
        <r>
          <rPr>
            <sz val="8"/>
            <color indexed="81"/>
            <rFont val="Tahoma"/>
            <family val="2"/>
          </rPr>
          <t xml:space="preserve">$390-400M guidance reiterated. Includes ~12M in restaurant and property gains from 1Q14. </t>
        </r>
        <r>
          <rPr>
            <b/>
            <sz val="8"/>
            <color indexed="81"/>
            <rFont val="Tahoma"/>
            <family val="2"/>
          </rPr>
          <t xml:space="preserve">
2.27.14
</t>
        </r>
        <r>
          <rPr>
            <sz val="8"/>
            <color indexed="81"/>
            <rFont val="Tahoma"/>
            <family val="2"/>
          </rPr>
          <t>$390-400M guidance</t>
        </r>
        <r>
          <rPr>
            <b/>
            <sz val="8"/>
            <color indexed="81"/>
            <rFont val="Tahoma"/>
            <family val="2"/>
          </rPr>
          <t xml:space="preserve">
1.13.14
</t>
        </r>
        <r>
          <rPr>
            <sz val="8"/>
            <color indexed="81"/>
            <rFont val="Tahoma"/>
            <family val="2"/>
          </rPr>
          <t>$390-400M guidance</t>
        </r>
        <r>
          <rPr>
            <b/>
            <sz val="8"/>
            <color indexed="81"/>
            <rFont val="Tahoma"/>
            <family val="2"/>
          </rPr>
          <t xml:space="preserve">
11.8.12
</t>
        </r>
        <r>
          <rPr>
            <sz val="8"/>
            <color indexed="81"/>
            <rFont val="Tahoma"/>
            <family val="2"/>
          </rPr>
          <t>The Company is targeting long-term Adjusted EBITDA and Adjusted Earnings Per Share growth beyond 2013 in the high single-digit to low double-digit range.</t>
        </r>
      </text>
    </comment>
    <comment ref="BK42" authorId="1">
      <text>
        <r>
          <rPr>
            <b/>
            <sz val="9"/>
            <color indexed="81"/>
            <rFont val="Tahoma"/>
            <family val="2"/>
          </rPr>
          <t>O'Brien, Courtney (Research):</t>
        </r>
        <r>
          <rPr>
            <sz val="9"/>
            <color indexed="81"/>
            <rFont val="Tahoma"/>
            <family val="2"/>
          </rPr>
          <t xml:space="preserve">
includes reversal of 12.5M prension withdrawal liability in cost of sales
</t>
        </r>
      </text>
    </comment>
    <comment ref="BL42" authorId="3">
      <text>
        <r>
          <rPr>
            <b/>
            <sz val="9"/>
            <color indexed="81"/>
            <rFont val="Tahoma"/>
            <family val="2"/>
          </rPr>
          <t>Glass, John (Research):
5.15</t>
        </r>
        <r>
          <rPr>
            <sz val="9"/>
            <color indexed="81"/>
            <rFont val="Tahoma"/>
            <family val="2"/>
          </rPr>
          <t xml:space="preserve">
will sell bakery by end of 2Q15; had ~$16 m in ebitda (not accounted for here)</t>
        </r>
      </text>
    </comment>
    <comment ref="BO42" authorId="1">
      <text>
        <r>
          <rPr>
            <b/>
            <sz val="9"/>
            <color indexed="81"/>
            <rFont val="Tahoma"/>
            <family val="2"/>
          </rPr>
          <t xml:space="preserve">11.4.15
"high end"  of prior range of 350-390
</t>
        </r>
        <r>
          <rPr>
            <sz val="9"/>
            <color indexed="81"/>
            <rFont val="Tahoma"/>
            <family val="2"/>
          </rPr>
          <t xml:space="preserve">
8.15
385-390 post sale of bakery</t>
        </r>
      </text>
    </comment>
    <comment ref="BR42" authorId="1">
      <text>
        <r>
          <rPr>
            <b/>
            <sz val="9"/>
            <color indexed="81"/>
            <rFont val="Tahoma"/>
            <family val="2"/>
          </rPr>
          <t>O'Brien, Courtney (Research):</t>
        </r>
        <r>
          <rPr>
            <sz val="9"/>
            <color indexed="81"/>
            <rFont val="Tahoma"/>
            <family val="2"/>
          </rPr>
          <t xml:space="preserve">
11.9.16
successfully replaced the EBITDA that was lost from owning 433 fewer Company restaurants with royalties, franchise fees, and net rental income, which increased by $24 million compared to quarter three of 2015</t>
        </r>
      </text>
    </comment>
    <comment ref="BW42" authorId="2">
      <text>
        <r>
          <rPr>
            <b/>
            <sz val="9"/>
            <color indexed="81"/>
            <rFont val="Tahoma"/>
            <family val="2"/>
          </rPr>
          <t>Carril, Christopher E (Research):</t>
        </r>
        <r>
          <rPr>
            <sz val="9"/>
            <color indexed="81"/>
            <rFont val="Tahoma"/>
            <family val="2"/>
          </rPr>
          <t xml:space="preserve">
</t>
        </r>
        <r>
          <rPr>
            <b/>
            <sz val="9"/>
            <color indexed="81"/>
            <rFont val="Tahoma"/>
            <family val="2"/>
          </rPr>
          <t>11.8.2017</t>
        </r>
        <r>
          <rPr>
            <sz val="9"/>
            <color indexed="81"/>
            <rFont val="Tahoma"/>
            <family val="2"/>
          </rPr>
          <t xml:space="preserve">
We remain encouraged by our adjusted EBITDA margin improvement as well as the fact that we were able to overcome the sold restaurant EBITDA from system optimization through higher royalties and net rental income as well as savings in G&amp;A. However, headwinds in franchise fees driven by the sale of 156 company restaurants and 18 Buy and Flips transactions in 2016 as well as lower company restaurant margins caused a slight year-over-year decrease in adjusted EBITDA.</t>
        </r>
      </text>
    </comment>
    <comment ref="BY42" authorId="5">
      <text>
        <r>
          <rPr>
            <b/>
            <sz val="8"/>
            <color indexed="81"/>
            <rFont val="Tahoma"/>
            <family val="2"/>
          </rPr>
          <t xml:space="preserve">11.8.2017
</t>
        </r>
        <r>
          <rPr>
            <sz val="8"/>
            <color indexed="81"/>
            <rFont val="Tahoma"/>
            <family val="2"/>
          </rPr>
          <t>Reit: Adjusted EBITDA of approximately $404 to $410 million, an increase of approximately 3 to 5 percent compared to 2016</t>
        </r>
        <r>
          <rPr>
            <b/>
            <sz val="8"/>
            <color indexed="81"/>
            <rFont val="Tahoma"/>
            <family val="2"/>
          </rPr>
          <t xml:space="preserve">
8.10.17
</t>
        </r>
        <r>
          <rPr>
            <sz val="8"/>
            <color indexed="81"/>
            <rFont val="Tahoma"/>
            <family val="2"/>
          </rPr>
          <t>Adjusted EBITDA of approximately $404 to $410 million, an increase of
approximately 3 to 5 percent compared to 2016</t>
        </r>
        <r>
          <rPr>
            <b/>
            <sz val="8"/>
            <color indexed="81"/>
            <rFont val="Tahoma"/>
            <family val="2"/>
          </rPr>
          <t xml:space="preserve">
5.10.17
</t>
        </r>
        <r>
          <rPr>
            <sz val="8"/>
            <color indexed="81"/>
            <rFont val="Tahoma"/>
            <family val="2"/>
          </rPr>
          <t>Adjusted EBITDA of approximately $400 to $406 million, an increase of
approximately 2 to 4 percent compared to 2016</t>
        </r>
        <r>
          <rPr>
            <b/>
            <sz val="8"/>
            <color indexed="81"/>
            <rFont val="Tahoma"/>
            <family val="2"/>
          </rPr>
          <t xml:space="preserve">
2. 16.17
</t>
        </r>
        <r>
          <rPr>
            <sz val="8"/>
            <color indexed="81"/>
            <rFont val="Tahoma"/>
            <family val="2"/>
          </rPr>
          <t xml:space="preserve"> $396 to $404 million, an increase of
approximately 1 to 3 percent compared to 2016.</t>
        </r>
        <r>
          <rPr>
            <b/>
            <sz val="8"/>
            <color indexed="81"/>
            <rFont val="Tahoma"/>
            <family val="2"/>
          </rPr>
          <t xml:space="preserve">
2.9.16
</t>
        </r>
        <r>
          <rPr>
            <sz val="8"/>
            <color indexed="81"/>
            <rFont val="Tahoma"/>
            <family val="2"/>
          </rPr>
          <t>flat in '17
11.4.15
LSD GROWTH</t>
        </r>
        <r>
          <rPr>
            <b/>
            <sz val="8"/>
            <color indexed="81"/>
            <rFont val="Tahoma"/>
            <family val="2"/>
          </rPr>
          <t xml:space="preserve">
8.15: 
</t>
        </r>
        <r>
          <rPr>
            <sz val="8"/>
            <color indexed="81"/>
            <rFont val="Tahoma"/>
            <family val="2"/>
          </rPr>
          <t xml:space="preserve">N/c to LT gudie but higher 15 guide implies ~$400+ m in '17 now
</t>
        </r>
        <r>
          <rPr>
            <b/>
            <sz val="8"/>
            <color indexed="81"/>
            <rFont val="Tahoma"/>
            <family val="2"/>
          </rPr>
          <t xml:space="preserve">
6.3.15: 
</t>
        </r>
        <r>
          <rPr>
            <sz val="8"/>
            <color indexed="81"/>
            <rFont val="Tahoma"/>
            <family val="2"/>
          </rPr>
          <t xml:space="preserve">LSD increase in EBITDA in 17 (imlies $395-$400
</t>
        </r>
        <r>
          <rPr>
            <b/>
            <sz val="8"/>
            <color indexed="81"/>
            <rFont val="Tahoma"/>
            <family val="2"/>
          </rPr>
          <t xml:space="preserve">
2.3.15
</t>
        </r>
        <r>
          <rPr>
            <sz val="8"/>
            <color indexed="81"/>
            <rFont val="Tahoma"/>
            <family val="2"/>
          </rPr>
          <t xml:space="preserve">'16: </t>
        </r>
        <r>
          <rPr>
            <b/>
            <sz val="8"/>
            <color indexed="81"/>
            <rFont val="Tahoma"/>
            <family val="2"/>
          </rPr>
          <t>"</t>
        </r>
        <r>
          <rPr>
            <sz val="8"/>
            <color indexed="81"/>
            <rFont val="Tahoma"/>
            <family val="2"/>
          </rPr>
          <t>Flattish" EBITDA growth
'17: LSD growth
'18: HSD growth</t>
        </r>
        <r>
          <rPr>
            <b/>
            <sz val="8"/>
            <color indexed="81"/>
            <rFont val="Tahoma"/>
            <family val="2"/>
          </rPr>
          <t xml:space="preserve">
8.7.14
</t>
        </r>
        <r>
          <rPr>
            <sz val="8"/>
            <color indexed="81"/>
            <rFont val="Tahoma"/>
            <family val="2"/>
          </rPr>
          <t>M-to-HSD in '15
HSD in '16
LDD beginning in '17</t>
        </r>
        <r>
          <rPr>
            <b/>
            <sz val="8"/>
            <color indexed="81"/>
            <rFont val="Tahoma"/>
            <family val="2"/>
          </rPr>
          <t xml:space="preserve">
1.13.14
</t>
        </r>
        <r>
          <rPr>
            <sz val="8"/>
            <color indexed="81"/>
            <rFont val="Tahoma"/>
            <family val="2"/>
          </rPr>
          <t>HSD adj. EBITDA growth in '14-'16.
LDD adj. EBITDA growth in '17-'18.</t>
        </r>
        <r>
          <rPr>
            <b/>
            <sz val="8"/>
            <color indexed="81"/>
            <rFont val="Tahoma"/>
            <family val="2"/>
          </rPr>
          <t xml:space="preserve">
11.8.12
</t>
        </r>
        <r>
          <rPr>
            <sz val="8"/>
            <color indexed="81"/>
            <rFont val="Tahoma"/>
            <family val="2"/>
          </rPr>
          <t>The Company is targeting long-term Adjusted EBITDA and Adjusted Earnings Per Share growth beyond 2013 in the high single-digit to low double-digit range.</t>
        </r>
      </text>
    </comment>
    <comment ref="CD42" authorId="5">
      <text>
        <r>
          <rPr>
            <b/>
            <sz val="8"/>
            <color indexed="81"/>
            <rFont val="Tahoma"/>
            <family val="2"/>
          </rPr>
          <t xml:space="preserve">2.21.2018
</t>
        </r>
        <r>
          <rPr>
            <sz val="8"/>
            <color indexed="81"/>
            <rFont val="Tahoma"/>
            <family val="2"/>
          </rPr>
          <t xml:space="preserve">Adjusted EBITDA of approximately $420 to $430 million, an increase of approximately 8 to 10 percent compared to recast 2017 results. (includes $15 m inact from revenue recognition)
</t>
        </r>
        <r>
          <rPr>
            <b/>
            <sz val="8"/>
            <color indexed="81"/>
            <rFont val="Tahoma"/>
            <family val="2"/>
          </rPr>
          <t xml:space="preserve">
2.9.16
+10% Y/Y 
11.4.15
hsd  growth
6.15: 
</t>
        </r>
        <r>
          <rPr>
            <sz val="8"/>
            <color indexed="81"/>
            <rFont val="Tahoma"/>
            <family val="2"/>
          </rPr>
          <t>HSD EBITDA increases in 18 (implies ~$425 m)</t>
        </r>
        <r>
          <rPr>
            <b/>
            <sz val="8"/>
            <color indexed="81"/>
            <rFont val="Tahoma"/>
            <family val="2"/>
          </rPr>
          <t xml:space="preserve">
2.3.15
</t>
        </r>
        <r>
          <rPr>
            <sz val="8"/>
            <color indexed="81"/>
            <rFont val="Tahoma"/>
            <family val="2"/>
          </rPr>
          <t xml:space="preserve">'16: </t>
        </r>
        <r>
          <rPr>
            <b/>
            <sz val="8"/>
            <color indexed="81"/>
            <rFont val="Tahoma"/>
            <family val="2"/>
          </rPr>
          <t>"</t>
        </r>
        <r>
          <rPr>
            <sz val="8"/>
            <color indexed="81"/>
            <rFont val="Tahoma"/>
            <family val="2"/>
          </rPr>
          <t>Flattish" EBITDA growth
'17: LSD growth
'18: HSD growth</t>
        </r>
        <r>
          <rPr>
            <b/>
            <sz val="8"/>
            <color indexed="81"/>
            <rFont val="Tahoma"/>
            <family val="2"/>
          </rPr>
          <t xml:space="preserve">
8.7.14
</t>
        </r>
        <r>
          <rPr>
            <sz val="8"/>
            <color indexed="81"/>
            <rFont val="Tahoma"/>
            <family val="2"/>
          </rPr>
          <t>M-to-HSD in '15
HSD in '16
LDD beginning in '17</t>
        </r>
        <r>
          <rPr>
            <b/>
            <sz val="8"/>
            <color indexed="81"/>
            <rFont val="Tahoma"/>
            <family val="2"/>
          </rPr>
          <t xml:space="preserve">
1.13.14
</t>
        </r>
        <r>
          <rPr>
            <sz val="8"/>
            <color indexed="81"/>
            <rFont val="Tahoma"/>
            <family val="2"/>
          </rPr>
          <t>HSD adj. EBITDA growth in '14-'16.
LDD adj. EBITDA growth in '17-'18.</t>
        </r>
        <r>
          <rPr>
            <b/>
            <sz val="8"/>
            <color indexed="81"/>
            <rFont val="Tahoma"/>
            <family val="2"/>
          </rPr>
          <t xml:space="preserve">
11.8.12
</t>
        </r>
        <r>
          <rPr>
            <sz val="8"/>
            <color indexed="81"/>
            <rFont val="Tahoma"/>
            <family val="2"/>
          </rPr>
          <t>The Company is targeting long-term Adjusted EBITDA and Adjusted Earnings Per Share growth beyond 2013 in the high single-digit to low double-digit range.</t>
        </r>
      </text>
    </comment>
    <comment ref="CI42" authorId="5">
      <text>
        <r>
          <rPr>
            <b/>
            <sz val="8"/>
            <color indexed="81"/>
            <rFont val="Tahoma"/>
            <family val="2"/>
          </rPr>
          <t xml:space="preserve">1.13.14
</t>
        </r>
        <r>
          <rPr>
            <sz val="8"/>
            <color indexed="81"/>
            <rFont val="Tahoma"/>
            <family val="2"/>
          </rPr>
          <t>HSD adj. EBITDA growth in '14-'16.
LDD adj. EBITDA growth in '17-'18.</t>
        </r>
        <r>
          <rPr>
            <b/>
            <sz val="8"/>
            <color indexed="81"/>
            <rFont val="Tahoma"/>
            <family val="2"/>
          </rPr>
          <t xml:space="preserve">
11.8.12
</t>
        </r>
        <r>
          <rPr>
            <sz val="8"/>
            <color indexed="81"/>
            <rFont val="Tahoma"/>
            <family val="2"/>
          </rPr>
          <t>The Company is targeting long-term Adjusted EBITDA and Adjusted Earnings Per Share growth beyond 2013 in the high single-digit to low double-digit range.</t>
        </r>
      </text>
    </comment>
    <comment ref="CN42" authorId="5">
      <text>
        <r>
          <rPr>
            <b/>
            <sz val="8"/>
            <color indexed="81"/>
            <rFont val="Tahoma"/>
            <family val="2"/>
          </rPr>
          <t xml:space="preserve">1.13.14
</t>
        </r>
        <r>
          <rPr>
            <sz val="8"/>
            <color indexed="81"/>
            <rFont val="Tahoma"/>
            <family val="2"/>
          </rPr>
          <t>HSD adj. EBITDA growth in '14-'16.
LDD adj. EBITDA growth in '17-'18.</t>
        </r>
        <r>
          <rPr>
            <b/>
            <sz val="8"/>
            <color indexed="81"/>
            <rFont val="Tahoma"/>
            <family val="2"/>
          </rPr>
          <t xml:space="preserve">
11.8.12
</t>
        </r>
        <r>
          <rPr>
            <sz val="8"/>
            <color indexed="81"/>
            <rFont val="Tahoma"/>
            <family val="2"/>
          </rPr>
          <t>The Company is targeting long-term Adjusted EBITDA and Adjusted Earnings Per Share growth beyond 2013 in the high single-digit to low double-digit range.</t>
        </r>
      </text>
    </comment>
    <comment ref="AI44" authorId="0">
      <text>
        <r>
          <rPr>
            <b/>
            <sz val="8"/>
            <color indexed="81"/>
            <rFont val="Tahoma"/>
            <family val="2"/>
          </rPr>
          <t>Jon Tower:</t>
        </r>
        <r>
          <rPr>
            <sz val="8"/>
            <color indexed="81"/>
            <rFont val="Tahoma"/>
            <family val="2"/>
          </rPr>
          <t xml:space="preserve">
</t>
        </r>
      </text>
    </comment>
    <comment ref="AJ44" authorId="0">
      <text>
        <r>
          <rPr>
            <b/>
            <sz val="8"/>
            <color indexed="81"/>
            <rFont val="Tahoma"/>
            <family val="2"/>
          </rPr>
          <t>Jon Tower:</t>
        </r>
        <r>
          <rPr>
            <sz val="8"/>
            <color indexed="81"/>
            <rFont val="Tahoma"/>
            <family val="2"/>
          </rPr>
          <t xml:space="preserve">
11.5.09
We expect that our interest expense for the fourth quarter of 2009 will increase compared to the same period in 2008 primarily as a result of: (1) the issuance of the Senior Notes discussed in “Liquidity and Capital Resources-Long-term Debt” and (2) the effect of increased interest rates under our amended senior secured term loan.  These increases are expected to be partially offset by the effect on interest expense of (1) the $232.5 million in prepayments of the senior secured term loan since the third quarter of 2008, including $132.5 million paid during the 2009 first nine months and (2) the interest rate swaps discussed in “Liquidity and Capital Resources – Derivatives.”</t>
        </r>
      </text>
    </comment>
    <comment ref="AM44" authorId="0">
      <text>
        <r>
          <rPr>
            <b/>
            <sz val="8"/>
            <color indexed="81"/>
            <rFont val="Tahoma"/>
            <family val="2"/>
          </rPr>
          <t>Jon Tower:</t>
        </r>
        <r>
          <rPr>
            <sz val="8"/>
            <color indexed="81"/>
            <rFont val="Tahoma"/>
            <family val="2"/>
          </rPr>
          <t xml:space="preserve">
5.24.10
debt refinancing:
This transaction simplifies our borrowing structure and is expected to
reduce our cash interest expense by approximately $5.8 million over the next 12 months</t>
        </r>
      </text>
    </comment>
    <comment ref="AN44" authorId="0">
      <text>
        <r>
          <rPr>
            <b/>
            <sz val="8"/>
            <color indexed="81"/>
            <rFont val="Tahoma"/>
            <family val="2"/>
          </rPr>
          <t>Jon Tower:</t>
        </r>
        <r>
          <rPr>
            <sz val="8"/>
            <color indexed="81"/>
            <rFont val="Tahoma"/>
            <family val="2"/>
          </rPr>
          <t xml:space="preserve">
5.24.10
debt refinancing:
This transaction simplifies our borrowing structure and is expected to
reduce our cash interest expense by approximately $5.8 million over the next 12 months</t>
        </r>
      </text>
    </comment>
    <comment ref="AO44" authorId="0">
      <text>
        <r>
          <rPr>
            <b/>
            <sz val="8"/>
            <color indexed="81"/>
            <rFont val="Tahoma"/>
            <family val="2"/>
          </rPr>
          <t>Jon Tower:</t>
        </r>
        <r>
          <rPr>
            <sz val="8"/>
            <color indexed="81"/>
            <rFont val="Tahoma"/>
            <family val="2"/>
          </rPr>
          <t xml:space="preserve">
5.24.10
debt refinancing:
This transaction simplifies our borrowing structure and is expected to
reduce our cash interest expense by approximately $5.8 million over the next 12 months</t>
        </r>
      </text>
    </comment>
    <comment ref="AQ44" authorId="0">
      <text>
        <r>
          <rPr>
            <b/>
            <sz val="8"/>
            <color indexed="81"/>
            <rFont val="Tahoma"/>
            <family val="2"/>
          </rPr>
          <t>Jon Tower:</t>
        </r>
        <r>
          <rPr>
            <sz val="8"/>
            <color indexed="81"/>
            <rFont val="Tahoma"/>
            <family val="2"/>
          </rPr>
          <t xml:space="preserve">
5.24.10
debt refinancing:
This transaction simplifies our borrowing structure and is expected to
reduce our cash interest expense by approximately $5.8 million over the next 12 months</t>
        </r>
      </text>
    </comment>
    <comment ref="AX44" authorId="5">
      <text>
        <r>
          <rPr>
            <b/>
            <sz val="8"/>
            <color indexed="81"/>
            <rFont val="Tahoma"/>
            <family val="2"/>
          </rPr>
          <t>glassjoh:</t>
        </r>
        <r>
          <rPr>
            <sz val="8"/>
            <color indexed="81"/>
            <rFont val="Tahoma"/>
            <family val="2"/>
          </rPr>
          <t xml:space="preserve">
In April, the Company‟s indirect wholly owned subsidiary, Wendy‟s International, Inc., completed marketing of a new $1,325 million senior secured credit facility. The new credit facility will consist of a $200 million revolving credit facility to mature in 2017, and a $1,125 million term loan to mature in 2019.
Wendy‟s International expects to use the proceeds from the proposed credit facility to refinance the existing senior secured credit facility of Wendy‟s Restaurants, LLC, a wholly owned subsidiary of the Company and the direct parent company of Wendy‟s International, including the repayment of the existing term loan; to finance the redemption or repurchase of Wendy‟s Restaurants‟ outstanding 10 percent Senior Notes due 2016; and for general corporate purposes, including payment of financing costs and other expenses in connection with the proposed credit facility and the related transactions.
</t>
        </r>
        <r>
          <rPr>
            <b/>
            <sz val="8"/>
            <color indexed="81"/>
            <rFont val="Tahoma"/>
            <family val="2"/>
          </rPr>
          <t>The Company expects to increase its liquidity, extend its debt maturities and realize ongoing annual interest savings of approximately $25 million, as a result of the proposed refinancing.</t>
        </r>
      </text>
    </comment>
    <comment ref="AZ44"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During the third quarter, we completed the refinancing of our bank debt and high-yield notes with a new senior credit facility. As a result, we expect
interest expense savings of approximately $25 million on an annualized basis.
Term loan: 4.75%</t>
        </r>
      </text>
    </comment>
    <comment ref="BB44" authorId="4">
      <text>
        <r>
          <rPr>
            <b/>
            <sz val="8"/>
            <color indexed="81"/>
            <rFont val="Tahoma"/>
            <family val="2"/>
          </rPr>
          <t>John Glass:</t>
        </r>
        <r>
          <rPr>
            <sz val="8"/>
            <color indexed="81"/>
            <rFont val="Tahoma"/>
            <family val="2"/>
          </rPr>
          <t xml:space="preserve">
4.13.13: annoucnes refi of debt savings $19 M in int epx In addtion to $30 M saved in 12. Reduces belended rate by 175 bp</t>
        </r>
      </text>
    </comment>
    <comment ref="BE44"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During the third quarter, we completed the refinancing of our bank debt and high-yield notes with a new senior credit facility. As a result, we expect
interest expense savings of approximately $25 million on an annualized basis.
Term loan: 4.75%</t>
        </r>
      </text>
    </comment>
    <comment ref="BJ44" authorId="6">
      <text>
        <r>
          <rPr>
            <b/>
            <sz val="8"/>
            <color indexed="81"/>
            <rFont val="Tahoma"/>
            <family val="2"/>
          </rPr>
          <t xml:space="preserve">8.7.14
</t>
        </r>
        <r>
          <rPr>
            <sz val="8"/>
            <color indexed="81"/>
            <rFont val="Tahoma"/>
            <family val="2"/>
          </rPr>
          <t>$15M reduction Reiterated</t>
        </r>
        <r>
          <rPr>
            <b/>
            <sz val="8"/>
            <color indexed="81"/>
            <rFont val="Tahoma"/>
            <family val="2"/>
          </rPr>
          <t xml:space="preserve">
2.27.14:
</t>
        </r>
        <r>
          <rPr>
            <sz val="8"/>
            <color indexed="81"/>
            <rFont val="Tahoma"/>
            <family val="2"/>
          </rPr>
          <t>$15M reduction Reiterated</t>
        </r>
        <r>
          <rPr>
            <b/>
            <sz val="8"/>
            <color indexed="81"/>
            <rFont val="Tahoma"/>
            <family val="2"/>
          </rPr>
          <t xml:space="preserve">
2.27.14:</t>
        </r>
        <r>
          <rPr>
            <sz val="8"/>
            <color indexed="81"/>
            <rFont val="Tahoma"/>
            <family val="2"/>
          </rPr>
          <t xml:space="preserve">
Reiterated</t>
        </r>
        <r>
          <rPr>
            <b/>
            <sz val="8"/>
            <color indexed="81"/>
            <rFont val="Tahoma"/>
            <family val="2"/>
          </rPr>
          <t xml:space="preserve">
1.13.14:
</t>
        </r>
        <r>
          <rPr>
            <sz val="8"/>
            <color indexed="81"/>
            <rFont val="Tahoma"/>
            <family val="2"/>
          </rPr>
          <t xml:space="preserve">$15M lower vs. '13 given debt restructuring in '13. </t>
        </r>
        <r>
          <rPr>
            <sz val="8"/>
            <color indexed="81"/>
            <rFont val="Tahoma"/>
            <family val="2"/>
          </rPr>
          <t xml:space="preserve">
</t>
        </r>
        <r>
          <rPr>
            <b/>
            <sz val="8"/>
            <color indexed="81"/>
            <rFont val="Tahoma"/>
            <family val="2"/>
          </rPr>
          <t xml:space="preserve">11.8.12
</t>
        </r>
        <r>
          <rPr>
            <sz val="8"/>
            <color indexed="81"/>
            <rFont val="Tahoma"/>
            <family val="2"/>
          </rPr>
          <t>During the third quarter, we completed the refinancing of our bank debt and high-yield notes with a new senior credit facility. As a result, we expect
interest expense savings of approximately $25 million on an annualized basis.
Term loan: 4.75%</t>
        </r>
      </text>
    </comment>
    <comment ref="BO44" authorId="6">
      <text>
        <r>
          <rPr>
            <b/>
            <sz val="8"/>
            <color indexed="81"/>
            <rFont val="Tahoma"/>
            <family val="2"/>
          </rPr>
          <t>11.5.15
85-90 M (increase due to debt refi)
8.5.15
80-85M; run rate of 110M
6.15
with refi, new annual int exp ~110 M annualzied
2.3.15</t>
        </r>
        <r>
          <rPr>
            <sz val="8"/>
            <color indexed="81"/>
            <rFont val="Tahoma"/>
            <family val="2"/>
          </rPr>
          <t xml:space="preserve">
Interest expense increase of 4-5% due to varaible rent
</t>
        </r>
        <r>
          <rPr>
            <b/>
            <sz val="8"/>
            <color indexed="81"/>
            <rFont val="Tahoma"/>
            <family val="2"/>
          </rPr>
          <t xml:space="preserve">11.8.12
</t>
        </r>
        <r>
          <rPr>
            <sz val="8"/>
            <color indexed="81"/>
            <rFont val="Tahoma"/>
            <family val="2"/>
          </rPr>
          <t>During the third quarter, we completed the refinancing of our bank debt and high-yield notes with a new senior credit facility. As a result, we expect
interest expense savings of approximately $25 million on an annualized basis.
Term loan: 4.75%</t>
        </r>
      </text>
    </comment>
    <comment ref="BT44" authorId="6">
      <text>
        <r>
          <rPr>
            <b/>
            <sz val="8"/>
            <color indexed="81"/>
            <rFont val="Tahoma"/>
            <family val="2"/>
          </rPr>
          <t xml:space="preserve">11.1.16
interest = 115M
8.10.11
Reit $110M
5.11.2016
</t>
        </r>
        <r>
          <rPr>
            <sz val="8"/>
            <color indexed="81"/>
            <rFont val="Tahoma"/>
            <family val="2"/>
          </rPr>
          <t>Reit $110M</t>
        </r>
        <r>
          <rPr>
            <b/>
            <sz val="8"/>
            <color indexed="81"/>
            <rFont val="Tahoma"/>
            <family val="2"/>
          </rPr>
          <t xml:space="preserve">
2.9.16
</t>
        </r>
        <r>
          <rPr>
            <sz val="8"/>
            <color indexed="81"/>
            <rFont val="Tahoma"/>
            <family val="2"/>
          </rPr>
          <t xml:space="preserve">$110M
</t>
        </r>
        <r>
          <rPr>
            <b/>
            <sz val="8"/>
            <color indexed="81"/>
            <rFont val="Tahoma"/>
            <family val="2"/>
          </rPr>
          <t xml:space="preserve">11.8.12
</t>
        </r>
        <r>
          <rPr>
            <sz val="8"/>
            <color indexed="81"/>
            <rFont val="Tahoma"/>
            <family val="2"/>
          </rPr>
          <t>During the third quarter, we completed the refinancing of our bank debt and high-yield notes with a new senior credit facility. As a result, we expect
interest expense savings of approximately $25 million on an annualized basis.
Term loan: 4.75%</t>
        </r>
      </text>
    </comment>
    <comment ref="BU44" authorId="1">
      <text>
        <r>
          <rPr>
            <b/>
            <sz val="9"/>
            <color indexed="81"/>
            <rFont val="Tahoma"/>
            <family val="2"/>
          </rPr>
          <t>O'Brien, Courtney (Research):</t>
        </r>
        <r>
          <rPr>
            <sz val="9"/>
            <color indexed="81"/>
            <rFont val="Tahoma"/>
            <family val="2"/>
          </rPr>
          <t xml:space="preserve">
5.10.17
Interest expense increased during the first quarter of 2017 primarily due to an increase in capital lease obligations resulting from facilitating franchisee-to-franchisee restaurant transfers and subleasing such properties to the franchisee. 
</t>
        </r>
      </text>
    </comment>
    <comment ref="BY44" authorId="6">
      <text>
        <r>
          <rPr>
            <b/>
            <sz val="8"/>
            <color indexed="81"/>
            <rFont val="Tahoma"/>
            <family val="2"/>
          </rPr>
          <t xml:space="preserve">11.8.2017
</t>
        </r>
        <r>
          <rPr>
            <sz val="8"/>
            <color indexed="81"/>
            <rFont val="Tahoma"/>
            <family val="2"/>
          </rPr>
          <t xml:space="preserve">Reit ~$115-120M
</t>
        </r>
        <r>
          <rPr>
            <b/>
            <sz val="8"/>
            <color indexed="81"/>
            <rFont val="Tahoma"/>
            <family val="2"/>
          </rPr>
          <t xml:space="preserve">
8.10.17
</t>
        </r>
        <r>
          <rPr>
            <sz val="8"/>
            <color indexed="81"/>
            <rFont val="Tahoma"/>
            <family val="2"/>
          </rPr>
          <t xml:space="preserve">$115-120M
</t>
        </r>
        <r>
          <rPr>
            <b/>
            <sz val="8"/>
            <color indexed="81"/>
            <rFont val="Tahoma"/>
            <family val="2"/>
          </rPr>
          <t xml:space="preserve">
5.10.17
</t>
        </r>
        <r>
          <rPr>
            <sz val="8"/>
            <color indexed="81"/>
            <rFont val="Tahoma"/>
            <family val="2"/>
          </rPr>
          <t xml:space="preserve">Interest expense of approximately $115 million
</t>
        </r>
        <r>
          <rPr>
            <b/>
            <sz val="8"/>
            <color indexed="81"/>
            <rFont val="Tahoma"/>
            <family val="2"/>
          </rPr>
          <t xml:space="preserve">
2.16.17
</t>
        </r>
        <r>
          <rPr>
            <sz val="8"/>
            <color indexed="81"/>
            <rFont val="Tahoma"/>
            <family val="2"/>
          </rPr>
          <t xml:space="preserve">$115 million
</t>
        </r>
        <r>
          <rPr>
            <b/>
            <sz val="8"/>
            <color indexed="81"/>
            <rFont val="Tahoma"/>
            <family val="2"/>
          </rPr>
          <t xml:space="preserve">11.8.12
</t>
        </r>
        <r>
          <rPr>
            <sz val="8"/>
            <color indexed="81"/>
            <rFont val="Tahoma"/>
            <family val="2"/>
          </rPr>
          <t>During the third quarter, we completed the refinancing of our bank debt and high-yield notes with a new senior credit facility. As a result, we expect
interest expense savings of approximately $25 million on an annualized basis.
Term loan: 4.75%</t>
        </r>
      </text>
    </comment>
    <comment ref="CD44" authorId="6">
      <text>
        <r>
          <rPr>
            <b/>
            <sz val="8"/>
            <color indexed="81"/>
            <rFont val="Tahoma"/>
            <family val="2"/>
          </rPr>
          <t xml:space="preserve">2.21.2018
</t>
        </r>
        <r>
          <rPr>
            <sz val="8"/>
            <color indexed="81"/>
            <rFont val="Tahoma"/>
            <family val="2"/>
          </rPr>
          <t xml:space="preserve">Interest expense of approximately $120 million. 
</t>
        </r>
        <r>
          <rPr>
            <b/>
            <sz val="8"/>
            <color indexed="81"/>
            <rFont val="Tahoma"/>
            <family val="2"/>
          </rPr>
          <t xml:space="preserve">11.8.12
</t>
        </r>
        <r>
          <rPr>
            <sz val="8"/>
            <color indexed="81"/>
            <rFont val="Tahoma"/>
            <family val="2"/>
          </rPr>
          <t>During the third quarter, we completed the refinancing of our bank debt and high-yield notes with a new senior credit facility. As a result, we expect
interest expense savings of approximately $25 million on an annualized basis.
Term loan: 4.75%</t>
        </r>
      </text>
    </comment>
    <comment ref="CI44"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During the third quarter, we completed the refinancing of our bank debt and high-yield notes with a new senior credit facility. As a result, we expect
interest expense savings of approximately $25 million on an annualized basis.
Term loan: 4.75%</t>
        </r>
      </text>
    </comment>
    <comment ref="CN44"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During the third quarter, we completed the refinancing of our bank debt and high-yield notes with a new senior credit facility. As a result, we expect
interest expense savings of approximately $25 million on an annualized basis.
Term loan: 4.75%</t>
        </r>
      </text>
    </comment>
    <comment ref="AM45" authorId="0">
      <text>
        <r>
          <rPr>
            <b/>
            <sz val="8"/>
            <color indexed="81"/>
            <rFont val="Tahoma"/>
            <family val="2"/>
          </rPr>
          <t>Jon Tower:</t>
        </r>
        <r>
          <rPr>
            <sz val="8"/>
            <color indexed="81"/>
            <rFont val="Tahoma"/>
            <family val="2"/>
          </rPr>
          <t xml:space="preserve">
8.12.10
The Company also completed a new $650 million senior secured credit facility in the second quarter 2010, which
included a $150 million revolving credit facility and a $500 million term loan. The proceeds from the new term
loan were used to repay the outstanding indebtedness under the previously existing senior secured credit facility,
the Wendy’s 6.25% senior notes due in 2011, and for expenses related to the new credit facility. The Company
recognized a $26.2 million loss on early extinguishment of debt. The new credit facility allowed the Company to
take advantage of the favorable credit and interest rate environment and is anticipated to reduce annual interest
expense
</t>
        </r>
      </text>
    </comment>
    <comment ref="AP45" authorId="0">
      <text>
        <r>
          <rPr>
            <b/>
            <sz val="8"/>
            <color indexed="81"/>
            <rFont val="Tahoma"/>
            <family val="2"/>
          </rPr>
          <t>Jon Tower:</t>
        </r>
        <r>
          <rPr>
            <sz val="8"/>
            <color indexed="81"/>
            <rFont val="Tahoma"/>
            <family val="2"/>
          </rPr>
          <t xml:space="preserve">
8.12.10
The Company also completed a new $650 million senior secured credit facility in the second quarter 2010, which
included a $150 million revolving credit facility and a $500 million term loan. The proceeds from the new term
loan were used to repay the outstanding indebtedness under the previously existing senior secured credit facility,
the Wendy’s 6.25% senior notes due in 2011, and for expenses related to the new credit facility. The Company
recognized a $26.2 million loss on early extinguishment of debt. The new credit facility allowed the Company to
take advantage of the favorable credit and interest rate environment and is anticipated to reduce annual interest
expense
</t>
        </r>
      </text>
    </comment>
    <comment ref="AW45" authorId="6">
      <text>
        <r>
          <rPr>
            <b/>
            <sz val="8"/>
            <color indexed="81"/>
            <rFont val="Tahoma"/>
            <family val="2"/>
          </rPr>
          <t>Sushama Dasari:</t>
        </r>
        <r>
          <rPr>
            <sz val="8"/>
            <color indexed="81"/>
            <rFont val="Tahoma"/>
            <family val="2"/>
          </rPr>
          <t xml:space="preserve">
</t>
        </r>
        <r>
          <rPr>
            <b/>
            <sz val="8"/>
            <color indexed="81"/>
            <rFont val="Tahoma"/>
            <family val="2"/>
          </rPr>
          <t xml:space="preserve">8.9.12:
</t>
        </r>
        <r>
          <rPr>
            <sz val="8"/>
            <color indexed="81"/>
            <rFont val="Tahoma"/>
            <family val="2"/>
          </rPr>
          <t>The Company recognized a loss on early extinguishment of debt of $25.2 million in the second quarter of 2012 related to the repayment of $124.2MM senior notes from the proceeds of the Term Loan draw on May 15, 2012.</t>
        </r>
      </text>
    </comment>
    <comment ref="AX45" authorId="6">
      <text>
        <r>
          <rPr>
            <b/>
            <sz val="8"/>
            <color indexed="81"/>
            <rFont val="Tahoma"/>
            <family val="2"/>
          </rPr>
          <t>Sushama Dasari:</t>
        </r>
        <r>
          <rPr>
            <sz val="8"/>
            <color indexed="81"/>
            <rFont val="Tahoma"/>
            <family val="2"/>
          </rPr>
          <t xml:space="preserve">
</t>
        </r>
        <r>
          <rPr>
            <b/>
            <sz val="8"/>
            <color indexed="81"/>
            <rFont val="Tahoma"/>
            <family val="2"/>
          </rPr>
          <t xml:space="preserve">8.9.12:
</t>
        </r>
        <r>
          <rPr>
            <sz val="8"/>
            <color indexed="81"/>
            <rFont val="Tahoma"/>
            <family val="2"/>
          </rPr>
          <t>Subsequent to the end of our second quarter and as a result of the purchase of the remaining $440.3MM Senior Notes from the proceeds of the Term Loan draw on July 16, 2012, the Company will recognize a loss on early extinguishment of debt of $49.8 million in the third quarter of 2012.</t>
        </r>
      </text>
    </comment>
    <comment ref="A46" authorId="0">
      <text>
        <r>
          <rPr>
            <b/>
            <sz val="8"/>
            <color indexed="81"/>
            <rFont val="Tahoma"/>
            <family val="2"/>
          </rPr>
          <t>Jon Tower:</t>
        </r>
        <r>
          <rPr>
            <sz val="8"/>
            <color indexed="81"/>
            <rFont val="Tahoma"/>
            <family val="2"/>
          </rPr>
          <t xml:space="preserve">
Our net gains (losses) include realized gains (losses) on available-for-sale securities and cost method investments and unrealized and realized gains (losses) on derivative instruments. </t>
        </r>
      </text>
    </comment>
    <comment ref="AH46" authorId="0">
      <text>
        <r>
          <rPr>
            <b/>
            <sz val="8"/>
            <color indexed="81"/>
            <rFont val="Tahoma"/>
            <family val="2"/>
          </rPr>
          <t xml:space="preserve">Jon Tower:
8.6.09
</t>
        </r>
        <r>
          <rPr>
            <sz val="8"/>
            <color indexed="81"/>
            <rFont val="Tahoma"/>
            <family val="2"/>
          </rPr>
          <t xml:space="preserve">
.  The change in our recognized gains (losses) for the 2008 second quarter to the 2009 second quarter is primarily due to: (1) $2.3 million of net gains that were realized upon the Equities Sale in the 2009 second quarter, (2) $3.4 million of unrealized losses in the 2008 second quarter on subsequent sales of put and call option derivatives and (3) $2.8 million in unrealized losses on swap derivatives and securities sold short held in the second quarter of 2008.
The $5.5 million Withdrawal Fee recorded in the 2009 second quarter relates to the fee paid to the Management Company for the Equities Sale as discussed above in “Introduction and Executive Overview – Related Party Transactions</t>
        </r>
      </text>
    </comment>
    <comment ref="CR46" authorId="0">
      <text>
        <r>
          <rPr>
            <b/>
            <sz val="8"/>
            <color indexed="81"/>
            <rFont val="Tahoma"/>
            <family val="2"/>
          </rPr>
          <t>Jon Tower:</t>
        </r>
        <r>
          <rPr>
            <sz val="8"/>
            <color indexed="81"/>
            <rFont val="Tahoma"/>
            <family val="2"/>
          </rPr>
          <t xml:space="preserve">
Our net gains (losses) include realized gains (losses) on available-for-sale securities and cost method investments and unrealized and realized gains (losses) on derivative instruments. </t>
        </r>
      </text>
    </comment>
    <comment ref="A47" authorId="0">
      <text>
        <r>
          <rPr>
            <b/>
            <sz val="8"/>
            <color indexed="81"/>
            <rFont val="Tahoma"/>
            <family val="2"/>
          </rPr>
          <t>Jon Tower:</t>
        </r>
        <r>
          <rPr>
            <sz val="8"/>
            <color indexed="81"/>
            <rFont val="Tahoma"/>
            <family val="2"/>
          </rPr>
          <t xml:space="preserve">
Based on a review of our unrealized investment losses in both the 2009 and 2008 second quarters, we determined that the decreases in the fair value of certain of the Legacy Assets were other than temporary due to the severity of the decline, the financial condition of the investee and the prospect for future recovery in the market value of the investment. 
Any other than temporary losses on our Legacy Assets, until their disposition in connection with the Liquidation Services Agreement, are dependent upon the underlying economics and/or volatility in their value and may or may not recur in future periods</t>
        </r>
      </text>
    </comment>
    <comment ref="AG47" authorId="0">
      <text>
        <r>
          <rPr>
            <b/>
            <sz val="8"/>
            <color indexed="81"/>
            <rFont val="Tahoma"/>
            <family val="2"/>
          </rPr>
          <t>Jon Tower:
5.7.09</t>
        </r>
        <r>
          <rPr>
            <sz val="8"/>
            <color indexed="81"/>
            <rFont val="Tahoma"/>
            <family val="2"/>
          </rPr>
          <t xml:space="preserve">
We analyzed our unrealized losses as of March 29, 2009 and, due to current market conditions and other factors, we recorded other than temporary losses in the 2009 first quarter of </t>
        </r>
        <r>
          <rPr>
            <b/>
            <sz val="8"/>
            <color indexed="81"/>
            <rFont val="Tahoma"/>
            <family val="2"/>
          </rPr>
          <t>$2,326 attributable to the decline in fair value of three of our cost investments. As described i</t>
        </r>
        <r>
          <rPr>
            <sz val="8"/>
            <color indexed="81"/>
            <rFont val="Tahoma"/>
            <family val="2"/>
          </rPr>
          <t>n the Form 10-K, prior to 2007 we invested $75,000 in our Equities Account being managed by the Management Company, formed by certain former executive officers who are also current directors, which generally co-invests on a parallel basis with the Management Company’s equity funds.</t>
        </r>
        <r>
          <rPr>
            <b/>
            <sz val="8"/>
            <color indexed="81"/>
            <rFont val="Tahoma"/>
            <family val="2"/>
          </rPr>
          <t xml:space="preserve">  We recorded charges of $801 related to other than temporary losses on an available-for-sale security in the Equities Account
</t>
        </r>
        <r>
          <rPr>
            <b/>
            <sz val="8"/>
            <color indexed="81"/>
            <rFont val="Tahoma"/>
            <family val="2"/>
          </rPr>
          <t xml:space="preserve">
</t>
        </r>
        <r>
          <rPr>
            <sz val="8"/>
            <color indexed="81"/>
            <rFont val="Tahoma"/>
            <family val="2"/>
          </rPr>
          <t xml:space="preserve">
2008 10K:
As of February 27, 2009, as a result of continuing weakness in the economy during the first quarter of 2009 and its effect on the equity markets, there has been a decrease of approximately </t>
        </r>
        <r>
          <rPr>
            <b/>
            <sz val="8"/>
            <color indexed="81"/>
            <rFont val="Tahoma"/>
            <family val="2"/>
          </rPr>
          <t>$3.6 million in the fair value of the available for sale securities held in the Equities Account as compared to their value on December 28, 2008.</t>
        </r>
        <r>
          <rPr>
            <sz val="8"/>
            <color indexed="81"/>
            <rFont val="Tahoma"/>
            <family val="2"/>
          </rPr>
          <t xml:space="preserve">
</t>
        </r>
      </text>
    </comment>
    <comment ref="AH47" authorId="0">
      <text>
        <r>
          <rPr>
            <b/>
            <sz val="8"/>
            <color indexed="81"/>
            <rFont val="Tahoma"/>
            <family val="2"/>
          </rPr>
          <t>Jon Tower:</t>
        </r>
        <r>
          <rPr>
            <sz val="8"/>
            <color indexed="81"/>
            <rFont val="Tahoma"/>
            <family val="2"/>
          </rPr>
          <t xml:space="preserve">
8.6.09
Based on a review of our unrealized investment losses in both the 2009 and 2008 second quarters, we determined that the decreases in the fair value of certain of the Legacy Assets were other than temporary due to the severity of the decline, the financial condition of the investee and the prospect for future recovery in the market value of the investment. Accordingly, we recorded other than temporary losses on our Legacy Assets of $0.8 million in the 2009 second quarter due to the decline in fair value of two of our remaining Legacy Assets and $3.5 million in other than temporary losses on our investment in Jurlique International Pty Ltd. (“Jurlique”) in the 2008 second quarter.
Any other than temporary losses on our Legacy Assets, until their disposition in connection with the Liquidation Services Agreement, are dependent upon the underlying economics and/or volatility in their value and may or may not recur in future periods.
</t>
        </r>
      </text>
    </comment>
    <comment ref="AK47" authorId="0">
      <text>
        <r>
          <rPr>
            <b/>
            <sz val="8"/>
            <color indexed="81"/>
            <rFont val="Tahoma"/>
            <family val="2"/>
          </rPr>
          <t>Jon Tower:</t>
        </r>
        <r>
          <rPr>
            <sz val="8"/>
            <color indexed="81"/>
            <rFont val="Tahoma"/>
            <family val="2"/>
          </rPr>
          <t xml:space="preserve">
2008 10K:
As of February 27, 2009, as a result of continuing weakness in the economy during the first quarter of 2009 and its effect on the equity markets, there has been a decrease of approximately </t>
        </r>
        <r>
          <rPr>
            <b/>
            <sz val="8"/>
            <color indexed="81"/>
            <rFont val="Tahoma"/>
            <family val="2"/>
          </rPr>
          <t>$3.6 million in the fair value of the available for sale securities held in the Equities Account as compared to their value on December 28, 2008.</t>
        </r>
        <r>
          <rPr>
            <sz val="8"/>
            <color indexed="81"/>
            <rFont val="Tahoma"/>
            <family val="2"/>
          </rPr>
          <t xml:space="preserve">
</t>
        </r>
      </text>
    </comment>
    <comment ref="CR47" authorId="0">
      <text>
        <r>
          <rPr>
            <b/>
            <sz val="8"/>
            <color indexed="81"/>
            <rFont val="Tahoma"/>
            <family val="2"/>
          </rPr>
          <t>Jon Tower:</t>
        </r>
        <r>
          <rPr>
            <sz val="8"/>
            <color indexed="81"/>
            <rFont val="Tahoma"/>
            <family val="2"/>
          </rPr>
          <t xml:space="preserve">
Based on a review of our unrealized investment losses in both the 2009 and 2008 second quarters, we determined that the decreases in the fair value of certain of the Legacy Assets were other than temporary due to the severity of the decline, the financial condition of the investee and the prospect for future recovery in the market value of the investment. 
Any other than temporary losses on our Legacy Assets, until their disposition in connection with the Liquidation Services Agreement, are dependent upon the underlying economics and/or volatility in their value and may or may not recur in future periods</t>
        </r>
      </text>
    </comment>
    <comment ref="AG51" authorId="0">
      <text>
        <r>
          <rPr>
            <b/>
            <sz val="8"/>
            <color indexed="81"/>
            <rFont val="Tahoma"/>
            <family val="2"/>
          </rPr>
          <t>Jon Tower:</t>
        </r>
        <r>
          <rPr>
            <sz val="8"/>
            <color indexed="81"/>
            <rFont val="Tahoma"/>
            <family val="2"/>
          </rPr>
          <t xml:space="preserve">
5.7.09
The effective tax benefit for the three months ended March 29, 2009 and March 28, 2008 on the loss before income taxes was 30.6% and 11.1%, respectively.  These rates vary from the U.S. federal statutory rate of 35% due to the 2009 and 2008 first quarter effects of (1) the first quarter 2008 effect of the other than temporary loss on our investment in the common stock of DFR, which, as a result of its subsequent distribution to shareholders, is not deductible for income tax purposes and no tax benefit was recorded related to this loss, (2) state income taxes, net of federal income tax benefit, (3) non-deductible expenses, (4) adjustments to our uncertain tax positions, and (5) tax credits.</t>
        </r>
      </text>
    </comment>
    <comment ref="BD51" authorId="7">
      <text>
        <r>
          <rPr>
            <b/>
            <sz val="8"/>
            <color indexed="81"/>
            <rFont val="Tahoma"/>
            <family val="2"/>
          </rPr>
          <t xml:space="preserve">1.13.14:
</t>
        </r>
        <r>
          <rPr>
            <sz val="8"/>
            <color indexed="81"/>
            <rFont val="Tahoma"/>
            <family val="2"/>
          </rPr>
          <t>Pre-release has tax range of 0.527-4.027</t>
        </r>
        <r>
          <rPr>
            <sz val="8"/>
            <color indexed="81"/>
            <rFont val="Tahoma"/>
            <family val="2"/>
          </rPr>
          <t xml:space="preserve">
</t>
        </r>
      </text>
    </comment>
    <comment ref="BB52" authorId="7">
      <text>
        <r>
          <rPr>
            <b/>
            <sz val="8"/>
            <color indexed="81"/>
            <rFont val="Tahoma"/>
            <family val="2"/>
          </rPr>
          <t>Jake Bartlett:</t>
        </r>
        <r>
          <rPr>
            <sz val="8"/>
            <color indexed="81"/>
            <rFont val="Tahoma"/>
            <family val="2"/>
          </rPr>
          <t xml:space="preserve">
2Q13 10Q
Under the equity method of accounting, we previously reported our 49% share of the net loss of the Japan JV in “Other operating expense, net.” Beginning in the second quarter of 2013, we have reported its results of operations in the appropriate line items in our condensed consolidated statements of operations. Net loss attributable to the Higa Partners’ ownership percentage is recorded in “Net loss (income) attributable to noncontrolling interests.”</t>
        </r>
      </text>
    </comment>
    <comment ref="AO53" authorId="0">
      <text>
        <r>
          <rPr>
            <b/>
            <sz val="8"/>
            <color indexed="81"/>
            <rFont val="Tahoma"/>
            <family val="2"/>
          </rPr>
          <t>Jon Tower:</t>
        </r>
        <r>
          <rPr>
            <sz val="8"/>
            <color indexed="81"/>
            <rFont val="Tahoma"/>
            <family val="2"/>
          </rPr>
          <t xml:space="preserve">
1.26.11
Consolidated revenues were $840.7 million as compared to fourth quarter 2009 revenues of $900.9 million.
Net loss was $10.8 million or $0.03 per share, including net after-tax special charges of $16.5 million or $0.04 per share. Fourth quarter 2009 net loss from continuing operations was $14.7 million, or $0.03 per
share, including after-tax special charges of $44.5 million or $0.10 per share.</t>
        </r>
      </text>
    </comment>
    <comment ref="BL54" authorId="1">
      <text>
        <r>
          <rPr>
            <b/>
            <sz val="9"/>
            <color indexed="81"/>
            <rFont val="Tahoma"/>
            <family val="2"/>
          </rPr>
          <t>O'Brien, Courtney (Research):</t>
        </r>
        <r>
          <rPr>
            <sz val="9"/>
            <color indexed="81"/>
            <rFont val="Tahoma"/>
            <family val="2"/>
          </rPr>
          <t xml:space="preserve">
8.5.15 bakery
</t>
        </r>
      </text>
    </comment>
    <comment ref="AG58" authorId="0">
      <text>
        <r>
          <rPr>
            <b/>
            <sz val="8"/>
            <color indexed="81"/>
            <rFont val="Tahoma"/>
            <family val="2"/>
          </rPr>
          <t>Jon Tower:</t>
        </r>
        <r>
          <rPr>
            <sz val="8"/>
            <color indexed="81"/>
            <rFont val="Tahoma"/>
            <family val="2"/>
          </rPr>
          <t xml:space="preserve">
5.7.09
For the first quarter of 2009, the Company recorded net pre-tax special expense items of approximately $26
million ($15 million after-tax), including integration-related expenses, impairment, depreciation adjustments,
asset write-offs and investment losses</t>
        </r>
      </text>
    </comment>
    <comment ref="AH58" authorId="0">
      <text>
        <r>
          <rPr>
            <b/>
            <sz val="8"/>
            <color indexed="81"/>
            <rFont val="Tahoma"/>
            <family val="2"/>
          </rPr>
          <t>Jon Tower:</t>
        </r>
        <r>
          <rPr>
            <sz val="8"/>
            <color indexed="81"/>
            <rFont val="Tahoma"/>
            <family val="2"/>
          </rPr>
          <t xml:space="preserve">
For the second quarter of 2009, the Company recorded net pre-tax special expense items of approximately $20.0
million ($12.4 million after tax), including integration-related expenses, impairment charges and investmentrelated
expenses.</t>
        </r>
      </text>
    </comment>
    <comment ref="AI58" authorId="0">
      <text>
        <r>
          <rPr>
            <b/>
            <sz val="8"/>
            <color indexed="81"/>
            <rFont val="Tahoma"/>
            <family val="2"/>
          </rPr>
          <t>Jon Tower:</t>
        </r>
        <r>
          <rPr>
            <sz val="8"/>
            <color indexed="81"/>
            <rFont val="Tahoma"/>
            <family val="2"/>
          </rPr>
          <t xml:space="preserve">
11.5.09
In the third quarter of 2009, the Company recorded pre-tax special items of approximately $20.6 million ($12.8
million after tax), including integration-related expenses and impairment charges.</t>
        </r>
      </text>
    </comment>
    <comment ref="AK58" authorId="0">
      <text>
        <r>
          <rPr>
            <b/>
            <sz val="8"/>
            <color indexed="81"/>
            <rFont val="Tahoma"/>
            <family val="2"/>
          </rPr>
          <t>Jon Tower:</t>
        </r>
        <r>
          <rPr>
            <sz val="8"/>
            <color indexed="81"/>
            <rFont val="Tahoma"/>
            <family val="2"/>
          </rPr>
          <t xml:space="preserve">
3.4.10
Full-year 2009 net pre-tax special charges were $138.2 million ($84.7 million after tax), including impairment charges, integration-related expenses, start-up expenses for the Wendy’s co-op, pension withdrawal expense related
to the Wendy’s bakery, the favorable effect of vacation policy standardization, depreciation adjustments related to the allocation of the Wendy’s purchase price, and investment-related and other expenses.</t>
        </r>
      </text>
    </comment>
    <comment ref="AL58" authorId="0">
      <text>
        <r>
          <rPr>
            <b/>
            <sz val="8"/>
            <color indexed="81"/>
            <rFont val="Tahoma"/>
            <family val="2"/>
          </rPr>
          <t>Jon Tower:</t>
        </r>
        <r>
          <rPr>
            <sz val="8"/>
            <color indexed="81"/>
            <rFont val="Tahoma"/>
            <family val="2"/>
          </rPr>
          <t xml:space="preserve">
5.13.10
For the first quarter 2010, the Company recorded net pre-tax special charges of approximately $19.4 million ($12.0
million after tax), including integration-related expenses, impairment charges and expenses for SSG</t>
        </r>
      </text>
    </comment>
    <comment ref="AM58" authorId="0">
      <text>
        <r>
          <rPr>
            <b/>
            <sz val="8"/>
            <color indexed="81"/>
            <rFont val="Tahoma"/>
            <family val="2"/>
          </rPr>
          <t>Jon Tower:</t>
        </r>
        <r>
          <rPr>
            <sz val="8"/>
            <color indexed="81"/>
            <rFont val="Tahoma"/>
            <family val="2"/>
          </rPr>
          <t xml:space="preserve">
8.12.10
For the second quarter 2010, the Company recorded net pre-tax special charges of approximately $24.6 million
($15.2 million after tax), including integration-related expenses, impairment charges, costs related to refinancing
the senior secured credit facility and the related debt repayments, partially offset by income recognized from the
collection of the Deerfield Capital Corp. note as the proceeds exceeded the carrying value of the note</t>
        </r>
      </text>
    </comment>
    <comment ref="AO58" authorId="0">
      <text>
        <r>
          <rPr>
            <b/>
            <sz val="8"/>
            <color indexed="81"/>
            <rFont val="Tahoma"/>
            <family val="2"/>
          </rPr>
          <t>Jon Tower:</t>
        </r>
        <r>
          <rPr>
            <sz val="8"/>
            <color indexed="81"/>
            <rFont val="Tahoma"/>
            <family val="2"/>
          </rPr>
          <t xml:space="preserve">
1.26.11
For the fourth quarter 2010, the Company recorded net after tax special charges of $16.5 million, including integration-related expenses, impairment charges, incremental advertising for Wendy’s new breakfast, costs
related to SSG purchasing co-op and reversal of pension withdrawal expense.</t>
        </r>
      </text>
    </comment>
    <comment ref="AP58" authorId="0">
      <text>
        <r>
          <rPr>
            <b/>
            <sz val="8"/>
            <color indexed="81"/>
            <rFont val="Tahoma"/>
            <family val="2"/>
          </rPr>
          <t>Jon Tower:</t>
        </r>
        <r>
          <rPr>
            <sz val="8"/>
            <color indexed="81"/>
            <rFont val="Tahoma"/>
            <family val="2"/>
          </rPr>
          <t xml:space="preserve">
1.26.11
For the full-year 2010, the
Company recorded net after tax special charges of $64.7 million, including integration-related expenses,
impairment charges, incremental advertising for Wendy’s new breakfast, costs related to SSG purchasing co-op,
reversal of pension withdrawal expense, costs related to refinancing the senior secured credit facility and the
related debt repayments, partially offset by income recognized from the collection of the Deerfield Capital Corp.
note as the proceeds exceeded the carrying value of the note</t>
        </r>
      </text>
    </comment>
    <comment ref="AQ58" authorId="0">
      <text>
        <r>
          <rPr>
            <b/>
            <sz val="8"/>
            <color indexed="81"/>
            <rFont val="Tahoma"/>
            <family val="2"/>
          </rPr>
          <t>Jon Tower:</t>
        </r>
        <r>
          <rPr>
            <sz val="8"/>
            <color indexed="81"/>
            <rFont val="Tahoma"/>
            <family val="2"/>
          </rPr>
          <t xml:space="preserve">
5.10.11
Net loss was $1.4 million, or $0.00 per share, including net after-tax special charges of $6.0 million, or $0.01 per share. First quarter 2010 net loss was $3.4 million, or $0.01 loss per share, including after-tax special charges of $12.0 million, or $0.03 per share</t>
        </r>
      </text>
    </comment>
    <comment ref="AG59" authorId="0">
      <text>
        <r>
          <rPr>
            <b/>
            <sz val="8"/>
            <color indexed="81"/>
            <rFont val="Tahoma"/>
            <family val="2"/>
          </rPr>
          <t>Jon Tower:</t>
        </r>
        <r>
          <rPr>
            <sz val="8"/>
            <color indexed="81"/>
            <rFont val="Tahoma"/>
            <family val="2"/>
          </rPr>
          <t xml:space="preserve">
5.7.09
For the first quarter of 2009, the Company recorded net pre-tax special expense items of approximately $26
million ($15 million after-tax), including integration-related expenses, impairment, depreciation adjustments,
asset write-offs and investment losses</t>
        </r>
      </text>
    </comment>
    <comment ref="AI59" authorId="0">
      <text>
        <r>
          <rPr>
            <b/>
            <sz val="8"/>
            <color indexed="81"/>
            <rFont val="Tahoma"/>
            <family val="2"/>
          </rPr>
          <t>Jon Tower:</t>
        </r>
        <r>
          <rPr>
            <sz val="8"/>
            <color indexed="81"/>
            <rFont val="Tahoma"/>
            <family val="2"/>
          </rPr>
          <t xml:space="preserve">
11.5.09
In the third quarter of 2009, the Company recorded pre-tax special items of approximately $20.6 million ($12.8
million after tax), including integration-related expenses and impairment charges.</t>
        </r>
      </text>
    </comment>
    <comment ref="AK59" authorId="0">
      <text>
        <r>
          <rPr>
            <b/>
            <sz val="8"/>
            <color indexed="81"/>
            <rFont val="Tahoma"/>
            <family val="2"/>
          </rPr>
          <t>Jon Tower:</t>
        </r>
        <r>
          <rPr>
            <sz val="8"/>
            <color indexed="81"/>
            <rFont val="Tahoma"/>
            <family val="2"/>
          </rPr>
          <t xml:space="preserve">
3.4.10
Full-year 2009 net pre-tax special charges were $138.2 million ($84.7 million after tax), including impairment charges, integration-related expenses, start-up expenses for the Wendy’s co-op, pension withdrawal expense related
to the Wendy’s bakery, the favorable effect of vacation policy standardization, depreciation adjustments related to the allocation of the Wendy’s purchase price, and investment-related and other expenses.</t>
        </r>
      </text>
    </comment>
    <comment ref="AL59" authorId="0">
      <text>
        <r>
          <rPr>
            <b/>
            <sz val="8"/>
            <color indexed="81"/>
            <rFont val="Tahoma"/>
            <family val="2"/>
          </rPr>
          <t>Jon Tower:</t>
        </r>
        <r>
          <rPr>
            <sz val="8"/>
            <color indexed="81"/>
            <rFont val="Tahoma"/>
            <family val="2"/>
          </rPr>
          <t xml:space="preserve">
5.13.10
First quarter 2010 net loss was $3.4 million, or $0.01 per share, including after-tax special charges of $12.0
million, or $0.03 per share.</t>
        </r>
      </text>
    </comment>
    <comment ref="AM59" authorId="0">
      <text>
        <r>
          <rPr>
            <b/>
            <sz val="8"/>
            <color indexed="81"/>
            <rFont val="Tahoma"/>
            <family val="2"/>
          </rPr>
          <t>Jon Tower:</t>
        </r>
        <r>
          <rPr>
            <sz val="8"/>
            <color indexed="81"/>
            <rFont val="Tahoma"/>
            <family val="2"/>
          </rPr>
          <t xml:space="preserve">
8.12.10
integration costs in G&amp;A = ($0.5)M
Impairment of long-lived assets = ($1.5)M
Loss on early extinguishment of debt = ($16.2)M
Gain on collection of note receivable = $3.0M
Total special items = ($15.2M)</t>
        </r>
      </text>
    </comment>
    <comment ref="AO59" authorId="0">
      <text>
        <r>
          <rPr>
            <b/>
            <sz val="8"/>
            <color indexed="81"/>
            <rFont val="Tahoma"/>
            <family val="2"/>
          </rPr>
          <t xml:space="preserve">Jon Tower:
3.3.11
</t>
        </r>
        <r>
          <rPr>
            <sz val="8"/>
            <color indexed="81"/>
            <rFont val="Tahoma"/>
            <family val="2"/>
          </rPr>
          <t>For the fourth quarter 2010, the Company recorded net after tax special charges of $16.5 million, including integration-related expenses, impairment charges, incremental advertising for Wendy’s new breakfast, costs related to Strategic Sourcing Group purchasing co-op (SSG) and reversal of pension withdrawal expense.</t>
        </r>
        <r>
          <rPr>
            <b/>
            <sz val="8"/>
            <color indexed="81"/>
            <rFont val="Tahoma"/>
            <family val="2"/>
          </rPr>
          <t xml:space="preserve">
</t>
        </r>
        <r>
          <rPr>
            <sz val="8"/>
            <color indexed="81"/>
            <rFont val="Tahoma"/>
            <family val="2"/>
          </rPr>
          <t xml:space="preserve">
1.26.11
For the fourth quarter 2010, the Company recorded net after tax special charges of $16.5 million, including integration-related expenses, impairment charges, incremental advertising for Wendy’s new breakfast, costs
related to SSG purchasing co-op and reversal of pension withdrawal expense.</t>
        </r>
      </text>
    </comment>
    <comment ref="AP59" authorId="0">
      <text>
        <r>
          <rPr>
            <b/>
            <sz val="8"/>
            <color indexed="81"/>
            <rFont val="Tahoma"/>
            <family val="2"/>
          </rPr>
          <t xml:space="preserve">Jon Tower:
3.3.11
</t>
        </r>
        <r>
          <rPr>
            <sz val="8"/>
            <color indexed="81"/>
            <rFont val="Tahoma"/>
            <family val="2"/>
          </rPr>
          <t xml:space="preserve">For the full-year 2010, the Company recorded net after tax special charges of $64.7 million, including integration-related expenses, impairment charges, incremental advertising for Wendy’s new breakfast, costs related to SSG, reversal of pension withdrawal expense, costs related to refinancing the senior secured credit facility and the related debt repayments, partially offset by income recognized from the collection of the Deerfield Capital Corp. note as the proceeds exceeded the carrying value of the note.
</t>
        </r>
        <r>
          <rPr>
            <b/>
            <sz val="8"/>
            <color indexed="81"/>
            <rFont val="Tahoma"/>
            <family val="2"/>
          </rPr>
          <t xml:space="preserve">
</t>
        </r>
        <r>
          <rPr>
            <sz val="8"/>
            <color indexed="81"/>
            <rFont val="Tahoma"/>
            <family val="2"/>
          </rPr>
          <t xml:space="preserve">
1.26.11
For the full-year 2010, the
Company recorded net after tax special charges of $64.7 million, including integration-related expenses,
impairment charges, incremental advertising for Wendy’s new breakfast, costs related to SSG purchasing co-op,
reversal of pension withdrawal expense, costs related to refinancing the senior secured credit facility and the
related debt repayments, partially offset by income recognized from the collection of the Deerfield Capital Corp.
note as the proceeds exceeded the carrying value of the note</t>
        </r>
      </text>
    </comment>
    <comment ref="AW59" authorId="6">
      <text>
        <r>
          <rPr>
            <b/>
            <sz val="8"/>
            <color indexed="81"/>
            <rFont val="Tahoma"/>
            <family val="2"/>
          </rPr>
          <t>Sushama Dasari:</t>
        </r>
        <r>
          <rPr>
            <sz val="8"/>
            <color indexed="81"/>
            <rFont val="Tahoma"/>
            <family val="2"/>
          </rPr>
          <t xml:space="preserve">
After-tax loss on early extinguishment of debt + impairment of long-lived assets + restaurant closing costs + facilities costs + transaction costs</t>
        </r>
      </text>
    </comment>
    <comment ref="AX59"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After-tax non-recurring charges:</t>
        </r>
        <r>
          <rPr>
            <b/>
            <sz val="8"/>
            <color indexed="81"/>
            <rFont val="Tahoma"/>
            <family val="2"/>
          </rPr>
          <t xml:space="preserve">
</t>
        </r>
        <r>
          <rPr>
            <sz val="8"/>
            <color indexed="81"/>
            <rFont val="Tahoma"/>
            <family val="2"/>
          </rPr>
          <t>Loss on early extinguishment of det: 30.926
Facilities relocation and other transition costs: 6.977
Transaction related costs: 0.089
Income from discontinued ops: (0.53)</t>
        </r>
      </text>
    </comment>
    <comment ref="BB59" authorId="7">
      <text>
        <r>
          <rPr>
            <b/>
            <sz val="8"/>
            <color indexed="81"/>
            <rFont val="Tahoma"/>
            <family val="2"/>
          </rPr>
          <t>Jake Bartlett:</t>
        </r>
        <r>
          <rPr>
            <sz val="8"/>
            <color indexed="81"/>
            <rFont val="Tahoma"/>
            <family val="2"/>
          </rPr>
          <t xml:space="preserve">
Adjusted income for the second quarter excludes after-tax charges of $13.1 million from the early extinguishment of debt and $4 million primarily from the system optimization initiative.</t>
        </r>
      </text>
    </comment>
    <comment ref="BF59" authorId="1">
      <text>
        <r>
          <rPr>
            <b/>
            <sz val="9"/>
            <color indexed="81"/>
            <rFont val="Tahoma"/>
            <family val="2"/>
          </rPr>
          <t>O'Brien, Courtney (Research):</t>
        </r>
        <r>
          <rPr>
            <sz val="9"/>
            <color indexed="81"/>
            <rFont val="Tahoma"/>
            <family val="2"/>
          </rPr>
          <t xml:space="preserve">
5.5.15
UPDATED TO BACK OUT 7.435 NET GAIN ON DISPOSAL OF ASSETS TO CONFORM TO fy15 PRESENTATION</t>
        </r>
      </text>
    </comment>
    <comment ref="BJ60" authorId="7">
      <text>
        <r>
          <rPr>
            <b/>
            <sz val="8"/>
            <color indexed="81"/>
            <rFont val="Tahoma"/>
            <family val="2"/>
          </rPr>
          <t>8.7.14:</t>
        </r>
        <r>
          <rPr>
            <sz val="8"/>
            <color indexed="81"/>
            <rFont val="Tahoma"/>
            <family val="2"/>
          </rPr>
          <t xml:space="preserve">
$40M of pretax accelerated depreciation related to IA.</t>
        </r>
        <r>
          <rPr>
            <b/>
            <sz val="8"/>
            <color indexed="81"/>
            <rFont val="Tahoma"/>
            <family val="2"/>
          </rPr>
          <t xml:space="preserve">
5.8.14:</t>
        </r>
        <r>
          <rPr>
            <sz val="8"/>
            <color indexed="81"/>
            <rFont val="Tahoma"/>
            <family val="2"/>
          </rPr>
          <t xml:space="preserve">
$40M of pretax accelerated depreciation related to IA.</t>
        </r>
        <r>
          <rPr>
            <b/>
            <sz val="8"/>
            <color indexed="81"/>
            <rFont val="Tahoma"/>
            <family val="2"/>
          </rPr>
          <t xml:space="preserve">
1.21.14:
</t>
        </r>
        <r>
          <rPr>
            <sz val="8"/>
            <color indexed="81"/>
            <rFont val="Tahoma"/>
            <family val="2"/>
          </rPr>
          <t>$40M of accelerated depreciation expected</t>
        </r>
        <r>
          <rPr>
            <sz val="8"/>
            <color indexed="81"/>
            <rFont val="Tahoma"/>
            <family val="2"/>
          </rPr>
          <t xml:space="preserve">
</t>
        </r>
      </text>
    </comment>
    <comment ref="BK60" authorId="3">
      <text>
        <r>
          <rPr>
            <b/>
            <sz val="9"/>
            <color indexed="81"/>
            <rFont val="Tahoma"/>
            <family val="2"/>
          </rPr>
          <t>Glass, John (Research):</t>
        </r>
        <r>
          <rPr>
            <sz val="9"/>
            <color indexed="81"/>
            <rFont val="Tahoma"/>
            <family val="2"/>
          </rPr>
          <t xml:space="preserve">
incuded a reversal due to increased refrancing; full yr accelrated deprecaiton still $10 M (had been $20 M)</t>
        </r>
      </text>
    </comment>
    <comment ref="BL60" authorId="1">
      <text>
        <r>
          <rPr>
            <b/>
            <sz val="9"/>
            <color indexed="81"/>
            <rFont val="Tahoma"/>
            <family val="2"/>
          </rPr>
          <t>O'Brien, Courtney (Research):</t>
        </r>
        <r>
          <rPr>
            <sz val="9"/>
            <color indexed="81"/>
            <rFont val="Tahoma"/>
            <family val="2"/>
          </rPr>
          <t xml:space="preserve">
</t>
        </r>
      </text>
    </comment>
    <comment ref="BM60" authorId="3">
      <text>
        <r>
          <rPr>
            <b/>
            <sz val="9"/>
            <color indexed="81"/>
            <rFont val="Tahoma"/>
            <family val="2"/>
          </rPr>
          <t>Glass, John (Research):</t>
        </r>
        <r>
          <rPr>
            <sz val="9"/>
            <color indexed="81"/>
            <rFont val="Tahoma"/>
            <family val="2"/>
          </rPr>
          <t xml:space="preserve">
acccerlated depreciationphases out due to refranchising</t>
        </r>
      </text>
    </comment>
    <comment ref="BO60" authorId="8">
      <text>
        <r>
          <rPr>
            <b/>
            <sz val="9"/>
            <color indexed="81"/>
            <rFont val="Tahoma"/>
            <family val="2"/>
          </rPr>
          <t>5.5.15
$10M for year
2.3.15:</t>
        </r>
        <r>
          <rPr>
            <sz val="9"/>
            <color indexed="81"/>
            <rFont val="Tahoma"/>
            <family val="2"/>
          </rPr>
          <t xml:space="preserve">
$20M of accelerated deprecation related to IA expected. </t>
        </r>
      </text>
    </comment>
    <comment ref="AO62" authorId="0">
      <text>
        <r>
          <rPr>
            <b/>
            <sz val="8"/>
            <color indexed="81"/>
            <rFont val="Tahoma"/>
            <family val="2"/>
          </rPr>
          <t>Jon Tower:</t>
        </r>
        <r>
          <rPr>
            <sz val="8"/>
            <color indexed="81"/>
            <rFont val="Tahoma"/>
            <family val="2"/>
          </rPr>
          <t xml:space="preserve">
1.26.11
Consolidated revenues were $840.7 million as compared to fourth quarter 2009 revenues of $900.9 million.
Net loss was $10.8 million or $0.03 per share, including net after-tax special charges of $16.5 million or $0.04 per share. Fourth quarter 2009 net loss from continuing operations was $14.7 million, or $0.03 per
share, including after-tax special charges of $44.5 million or $0.10 per share.</t>
        </r>
      </text>
    </comment>
    <comment ref="AQ62" authorId="0">
      <text>
        <r>
          <rPr>
            <b/>
            <sz val="8"/>
            <color indexed="81"/>
            <rFont val="Tahoma"/>
            <family val="2"/>
          </rPr>
          <t>Jon Tower:</t>
        </r>
        <r>
          <rPr>
            <sz val="8"/>
            <color indexed="81"/>
            <rFont val="Tahoma"/>
            <family val="2"/>
          </rPr>
          <t xml:space="preserve">
5.10.11
Net loss was $1.4 million, or $0.00 per share, including net after-tax special charges of $6.0 million, or $0.01 per share. First quarter 2010 net loss was $3.4 million, or $0.01 loss per share, including after-tax special charges of $12.0 million, or $0.03 per share</t>
        </r>
      </text>
    </comment>
    <comment ref="AX62"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Includes $4M negative impact from temporary closure of restaurants and other costs related to Image Activation</t>
        </r>
      </text>
    </comment>
    <comment ref="AY62" authorId="6">
      <text>
        <r>
          <rPr>
            <b/>
            <sz val="8"/>
            <color indexed="81"/>
            <rFont val="Tahoma"/>
            <family val="2"/>
          </rPr>
          <t>Sushama Dasari:</t>
        </r>
        <r>
          <rPr>
            <sz val="8"/>
            <color indexed="81"/>
            <rFont val="Tahoma"/>
            <family val="2"/>
          </rPr>
          <t xml:space="preserve">
</t>
        </r>
        <r>
          <rPr>
            <b/>
            <sz val="8"/>
            <color indexed="81"/>
            <rFont val="Tahoma"/>
            <family val="2"/>
          </rPr>
          <t>2.28.13</t>
        </r>
        <r>
          <rPr>
            <sz val="8"/>
            <color indexed="81"/>
            <rFont val="Tahoma"/>
            <family val="2"/>
          </rPr>
          <t xml:space="preserve">
The Company revised its 2012 fourth-quarter and full-year preliminary unaudited results as follows:
1. Reduced the estimate for the pretax charge related to discontinuing breakfast operations at certain restaurants by $4.0 million 
2. Reduced pretax depreciation and amortization by $2.0 million 
The total after-tax effect of these changes increased reported fourth-quarter and full-year net income from continuing operations by $4.0 million, or one cent per share, in the Company's audited 2012 results compared to its 2012 preliminary unaudited results reported Jan. 16, 2013.
</t>
        </r>
        <r>
          <rPr>
            <b/>
            <sz val="8"/>
            <color indexed="81"/>
            <rFont val="Tahoma"/>
            <family val="2"/>
          </rPr>
          <t xml:space="preserve">1.16.13
</t>
        </r>
        <r>
          <rPr>
            <sz val="8"/>
            <color indexed="81"/>
            <rFont val="Tahoma"/>
            <family val="2"/>
          </rPr>
          <t>Pre-release: Adjusted Earnings Per Share from continuing operations were $0.08</t>
        </r>
        <r>
          <rPr>
            <sz val="8"/>
            <color indexed="81"/>
            <rFont val="Tahoma"/>
            <family val="2"/>
          </rPr>
          <t xml:space="preserve">
</t>
        </r>
        <r>
          <rPr>
            <b/>
            <sz val="8"/>
            <color indexed="81"/>
            <rFont val="Tahoma"/>
            <family val="2"/>
          </rPr>
          <t xml:space="preserve">11.8.12
</t>
        </r>
        <r>
          <rPr>
            <sz val="8"/>
            <color indexed="81"/>
            <rFont val="Tahoma"/>
            <family val="2"/>
          </rPr>
          <t>Expect positive impact from 47 reimaged restaurants that re-opened late in Q3 and early in Q4. No construction expected in Q4 after October end</t>
        </r>
      </text>
    </comment>
    <comment ref="AZ62"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Pre-release: Adjusted Earnings Per Share from continuing operations were $0.16</t>
        </r>
      </text>
    </comment>
    <comment ref="BA62" authorId="11">
      <text>
        <r>
          <rPr>
            <b/>
            <sz val="8"/>
            <color indexed="81"/>
            <rFont val="Tahoma"/>
            <family val="2"/>
          </rPr>
          <t>bartljak:</t>
        </r>
        <r>
          <rPr>
            <sz val="8"/>
            <color indexed="81"/>
            <rFont val="Tahoma"/>
            <family val="2"/>
          </rPr>
          <t xml:space="preserve">
Includes $9.068MM after tax accelerated depreciation due to reimages</t>
        </r>
      </text>
    </comment>
    <comment ref="BE62" authorId="6">
      <text>
        <r>
          <rPr>
            <sz val="8"/>
            <color indexed="81"/>
            <rFont val="Tahoma"/>
            <family val="2"/>
          </rPr>
          <t xml:space="preserve">
</t>
        </r>
        <r>
          <rPr>
            <b/>
            <sz val="8"/>
            <color indexed="81"/>
            <rFont val="Tahoma"/>
            <family val="2"/>
          </rPr>
          <t xml:space="preserve">1.16.13
</t>
        </r>
        <r>
          <rPr>
            <sz val="8"/>
            <color indexed="81"/>
            <rFont val="Tahoma"/>
            <family val="2"/>
          </rPr>
          <t xml:space="preserve">Expect EPS of 18-20c in '13 (+13-25% y/y)
</t>
        </r>
        <r>
          <rPr>
            <b/>
            <sz val="8"/>
            <color indexed="81"/>
            <rFont val="Tahoma"/>
            <family val="2"/>
          </rPr>
          <t>E-mail with Dave Poplar 2/20/13:</t>
        </r>
        <r>
          <rPr>
            <sz val="8"/>
            <color indexed="81"/>
            <rFont val="Tahoma"/>
            <family val="2"/>
          </rPr>
          <t xml:space="preserve"> Operating EPS guidance adjusts out $20-30M accelerated depreciation from remodels (which will grow over time). </t>
        </r>
        <r>
          <rPr>
            <b/>
            <sz val="8"/>
            <color indexed="81"/>
            <rFont val="Tahoma"/>
            <family val="2"/>
          </rPr>
          <t>However,</t>
        </r>
        <r>
          <rPr>
            <sz val="8"/>
            <color indexed="81"/>
            <rFont val="Tahoma"/>
            <family val="2"/>
          </rPr>
          <t xml:space="preserve"> since most other companies (JACK, MCD) do not exclude accelerated depreciation from operating EPS, we will treat WEN the same </t>
        </r>
      </text>
    </comment>
    <comment ref="BO62" authorId="1">
      <text>
        <r>
          <rPr>
            <b/>
            <sz val="9"/>
            <color indexed="81"/>
            <rFont val="Tahoma"/>
            <family val="2"/>
          </rPr>
          <t>O'Brien, Courtney (Research):</t>
        </r>
        <r>
          <rPr>
            <sz val="9"/>
            <color indexed="81"/>
            <rFont val="Tahoma"/>
            <family val="2"/>
          </rPr>
          <t xml:space="preserve">
2.9.16
33c reported (ex bakery)
</t>
        </r>
      </text>
    </comment>
    <comment ref="BP62" authorId="3">
      <text>
        <r>
          <rPr>
            <b/>
            <sz val="9"/>
            <color indexed="81"/>
            <rFont val="Tahoma"/>
            <family val="2"/>
          </rPr>
          <t>Glass, John (Research):</t>
        </r>
        <r>
          <rPr>
            <sz val="9"/>
            <color indexed="81"/>
            <rFont val="Tahoma"/>
            <family val="2"/>
          </rPr>
          <t xml:space="preserve">
5.16: 2-3c from lease buyout benefit</t>
        </r>
      </text>
    </comment>
    <comment ref="BQ62" authorId="1">
      <text>
        <r>
          <rPr>
            <b/>
            <sz val="9"/>
            <color indexed="81"/>
            <rFont val="Tahoma"/>
            <family val="2"/>
          </rPr>
          <t>O'Brien, Courtney (Research):</t>
        </r>
        <r>
          <rPr>
            <sz val="9"/>
            <color indexed="81"/>
            <rFont val="Tahoma"/>
            <family val="2"/>
          </rPr>
          <t xml:space="preserve">
6.10.16
+3c accretion from share repurchase; +1c = D&amp;A decline; +1c lower tax; -3c interest</t>
        </r>
      </text>
    </comment>
    <comment ref="BT62" authorId="5">
      <text>
        <r>
          <rPr>
            <b/>
            <sz val="8"/>
            <color indexed="81"/>
            <rFont val="Tahoma"/>
            <family val="2"/>
          </rPr>
          <t>11.1.1.6
40-41c (raised) (+23%)
8.10.16
raised to $0.39 to $0.40 
5.11.2016</t>
        </r>
        <r>
          <rPr>
            <sz val="8"/>
            <color indexed="81"/>
            <rFont val="Tahoma"/>
            <family val="2"/>
          </rPr>
          <t xml:space="preserve">
$0.38 to $0.40 from its prior guidance of $0.35 to $0.37 but includes 2-3c benefit in teh 1Q from lease buyout</t>
        </r>
        <r>
          <rPr>
            <b/>
            <sz val="8"/>
            <color indexed="81"/>
            <rFont val="Tahoma"/>
            <family val="2"/>
          </rPr>
          <t xml:space="preserve">
2.9.16
</t>
        </r>
        <r>
          <rPr>
            <sz val="8"/>
            <color indexed="81"/>
            <rFont val="Tahoma"/>
            <family val="2"/>
          </rPr>
          <t xml:space="preserve">35-37c (6-12%), inlcudes lapping 53 wk in '15 and reduction of 315 restaurants
</t>
        </r>
        <r>
          <rPr>
            <b/>
            <sz val="8"/>
            <color indexed="81"/>
            <rFont val="Tahoma"/>
            <family val="2"/>
          </rPr>
          <t xml:space="preserve">
6.15: </t>
        </r>
        <r>
          <rPr>
            <sz val="8"/>
            <color indexed="81"/>
            <rFont val="Tahoma"/>
            <family val="2"/>
          </rPr>
          <t xml:space="preserve">reiterates HSD EPS in 16 (implies 35c at high end); increased interest offsets buy back accretion thru 2016
</t>
        </r>
        <r>
          <rPr>
            <b/>
            <sz val="8"/>
            <color indexed="81"/>
            <rFont val="Tahoma"/>
            <family val="2"/>
          </rPr>
          <t xml:space="preserve">
2.3.15:
</t>
        </r>
        <r>
          <rPr>
            <sz val="8"/>
            <color indexed="81"/>
            <rFont val="Tahoma"/>
            <family val="2"/>
          </rPr>
          <t>HSD adj. EPS growth in '16  (ex recap).</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Y62" authorId="5">
      <text>
        <r>
          <rPr>
            <b/>
            <sz val="8"/>
            <color indexed="81"/>
            <rFont val="Tahoma"/>
            <family val="2"/>
          </rPr>
          <t xml:space="preserve">11.8.2017
</t>
        </r>
        <r>
          <rPr>
            <sz val="8"/>
            <color indexed="81"/>
            <rFont val="Tahoma"/>
            <family val="2"/>
          </rPr>
          <t>43-45c (+7.5-12.5%)</t>
        </r>
        <r>
          <rPr>
            <b/>
            <sz val="8"/>
            <color indexed="81"/>
            <rFont val="Tahoma"/>
            <family val="2"/>
          </rPr>
          <t xml:space="preserve">
8.2.17
</t>
        </r>
        <r>
          <rPr>
            <sz val="8"/>
            <color indexed="81"/>
            <rFont val="Tahoma"/>
            <family val="2"/>
          </rPr>
          <t>reit 45-47c (+13-+18%)</t>
        </r>
        <r>
          <rPr>
            <b/>
            <sz val="8"/>
            <color indexed="81"/>
            <rFont val="Tahoma"/>
            <family val="2"/>
          </rPr>
          <t xml:space="preserve">
5.10.17
</t>
        </r>
        <r>
          <rPr>
            <sz val="8"/>
            <color indexed="81"/>
            <rFont val="Tahoma"/>
            <family val="2"/>
          </rPr>
          <t xml:space="preserve">Adjusted earnings per share of approximately $0.45 to $0.47, an increase of
approximately 13 percent to 18 percent compared to 2016
</t>
        </r>
        <r>
          <rPr>
            <b/>
            <sz val="8"/>
            <color indexed="81"/>
            <rFont val="Tahoma"/>
            <family val="2"/>
          </rPr>
          <t xml:space="preserve">
2.16.17
</t>
        </r>
        <r>
          <rPr>
            <sz val="8"/>
            <color indexed="81"/>
            <rFont val="Tahoma"/>
            <family val="2"/>
          </rPr>
          <t xml:space="preserve">$0.45 to $0.47, an increase of approximately 13 percent to 18 percent compared to 2016
</t>
        </r>
        <r>
          <rPr>
            <b/>
            <sz val="8"/>
            <color indexed="81"/>
            <rFont val="Tahoma"/>
            <family val="2"/>
          </rPr>
          <t xml:space="preserve">
2.9.16
</t>
        </r>
        <r>
          <rPr>
            <sz val="8"/>
            <color indexed="81"/>
            <rFont val="Tahoma"/>
            <family val="2"/>
          </rPr>
          <t xml:space="preserve">REIT high teens EPS growth
6.3.15:
</t>
        </r>
        <r>
          <rPr>
            <b/>
            <sz val="8"/>
            <color indexed="81"/>
            <rFont val="Tahoma"/>
            <family val="2"/>
          </rPr>
          <t xml:space="preserve">
</t>
        </r>
        <r>
          <rPr>
            <sz val="8"/>
            <color indexed="81"/>
            <rFont val="Tahoma"/>
            <family val="2"/>
          </rPr>
          <t xml:space="preserve">high teens EPS in 17 post recap (implies 41-42c); 80% of earning strem will come from predictable royalty cash flows in '17
</t>
        </r>
        <r>
          <rPr>
            <b/>
            <sz val="8"/>
            <color indexed="81"/>
            <rFont val="Tahoma"/>
            <family val="2"/>
          </rPr>
          <t xml:space="preserve">
2.3.15:
</t>
        </r>
        <r>
          <rPr>
            <sz val="8"/>
            <color indexed="81"/>
            <rFont val="Tahoma"/>
            <family val="2"/>
          </rPr>
          <t>HSD adj. EPS growth in '17 (ex recap).</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CD62" authorId="5">
      <text>
        <r>
          <rPr>
            <b/>
            <sz val="8"/>
            <color indexed="81"/>
            <rFont val="Tahoma"/>
            <family val="2"/>
          </rPr>
          <t xml:space="preserve">2.21.2018
</t>
        </r>
        <r>
          <rPr>
            <sz val="8"/>
            <color indexed="81"/>
            <rFont val="Tahoma"/>
            <family val="2"/>
          </rPr>
          <t xml:space="preserve">Adjusted earnings per share of approximately $0.54 to $0.56, an increase of approximately 38 to 44 percent compared to recast 2017 results.  (includes new rev rec standards)
</t>
        </r>
        <r>
          <rPr>
            <b/>
            <sz val="8"/>
            <color indexed="81"/>
            <rFont val="Tahoma"/>
            <family val="2"/>
          </rPr>
          <t xml:space="preserve">
6.3.15:
</t>
        </r>
        <r>
          <rPr>
            <sz val="8"/>
            <color indexed="81"/>
            <rFont val="Tahoma"/>
            <family val="2"/>
          </rPr>
          <t xml:space="preserve">&gt;20% EPS growht in 18 and beyond post recap (mplies 50c+)
</t>
        </r>
        <r>
          <rPr>
            <b/>
            <sz val="8"/>
            <color indexed="81"/>
            <rFont val="Tahoma"/>
            <family val="2"/>
          </rPr>
          <t xml:space="preserve">
2.3.15:
</t>
        </r>
        <r>
          <rPr>
            <sz val="8"/>
            <color indexed="81"/>
            <rFont val="Tahoma"/>
            <family val="2"/>
          </rPr>
          <t>M-to-HSD adj. EPS growth in '18 (ex recap).</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A63" authorId="11">
      <text>
        <r>
          <rPr>
            <b/>
            <sz val="8"/>
            <color indexed="81"/>
            <rFont val="Tahoma"/>
            <family val="2"/>
          </rPr>
          <t>bartljak:</t>
        </r>
        <r>
          <rPr>
            <sz val="8"/>
            <color indexed="81"/>
            <rFont val="Tahoma"/>
            <family val="2"/>
          </rPr>
          <t xml:space="preserve">
WEN backs out accelerated depreciation related to reimages. $9.068 in 1Q13.</t>
        </r>
      </text>
    </comment>
    <comment ref="BD63" authorId="7">
      <text>
        <r>
          <rPr>
            <b/>
            <sz val="8"/>
            <color indexed="81"/>
            <rFont val="Tahoma"/>
            <family val="2"/>
          </rPr>
          <t xml:space="preserve">1.13.14:
</t>
        </r>
        <r>
          <rPr>
            <sz val="8"/>
            <color indexed="81"/>
            <rFont val="Tahoma"/>
            <family val="2"/>
          </rPr>
          <t>10-11c reported (tax rate causes the range)</t>
        </r>
        <r>
          <rPr>
            <sz val="8"/>
            <color indexed="81"/>
            <rFont val="Tahoma"/>
            <family val="2"/>
          </rPr>
          <t xml:space="preserve">
</t>
        </r>
      </text>
    </comment>
    <comment ref="BE63" authorId="7">
      <text>
        <r>
          <rPr>
            <b/>
            <sz val="8"/>
            <color indexed="81"/>
            <rFont val="Tahoma"/>
            <family val="2"/>
          </rPr>
          <t xml:space="preserve">11.6.13:
</t>
        </r>
        <r>
          <rPr>
            <sz val="8"/>
            <color indexed="81"/>
            <rFont val="Tahoma"/>
            <family val="2"/>
          </rPr>
          <t>$0.25 guidance</t>
        </r>
        <r>
          <rPr>
            <b/>
            <sz val="8"/>
            <color indexed="81"/>
            <rFont val="Tahoma"/>
            <family val="2"/>
          </rPr>
          <t xml:space="preserve">
</t>
        </r>
        <r>
          <rPr>
            <sz val="8"/>
            <color indexed="81"/>
            <rFont val="Tahoma"/>
            <family val="2"/>
          </rPr>
          <t xml:space="preserve">
7.23.13
$0.20-$0.22
Adjusted EPS (as presented by WEN) excludes $20-25M in pretax accelerated depreciation associated with Image Activation.</t>
        </r>
      </text>
    </comment>
    <comment ref="BF63" authorId="1">
      <text>
        <r>
          <rPr>
            <b/>
            <sz val="9"/>
            <color indexed="81"/>
            <rFont val="Tahoma"/>
            <family val="2"/>
          </rPr>
          <t>O'Brien, Courtney (Research):</t>
        </r>
        <r>
          <rPr>
            <sz val="9"/>
            <color indexed="81"/>
            <rFont val="Tahoma"/>
            <family val="2"/>
          </rPr>
          <t xml:space="preserve">
5.5.15
reduced -2c to account for previously reported net gain on disposal of assets</t>
        </r>
      </text>
    </comment>
    <comment ref="BJ63" authorId="7">
      <text>
        <r>
          <rPr>
            <b/>
            <sz val="8"/>
            <color indexed="81"/>
            <rFont val="Tahoma"/>
            <family val="2"/>
          </rPr>
          <t xml:space="preserve">11.6.14
</t>
        </r>
        <r>
          <rPr>
            <sz val="8"/>
            <color indexed="81"/>
            <rFont val="Tahoma"/>
            <family val="2"/>
          </rPr>
          <t>Reiterated $0.34-0.36 range</t>
        </r>
        <r>
          <rPr>
            <b/>
            <sz val="8"/>
            <color indexed="81"/>
            <rFont val="Tahoma"/>
            <family val="2"/>
          </rPr>
          <t xml:space="preserve">
8.7.14
</t>
        </r>
        <r>
          <rPr>
            <sz val="8"/>
            <color indexed="81"/>
            <rFont val="Tahoma"/>
            <family val="2"/>
          </rPr>
          <t>$0.34-0.36 range</t>
        </r>
        <r>
          <rPr>
            <b/>
            <sz val="8"/>
            <color indexed="81"/>
            <rFont val="Tahoma"/>
            <family val="2"/>
          </rPr>
          <t xml:space="preserve">
5.8.14
</t>
        </r>
        <r>
          <rPr>
            <sz val="8"/>
            <color indexed="81"/>
            <rFont val="Tahoma"/>
            <family val="2"/>
          </rPr>
          <t>$0.34-0.36 range</t>
        </r>
        <r>
          <rPr>
            <b/>
            <sz val="8"/>
            <color indexed="81"/>
            <rFont val="Tahoma"/>
            <family val="2"/>
          </rPr>
          <t xml:space="preserve">
2.27.14</t>
        </r>
        <r>
          <rPr>
            <sz val="8"/>
            <color indexed="81"/>
            <rFont val="Tahoma"/>
            <family val="2"/>
          </rPr>
          <t xml:space="preserve">
$0.34-$0.36 range</t>
        </r>
        <r>
          <rPr>
            <b/>
            <sz val="8"/>
            <color indexed="81"/>
            <rFont val="Tahoma"/>
            <family val="2"/>
          </rPr>
          <t xml:space="preserve">
1.13.14:
</t>
        </r>
        <r>
          <rPr>
            <sz val="8"/>
            <color indexed="81"/>
            <rFont val="Tahoma"/>
            <family val="2"/>
          </rPr>
          <t>$0.34-$0.36 range</t>
        </r>
        <r>
          <rPr>
            <sz val="8"/>
            <color indexed="81"/>
            <rFont val="Tahoma"/>
            <family val="2"/>
          </rPr>
          <t xml:space="preserve">
</t>
        </r>
      </text>
    </comment>
    <comment ref="BO63" authorId="8">
      <text>
        <r>
          <rPr>
            <b/>
            <sz val="9"/>
            <color indexed="81"/>
            <rFont val="Tahoma"/>
            <family val="2"/>
          </rPr>
          <t>11.4.15
high end of our previously issued range of $0.31 to $0.33. 
8.5.15
31-33c includes absorption of 2-3c from interest relating to debt refi and higher tax rate, offset by share repurchase
6.3.15:
 15 EPS now 31-33c refelcting 2c loss of barkery profits
5.5.15
reit 33-35c, +10-17% (before recap)
2.3.15</t>
        </r>
        <r>
          <rPr>
            <sz val="9"/>
            <color indexed="81"/>
            <rFont val="Tahoma"/>
            <family val="2"/>
          </rPr>
          <t xml:space="preserve">
$0.33-0.35. (+10-17% Y/Y ex gains in 2014). </t>
        </r>
      </text>
    </comment>
    <comment ref="BT63" authorId="5">
      <text>
        <r>
          <rPr>
            <b/>
            <sz val="8"/>
            <color indexed="81"/>
            <rFont val="Tahoma"/>
            <family val="2"/>
          </rPr>
          <t xml:space="preserve">8.10.16
raised to $0.39 to $0.40 
5.11.2016
$0.38 to $0.40 from its prior guidance of $0.35 to $0.37 but includes 2-3c benefit in teh 1Q from lease buyout
2.9.16
35-37c (6-12%), inlcudes lapping 53 wk in '15 and reduction of 315 restaurants
6.15: reiterates HSD EPS in 16 (implies 35c at high end); increased interest offsets buy back accretion thru 2016
2.3.15:
</t>
        </r>
        <r>
          <rPr>
            <sz val="8"/>
            <color indexed="81"/>
            <rFont val="Tahoma"/>
            <family val="2"/>
          </rPr>
          <t>HSD adj. EPS growth in '16  (ex recap).</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Y63" authorId="5">
      <text>
        <r>
          <rPr>
            <b/>
            <sz val="8"/>
            <color indexed="81"/>
            <rFont val="Tahoma"/>
            <family val="2"/>
          </rPr>
          <t xml:space="preserve">2.9.16
REIT high teens EPS growth
6.3.15:
high teens EPS in 17 post recap (implies 41-42c); 80% of earning strem will come from predictable royalty cash flows in '17
2.3.15:
</t>
        </r>
        <r>
          <rPr>
            <sz val="8"/>
            <color indexed="81"/>
            <rFont val="Tahoma"/>
            <family val="2"/>
          </rPr>
          <t>HSD adj. EPS growth in '17 (ex recap).</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CD63" authorId="5">
      <text>
        <r>
          <rPr>
            <b/>
            <sz val="8"/>
            <color indexed="81"/>
            <rFont val="Tahoma"/>
            <family val="2"/>
          </rPr>
          <t xml:space="preserve">6.3.15:
&gt;20% EPS growht in 18 and beyond post recap (mplies 50c+)
2.3.15:
</t>
        </r>
        <r>
          <rPr>
            <sz val="8"/>
            <color indexed="81"/>
            <rFont val="Tahoma"/>
            <family val="2"/>
          </rPr>
          <t>M-to-HSD adj. EPS growth in '18 (ex recap).</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AG64" authorId="0">
      <text>
        <r>
          <rPr>
            <b/>
            <sz val="8"/>
            <color indexed="81"/>
            <rFont val="Tahoma"/>
            <family val="2"/>
          </rPr>
          <t>Jon Tower:</t>
        </r>
        <r>
          <rPr>
            <sz val="8"/>
            <color indexed="81"/>
            <rFont val="Tahoma"/>
            <family val="2"/>
          </rPr>
          <t xml:space="preserve">
5.7.09
For the first quarter of 2009, the Company recorded net pre-tax special expense items of approximately $26
million ($15 million after-tax), including integration-related expenses, impairment, depreciation adjustments,
asset write-offs and investment losses</t>
        </r>
      </text>
    </comment>
    <comment ref="AI64" authorId="0">
      <text>
        <r>
          <rPr>
            <b/>
            <sz val="8"/>
            <color indexed="81"/>
            <rFont val="Tahoma"/>
            <family val="2"/>
          </rPr>
          <t>Jon Tower:</t>
        </r>
        <r>
          <rPr>
            <sz val="8"/>
            <color indexed="81"/>
            <rFont val="Tahoma"/>
            <family val="2"/>
          </rPr>
          <t xml:space="preserve">
11.5.09
Third quarter 2009 income from continuing operations was $14.3 million, or $0.03 per share, including after tax
special charges of $12.8 million, or $0.03 per share. Year-to-date income from continuing operations was $18.2
million, or $0.04 per share, including after tax special charges of $40.2 million, or $0.09 per share</t>
        </r>
      </text>
    </comment>
    <comment ref="AK64" authorId="0">
      <text>
        <r>
          <rPr>
            <b/>
            <sz val="8"/>
            <color indexed="81"/>
            <rFont val="Tahoma"/>
            <family val="2"/>
          </rPr>
          <t>Jon Tower:</t>
        </r>
        <r>
          <rPr>
            <sz val="8"/>
            <color indexed="81"/>
            <rFont val="Tahoma"/>
            <family val="2"/>
          </rPr>
          <t xml:space="preserve">
3.4.10
Full-year 2009 net pre-tax special charges were $138.2 million ($84.7 million after tax), including impairment charges, integration-related expenses, start-up expenses for the Wendy’s co-op, pension withdrawal expense related
to the Wendy’s bakery, the favorable effect of vacation policy standardization, depreciation adjustments related to the allocation of the Wendy’s purchase price, and investment-related and other expenses.</t>
        </r>
      </text>
    </comment>
    <comment ref="AN64" authorId="0">
      <text>
        <r>
          <rPr>
            <b/>
            <sz val="8"/>
            <color indexed="81"/>
            <rFont val="Tahoma"/>
            <family val="2"/>
          </rPr>
          <t>Jon Tower:</t>
        </r>
        <r>
          <rPr>
            <sz val="8"/>
            <color indexed="81"/>
            <rFont val="Tahoma"/>
            <family val="2"/>
          </rPr>
          <t xml:space="preserve">
11.12.10
Net
loss was $0.9 million, or $0.00 per share, including net after-tax special charges of $20.7 million, or $0.05 per
share.</t>
        </r>
      </text>
    </comment>
    <comment ref="AO64" authorId="0">
      <text>
        <r>
          <rPr>
            <b/>
            <sz val="8"/>
            <color indexed="81"/>
            <rFont val="Tahoma"/>
            <family val="2"/>
          </rPr>
          <t>Jon Tower:</t>
        </r>
        <r>
          <rPr>
            <sz val="8"/>
            <color indexed="81"/>
            <rFont val="Tahoma"/>
            <family val="2"/>
          </rPr>
          <t xml:space="preserve">
1.26.11
Consolidated revenues were $840.7 million as compared to fourth quarter 2009 revenues of $900.9 million.
Net loss was $10.8 million or $0.03 per share, including net after-tax special charges of $16.5 million or $0.04 per share. Fourth quarter 2009 net loss from continuing operations was $14.7 million, or $0.03 per
share, including after-tax special charges of $44.5 million or $0.10 per share.</t>
        </r>
      </text>
    </comment>
    <comment ref="AQ64" authorId="0">
      <text>
        <r>
          <rPr>
            <b/>
            <sz val="8"/>
            <color indexed="81"/>
            <rFont val="Tahoma"/>
            <family val="2"/>
          </rPr>
          <t>Jon Tower:</t>
        </r>
        <r>
          <rPr>
            <sz val="8"/>
            <color indexed="81"/>
            <rFont val="Tahoma"/>
            <family val="2"/>
          </rPr>
          <t xml:space="preserve">
5.10.11
Net loss was $1.4 million, or $0.00 per share, including net after-tax special charges of $6.0 million, or $0.01 per share. First quarter 2010 net loss was $3.4 million, or $0.01 loss per share, including after-tax special charges of $12.0 million, or $0.03 per share</t>
        </r>
      </text>
    </comment>
    <comment ref="AY65" authorId="6">
      <text>
        <r>
          <rPr>
            <b/>
            <sz val="8"/>
            <color indexed="81"/>
            <rFont val="Tahoma"/>
            <family val="2"/>
          </rPr>
          <t>Sushama Dasari:</t>
        </r>
        <r>
          <rPr>
            <sz val="8"/>
            <color indexed="81"/>
            <rFont val="Tahoma"/>
            <family val="2"/>
          </rPr>
          <t xml:space="preserve">
</t>
        </r>
        <r>
          <rPr>
            <b/>
            <sz val="8"/>
            <color indexed="81"/>
            <rFont val="Tahoma"/>
            <family val="2"/>
          </rPr>
          <t xml:space="preserve">
2.28.13</t>
        </r>
        <r>
          <rPr>
            <sz val="8"/>
            <color indexed="81"/>
            <rFont val="Tahoma"/>
            <family val="2"/>
          </rPr>
          <t xml:space="preserve">
The Company revised its 2012 fourth-quarter and full-year preliminary unaudited results as follows:
1. Reduced the estimate for the pretax charge related to discontinuing breakfast operations at certain restaurants by $4.0 million 
2. Reduced pretax depreciation and amortization by $2.0 million 
The total after-tax effect of these changes increased reported fourth-quarter and full-year net income from continuing operations by $4.0 million, or one cent per share, in the Company's audited 2012 results compared to its 2012 preliminary unaudited results reported Jan. 16, 2013.
</t>
        </r>
        <r>
          <rPr>
            <b/>
            <sz val="8"/>
            <color indexed="81"/>
            <rFont val="Tahoma"/>
            <family val="2"/>
          </rPr>
          <t xml:space="preserve">1.16.13
</t>
        </r>
        <r>
          <rPr>
            <sz val="8"/>
            <color indexed="81"/>
            <rFont val="Tahoma"/>
            <family val="2"/>
          </rPr>
          <t>Pre-release: The Company reported earnings per share from continuing operations of $0.06</t>
        </r>
      </text>
    </comment>
    <comment ref="AZ65"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Pre-release: The Company’s reported earnings per share from continuing operations attributable to The Wendy’s Company were $0.01</t>
        </r>
      </text>
    </comment>
    <comment ref="BE65" authorId="7">
      <text>
        <r>
          <rPr>
            <b/>
            <sz val="8"/>
            <color indexed="81"/>
            <rFont val="Tahoma"/>
            <family val="2"/>
          </rPr>
          <t>Jake Bartlett:</t>
        </r>
        <r>
          <rPr>
            <sz val="8"/>
            <color indexed="81"/>
            <rFont val="Tahoma"/>
            <family val="2"/>
          </rPr>
          <t xml:space="preserve">
7.23.13
$0.20-$0.22</t>
        </r>
      </text>
    </comment>
    <comment ref="BO65" authorId="1">
      <text>
        <r>
          <rPr>
            <b/>
            <sz val="9"/>
            <color indexed="81"/>
            <rFont val="Tahoma"/>
            <family val="2"/>
          </rPr>
          <t>O'Brien, Courtney (Research):</t>
        </r>
        <r>
          <rPr>
            <sz val="9"/>
            <color indexed="81"/>
            <rFont val="Tahoma"/>
            <family val="2"/>
          </rPr>
          <t xml:space="preserve">
49c reported (ex bakery)</t>
        </r>
      </text>
    </comment>
    <comment ref="AG67" authorId="0">
      <text>
        <r>
          <rPr>
            <b/>
            <sz val="8"/>
            <color indexed="81"/>
            <rFont val="Tahoma"/>
            <family val="2"/>
          </rPr>
          <t>Jon Tower:</t>
        </r>
        <r>
          <rPr>
            <sz val="8"/>
            <color indexed="81"/>
            <rFont val="Tahoma"/>
            <family val="2"/>
          </rPr>
          <t xml:space="preserve">
2008 10K
As of February 27, 2009, there were 469,236,315 shares of the registrant's Class A Common Stock outstanding
</t>
        </r>
      </text>
    </comment>
    <comment ref="AJ67" authorId="0">
      <text>
        <r>
          <rPr>
            <b/>
            <sz val="8"/>
            <color indexed="81"/>
            <rFont val="Tahoma"/>
            <family val="2"/>
          </rPr>
          <t xml:space="preserve">Jon Tower:
3.4.10
</t>
        </r>
        <r>
          <rPr>
            <sz val="8"/>
            <color indexed="81"/>
            <rFont val="Tahoma"/>
            <family val="2"/>
          </rPr>
          <t>Stock Repurchase
Since the Board of Directors authorized a stock repurchase program in 2009, the Company has repurchased 26.1 million common stock shares for approximately $120.2 million as of February 26, 2010, at an average price of $4.61 per share. The Company has a total of $200 million authorized for common stock repurchases, of which $79.8 million remains available.
At the close of business on February 26, 2010, the Company had 443,829,031 shares of common stock outstanding.
The current common stock repurchase program will remain in effect through January 2, 2011, and will allow the Company to make repurchases as market conditions warrant.</t>
        </r>
        <r>
          <rPr>
            <sz val="8"/>
            <color indexed="81"/>
            <rFont val="Tahoma"/>
            <family val="2"/>
          </rPr>
          <t xml:space="preserve">
11.5.09
$100 Million Stock Repurchase Authorization
The Company purchased 10.3 million of shares of common stock as of October 26, 2009, for $49.1 million at an
average per share price of $4.77. At the close of business on October 30, 2009, the Company had approximately
463,003,000 shares of common stock outstanding. On November 3, 2009, the Board authorized an additional $50
million for a total of $100 million authorized common stock repurchases. The authorization will remain in effect
through January 2, 2011 and will allow the Company to make repurchases as market conditions warrant.</t>
        </r>
      </text>
    </comment>
    <comment ref="AK67" authorId="0">
      <text>
        <r>
          <rPr>
            <b/>
            <sz val="8"/>
            <color indexed="81"/>
            <rFont val="Tahoma"/>
            <family val="2"/>
          </rPr>
          <t>Jon Tower:</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AN67" authorId="0">
      <text>
        <r>
          <rPr>
            <b/>
            <sz val="8"/>
            <color indexed="81"/>
            <rFont val="Tahoma"/>
            <family val="2"/>
          </rPr>
          <t xml:space="preserve">Jon Tower:
11.12.10
Since the beginning of our repurchase activity last year, we have purchased approximately $245
million of our common stock and are pleased to announce an additional $170 million authorization today,
bringing the current amount available for repurchase up to $250 million
----
This $170 million authorization, along with the $80 million that the Company had authorized and available as of November 2, 2010, brings the total amount authorized and available to $250 million
</t>
        </r>
        <r>
          <rPr>
            <sz val="8"/>
            <color indexed="81"/>
            <rFont val="Tahoma"/>
            <family val="2"/>
          </rPr>
          <t xml:space="preserve">
8.12.10
Since the Board of Directors authorized a stock repurchase program in 2009, the Company has repurchased approximately 52 million shares of common stock for $245 million as of August 6, 2010, at an average price of $4.69 per share. At the close of business on August 6, 2010, the Company had approximately 418 million shares of common stock outstanding. The Company has approximately $80 million authorized and available for additional common stock repurchases as of August 6, 2010. The current common stock repurchase program will remain in effect through January 2, 2011, and will allow the Company to make repurchases as market conditions warrant
5.13.10
the Company has repurchased approximately 40 million common stock shares for $190.2 million as of May 7, 2010, at an average price of $4.76 per share. At the close of business on May 7, 2010, the Company had approximately 430 million shares of common stock outstanding.
The Company has a total of $250 million authorized for common stock repurchases, of which $59.8 million remains available as of May 7, 2010. The current common stock repurchase program will remain in effect through January 2, 2011, and will allow the Company to make repurchases as market conditions warrant 
</t>
        </r>
      </text>
    </comment>
    <comment ref="AP67" authorId="0">
      <text>
        <r>
          <rPr>
            <b/>
            <sz val="8"/>
            <color indexed="81"/>
            <rFont val="Tahoma"/>
            <family val="2"/>
          </rPr>
          <t>Jon Tower:</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AR67" authorId="0">
      <text>
        <r>
          <rPr>
            <b/>
            <sz val="8"/>
            <color indexed="81"/>
            <rFont val="Tahoma"/>
            <family val="2"/>
          </rPr>
          <t>Jon Tower:</t>
        </r>
        <r>
          <rPr>
            <sz val="8"/>
            <color indexed="81"/>
            <rFont val="Tahoma"/>
            <family val="2"/>
          </rPr>
          <t xml:space="preserve">
8.11.11
Year-to-date through August 5, 2011, the Company has repurchased approximately 24 million shares of common stock for $122 million at an average price of $5.18 per share. As of August 5, 2011, $128 million remains authorized by the Board of Directors and is available for the repurchase of additional common stock.
Since the Board of Directors authorized a stock repurchase program in 2009, the Company has repurchased approximately 76 million shares of common stock for $367 million as of August 5, 2011, at an average price of $4.84 per share.
The common stock repurchase program allows the Company to make repurchases as market conditions warrant and to the extent legally permissible.</t>
        </r>
      </text>
    </comment>
    <comment ref="AS67" authorId="0">
      <text>
        <r>
          <rPr>
            <b/>
            <sz val="8"/>
            <color indexed="81"/>
            <rFont val="Tahoma"/>
            <family val="2"/>
          </rPr>
          <t>Jon Tower:</t>
        </r>
        <r>
          <rPr>
            <sz val="8"/>
            <color indexed="81"/>
            <rFont val="Tahoma"/>
            <family val="2"/>
          </rPr>
          <t xml:space="preserve">
11.9.11
In the third quarter, the Company repurchased approximately 21 million shares of common stock at an
average price of $5.12 per share. The number of shares outstanding at the end of the third quarter was
approximately 390 million. Year-to-date through October 2, 2011, the Company has repurchased
approximately 30 million shares of common stock for $152 million at an average price of $5.09 per share.
As of October 2, 2011, approximately $97 million remains authorized by the Board of Directors and is
available for the repurchase of additional common stock.</t>
        </r>
      </text>
    </comment>
    <comment ref="AT67" authorId="0">
      <text>
        <r>
          <rPr>
            <b/>
            <sz val="8"/>
            <color indexed="81"/>
            <rFont val="Tahoma"/>
            <family val="2"/>
          </rPr>
          <t xml:space="preserve">Jon Tower:
1.30.12
In the fourth quarter of 2011, the Company repurchased approximately 1.1 million shares of common stock at an average price of $4.43 per share. The number of shares outstanding at the end of the fourth quarter was approximately 390 million. For the full year, the Company repurchased approximately 31.0 million shares of common stock for $157.0 million at an average price of $5.07 per share.
Since the Board of Directors authorized a stock repurchase program in 2009, the Company has repurchased approximately 83.3 million shares of common stock for $402.5 million, at an average price of $4.83 per share. The authorization for the repurchase program expired at the end of fiscal 2011.
“The focus of our capital management strategy will be investment in core business growth opportunities; however, we will continue to evaluate share repurchases based on market conditions and other factors,” Hare said.
11.9.11
</t>
        </r>
        <r>
          <rPr>
            <sz val="8"/>
            <color indexed="81"/>
            <rFont val="Tahoma"/>
            <family val="2"/>
          </rPr>
          <t xml:space="preserve">In the third quarter, the Company repurchased approximately 21 million shares of common stock at an
average price of $5.12 per share. The number of shares outstanding at the end of the third quarter was
approximately 390 million. Year-to-date through October 2, 2011, the Company has repurchased
approximately 30 million shares of common stock for $152 million at an average price of $5.09 per share.
</t>
        </r>
        <r>
          <rPr>
            <b/>
            <sz val="8"/>
            <color indexed="81"/>
            <rFont val="Tahoma"/>
            <family val="2"/>
          </rPr>
          <t xml:space="preserve">As of October 2, 2011, approximately $97 million remains authorized by the Board of Directors and is
available for the repurchase of additional common stock.
</t>
        </r>
        <r>
          <rPr>
            <sz val="8"/>
            <color indexed="81"/>
            <rFont val="Tahoma"/>
            <family val="2"/>
          </rPr>
          <t xml:space="preserve">
10.31.11
As of October 2, 2011, The Wendy's Company had approximately 390 million shares of common stock outstanding</t>
        </r>
      </text>
    </comment>
    <comment ref="BC67" authorId="7">
      <text>
        <r>
          <rPr>
            <b/>
            <sz val="8"/>
            <color indexed="81"/>
            <rFont val="Tahoma"/>
            <family val="2"/>
          </rPr>
          <t>Jake Bartlett:</t>
        </r>
        <r>
          <rPr>
            <sz val="8"/>
            <color indexed="81"/>
            <rFont val="Tahoma"/>
            <family val="2"/>
          </rPr>
          <t xml:space="preserve">
estimated because reported EPS was loss so used basic</t>
        </r>
      </text>
    </comment>
    <comment ref="BL67" authorId="3">
      <text>
        <r>
          <rPr>
            <b/>
            <sz val="9"/>
            <color indexed="81"/>
            <rFont val="Tahoma"/>
            <family val="2"/>
          </rPr>
          <t>Glass, John (Research):
6.3.15:</t>
        </r>
        <r>
          <rPr>
            <sz val="9"/>
            <color indexed="81"/>
            <rFont val="Tahoma"/>
            <family val="2"/>
          </rPr>
          <t xml:space="preserve">
WEN announced today that it is commencing a modified “Dutch auction” tender offer to repurchase shares of its common stock for an aggregate purchase price of up to $639.0 million (the “tender offer”). The tender offer is part of an $850 million stock buyback program, which also includes a separate purchase of up to $211.0 million of the Company’s common stock from Nelson Peltz
TENDER WILL CLOSE IN EARLY JULY SO NO IMPACT TO 2Q COUNT
TENDER RANGE IS $11.05 TO $12.25</t>
        </r>
      </text>
    </comment>
    <comment ref="BM67" authorId="3">
      <text>
        <r>
          <rPr>
            <b/>
            <sz val="9"/>
            <color indexed="81"/>
            <rFont val="Tahoma"/>
            <family val="2"/>
          </rPr>
          <t>Glass, John (Research):</t>
        </r>
        <r>
          <rPr>
            <sz val="9"/>
            <color indexed="81"/>
            <rFont val="Tahoma"/>
            <family val="2"/>
          </rPr>
          <t xml:space="preserve">
290 m shares as of July 30th,</t>
        </r>
      </text>
    </comment>
    <comment ref="BU67" authorId="1">
      <text>
        <r>
          <rPr>
            <b/>
            <sz val="9"/>
            <color indexed="81"/>
            <rFont val="Tahoma"/>
            <family val="2"/>
          </rPr>
          <t>O'Brien, Courtney (Research):</t>
        </r>
        <r>
          <rPr>
            <sz val="9"/>
            <color indexed="81"/>
            <rFont val="Tahoma"/>
            <family val="2"/>
          </rPr>
          <t xml:space="preserve">
5.10.17
 headwind in shares outstanding from an unanticipated dilution, driven by the increase in our stock price.</t>
        </r>
      </text>
    </comment>
    <comment ref="BY67" authorId="1">
      <text>
        <r>
          <rPr>
            <b/>
            <sz val="9"/>
            <color indexed="81"/>
            <rFont val="Tahoma"/>
            <family val="2"/>
          </rPr>
          <t>O'Brien, Courtney (Research):</t>
        </r>
        <r>
          <rPr>
            <sz val="9"/>
            <color indexed="81"/>
            <rFont val="Tahoma"/>
            <family val="2"/>
          </rPr>
          <t xml:space="preserve">
5.10.17
 headwind in shares outstanding from an unanticipated dilution, driven by the increase in our stock price; 
share count more diluted with higher stock price</t>
        </r>
      </text>
    </comment>
    <comment ref="AQ70" authorId="4">
      <text>
        <r>
          <rPr>
            <b/>
            <sz val="8"/>
            <color indexed="81"/>
            <rFont val="Tahoma"/>
            <family val="2"/>
          </rPr>
          <t>John Glass:</t>
        </r>
        <r>
          <rPr>
            <sz val="8"/>
            <color indexed="81"/>
            <rFont val="Tahoma"/>
            <family val="2"/>
          </rPr>
          <t xml:space="preserve">
Commodity copsts presured by 80 bps</t>
        </r>
      </text>
    </comment>
    <comment ref="AR70" authorId="4">
      <text>
        <r>
          <rPr>
            <b/>
            <sz val="8"/>
            <color indexed="81"/>
            <rFont val="Tahoma"/>
            <family val="2"/>
          </rPr>
          <t>John Glass:</t>
        </r>
        <r>
          <rPr>
            <sz val="8"/>
            <color indexed="81"/>
            <rFont val="Tahoma"/>
            <family val="2"/>
          </rPr>
          <t xml:space="preserve">
Commodity costs are 180 bp higher</t>
        </r>
      </text>
    </comment>
    <comment ref="AV70" authorId="6">
      <text>
        <r>
          <rPr>
            <b/>
            <sz val="8"/>
            <color indexed="81"/>
            <rFont val="Tahoma"/>
            <family val="2"/>
          </rPr>
          <t>Sushama Dasari:</t>
        </r>
        <r>
          <rPr>
            <sz val="8"/>
            <color indexed="81"/>
            <rFont val="Tahoma"/>
            <family val="2"/>
          </rPr>
          <t xml:space="preserve">
</t>
        </r>
        <r>
          <rPr>
            <b/>
            <sz val="8"/>
            <color indexed="81"/>
            <rFont val="Tahoma"/>
            <family val="2"/>
          </rPr>
          <t xml:space="preserve">8.9.12:
</t>
        </r>
        <r>
          <rPr>
            <sz val="8"/>
            <color indexed="81"/>
            <rFont val="Tahoma"/>
            <family val="2"/>
          </rPr>
          <t>Beef cost was +10% y/y</t>
        </r>
      </text>
    </comment>
    <comment ref="AW70" authorId="6">
      <text>
        <r>
          <rPr>
            <b/>
            <sz val="8"/>
            <color indexed="81"/>
            <rFont val="Tahoma"/>
            <family val="2"/>
          </rPr>
          <t>Sushama Dasari:</t>
        </r>
        <r>
          <rPr>
            <sz val="8"/>
            <color indexed="81"/>
            <rFont val="Tahoma"/>
            <family val="2"/>
          </rPr>
          <t xml:space="preserve">
</t>
        </r>
        <r>
          <rPr>
            <b/>
            <sz val="8"/>
            <color indexed="81"/>
            <rFont val="Tahoma"/>
            <family val="2"/>
          </rPr>
          <t xml:space="preserve">8.9.12:
</t>
        </r>
        <r>
          <rPr>
            <sz val="8"/>
            <color indexed="81"/>
            <rFont val="Tahoma"/>
            <family val="2"/>
          </rPr>
          <t>70 bps increase y/y across all commodities incl. 10% inc in beef cost</t>
        </r>
      </text>
    </comment>
    <comment ref="AX70" authorId="6">
      <text>
        <r>
          <rPr>
            <b/>
            <sz val="8"/>
            <color indexed="81"/>
            <rFont val="Tahoma"/>
            <family val="2"/>
          </rPr>
          <t>Sushama Dasari:</t>
        </r>
        <r>
          <rPr>
            <sz val="8"/>
            <color indexed="81"/>
            <rFont val="Tahoma"/>
            <family val="2"/>
          </rPr>
          <t xml:space="preserve">
</t>
        </r>
        <r>
          <rPr>
            <b/>
            <sz val="8"/>
            <color indexed="81"/>
            <rFont val="Tahoma"/>
            <family val="2"/>
          </rPr>
          <t xml:space="preserve">8.9.12
</t>
        </r>
        <r>
          <rPr>
            <sz val="8"/>
            <color indexed="81"/>
            <rFont val="Tahoma"/>
            <family val="2"/>
          </rPr>
          <t>We are currently seeing a short-term benefit in beef cost from recent events, including the lean fine-textured ground beef controversy, which has lowered retail demand for ground beef, as well as the nationwide drought which has sent cattle to market sooner than normal, increasing short-term supply.
As a result, we now expect that fourth-quarter beef prices will be lower than our original plan, but like the second quarter, still higher than 2011.
Longer-term we expect demand for beef will rebound, causing cost to increase, while herd rebuilding will take several years.</t>
        </r>
      </text>
    </comment>
    <comment ref="AY70" authorId="6">
      <text>
        <r>
          <rPr>
            <b/>
            <sz val="8"/>
            <color indexed="81"/>
            <rFont val="Tahoma"/>
            <family val="2"/>
          </rPr>
          <t>Sushama Dasari:
1.13: experienced commodity inlfation of 80 bps</t>
        </r>
        <r>
          <rPr>
            <sz val="8"/>
            <color indexed="81"/>
            <rFont val="Tahoma"/>
            <family val="2"/>
          </rPr>
          <t xml:space="preserve">
</t>
        </r>
        <r>
          <rPr>
            <b/>
            <sz val="8"/>
            <color indexed="81"/>
            <rFont val="Tahoma"/>
            <family val="2"/>
          </rPr>
          <t xml:space="preserve">8.9.12
</t>
        </r>
        <r>
          <rPr>
            <sz val="8"/>
            <color indexed="81"/>
            <rFont val="Tahoma"/>
            <family val="2"/>
          </rPr>
          <t>We are currently seeing a short-term benefit in beef cost from recent events, including the lean fine-textured ground beef controversy, which has lowered retail demand for ground beef, as well as the nationwide drought which has sent cattle to market sooner than normal, increasing short-term supply.
As a result, we now expect that fourth-quarter beef prices will be lower than our original plan, but like the second quarter, still higher than 2011.
Longer-term we expect demand for beef will rebound, causing cost to increase, while herd rebuilding will take several years.</t>
        </r>
      </text>
    </comment>
    <comment ref="AZ70" authorId="6">
      <text>
        <r>
          <rPr>
            <b/>
            <sz val="8"/>
            <color indexed="81"/>
            <rFont val="Tahoma"/>
            <family val="2"/>
          </rPr>
          <t>Sushama Dasari:</t>
        </r>
        <r>
          <rPr>
            <sz val="8"/>
            <color indexed="81"/>
            <rFont val="Tahoma"/>
            <family val="2"/>
          </rPr>
          <t xml:space="preserve">
</t>
        </r>
        <r>
          <rPr>
            <b/>
            <sz val="8"/>
            <color indexed="81"/>
            <rFont val="Tahoma"/>
            <family val="2"/>
          </rPr>
          <t xml:space="preserve">8.9.12:
</t>
        </r>
        <r>
          <rPr>
            <sz val="8"/>
            <color indexed="81"/>
            <rFont val="Tahoma"/>
            <family val="2"/>
          </rPr>
          <t>Expect overall commodities basket +4-5% y/y. Beef costs in 1H were +10% y/y but expect them to reduce in 2H
Beef = 20% commodity basket
Chicken = 20% commodity basket</t>
        </r>
      </text>
    </comment>
    <comment ref="BA70" authorId="6">
      <text>
        <r>
          <rPr>
            <b/>
            <sz val="8"/>
            <color indexed="81"/>
            <rFont val="Tahoma"/>
            <family val="2"/>
          </rPr>
          <t>Sushama Dasari:</t>
        </r>
        <r>
          <rPr>
            <sz val="8"/>
            <color indexed="81"/>
            <rFont val="Tahoma"/>
            <family val="2"/>
          </rPr>
          <t xml:space="preserve">
5.8.13:
90bps of commodity inflation (before menu pricing (~3% inflation)
</t>
        </r>
        <r>
          <rPr>
            <b/>
            <sz val="8"/>
            <color indexed="81"/>
            <rFont val="Tahoma"/>
            <family val="2"/>
          </rPr>
          <t xml:space="preserve">8.9.12
</t>
        </r>
        <r>
          <rPr>
            <sz val="8"/>
            <color indexed="81"/>
            <rFont val="Tahoma"/>
            <family val="2"/>
          </rPr>
          <t>Expect higher beef costs again in Q1'13 after getting better in 2H'12.
Also expect negative cost pressures on the chicken side from corn and overall impact of the drought</t>
        </r>
      </text>
    </comment>
    <comment ref="BB70" authorId="7">
      <text>
        <r>
          <rPr>
            <b/>
            <sz val="8"/>
            <color indexed="81"/>
            <rFont val="Tahoma"/>
            <family val="2"/>
          </rPr>
          <t>Jake Bartlett:</t>
        </r>
        <r>
          <rPr>
            <sz val="8"/>
            <color indexed="81"/>
            <rFont val="Tahoma"/>
            <family val="2"/>
          </rPr>
          <t xml:space="preserve">
Higher commodity costs negatively impacted COGS by 80bps.</t>
        </r>
      </text>
    </comment>
    <comment ref="BE70" authorId="6">
      <text>
        <r>
          <rPr>
            <b/>
            <sz val="8"/>
            <color indexed="81"/>
            <rFont val="Tahoma"/>
            <family val="2"/>
          </rPr>
          <t>Sushama Dasari:</t>
        </r>
        <r>
          <rPr>
            <sz val="8"/>
            <color indexed="81"/>
            <rFont val="Tahoma"/>
            <family val="2"/>
          </rPr>
          <t xml:space="preserve">
</t>
        </r>
        <r>
          <rPr>
            <b/>
            <sz val="8"/>
            <color indexed="81"/>
            <rFont val="Tahoma"/>
            <family val="2"/>
          </rPr>
          <t xml:space="preserve">2.4.13
</t>
        </r>
        <r>
          <rPr>
            <sz val="8"/>
            <color indexed="81"/>
            <rFont val="Tahoma"/>
            <family val="2"/>
          </rPr>
          <t>E-mail with Dave Poplar: +90-120 bps commodity costs partially offset by "a few million $" savings from supply chain (estimate ~20 bps). 
Also, eliminating breakfast helps margins by "more than a few million $ but less than $10 million" (estimate ~30 bps)
So, forecast COGS up 80 bps in '13 vs. '12, and labor down 70 bps, and occupany down 30 bps, for an overall restaurant margin of 14.2% (+20 bps vs. '12, at the low end of guided range)</t>
        </r>
        <r>
          <rPr>
            <sz val="8"/>
            <color indexed="81"/>
            <rFont val="Tahoma"/>
            <family val="2"/>
          </rPr>
          <t xml:space="preserve">
</t>
        </r>
        <r>
          <rPr>
            <b/>
            <sz val="8"/>
            <color indexed="81"/>
            <rFont val="Tahoma"/>
            <family val="2"/>
          </rPr>
          <t xml:space="preserve">1.16.13
</t>
        </r>
        <r>
          <rPr>
            <sz val="8"/>
            <color indexed="81"/>
            <rFont val="Tahoma"/>
            <family val="2"/>
          </rPr>
          <t>Expect commodity costs +90-120 bps in '13, mostly from beef but also chicken (40% of basket combined)</t>
        </r>
        <r>
          <rPr>
            <sz val="8"/>
            <color indexed="81"/>
            <rFont val="Tahoma"/>
            <family val="2"/>
          </rPr>
          <t xml:space="preserve">
</t>
        </r>
        <r>
          <rPr>
            <b/>
            <sz val="8"/>
            <color indexed="81"/>
            <rFont val="Tahoma"/>
            <family val="2"/>
          </rPr>
          <t xml:space="preserve">11.8.12
</t>
        </r>
        <r>
          <rPr>
            <sz val="8"/>
            <color indexed="81"/>
            <rFont val="Tahoma"/>
            <family val="2"/>
          </rPr>
          <t>As we look ahead to next year we're anticipating another fairly significant increase in our commodity basket. Looking at purchasing co-op/efficiencies and product specs unique to Wendy's to help lower theoretical food cost of products.</t>
        </r>
        <r>
          <rPr>
            <sz val="8"/>
            <color indexed="81"/>
            <rFont val="Tahoma"/>
            <family val="2"/>
          </rPr>
          <t xml:space="preserve">
</t>
        </r>
        <r>
          <rPr>
            <b/>
            <sz val="8"/>
            <color indexed="81"/>
            <rFont val="Tahoma"/>
            <family val="2"/>
          </rPr>
          <t xml:space="preserve">8.9.12
</t>
        </r>
        <r>
          <rPr>
            <sz val="8"/>
            <color indexed="81"/>
            <rFont val="Tahoma"/>
            <family val="2"/>
          </rPr>
          <t xml:space="preserve">Longer-term we expect demand for beef will rebound, causing cost to increase, while herd rebuilding while take several years
</t>
        </r>
        <r>
          <rPr>
            <b/>
            <sz val="8"/>
            <color indexed="81"/>
            <rFont val="Tahoma"/>
            <family val="2"/>
          </rPr>
          <t>--&gt; commodity costs++</t>
        </r>
        <r>
          <rPr>
            <sz val="8"/>
            <color indexed="81"/>
            <rFont val="Tahoma"/>
            <family val="2"/>
          </rPr>
          <t xml:space="preserve">
Planning to implement various cost saving supply-chain initiatives in 2013</t>
        </r>
      </text>
    </comment>
    <comment ref="BF70" authorId="7">
      <text>
        <r>
          <rPr>
            <b/>
            <sz val="8"/>
            <color indexed="81"/>
            <rFont val="Tahoma"/>
            <family val="2"/>
          </rPr>
          <t xml:space="preserve">5.8.14:
</t>
        </r>
        <r>
          <rPr>
            <sz val="8"/>
            <color indexed="81"/>
            <rFont val="Tahoma"/>
            <family val="2"/>
          </rPr>
          <t xml:space="preserve">Flat commodities. Don’t disclose menu price. Straight math implies 2.5% price given leverage. Could be a product mix effect in there. </t>
        </r>
        <r>
          <rPr>
            <sz val="8"/>
            <color indexed="81"/>
            <rFont val="Tahoma"/>
            <family val="2"/>
          </rPr>
          <t xml:space="preserve">
</t>
        </r>
      </text>
    </comment>
    <comment ref="BJ70" authorId="7">
      <text>
        <r>
          <rPr>
            <b/>
            <sz val="8"/>
            <color indexed="81"/>
            <rFont val="Tahoma"/>
            <family val="2"/>
          </rPr>
          <t xml:space="preserve">11.5.14:
</t>
        </r>
        <r>
          <rPr>
            <sz val="8"/>
            <color indexed="81"/>
            <rFont val="Tahoma"/>
            <family val="2"/>
          </rPr>
          <t>2.3% inflation target</t>
        </r>
        <r>
          <rPr>
            <b/>
            <sz val="8"/>
            <color indexed="81"/>
            <rFont val="Tahoma"/>
            <family val="2"/>
          </rPr>
          <t xml:space="preserve">
5.8.14:</t>
        </r>
        <r>
          <rPr>
            <sz val="8"/>
            <color indexed="81"/>
            <rFont val="Tahoma"/>
            <family val="2"/>
          </rPr>
          <t xml:space="preserve">
Now expect some inflation, particularly in 2Q and 3Q.</t>
        </r>
        <r>
          <rPr>
            <b/>
            <sz val="8"/>
            <color indexed="81"/>
            <rFont val="Tahoma"/>
            <family val="2"/>
          </rPr>
          <t xml:space="preserve">
1.13.14:
</t>
        </r>
        <r>
          <rPr>
            <sz val="8"/>
            <color indexed="81"/>
            <rFont val="Tahoma"/>
            <family val="2"/>
          </rPr>
          <t>Flat commodities in '14. Higher beef costs offset by lower chicken costs</t>
        </r>
        <r>
          <rPr>
            <sz val="8"/>
            <color indexed="81"/>
            <rFont val="Tahoma"/>
            <family val="2"/>
          </rPr>
          <t xml:space="preserve">
</t>
        </r>
      </text>
    </comment>
    <comment ref="BN70" authorId="1">
      <text>
        <r>
          <rPr>
            <b/>
            <sz val="9"/>
            <color indexed="81"/>
            <rFont val="Tahoma"/>
            <family val="2"/>
          </rPr>
          <t>O'Brien, Courtney (Research):</t>
        </r>
        <r>
          <rPr>
            <sz val="9"/>
            <color indexed="81"/>
            <rFont val="Tahoma"/>
            <family val="2"/>
          </rPr>
          <t xml:space="preserve">
commods down 2.5-3% om 4Q + deflationary beef</t>
        </r>
      </text>
    </comment>
    <comment ref="BO70" authorId="8">
      <text>
        <r>
          <rPr>
            <b/>
            <sz val="9"/>
            <color indexed="81"/>
            <rFont val="Tahoma"/>
            <family val="2"/>
          </rPr>
          <t>11.4.15
flat commods
8.5.15
flat commodity inflation (beef could be deflationary in 4Q; BEEF = 2/3 of change, PORK = 1/3
5.15: increase in commodity costs of 1.5% drvien by beef
2.3.15:</t>
        </r>
        <r>
          <rPr>
            <sz val="9"/>
            <color indexed="81"/>
            <rFont val="Tahoma"/>
            <family val="2"/>
          </rPr>
          <t xml:space="preserve">
4% food inflation</t>
        </r>
      </text>
    </comment>
    <comment ref="BP70" authorId="2">
      <text>
        <r>
          <rPr>
            <b/>
            <sz val="9"/>
            <color indexed="81"/>
            <rFont val="Tahoma"/>
            <family val="2"/>
          </rPr>
          <t>Carril, Christopher E (Research):</t>
        </r>
        <r>
          <rPr>
            <sz val="9"/>
            <color indexed="81"/>
            <rFont val="Tahoma"/>
            <family val="2"/>
          </rPr>
          <t xml:space="preserve">
5.11.2016
In the first quarter, we saw about a 7% decrease
in our commodity market basket.</t>
        </r>
      </text>
    </comment>
    <comment ref="BQ70" authorId="1">
      <text>
        <r>
          <rPr>
            <b/>
            <sz val="9"/>
            <color indexed="81"/>
            <rFont val="Tahoma"/>
            <family val="2"/>
          </rPr>
          <t>O'Brien, Courtney (Research):</t>
        </r>
        <r>
          <rPr>
            <sz val="9"/>
            <color indexed="81"/>
            <rFont val="Tahoma"/>
            <family val="2"/>
          </rPr>
          <t xml:space="preserve">
8.10.16
the continued favorability in beef prices</t>
        </r>
      </text>
    </comment>
    <comment ref="BT70" authorId="1">
      <text>
        <r>
          <rPr>
            <sz val="9"/>
            <color indexed="81"/>
            <rFont val="Tahoma"/>
            <family val="2"/>
          </rPr>
          <t>11.9.16
5-6% deflation
8.10.16
commods down -5 to -6% expected
5.11.2016
Commodity costs to decrease approximately 3 percent 
2.9.16
comods down 2-3%</t>
        </r>
      </text>
    </comment>
    <comment ref="BW70" authorId="1">
      <text>
        <r>
          <rPr>
            <b/>
            <sz val="9"/>
            <color indexed="81"/>
            <rFont val="Tahoma"/>
            <family val="2"/>
          </rPr>
          <t xml:space="preserve">O'Brien, Courtney (Research):
11.8.2017
</t>
        </r>
        <r>
          <rPr>
            <sz val="9"/>
            <color indexed="81"/>
            <rFont val="Tahoma"/>
            <family val="2"/>
          </rPr>
          <t>The real driver of margin in the third quarter was commodities. As you know, we have 230 basis points of adverse commodity, which really translates into about 7.5% commodity inflation.</t>
        </r>
        <r>
          <rPr>
            <b/>
            <sz val="9"/>
            <color indexed="81"/>
            <rFont val="Tahoma"/>
            <family val="2"/>
          </rPr>
          <t xml:space="preserve">
8.10.17
</t>
        </r>
        <r>
          <rPr>
            <sz val="9"/>
            <color indexed="81"/>
            <rFont val="Tahoma"/>
            <family val="2"/>
          </rPr>
          <t>little bit more inflationary headwind
on commodities, since beef in the third and fourth quarter is going to go up, vs labor</t>
        </r>
      </text>
    </comment>
    <comment ref="BX70" authorId="1">
      <text>
        <r>
          <rPr>
            <b/>
            <sz val="9"/>
            <color indexed="81"/>
            <rFont val="Tahoma"/>
            <family val="2"/>
          </rPr>
          <t>O'Brien, Courtney (Research):</t>
        </r>
        <r>
          <rPr>
            <sz val="9"/>
            <color indexed="81"/>
            <rFont val="Tahoma"/>
            <family val="2"/>
          </rPr>
          <t xml:space="preserve">
O'Brien, Courtney (Research):
8.10.17
little bit more inflationary headwind
on commodities, since beef in the third and fourth quarter is going to go up, vs labor</t>
        </r>
      </text>
    </comment>
    <comment ref="BY70" authorId="1">
      <text>
        <r>
          <rPr>
            <b/>
            <sz val="9"/>
            <color indexed="81"/>
            <rFont val="Tahoma"/>
            <family val="2"/>
          </rPr>
          <t>11.8.2017</t>
        </r>
        <r>
          <rPr>
            <sz val="9"/>
            <color indexed="81"/>
            <rFont val="Tahoma"/>
            <family val="2"/>
          </rPr>
          <t xml:space="preserve">
Reit commodities +3-4%</t>
        </r>
        <r>
          <rPr>
            <b/>
            <sz val="9"/>
            <color indexed="81"/>
            <rFont val="Tahoma"/>
            <family val="2"/>
          </rPr>
          <t xml:space="preserve">
7.25.17
</t>
        </r>
        <r>
          <rPr>
            <sz val="9"/>
            <color indexed="81"/>
            <rFont val="Tahoma"/>
            <family val="2"/>
          </rPr>
          <t xml:space="preserve">raised to 3-4% due to beef inflation + chicken investments
</t>
        </r>
        <r>
          <rPr>
            <b/>
            <sz val="9"/>
            <color indexed="81"/>
            <rFont val="Tahoma"/>
            <family val="2"/>
          </rPr>
          <t xml:space="preserve">
5.10.17
</t>
        </r>
        <r>
          <rPr>
            <sz val="9"/>
            <color indexed="81"/>
            <rFont val="Tahoma"/>
            <family val="2"/>
          </rPr>
          <t xml:space="preserve">Commodity cost inflation 1.5 to 2.0 %(headwind in beef prices)
</t>
        </r>
        <r>
          <rPr>
            <b/>
            <sz val="9"/>
            <color indexed="81"/>
            <rFont val="Tahoma"/>
            <family val="2"/>
          </rPr>
          <t xml:space="preserve">2.16.17
</t>
        </r>
        <r>
          <rPr>
            <sz val="9"/>
            <color indexed="81"/>
            <rFont val="Tahoma"/>
            <family val="2"/>
          </rPr>
          <t>Flat commodity costs compared to 2016.</t>
        </r>
      </text>
    </comment>
    <comment ref="CD70" authorId="2">
      <text>
        <r>
          <rPr>
            <b/>
            <sz val="9"/>
            <color indexed="81"/>
            <rFont val="Tahoma"/>
            <family val="2"/>
          </rPr>
          <t>Carril, Christopher E (Research):</t>
        </r>
        <r>
          <rPr>
            <sz val="9"/>
            <color indexed="81"/>
            <rFont val="Tahoma"/>
            <family val="2"/>
          </rPr>
          <t xml:space="preserve">
2.21.2018
Commodity inflation of approximately 1 to 2 percent. </t>
        </r>
      </text>
    </comment>
    <comment ref="AW71" authorId="6">
      <text>
        <r>
          <rPr>
            <b/>
            <sz val="8"/>
            <color indexed="81"/>
            <rFont val="Tahoma"/>
            <family val="2"/>
          </rPr>
          <t>Sushama Dasari:</t>
        </r>
        <r>
          <rPr>
            <sz val="8"/>
            <color indexed="81"/>
            <rFont val="Tahoma"/>
            <family val="2"/>
          </rPr>
          <t xml:space="preserve">
</t>
        </r>
        <r>
          <rPr>
            <b/>
            <sz val="8"/>
            <color indexed="81"/>
            <rFont val="Tahoma"/>
            <family val="2"/>
          </rPr>
          <t xml:space="preserve">8.9.12:
</t>
        </r>
        <r>
          <rPr>
            <sz val="8"/>
            <color indexed="81"/>
            <rFont val="Tahoma"/>
            <family val="2"/>
          </rPr>
          <t>Company invested in its “My Wendy’s” customer service initiative to improve the consumer experience</t>
        </r>
      </text>
    </comment>
    <comment ref="AX71"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Slightly higher labor costs due to customer service initiatives and Image Activation</t>
        </r>
      </text>
    </comment>
    <comment ref="BB71" authorId="7">
      <text>
        <r>
          <rPr>
            <b/>
            <sz val="8"/>
            <color indexed="81"/>
            <rFont val="Tahoma"/>
            <family val="2"/>
          </rPr>
          <t>Jake Bartlett:</t>
        </r>
        <r>
          <rPr>
            <sz val="8"/>
            <color indexed="81"/>
            <rFont val="Tahoma"/>
            <family val="2"/>
          </rPr>
          <t xml:space="preserve">
Improved management of restaurant labor. </t>
        </r>
      </text>
    </comment>
    <comment ref="BE71" authorId="6">
      <text>
        <r>
          <rPr>
            <b/>
            <sz val="8"/>
            <color indexed="81"/>
            <rFont val="Tahoma"/>
            <family val="2"/>
          </rPr>
          <t>Sushama Dasari:</t>
        </r>
        <r>
          <rPr>
            <sz val="8"/>
            <color indexed="81"/>
            <rFont val="Tahoma"/>
            <family val="2"/>
          </rPr>
          <t xml:space="preserve">
</t>
        </r>
        <r>
          <rPr>
            <b/>
            <sz val="8"/>
            <color indexed="81"/>
            <rFont val="Tahoma"/>
            <family val="2"/>
          </rPr>
          <t xml:space="preserve">2.4.13
</t>
        </r>
        <r>
          <rPr>
            <sz val="8"/>
            <color indexed="81"/>
            <rFont val="Tahoma"/>
            <family val="2"/>
          </rPr>
          <t>E-mail with Dave Poplar: +90-120 bps commodity costs partially offset by "a few million $" savings from supply chain (estimate ~20 bps). 
Also, eliminating breakfast helps margins by "more than a few million $ but less than $10 million" (estimate ~30 bps)
So, forecast COGS up 80 bps in '13 vs. '12, and labor down 70 bps, and occupany down 30 bps, for an overall restaurant margin of 14.2% (+20 bps vs. '12, at the low end of guided range)</t>
        </r>
      </text>
    </comment>
    <comment ref="BO71" authorId="1">
      <text>
        <r>
          <rPr>
            <b/>
            <sz val="9"/>
            <color indexed="81"/>
            <rFont val="Tahoma"/>
            <family val="2"/>
          </rPr>
          <t>11.4.15
reit that ACA costs offset extra week benefit</t>
        </r>
        <r>
          <rPr>
            <sz val="9"/>
            <color indexed="81"/>
            <rFont val="Tahoma"/>
            <family val="2"/>
          </rPr>
          <t xml:space="preserve">
5.5.15
$2-3M ACA costs offset by extra week</t>
        </r>
      </text>
    </comment>
    <comment ref="BP71" authorId="2">
      <text>
        <r>
          <rPr>
            <b/>
            <sz val="9"/>
            <color indexed="81"/>
            <rFont val="Tahoma"/>
            <family val="2"/>
          </rPr>
          <t>Carril, Christopher E (Research):</t>
        </r>
        <r>
          <rPr>
            <sz val="9"/>
            <color indexed="81"/>
            <rFont val="Tahoma"/>
            <family val="2"/>
          </rPr>
          <t xml:space="preserve">
5.11.2016
If you look at where just pure wage rates have gone year on year, first quarter last year to first quarter this year, we are seeing about 5% to 6%
inflation. Some of that is driven by minimum wage. Some of that is just driven by demand to access good labor.</t>
        </r>
      </text>
    </comment>
    <comment ref="BR71" authorId="1">
      <text>
        <r>
          <rPr>
            <b/>
            <sz val="9"/>
            <color indexed="81"/>
            <rFont val="Tahoma"/>
            <family val="2"/>
          </rPr>
          <t>O'Brien, Courtney (Research):</t>
        </r>
        <r>
          <rPr>
            <sz val="9"/>
            <color indexed="81"/>
            <rFont val="Tahoma"/>
            <family val="2"/>
          </rPr>
          <t xml:space="preserve">
11.9.16 min wage in chicago = headwind</t>
        </r>
      </text>
    </comment>
    <comment ref="BW71" authorId="1">
      <text>
        <r>
          <rPr>
            <b/>
            <sz val="9"/>
            <color indexed="81"/>
            <rFont val="Tahoma"/>
            <family val="2"/>
          </rPr>
          <t>O'Brien, Courtney (Research):</t>
        </r>
        <r>
          <rPr>
            <sz val="9"/>
            <color indexed="81"/>
            <rFont val="Tahoma"/>
            <family val="2"/>
          </rPr>
          <t xml:space="preserve">
</t>
        </r>
        <r>
          <rPr>
            <b/>
            <sz val="9"/>
            <color indexed="81"/>
            <rFont val="Tahoma"/>
            <family val="2"/>
          </rPr>
          <t xml:space="preserve">11.8.2017
</t>
        </r>
        <r>
          <rPr>
            <sz val="9"/>
            <color indexed="81"/>
            <rFont val="Tahoma"/>
            <family val="2"/>
          </rPr>
          <t xml:space="preserve">We really get did a good job on labor, like labor is 30 basis points adverse to prior year. That actually really is a net inflation of 1%. Labor inflation actually was about 4% in the quarter. Our labor mitigation strategies actually is helping us to contain the labor headwinds that we have.
</t>
        </r>
        <r>
          <rPr>
            <b/>
            <sz val="9"/>
            <color indexed="81"/>
            <rFont val="Tahoma"/>
            <family val="2"/>
          </rPr>
          <t xml:space="preserve">8.2.17
</t>
        </r>
        <r>
          <rPr>
            <sz val="9"/>
            <color indexed="81"/>
            <rFont val="Tahoma"/>
            <family val="2"/>
          </rPr>
          <t>Actually less headwinds on labor, since a lot of the minimum wage increases in our restaurant have been put into place kind of at the beginning of the third quarter of last year</t>
        </r>
      </text>
    </comment>
    <comment ref="BY71" authorId="1">
      <text>
        <r>
          <rPr>
            <b/>
            <sz val="9"/>
            <color indexed="81"/>
            <rFont val="Tahoma"/>
            <family val="2"/>
          </rPr>
          <t xml:space="preserve">11.8.2017
</t>
        </r>
        <r>
          <rPr>
            <sz val="9"/>
            <color indexed="81"/>
            <rFont val="Tahoma"/>
            <family val="2"/>
          </rPr>
          <t>Reit labor inflation ~4%</t>
        </r>
        <r>
          <rPr>
            <b/>
            <sz val="9"/>
            <color indexed="81"/>
            <rFont val="Tahoma"/>
            <family val="2"/>
          </rPr>
          <t xml:space="preserve">
5.10.17
</t>
        </r>
        <r>
          <rPr>
            <sz val="9"/>
            <color indexed="81"/>
            <rFont val="Tahoma"/>
            <family val="2"/>
          </rPr>
          <t xml:space="preserve">Labor inflation of approximately 4 percent
</t>
        </r>
        <r>
          <rPr>
            <b/>
            <sz val="9"/>
            <color indexed="81"/>
            <rFont val="Tahoma"/>
            <family val="2"/>
          </rPr>
          <t xml:space="preserve">2.16.17
</t>
        </r>
        <r>
          <rPr>
            <sz val="9"/>
            <color indexed="81"/>
            <rFont val="Tahoma"/>
            <family val="2"/>
          </rPr>
          <t>Labor inflation of approximately 4 percent</t>
        </r>
      </text>
    </comment>
    <comment ref="CD71" authorId="2">
      <text>
        <r>
          <rPr>
            <b/>
            <sz val="9"/>
            <color indexed="81"/>
            <rFont val="Tahoma"/>
            <family val="2"/>
          </rPr>
          <t>Carril, Christopher E (Research):</t>
        </r>
        <r>
          <rPr>
            <sz val="9"/>
            <color indexed="81"/>
            <rFont val="Tahoma"/>
            <family val="2"/>
          </rPr>
          <t xml:space="preserve">
2.21.2018
Labor inflation of approximately 3 to 4 percent. </t>
        </r>
      </text>
    </comment>
    <comment ref="BE72" authorId="6">
      <text>
        <r>
          <rPr>
            <b/>
            <sz val="8"/>
            <color indexed="81"/>
            <rFont val="Tahoma"/>
            <family val="2"/>
          </rPr>
          <t>Sushama Dasari:</t>
        </r>
        <r>
          <rPr>
            <sz val="8"/>
            <color indexed="81"/>
            <rFont val="Tahoma"/>
            <family val="2"/>
          </rPr>
          <t xml:space="preserve">
</t>
        </r>
        <r>
          <rPr>
            <b/>
            <sz val="8"/>
            <color indexed="81"/>
            <rFont val="Tahoma"/>
            <family val="2"/>
          </rPr>
          <t>2.4.13</t>
        </r>
        <r>
          <rPr>
            <sz val="8"/>
            <color indexed="81"/>
            <rFont val="Tahoma"/>
            <family val="2"/>
          </rPr>
          <t xml:space="preserve">
E-mail with Dave Poplar: Will add $s to ad budget to increase national media spend, and also target more efficient production that will result in more overall ad placements
Forecast COGS up 80 bps in '13 vs. '12, and labor down 70 bps, and occupany down 30 bps, for an overall restaurant margin of 14.2% (+20 bps vs. '12, at the low end of guided range)
</t>
        </r>
        <r>
          <rPr>
            <b/>
            <sz val="8"/>
            <color indexed="81"/>
            <rFont val="Tahoma"/>
            <family val="2"/>
          </rPr>
          <t xml:space="preserve">1.16.13
</t>
        </r>
        <r>
          <rPr>
            <sz val="8"/>
            <color indexed="81"/>
            <rFont val="Tahoma"/>
            <family val="2"/>
          </rPr>
          <t>Stepping up media spend in '13 with more digital advertising, new agency, focus on consistent message for families, Hispanics, late-night, value, new products. New logo design starting Feb end, new packaging starting 2Q and new uniforms starting 3Q in both Image Activation and non-IA restaurants</t>
        </r>
      </text>
    </comment>
    <comment ref="BF72" authorId="7">
      <text>
        <r>
          <rPr>
            <b/>
            <sz val="8"/>
            <color indexed="81"/>
            <rFont val="Tahoma"/>
            <family val="2"/>
          </rPr>
          <t xml:space="preserve">5.8.14:
</t>
        </r>
        <r>
          <rPr>
            <sz val="8"/>
            <color indexed="81"/>
            <rFont val="Tahoma"/>
            <family val="2"/>
          </rPr>
          <t xml:space="preserve">Higher due to weather related costs including utilities. </t>
        </r>
        <r>
          <rPr>
            <sz val="8"/>
            <color indexed="81"/>
            <rFont val="Tahoma"/>
            <family val="2"/>
          </rPr>
          <t xml:space="preserve">
</t>
        </r>
      </text>
    </comment>
    <comment ref="AK74" authorId="0">
      <text>
        <r>
          <rPr>
            <b/>
            <sz val="8"/>
            <color indexed="81"/>
            <rFont val="Tahoma"/>
            <family val="2"/>
          </rPr>
          <t xml:space="preserve">Jon Tower:
5.7.09
</t>
        </r>
        <r>
          <rPr>
            <sz val="8"/>
            <color indexed="81"/>
            <rFont val="Tahoma"/>
            <family val="2"/>
          </rPr>
          <t xml:space="preserve">
We expect that the restaurant margins at Company-owned restaurants for the remainder of 2009 for both of our brands will increase primarily as a result of the impact of currently effective price increases, sales leverage from improved same-store sales, higher margins on new premium menu items and tighter controls on fixed and semi-variable costs.  In addition, the Wendy’s margins are expected to benefit from seasonal sales increases in the second and third quarters of 2009.  These factors are expected to be partially offset by the negative impact on food cost of value menu offerings as well as higher labor rates in 2009</t>
        </r>
      </text>
    </comment>
    <comment ref="AP74" authorId="0">
      <text>
        <r>
          <rPr>
            <b/>
            <sz val="8"/>
            <color indexed="81"/>
            <rFont val="Tahoma"/>
            <family val="2"/>
          </rPr>
          <t xml:space="preserve">Jon Tower:
5.13.10
still expect 2-3% of food cost inflation in '10
</t>
        </r>
        <r>
          <rPr>
            <sz val="8"/>
            <color indexed="81"/>
            <rFont val="Tahoma"/>
            <family val="2"/>
          </rPr>
          <t xml:space="preserve">
3.4.10
Our goal in 2010 is to continue margin improvement by another</t>
        </r>
        <r>
          <rPr>
            <b/>
            <sz val="8"/>
            <color indexed="81"/>
            <rFont val="Tahoma"/>
            <family val="2"/>
          </rPr>
          <t xml:space="preserve"> 90 to 110BPS, excluding the impact of incremental investment spending to expand breakfast</t>
        </r>
      </text>
    </comment>
    <comment ref="AT74" authorId="5">
      <text>
        <r>
          <rPr>
            <b/>
            <sz val="8"/>
            <color indexed="81"/>
            <rFont val="Tahoma"/>
            <family val="2"/>
          </rPr>
          <t>glassjoh:</t>
        </r>
        <r>
          <rPr>
            <sz val="8"/>
            <color indexed="81"/>
            <rFont val="Tahoma"/>
            <family val="2"/>
          </rPr>
          <t xml:space="preserve">
+220 bp due to sales leverage
+90 bp insurance
- 170 bp commodities</t>
        </r>
      </text>
    </comment>
    <comment ref="AU74" authorId="0">
      <text>
        <r>
          <rPr>
            <b/>
            <sz val="8"/>
            <color indexed="81"/>
            <rFont val="Tahoma"/>
            <family val="2"/>
          </rPr>
          <t>Jon Tower:
2.12: 140 bp of commodity pressure, beef up 9.6%
11.9.11</t>
        </r>
        <r>
          <rPr>
            <sz val="8"/>
            <color indexed="81"/>
            <rFont val="Tahoma"/>
            <family val="2"/>
          </rPr>
          <t xml:space="preserve">
Wendy’s Company-operated restaurant margin is </t>
        </r>
        <r>
          <rPr>
            <b/>
            <sz val="8"/>
            <color indexed="81"/>
            <rFont val="Tahoma"/>
            <family val="2"/>
          </rPr>
          <t xml:space="preserve">now anticipated to be approximately 100 basis
points lower compared to the prior year, primarily </t>
        </r>
        <r>
          <rPr>
            <sz val="8"/>
            <color indexed="81"/>
            <rFont val="Tahoma"/>
            <family val="2"/>
          </rPr>
          <t>due to higher commodity costs.</t>
        </r>
        <r>
          <rPr>
            <b/>
            <sz val="8"/>
            <color indexed="81"/>
            <rFont val="Tahoma"/>
            <family val="2"/>
          </rPr>
          <t xml:space="preserve">
8.11.11
Wendy‟s Company-operated restaurant margin is now anticipated to be 50 to 100 basis points lower as compared to prior year, primarily due to higher commodity costs
5.10.11
Flat to slightly negative </t>
        </r>
        <r>
          <rPr>
            <sz val="8"/>
            <color indexed="81"/>
            <rFont val="Tahoma"/>
            <family val="2"/>
          </rPr>
          <t>Wendy‟s company-operated restaurant margin due to higher commodity costs, offset partially by anticipated price increases. The previous restaurant margin expectation was 30 to 60 basis points of improvement.</t>
        </r>
        <r>
          <rPr>
            <b/>
            <sz val="8"/>
            <color indexed="81"/>
            <rFont val="Tahoma"/>
            <family val="2"/>
          </rPr>
          <t xml:space="preserve">
3.3.11
30-60 bp improvement is off '10 reported store margin
IMPLIES = 15.1%-15.4%
1.26.11</t>
        </r>
        <r>
          <rPr>
            <sz val="8"/>
            <color indexed="81"/>
            <rFont val="Tahoma"/>
            <family val="2"/>
          </rPr>
          <t xml:space="preserve">
Improvement of 30 to 60 basis points in Wendy’s company-operated restaurant margin. Includes commodity inflation of 2-3% but beef could pressure. Currently forecasted to be up 10-15%.
</t>
        </r>
        <r>
          <rPr>
            <b/>
            <sz val="8"/>
            <color indexed="81"/>
            <rFont val="Tahoma"/>
            <family val="2"/>
          </rPr>
          <t xml:space="preserve">
11.5.09 
target 16-17% longer term
</t>
        </r>
        <r>
          <rPr>
            <sz val="8"/>
            <color indexed="81"/>
            <rFont val="Tahoma"/>
            <family val="2"/>
          </rPr>
          <t xml:space="preserve">
1.15.08
TTM was 11-12% -- three year target is 16-17%
--- expect 160-180 bp improvement in '10</t>
        </r>
      </text>
    </comment>
    <comment ref="AW74" authorId="6">
      <text>
        <r>
          <rPr>
            <b/>
            <sz val="8"/>
            <color indexed="81"/>
            <rFont val="Tahoma"/>
            <family val="2"/>
          </rPr>
          <t>Sushama Dasari:</t>
        </r>
        <r>
          <rPr>
            <sz val="8"/>
            <color indexed="81"/>
            <rFont val="Tahoma"/>
            <family val="2"/>
          </rPr>
          <t xml:space="preserve">
</t>
        </r>
        <r>
          <rPr>
            <b/>
            <sz val="8"/>
            <color indexed="81"/>
            <rFont val="Tahoma"/>
            <family val="2"/>
          </rPr>
          <t xml:space="preserve">8.9.12:
</t>
        </r>
        <r>
          <rPr>
            <sz val="8"/>
            <color indexed="81"/>
            <rFont val="Tahoma"/>
            <family val="2"/>
          </rPr>
          <t>20 bps improvement driven by SSS and favorable product mix (check) offset by My Wendy's labor costs and commodity/paper costs</t>
        </r>
      </text>
    </comment>
    <comment ref="AY74" authorId="9">
      <text>
        <r>
          <rPr>
            <b/>
            <sz val="8"/>
            <color indexed="81"/>
            <rFont val="Tahoma"/>
            <family val="2"/>
          </rPr>
          <t>sushamad:</t>
        </r>
        <r>
          <rPr>
            <sz val="8"/>
            <color indexed="81"/>
            <rFont val="Tahoma"/>
            <family val="2"/>
          </rPr>
          <t xml:space="preserve">
</t>
        </r>
        <r>
          <rPr>
            <b/>
            <sz val="8"/>
            <color indexed="81"/>
            <rFont val="Tahoma"/>
            <family val="2"/>
          </rPr>
          <t xml:space="preserve">1.16.13
</t>
        </r>
        <r>
          <rPr>
            <sz val="8"/>
            <color indexed="81"/>
            <rFont val="Tahoma"/>
            <family val="2"/>
          </rPr>
          <t xml:space="preserve">Pre-release: Company-operated restaurant margin was 15.9 percent, compared to 15.0 percent in the fourth quarter of 2011, primarily due to higher sales, including Image Activation, and a reduction in breakfast advertising expense, partially offset by commodity cost increases. 
</t>
        </r>
      </text>
    </comment>
    <comment ref="AZ74" authorId="0">
      <text>
        <r>
          <rPr>
            <b/>
            <sz val="8"/>
            <color indexed="81"/>
            <rFont val="Tahoma"/>
            <family val="2"/>
          </rPr>
          <t xml:space="preserve">Sushama Dasari:
1.16.13
</t>
        </r>
        <r>
          <rPr>
            <sz val="8"/>
            <color indexed="81"/>
            <rFont val="Tahoma"/>
            <family val="2"/>
          </rPr>
          <t>Pre-release: Company-operated restaurant margin was 14.0 percent</t>
        </r>
        <r>
          <rPr>
            <b/>
            <sz val="8"/>
            <color indexed="81"/>
            <rFont val="Tahoma"/>
            <family val="2"/>
          </rPr>
          <t xml:space="preserve">
5.8: lowred ebitda gudaince; didn t provide line item gudiance
1.30.12 -- expect flat to +50 bp expansion (or 14-14.5%)
commodity inflation +115 to 145 bp, or 4-5% infaltion or $30 m, beef up 10-11%, chicken up 5%
</t>
        </r>
        <r>
          <rPr>
            <sz val="8"/>
            <color indexed="81"/>
            <rFont val="Tahoma"/>
            <family val="2"/>
          </rPr>
          <t xml:space="preserve">
8.11.11
we estimate margin expansion is limited due to breakfast rollout</t>
        </r>
      </text>
    </comment>
    <comment ref="BB74" authorId="7">
      <text>
        <r>
          <rPr>
            <b/>
            <sz val="8"/>
            <color indexed="81"/>
            <rFont val="Tahoma"/>
            <family val="2"/>
          </rPr>
          <t>Jake Bartlett:</t>
        </r>
        <r>
          <rPr>
            <sz val="8"/>
            <color indexed="81"/>
            <rFont val="Tahoma"/>
            <family val="2"/>
          </rPr>
          <t xml:space="preserve">
The decrease in cost of sales, as a percent of sales, during the second quarter of 2013 was due to benefits from (1) strategic price increases on our menu items implemented in 2012 subsequent to the second quarter, (2) optimization of restaurant labor through changes in the composition of staffing, (3) a decrease in breakfast advertising expenses and (4) changes in the composition of our sales. As a percent of sales, these decreases in costs were partially offset by increased commodity costs.</t>
        </r>
      </text>
    </comment>
    <comment ref="BD74" authorId="7">
      <text>
        <r>
          <rPr>
            <b/>
            <sz val="8"/>
            <color indexed="81"/>
            <rFont val="Tahoma"/>
            <family val="2"/>
          </rPr>
          <t xml:space="preserve">11.7.13
</t>
        </r>
        <r>
          <rPr>
            <sz val="8"/>
            <color indexed="81"/>
            <rFont val="Tahoma"/>
            <family val="2"/>
          </rPr>
          <t>Negatively impacted by heavy reimaging in 4Q</t>
        </r>
        <r>
          <rPr>
            <sz val="8"/>
            <color indexed="81"/>
            <rFont val="Tahoma"/>
            <family val="2"/>
          </rPr>
          <t xml:space="preserve">
</t>
        </r>
      </text>
    </comment>
    <comment ref="BE74" authorId="6">
      <text>
        <r>
          <rPr>
            <b/>
            <sz val="8"/>
            <color indexed="81"/>
            <rFont val="Tahoma"/>
            <family val="2"/>
          </rPr>
          <t xml:space="preserve">11.7.13
</t>
        </r>
        <r>
          <rPr>
            <sz val="8"/>
            <color indexed="81"/>
            <rFont val="Tahoma"/>
            <family val="2"/>
          </rPr>
          <t xml:space="preserve">New guidance 15%. </t>
        </r>
        <r>
          <rPr>
            <b/>
            <sz val="8"/>
            <color indexed="81"/>
            <rFont val="Tahoma"/>
            <family val="2"/>
          </rPr>
          <t xml:space="preserve">
7.23.13
</t>
        </r>
        <r>
          <rPr>
            <sz val="8"/>
            <color indexed="81"/>
            <rFont val="Tahoma"/>
            <family val="2"/>
          </rPr>
          <t>Expects higher Y/Y profitability in first 3 quarters. Currently trending toward the high end of 14.2-14.5%. System optimization expected to boost restaurant margins be 50bps annualized.</t>
        </r>
        <r>
          <rPr>
            <sz val="8"/>
            <color indexed="81"/>
            <rFont val="Tahoma"/>
            <family val="2"/>
          </rPr>
          <t xml:space="preserve">
</t>
        </r>
        <r>
          <rPr>
            <b/>
            <sz val="8"/>
            <color indexed="81"/>
            <rFont val="Tahoma"/>
            <family val="2"/>
          </rPr>
          <t xml:space="preserve">
2.4.13
</t>
        </r>
        <r>
          <rPr>
            <sz val="8"/>
            <color indexed="81"/>
            <rFont val="Tahoma"/>
            <family val="2"/>
          </rPr>
          <t>E-mail with Dave Poplar: +90-120 bps commodity costs partially offset by "a few million $" savings from supply chain (estimate ~20 bps). 
Also, eliminating breakfast helps margins by "more than a few million $ but less than $10 million" (estimate ~30 bps)
So, forecast COGS up 80 bps in '13 vs. '12, and labor down 70 bps, and occupany down 30 bps, for an overall restaurant margin of 14.2% (+20 bps vs. '12, at the low end of guided range)</t>
        </r>
        <r>
          <rPr>
            <sz val="8"/>
            <color indexed="81"/>
            <rFont val="Tahoma"/>
            <family val="2"/>
          </rPr>
          <t xml:space="preserve">
</t>
        </r>
        <r>
          <rPr>
            <b/>
            <sz val="8"/>
            <color indexed="81"/>
            <rFont val="Tahoma"/>
            <family val="2"/>
          </rPr>
          <t xml:space="preserve">1.16.13
</t>
        </r>
        <r>
          <rPr>
            <sz val="8"/>
            <color indexed="81"/>
            <rFont val="Tahoma"/>
            <family val="2"/>
          </rPr>
          <t>Expect restaurant margin +20-50 bps in '13</t>
        </r>
      </text>
    </comment>
    <comment ref="BJ74" authorId="7">
      <text>
        <r>
          <rPr>
            <b/>
            <sz val="8"/>
            <color indexed="81"/>
            <rFont val="Tahoma"/>
            <family val="2"/>
          </rPr>
          <t xml:space="preserve">10.14: 15.5% to 15.7% </t>
        </r>
        <r>
          <rPr>
            <sz val="8"/>
            <color indexed="81"/>
            <rFont val="Tahoma"/>
            <family val="2"/>
          </rPr>
          <t>due to signfnciantly higher 4Q beef costs</t>
        </r>
        <r>
          <rPr>
            <b/>
            <sz val="8"/>
            <color indexed="81"/>
            <rFont val="Tahoma"/>
            <family val="2"/>
          </rPr>
          <t xml:space="preserve">
8.7.14
</t>
        </r>
        <r>
          <rPr>
            <sz val="8"/>
            <color indexed="81"/>
            <rFont val="Tahoma"/>
            <family val="2"/>
          </rPr>
          <t xml:space="preserve">Guidance reiterated of 16.3% to 16.8%, including significntly higher beef costs in 2H. </t>
        </r>
        <r>
          <rPr>
            <b/>
            <sz val="8"/>
            <color indexed="81"/>
            <rFont val="Tahoma"/>
            <family val="2"/>
          </rPr>
          <t xml:space="preserve">
5.8.14:
</t>
        </r>
        <r>
          <rPr>
            <sz val="8"/>
            <color indexed="81"/>
            <rFont val="Tahoma"/>
            <family val="2"/>
          </rPr>
          <t xml:space="preserve">Guidance lowered to 16.3-16.8%, from 16.8-17.0%, due to food cost inflation (prior guidance was for no inflation). </t>
        </r>
        <r>
          <rPr>
            <b/>
            <sz val="8"/>
            <color indexed="81"/>
            <rFont val="Tahoma"/>
            <family val="2"/>
          </rPr>
          <t xml:space="preserve">
2.27.14</t>
        </r>
        <r>
          <rPr>
            <sz val="8"/>
            <color indexed="81"/>
            <rFont val="Tahoma"/>
            <family val="2"/>
          </rPr>
          <t xml:space="preserve">
Company margins up 140-160bps, or 16.8-17.0%. Including flat commodities (higher beef offsetting lower chicken)</t>
        </r>
        <r>
          <rPr>
            <b/>
            <sz val="8"/>
            <color indexed="81"/>
            <rFont val="Tahoma"/>
            <family val="2"/>
          </rPr>
          <t xml:space="preserve">
</t>
        </r>
        <r>
          <rPr>
            <sz val="8"/>
            <color indexed="81"/>
            <rFont val="Tahoma"/>
            <family val="2"/>
          </rPr>
          <t xml:space="preserve">
</t>
        </r>
        <r>
          <rPr>
            <b/>
            <sz val="8"/>
            <color indexed="81"/>
            <rFont val="Tahoma"/>
            <family val="2"/>
          </rPr>
          <t>1.13.14</t>
        </r>
        <r>
          <rPr>
            <sz val="8"/>
            <color indexed="81"/>
            <rFont val="Tahoma"/>
            <family val="2"/>
          </rPr>
          <t xml:space="preserve">
Company margins up 140-160bps, or 16.8-17.0%.</t>
        </r>
        <r>
          <rPr>
            <sz val="8"/>
            <color indexed="81"/>
            <rFont val="Tahoma"/>
            <family val="2"/>
          </rPr>
          <t xml:space="preserve">
</t>
        </r>
        <r>
          <rPr>
            <b/>
            <sz val="8"/>
            <color indexed="81"/>
            <rFont val="Tahoma"/>
            <family val="2"/>
          </rPr>
          <t>7.23.13</t>
        </r>
        <r>
          <rPr>
            <sz val="8"/>
            <color indexed="81"/>
            <rFont val="Tahoma"/>
            <family val="2"/>
          </rPr>
          <t xml:space="preserve">
System optimization expected to boost restaurant margins be 50bps annualized.
</t>
        </r>
      </text>
    </comment>
    <comment ref="BL74" authorId="1">
      <text>
        <r>
          <rPr>
            <b/>
            <sz val="9"/>
            <color indexed="81"/>
            <rFont val="Tahoma"/>
            <family val="2"/>
          </rPr>
          <t>O'Brien, Courtney (Research):</t>
        </r>
        <r>
          <rPr>
            <sz val="9"/>
            <color indexed="81"/>
            <rFont val="Tahoma"/>
            <family val="2"/>
          </rPr>
          <t xml:space="preserve">
8.5.15 higher SRS, fav product m ix, IA</t>
        </r>
      </text>
    </comment>
    <comment ref="BM74" authorId="1">
      <text>
        <r>
          <rPr>
            <b/>
            <sz val="9"/>
            <color indexed="81"/>
            <rFont val="Tahoma"/>
            <family val="2"/>
          </rPr>
          <t>O'Brien, Courtney (Research):</t>
        </r>
        <r>
          <rPr>
            <sz val="9"/>
            <color indexed="81"/>
            <rFont val="Tahoma"/>
            <family val="2"/>
          </rPr>
          <t xml:space="preserve">
+330bps y/y due to higher SSS, impact of IA, and lower commod costs</t>
        </r>
      </text>
    </comment>
    <comment ref="BN74" authorId="1">
      <text>
        <r>
          <rPr>
            <b/>
            <sz val="9"/>
            <color indexed="81"/>
            <rFont val="Tahoma"/>
            <family val="2"/>
          </rPr>
          <t>O'Brien, Courtney (Research):</t>
        </r>
        <r>
          <rPr>
            <sz val="9"/>
            <color indexed="81"/>
            <rFont val="Tahoma"/>
            <family val="2"/>
          </rPr>
          <t xml:space="preserve">
2.9.16
+240bps from higher SSS, IA and system opt, offset by higher labor</t>
        </r>
      </text>
    </comment>
    <comment ref="BO74" authorId="8">
      <text>
        <r>
          <rPr>
            <b/>
            <sz val="9"/>
            <color indexed="81"/>
            <rFont val="Tahoma"/>
            <family val="2"/>
          </rPr>
          <t>11.4.15
17-17.5% (+120-170 bps vs LY's 15.8%)
7.22.15
increaseing to 17-17.5%
5.15: company margni of 16.5-17% (higher than prior due to AI, comps, offset by 40 bp or 1.5% commodiyt infaltion)
2.3.15:</t>
        </r>
        <r>
          <rPr>
            <sz val="9"/>
            <color indexed="81"/>
            <rFont val="Tahoma"/>
            <family val="2"/>
          </rPr>
          <t xml:space="preserve">
16.4-16.8%, up 60-100bps. Leverage from SSS, offset be 4% inflation (110bps) due to fresh beef inflation. </t>
        </r>
      </text>
    </comment>
    <comment ref="BS74" authorId="1">
      <text>
        <r>
          <rPr>
            <b/>
            <sz val="9"/>
            <color indexed="81"/>
            <rFont val="Tahoma"/>
            <family val="2"/>
          </rPr>
          <t>O'Brien, Courtney (Research):</t>
        </r>
        <r>
          <rPr>
            <sz val="9"/>
            <color indexed="81"/>
            <rFont val="Tahoma"/>
            <family val="2"/>
          </rPr>
          <t xml:space="preserve">
11.9.16
slightly below the 19% mark</t>
        </r>
      </text>
    </comment>
    <comment ref="BT74" authorId="1">
      <text>
        <r>
          <rPr>
            <sz val="9"/>
            <color indexed="81"/>
            <rFont val="Tahoma"/>
            <family val="2"/>
          </rPr>
          <t>11.9.16
reit 19%
8.10.16
raised to ~19%
5.11.2016
Reit 18.5-19.0%
2.9.16
18.5-19%, + 80-130bps y/y</t>
        </r>
      </text>
    </comment>
    <comment ref="BW74" authorId="2">
      <text>
        <r>
          <rPr>
            <b/>
            <sz val="9"/>
            <color indexed="81"/>
            <rFont val="Tahoma"/>
            <family val="2"/>
          </rPr>
          <t>Carril, Christopher E (Research):</t>
        </r>
        <r>
          <rPr>
            <sz val="9"/>
            <color indexed="81"/>
            <rFont val="Tahoma"/>
            <family val="2"/>
          </rPr>
          <t xml:space="preserve">
</t>
        </r>
        <r>
          <rPr>
            <b/>
            <sz val="9"/>
            <color indexed="81"/>
            <rFont val="Tahoma"/>
            <family val="2"/>
          </rPr>
          <t>11.8.2017</t>
        </r>
        <r>
          <rPr>
            <sz val="9"/>
            <color indexed="81"/>
            <rFont val="Tahoma"/>
            <family val="2"/>
          </rPr>
          <t xml:space="preserve">
The decrease was primarily the result of short-term pressures from beef and bacon prices as well as our investment in chicken quality that was made earlier this year.</t>
        </r>
      </text>
    </comment>
    <comment ref="BX74" authorId="2">
      <text>
        <r>
          <rPr>
            <b/>
            <sz val="9"/>
            <color indexed="81"/>
            <rFont val="Tahoma"/>
            <family val="2"/>
          </rPr>
          <t>Carril, Christopher E (Research):</t>
        </r>
        <r>
          <rPr>
            <sz val="9"/>
            <color indexed="81"/>
            <rFont val="Tahoma"/>
            <family val="2"/>
          </rPr>
          <t xml:space="preserve">
2.22.2018
Our quarter 4 restaurant margin came in at 17.5%, which was 130 basis points and decrease from the prior year, which was primarily the result of short-term pressures from beef and bacon prices as well as our prior investment in chicken quality. This was partially offset by an over out of our operating cost related to locus compensation and medical insurance claims.</t>
        </r>
      </text>
    </comment>
    <comment ref="BY74" authorId="3">
      <text>
        <r>
          <rPr>
            <b/>
            <sz val="9"/>
            <color indexed="81"/>
            <rFont val="Tahoma"/>
            <family val="2"/>
          </rPr>
          <t xml:space="preserve">11.8.2017
</t>
        </r>
        <r>
          <rPr>
            <sz val="9"/>
            <color indexed="81"/>
            <rFont val="Tahoma"/>
            <family val="2"/>
          </rPr>
          <t>17.5-18.0%
With commodities and labor expectations
remaining unchanged, the downward pressure on margin is due to lower-than-expected same-restaurant sales at company restaurants.</t>
        </r>
        <r>
          <rPr>
            <b/>
            <sz val="9"/>
            <color indexed="81"/>
            <rFont val="Tahoma"/>
            <family val="2"/>
          </rPr>
          <t xml:space="preserve">
7.25.17
</t>
        </r>
        <r>
          <rPr>
            <sz val="9"/>
            <color indexed="81"/>
            <rFont val="Tahoma"/>
            <family val="2"/>
          </rPr>
          <t xml:space="preserve">18-18.5%
</t>
        </r>
        <r>
          <rPr>
            <b/>
            <sz val="9"/>
            <color indexed="81"/>
            <rFont val="Tahoma"/>
            <family val="2"/>
          </rPr>
          <t xml:space="preserve">
5.10.17
</t>
        </r>
        <r>
          <rPr>
            <sz val="9"/>
            <color indexed="81"/>
            <rFont val="Tahoma"/>
            <family val="2"/>
          </rPr>
          <t>Company-operated restaurant margin of approximately 18.5 percent (due to higher commods)</t>
        </r>
        <r>
          <rPr>
            <b/>
            <sz val="9"/>
            <color indexed="81"/>
            <rFont val="Tahoma"/>
            <family val="2"/>
          </rPr>
          <t xml:space="preserve">
2.16.17
</t>
        </r>
        <r>
          <rPr>
            <sz val="9"/>
            <color indexed="81"/>
            <rFont val="Tahoma"/>
            <family val="2"/>
          </rPr>
          <t>Flat Company-operated restaurant margin compared to 2016</t>
        </r>
        <r>
          <rPr>
            <b/>
            <sz val="9"/>
            <color indexed="81"/>
            <rFont val="Tahoma"/>
            <family val="2"/>
          </rPr>
          <t xml:space="preserve">
</t>
        </r>
        <r>
          <rPr>
            <sz val="9"/>
            <color indexed="81"/>
            <rFont val="Tahoma"/>
            <family val="2"/>
          </rPr>
          <t xml:space="preserve">
6.15: company stores should hit ~20% by 17 whne SO3 is completed</t>
        </r>
      </text>
    </comment>
    <comment ref="CD74" authorId="2">
      <text>
        <r>
          <rPr>
            <b/>
            <sz val="9"/>
            <color indexed="81"/>
            <rFont val="Tahoma"/>
            <family val="2"/>
          </rPr>
          <t>Carril, Christopher E (Research):</t>
        </r>
        <r>
          <rPr>
            <sz val="9"/>
            <color indexed="81"/>
            <rFont val="Tahoma"/>
            <family val="2"/>
          </rPr>
          <t xml:space="preserve">
2.21.2018
Company-operated restaurant margin of approximately 17 to 18 percent. </t>
        </r>
      </text>
    </comment>
    <comment ref="CN74" authorId="8">
      <text>
        <r>
          <rPr>
            <b/>
            <sz val="9"/>
            <color indexed="81"/>
            <rFont val="Tahoma"/>
            <family val="2"/>
          </rPr>
          <t>2.9.16
REIT LT goal of 20%
11.4.15
reit LT goal of 20%
2.3.15:</t>
        </r>
        <r>
          <rPr>
            <sz val="9"/>
            <color indexed="81"/>
            <rFont val="Tahoma"/>
            <family val="2"/>
          </rPr>
          <t xml:space="preserve">
LT 2020 goal of 20% RLM</t>
        </r>
      </text>
    </comment>
    <comment ref="AF84" authorId="0">
      <text>
        <r>
          <rPr>
            <b/>
            <sz val="8"/>
            <color indexed="81"/>
            <rFont val="Tahoma"/>
            <family val="2"/>
          </rPr>
          <t>Jon Tower:</t>
        </r>
        <r>
          <rPr>
            <sz val="8"/>
            <color indexed="81"/>
            <rFont val="Tahoma"/>
            <family val="2"/>
          </rPr>
          <t xml:space="preserve">
1.15.08
already seen $20-25M in G&amp;A savings thru top-level reductions &amp; budget efficiencies</t>
        </r>
      </text>
    </comment>
    <comment ref="AG84" authorId="0">
      <text>
        <r>
          <rPr>
            <b/>
            <sz val="8"/>
            <color indexed="81"/>
            <rFont val="Tahoma"/>
            <family val="2"/>
          </rPr>
          <t>Jon Tower:</t>
        </r>
        <r>
          <rPr>
            <sz val="8"/>
            <color indexed="81"/>
            <rFont val="Tahoma"/>
            <family val="2"/>
          </rPr>
          <t xml:space="preserve">
5.7.09
includes $3.653M related to integration-related costs</t>
        </r>
      </text>
    </comment>
    <comment ref="AK84" authorId="0">
      <text>
        <r>
          <rPr>
            <b/>
            <sz val="8"/>
            <color indexed="81"/>
            <rFont val="Tahoma"/>
            <family val="2"/>
          </rPr>
          <t>Jon Tower:</t>
        </r>
        <r>
          <rPr>
            <sz val="8"/>
            <color indexed="81"/>
            <rFont val="Tahoma"/>
            <family val="2"/>
          </rPr>
          <t xml:space="preserve">
1.15.08
expect up to $35-45M in annualized G&amp;A savings by 2009 end --- (would be incremental $15-$20M from 2008).
Target 6/1/09 - Shared service center operational 
7/1/09 - Wendy's Co-op implementation</t>
        </r>
      </text>
    </comment>
    <comment ref="AP84" authorId="0">
      <text>
        <r>
          <rPr>
            <b/>
            <sz val="8"/>
            <color indexed="81"/>
            <rFont val="Tahoma"/>
            <family val="2"/>
          </rPr>
          <t>Jon Tower:</t>
        </r>
        <r>
          <rPr>
            <sz val="8"/>
            <color indexed="81"/>
            <rFont val="Tahoma"/>
            <family val="2"/>
          </rPr>
          <t xml:space="preserve">
1.15.08
expect to hit G&amp;A savings target of $60M through completion of IT project rationalization</t>
        </r>
      </text>
    </comment>
    <comment ref="AY84"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G&amp;A ex. Breakfast restructuring costs ($14.6M) was $55-56M / 8.7% revenue</t>
        </r>
      </text>
    </comment>
    <comment ref="BD84"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Expect majority of $10M franchisee Image Activation incentive to impact Q4'13 G&amp;A expense
4Q12 G&amp;A was ~$55M excluding breakfast restructuring costs. Growing that by 5% y/y and adding $10M franchisee incentive yields ~$70M</t>
        </r>
      </text>
    </comment>
    <comment ref="BE84"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Since consolidation of restaurant support center, expect more opportunity to look at efficiencies and get flat/lower G&amp;A</t>
        </r>
      </text>
    </comment>
    <comment ref="BK84" authorId="1">
      <text>
        <r>
          <rPr>
            <b/>
            <sz val="9"/>
            <color indexed="81"/>
            <rFont val="Tahoma"/>
            <family val="2"/>
          </rPr>
          <t>O'Brien, Courtney (Research):</t>
        </r>
        <r>
          <rPr>
            <sz val="9"/>
            <color indexed="81"/>
            <rFont val="Tahoma"/>
            <family val="2"/>
          </rPr>
          <t xml:space="preserve">
</t>
        </r>
      </text>
    </comment>
    <comment ref="BL84" authorId="1">
      <text>
        <r>
          <rPr>
            <b/>
            <sz val="9"/>
            <color indexed="81"/>
            <rFont val="Tahoma"/>
            <family val="2"/>
          </rPr>
          <t>O'Brien, Courtney (Research):
8.5.15 down 8.4% Y/Y</t>
        </r>
        <r>
          <rPr>
            <sz val="9"/>
            <color indexed="81"/>
            <rFont val="Tahoma"/>
            <family val="2"/>
          </rPr>
          <t xml:space="preserve">
cost savings from IA and reseource realignment</t>
        </r>
      </text>
    </comment>
    <comment ref="BM84" authorId="1">
      <text>
        <r>
          <rPr>
            <b/>
            <sz val="9"/>
            <color indexed="81"/>
            <rFont val="Tahoma"/>
            <family val="2"/>
          </rPr>
          <t>O'Brien, Courtney (Research):</t>
        </r>
        <r>
          <rPr>
            <sz val="9"/>
            <color indexed="81"/>
            <rFont val="Tahoma"/>
            <family val="2"/>
          </rPr>
          <t xml:space="preserve">
down 2.3% Y/Y</t>
        </r>
      </text>
    </comment>
    <comment ref="BN84" authorId="1">
      <text>
        <r>
          <rPr>
            <b/>
            <sz val="9"/>
            <color indexed="81"/>
            <rFont val="Tahoma"/>
            <family val="2"/>
          </rPr>
          <t>O'Brien, Courtney (Research):</t>
        </r>
        <r>
          <rPr>
            <sz val="9"/>
            <color indexed="81"/>
            <rFont val="Tahoma"/>
            <family val="2"/>
          </rPr>
          <t xml:space="preserve">
2.9.16
higher incentive comp due to Y/Y outperformance relative to targets + 53rd week</t>
        </r>
      </text>
    </comment>
    <comment ref="BP84" authorId="2">
      <text>
        <r>
          <rPr>
            <b/>
            <sz val="9"/>
            <color indexed="81"/>
            <rFont val="Tahoma"/>
            <family val="2"/>
          </rPr>
          <t>Carril, Christopher E (Research):</t>
        </r>
        <r>
          <rPr>
            <sz val="9"/>
            <color indexed="81"/>
            <rFont val="Tahoma"/>
            <family val="2"/>
          </rPr>
          <t xml:space="preserve">
5.11.2016
The increase resulted primarily from a $3.7 million increase in professional fees and legal reserves, as well as a year-over-year increase of $1.2 million in incentive compensation accruals, due to outperformance relative to our targets.</t>
        </r>
      </text>
    </comment>
    <comment ref="BR84" authorId="1">
      <text>
        <r>
          <rPr>
            <b/>
            <sz val="9"/>
            <color indexed="81"/>
            <rFont val="Tahoma"/>
            <family val="2"/>
          </rPr>
          <t>O'Brien, Courtney (Research):</t>
        </r>
        <r>
          <rPr>
            <sz val="9"/>
            <color indexed="81"/>
            <rFont val="Tahoma"/>
            <family val="2"/>
          </rPr>
          <t xml:space="preserve">
This 7.5% year-over-year decrease was mainly
due to savings from systems optimization and lower share-based compensation and incentive compensation</t>
        </r>
      </text>
    </comment>
    <comment ref="BU84" authorId="1">
      <text>
        <r>
          <rPr>
            <b/>
            <sz val="9"/>
            <color indexed="81"/>
            <rFont val="Tahoma"/>
            <family val="2"/>
          </rPr>
          <t>O'Brien, Courtney (Research):</t>
        </r>
        <r>
          <rPr>
            <sz val="9"/>
            <color indexed="81"/>
            <rFont val="Tahoma"/>
            <family val="2"/>
          </rPr>
          <t xml:space="preserve">
5.10.17
The decrease in general and administrative expenses during the first quarter of 2017 was primarily due to decreases in (1) professional services due to legal and other costs associated with the cybersecurity incident recognized during the first quarter of 2016 (see “Item 1 - Financial Statements,” Note 14 to the Condensed Consolidated Financial Statements for further information), (2) employee compensation and related expenses primarily as a result of changes in staffing driven by our system optimization initiative, (3) incentive compensation accruals due to a decrease in operating performance as compared to plan in 2017 versus 2016, (4) share-based compensation primarily as a result of awards granted and timing of expense recognition and (5) legal reserves.</t>
        </r>
      </text>
    </comment>
    <comment ref="CN85" authorId="1">
      <text>
        <r>
          <rPr>
            <b/>
            <sz val="9"/>
            <color indexed="81"/>
            <rFont val="Tahoma"/>
            <family val="2"/>
          </rPr>
          <t>O'Brien, Courtney (Research):</t>
        </r>
        <r>
          <rPr>
            <sz val="9"/>
            <color indexed="81"/>
            <rFont val="Tahoma"/>
            <family val="2"/>
          </rPr>
          <t xml:space="preserve">
2.22.2018
Our G&amp;A savings plan continues to be on track as we work towards achieving G&amp;A of 1.5% of systemwide sales by 2020.
2.7.17
Goal of 1.5%</t>
        </r>
      </text>
    </comment>
    <comment ref="AX86"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Depreciation will run higher on an ongoing basis due to Image Activation program. In 3Q, there was ~$2M accelerated depreciation, which will part part of program going forward</t>
        </r>
      </text>
    </comment>
    <comment ref="BE86"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 xml:space="preserve">Expect D&amp;A in '13 to increase 15-20% vs. '12 due to $20-30M pre-tax accelerated depreciation for existing assets that will be replaced during Image Activation
E-mail with Dave Poplar 2/20/13: This $20-30M accelerated depreciation is not included in operating EPS guidance of 18c ( i.e., adjusted out) and will likely grow in the coming years with increased remodels. </t>
        </r>
        <r>
          <rPr>
            <b/>
            <sz val="8"/>
            <color indexed="81"/>
            <rFont val="Tahoma"/>
            <family val="2"/>
          </rPr>
          <t>However</t>
        </r>
        <r>
          <rPr>
            <sz val="8"/>
            <color indexed="81"/>
            <rFont val="Tahoma"/>
            <family val="2"/>
          </rPr>
          <t xml:space="preserve">, since most other companies (JACK, MCD) do not exclude accelerated depreciation from operating EPS, we will treat WEN the same </t>
        </r>
      </text>
    </comment>
    <comment ref="BJ86" authorId="9">
      <text>
        <r>
          <rPr>
            <b/>
            <sz val="8"/>
            <color indexed="81"/>
            <rFont val="Tahoma"/>
            <family val="2"/>
          </rPr>
          <t xml:space="preserve">Sushama Dasari:
2.22.13
</t>
        </r>
        <r>
          <rPr>
            <sz val="8"/>
            <color indexed="81"/>
            <rFont val="Tahoma"/>
            <family val="2"/>
          </rPr>
          <t>Assume base D&amp;A of $150M + $30-40M accelerated depreciation (1.5x the $20-30M in FY13 since # remodels double from 64 to 125 but fewer Tier 1s)</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BO86" authorId="9">
      <text>
        <r>
          <rPr>
            <b/>
            <sz val="8"/>
            <color indexed="81"/>
            <rFont val="Tahoma"/>
            <family val="2"/>
          </rPr>
          <t xml:space="preserve">2.3.15
</t>
        </r>
        <r>
          <rPr>
            <sz val="8"/>
            <color indexed="81"/>
            <rFont val="Tahoma"/>
            <family val="2"/>
          </rPr>
          <t>Up 3-5% Y/Y, including $20M in accelerated depreciation. Implies $164-167M.</t>
        </r>
        <r>
          <rPr>
            <b/>
            <sz val="8"/>
            <color indexed="81"/>
            <rFont val="Tahoma"/>
            <family val="2"/>
          </rPr>
          <t xml:space="preserve">
2.22.13
</t>
        </r>
        <r>
          <rPr>
            <sz val="8"/>
            <color indexed="81"/>
            <rFont val="Tahoma"/>
            <family val="2"/>
          </rPr>
          <t>Assume base D&amp;A of $150M + ~$50M accelerated depreciation   (# remodels are 225 vs. 64 in 2013 but fewer of them are Tier 1)</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BT86" authorId="9">
      <text>
        <r>
          <rPr>
            <b/>
            <sz val="8"/>
            <color indexed="81"/>
            <rFont val="Tahoma"/>
            <family val="2"/>
          </rPr>
          <t xml:space="preserve">Sushama Dasari:
2.22.13
</t>
        </r>
        <r>
          <rPr>
            <sz val="8"/>
            <color indexed="81"/>
            <rFont val="Tahoma"/>
            <family val="2"/>
          </rPr>
          <t>Assume base D&amp;A of $150M + ~$50M accelerated depreciation   (similar to FY15)</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BU86" authorId="1">
      <text>
        <r>
          <rPr>
            <b/>
            <sz val="9"/>
            <color indexed="81"/>
            <rFont val="Tahoma"/>
            <family val="2"/>
          </rPr>
          <t>O'Brien, Courtney (Research):</t>
        </r>
        <r>
          <rPr>
            <sz val="9"/>
            <color indexed="81"/>
            <rFont val="Tahoma"/>
            <family val="2"/>
          </rPr>
          <t xml:space="preserve">
5.5.17
The decrease in restaurant depreciation and amortization during the first quarter of 2017 was primarily due to (1) a decrease in depreciation on assets sold under our system optimization initiative of $2.5 million and (2) a decrease in accelerated depreciation on existing assets that are being replaced as part of our Image Activation program of $1.4 million.</t>
        </r>
      </text>
    </comment>
    <comment ref="BY86" authorId="9">
      <text>
        <r>
          <rPr>
            <b/>
            <sz val="8"/>
            <color indexed="81"/>
            <rFont val="Tahoma"/>
            <family val="2"/>
          </rPr>
          <t xml:space="preserve">Sushama Dasari:
2.22.13
</t>
        </r>
        <r>
          <rPr>
            <sz val="8"/>
            <color indexed="81"/>
            <rFont val="Tahoma"/>
            <family val="2"/>
          </rPr>
          <t>Assume base D&amp;A of $150M + ~$50M accelerated depreciation   (similar to FY15)</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CD86" authorId="9">
      <text>
        <r>
          <rPr>
            <b/>
            <sz val="8"/>
            <color indexed="81"/>
            <rFont val="Tahoma"/>
            <family val="2"/>
          </rPr>
          <t xml:space="preserve">Sushama Dasari:
2.22.13
</t>
        </r>
        <r>
          <rPr>
            <sz val="8"/>
            <color indexed="81"/>
            <rFont val="Tahoma"/>
            <family val="2"/>
          </rPr>
          <t>Assume base D&amp;A of $150M + ~$50M accelerated depreciation   (similar to FY15)</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CI86" authorId="9">
      <text>
        <r>
          <rPr>
            <b/>
            <sz val="8"/>
            <color indexed="81"/>
            <rFont val="Tahoma"/>
            <family val="2"/>
          </rPr>
          <t xml:space="preserve">Sushama Dasari:
2.22.13
</t>
        </r>
        <r>
          <rPr>
            <sz val="8"/>
            <color indexed="81"/>
            <rFont val="Tahoma"/>
            <family val="2"/>
          </rPr>
          <t>Assume base D&amp;A of $150M + ~$50M accelerated depreciation   (similar to FY15)</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CN86" authorId="9">
      <text>
        <r>
          <rPr>
            <b/>
            <sz val="8"/>
            <color indexed="81"/>
            <rFont val="Tahoma"/>
            <family val="2"/>
          </rPr>
          <t xml:space="preserve">Sushama Dasari:
2.22.13
</t>
        </r>
        <r>
          <rPr>
            <sz val="8"/>
            <color indexed="81"/>
            <rFont val="Tahoma"/>
            <family val="2"/>
          </rPr>
          <t>Assume base D&amp;A of $150M + ~$50M accelerated depreciation   (similar to FY15)</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AJ92" authorId="0">
      <text>
        <r>
          <rPr>
            <b/>
            <sz val="8"/>
            <color indexed="81"/>
            <rFont val="Tahoma"/>
            <family val="2"/>
          </rPr>
          <t>Jon Tower:</t>
        </r>
        <r>
          <rPr>
            <sz val="8"/>
            <color indexed="81"/>
            <rFont val="Tahoma"/>
            <family val="2"/>
          </rPr>
          <t xml:space="preserve">
11.5.09
backs out 15.5M in 1X G&amp;A charges related to new purchasing co-op</t>
        </r>
      </text>
    </comment>
    <comment ref="BL94" authorId="1">
      <text>
        <r>
          <rPr>
            <b/>
            <sz val="9"/>
            <color indexed="81"/>
            <rFont val="Tahoma"/>
            <family val="2"/>
          </rPr>
          <t>O'Brien, Courtney (Research):</t>
        </r>
        <r>
          <rPr>
            <sz val="9"/>
            <color indexed="81"/>
            <rFont val="Tahoma"/>
            <family val="2"/>
          </rPr>
          <t xml:space="preserve">
8.5.15 + 5.2% despite ownership of 141 fewer company operate restaurants, + 170bps improvement from Sys Opt 2</t>
        </r>
      </text>
    </comment>
    <comment ref="BM94" authorId="1">
      <text>
        <r>
          <rPr>
            <b/>
            <sz val="9"/>
            <color indexed="81"/>
            <rFont val="Tahoma"/>
            <family val="2"/>
          </rPr>
          <t>O'Brien, Courtney (Research):</t>
        </r>
        <r>
          <rPr>
            <sz val="9"/>
            <color indexed="81"/>
            <rFont val="Tahoma"/>
            <family val="2"/>
          </rPr>
          <t xml:space="preserve">
+350 due to system opt initiative</t>
        </r>
      </text>
    </comment>
    <comment ref="BO94" authorId="8">
      <text>
        <r>
          <rPr>
            <b/>
            <sz val="9"/>
            <color indexed="81"/>
            <rFont val="Tahoma"/>
            <family val="2"/>
          </rPr>
          <t>11.4.15
reit 20-22%
2.3.15:</t>
        </r>
        <r>
          <rPr>
            <sz val="9"/>
            <color indexed="81"/>
            <rFont val="Tahoma"/>
            <family val="2"/>
          </rPr>
          <t xml:space="preserve">
'15: 20-22%
'16: 28-30%
'17: 32-34%
'18: ~35%</t>
        </r>
      </text>
    </comment>
    <comment ref="BP94" authorId="2">
      <text>
        <r>
          <rPr>
            <b/>
            <sz val="9"/>
            <color indexed="81"/>
            <rFont val="Tahoma"/>
            <family val="2"/>
          </rPr>
          <t>Carril, Christopher E (Research):</t>
        </r>
        <r>
          <rPr>
            <sz val="9"/>
            <color indexed="81"/>
            <rFont val="Tahoma"/>
            <family val="2"/>
          </rPr>
          <t xml:space="preserve">
5.11.2016
Note that these results include a year-over-year net positive impact
of $9.6 million from a lease buyout, which was partly offset by increased professional fees and legal reserves… The 800 basis-point improvement
reflects the positive impact of our system optimization initiative, as well as the lease buyout gain.</t>
        </r>
      </text>
    </comment>
    <comment ref="BT94" authorId="8">
      <text>
        <r>
          <rPr>
            <b/>
            <sz val="9"/>
            <color indexed="81"/>
            <rFont val="Tahoma"/>
            <family val="2"/>
          </rPr>
          <t>2.9.16
 REIT 28-30%
2.3.15:</t>
        </r>
        <r>
          <rPr>
            <sz val="9"/>
            <color indexed="81"/>
            <rFont val="Tahoma"/>
            <family val="2"/>
          </rPr>
          <t xml:space="preserve">
'15: 20-22%
'16: 28-30%
'17: 32-34%
'18: ~35%</t>
        </r>
      </text>
    </comment>
    <comment ref="BW94" authorId="2">
      <text>
        <r>
          <rPr>
            <b/>
            <sz val="9"/>
            <color indexed="81"/>
            <rFont val="Tahoma"/>
            <family val="2"/>
          </rPr>
          <t>Carril, Christopher E (Research):</t>
        </r>
        <r>
          <rPr>
            <sz val="9"/>
            <color indexed="81"/>
            <rFont val="Tahoma"/>
            <family val="2"/>
          </rPr>
          <t xml:space="preserve">
</t>
        </r>
        <r>
          <rPr>
            <b/>
            <sz val="9"/>
            <color indexed="81"/>
            <rFont val="Tahoma"/>
            <family val="2"/>
          </rPr>
          <t>11.8.2017</t>
        </r>
        <r>
          <rPr>
            <sz val="9"/>
            <color indexed="81"/>
            <rFont val="Tahoma"/>
            <family val="2"/>
          </rPr>
          <t xml:space="preserve">
Our 400 basis point
improvement in adjusted EBITDA margin exemplifies our higher quality of earnings resulting from our system optimization initiatives.</t>
        </r>
      </text>
    </comment>
    <comment ref="BY94" authorId="8">
      <text>
        <r>
          <rPr>
            <b/>
            <sz val="9"/>
            <color indexed="81"/>
            <rFont val="Tahoma"/>
            <family val="2"/>
          </rPr>
          <t xml:space="preserve">11.8.2017
</t>
        </r>
        <r>
          <rPr>
            <sz val="9"/>
            <color indexed="81"/>
            <rFont val="Tahoma"/>
            <family val="2"/>
          </rPr>
          <t xml:space="preserve">Reit: Adjusted EBITDA margin of approximately 32 to 34 percent
</t>
        </r>
        <r>
          <rPr>
            <b/>
            <sz val="9"/>
            <color indexed="81"/>
            <rFont val="Tahoma"/>
            <family val="2"/>
          </rPr>
          <t xml:space="preserve">
2.9.16
</t>
        </r>
        <r>
          <rPr>
            <sz val="9"/>
            <color indexed="81"/>
            <rFont val="Tahoma"/>
            <family val="2"/>
          </rPr>
          <t xml:space="preserve">32-34% in FY17
</t>
        </r>
        <r>
          <rPr>
            <b/>
            <sz val="9"/>
            <color indexed="81"/>
            <rFont val="Tahoma"/>
            <family val="2"/>
          </rPr>
          <t xml:space="preserve">
2.3.15:</t>
        </r>
        <r>
          <rPr>
            <sz val="9"/>
            <color indexed="81"/>
            <rFont val="Tahoma"/>
            <family val="2"/>
          </rPr>
          <t xml:space="preserve">
'15: 20-22%
'16: 28-30%
'17: 32-34%
'18: ~35%</t>
        </r>
      </text>
    </comment>
    <comment ref="CD94" authorId="8">
      <text>
        <r>
          <rPr>
            <b/>
            <sz val="9"/>
            <color indexed="81"/>
            <rFont val="Tahoma"/>
            <family val="2"/>
          </rPr>
          <t xml:space="preserve">2.21.2018
</t>
        </r>
        <r>
          <rPr>
            <sz val="9"/>
            <color indexed="81"/>
            <rFont val="Tahoma"/>
            <family val="2"/>
          </rPr>
          <t xml:space="preserve">Adjusted EBITDA margin of approximately 33 to 34 percent. 
</t>
        </r>
        <r>
          <rPr>
            <b/>
            <sz val="9"/>
            <color indexed="81"/>
            <rFont val="Tahoma"/>
            <family val="2"/>
          </rPr>
          <t xml:space="preserve">
2.9.16
</t>
        </r>
        <r>
          <rPr>
            <sz val="9"/>
            <color indexed="81"/>
            <rFont val="Tahoma"/>
            <family val="2"/>
          </rPr>
          <t>REIT 35%</t>
        </r>
        <r>
          <rPr>
            <b/>
            <sz val="9"/>
            <color indexed="81"/>
            <rFont val="Tahoma"/>
            <family val="2"/>
          </rPr>
          <t xml:space="preserve">
2.3.15:</t>
        </r>
        <r>
          <rPr>
            <sz val="9"/>
            <color indexed="81"/>
            <rFont val="Tahoma"/>
            <family val="2"/>
          </rPr>
          <t xml:space="preserve">
'15: 20-22%
'16: 28-30%
'17: 32-34%
'18: ~35%</t>
        </r>
      </text>
    </comment>
    <comment ref="CN94" authorId="1">
      <text>
        <r>
          <rPr>
            <b/>
            <sz val="9"/>
            <color indexed="81"/>
            <rFont val="Tahoma"/>
            <family val="2"/>
          </rPr>
          <t xml:space="preserve">2.21.2018
</t>
        </r>
        <r>
          <rPr>
            <sz val="9"/>
            <color indexed="81"/>
            <rFont val="Tahoma"/>
            <family val="2"/>
          </rPr>
          <t xml:space="preserve">Adjusted EBITDA margin of 37 to 39 percent, impacted by rev rec by ~100 bps)
</t>
        </r>
        <r>
          <rPr>
            <b/>
            <sz val="9"/>
            <color indexed="81"/>
            <rFont val="Tahoma"/>
            <family val="2"/>
          </rPr>
          <t xml:space="preserve">
11.8.2017
</t>
        </r>
        <r>
          <rPr>
            <sz val="9"/>
            <color indexed="81"/>
            <rFont val="Tahoma"/>
            <family val="2"/>
          </rPr>
          <t>Reit: adjusted EBITDA margin of 38 to 40 percent by 2020</t>
        </r>
        <r>
          <rPr>
            <b/>
            <sz val="9"/>
            <color indexed="81"/>
            <rFont val="Tahoma"/>
            <family val="2"/>
          </rPr>
          <t xml:space="preserve">
2.15.17
</t>
        </r>
        <r>
          <rPr>
            <sz val="9"/>
            <color indexed="81"/>
            <rFont val="Tahoma"/>
            <family val="2"/>
          </rPr>
          <t xml:space="preserve">2020 goal: Adjusted EBITDA Margin of 38 to 40 percent
</t>
        </r>
        <r>
          <rPr>
            <b/>
            <sz val="9"/>
            <color indexed="81"/>
            <rFont val="Tahoma"/>
            <family val="2"/>
          </rPr>
          <t xml:space="preserve">8.10.16
</t>
        </r>
        <r>
          <rPr>
            <sz val="9"/>
            <color indexed="81"/>
            <rFont val="Tahoma"/>
            <family val="2"/>
          </rPr>
          <t>LT goal to 38-40% VS 35% prior ( not necessarily in 2020)</t>
        </r>
      </text>
    </comment>
    <comment ref="AG95" authorId="0">
      <text>
        <r>
          <rPr>
            <b/>
            <sz val="8"/>
            <color indexed="81"/>
            <rFont val="Tahoma"/>
            <family val="2"/>
          </rPr>
          <t>Jon Tower:</t>
        </r>
        <r>
          <rPr>
            <sz val="8"/>
            <color indexed="81"/>
            <rFont val="Tahoma"/>
            <family val="2"/>
          </rPr>
          <t xml:space="preserve">
5.7.09
The effective tax benefit for the three months ended March 29, 2009 and March 28, 2008 on the loss before income taxes was 30.6% and 11.1%, respectively.  These rates vary from the U.S. federal statutory rate of 35% due to the 2009 and 2008 first quarter effects of (1) the first quarter 2008 effect of the other than temporary loss on our investment in the common stock of DFR, which, as a result of its subsequent distribution to shareholders, is not deductible for income tax purposes and no tax benefit was recorded related to this loss, (2) state income taxes, net of federal income tax benefit, (3) non-deductible expenses, (4) adjustments to our uncertain tax positions, and (5) tax credits.</t>
        </r>
      </text>
    </comment>
    <comment ref="AH95" authorId="0">
      <text>
        <r>
          <rPr>
            <b/>
            <sz val="8"/>
            <color indexed="81"/>
            <rFont val="Tahoma"/>
            <family val="2"/>
          </rPr>
          <t>Jon Tower:</t>
        </r>
        <r>
          <rPr>
            <sz val="8"/>
            <color indexed="81"/>
            <rFont val="Tahoma"/>
            <family val="2"/>
          </rPr>
          <t xml:space="preserve">
8.6.09
The effective tax rate for the second quarter of 2009 was a 36.5% provision, compared to a 49.5% benefit in the second quarter of 2008.  The effective tax rates differ due to the relative impact of non-deductible compensation and other non-deductible expenses and their relationship to the forecasted pre-tax income in both years</t>
        </r>
      </text>
    </comment>
    <comment ref="AK95" authorId="0">
      <text>
        <r>
          <rPr>
            <b/>
            <sz val="8"/>
            <color indexed="81"/>
            <rFont val="Tahoma"/>
            <family val="2"/>
          </rPr>
          <t>Jon Tower:</t>
        </r>
        <r>
          <rPr>
            <sz val="8"/>
            <color indexed="81"/>
            <rFont val="Tahoma"/>
            <family val="2"/>
          </rPr>
          <t xml:space="preserve">
5.7.09
38-40%</t>
        </r>
      </text>
    </comment>
    <comment ref="AM95" authorId="0">
      <text>
        <r>
          <rPr>
            <b/>
            <sz val="8"/>
            <color indexed="81"/>
            <rFont val="Tahoma"/>
            <family val="2"/>
          </rPr>
          <t>Jon Tower:</t>
        </r>
        <r>
          <rPr>
            <sz val="8"/>
            <color indexed="81"/>
            <rFont val="Tahoma"/>
            <family val="2"/>
          </rPr>
          <t xml:space="preserve">
5.13.10
expect 38-40% for remainder of '10</t>
        </r>
      </text>
    </comment>
    <comment ref="AN95" authorId="0">
      <text>
        <r>
          <rPr>
            <b/>
            <sz val="8"/>
            <color indexed="81"/>
            <rFont val="Tahoma"/>
            <family val="2"/>
          </rPr>
          <t>Jon Tower:
8.12.10
expect 42-44%</t>
        </r>
        <r>
          <rPr>
            <sz val="8"/>
            <color indexed="81"/>
            <rFont val="Tahoma"/>
            <family val="2"/>
          </rPr>
          <t xml:space="preserve">
5.13.10
expect 38-40% for remainder of '10</t>
        </r>
      </text>
    </comment>
    <comment ref="AO95" authorId="0">
      <text>
        <r>
          <rPr>
            <b/>
            <sz val="8"/>
            <color indexed="81"/>
            <rFont val="Tahoma"/>
            <family val="2"/>
          </rPr>
          <t xml:space="preserve">Jon Tower:
8.12.10
expect 42-44%
</t>
        </r>
        <r>
          <rPr>
            <sz val="8"/>
            <color indexed="81"/>
            <rFont val="Tahoma"/>
            <family val="2"/>
          </rPr>
          <t xml:space="preserve">
5.13.10
expect 38-40% for remainder of '10</t>
        </r>
      </text>
    </comment>
    <comment ref="BA95" authorId="11">
      <text>
        <r>
          <rPr>
            <b/>
            <sz val="8"/>
            <color indexed="81"/>
            <rFont val="Tahoma"/>
            <family val="2"/>
          </rPr>
          <t>bartljak:</t>
        </r>
        <r>
          <rPr>
            <sz val="8"/>
            <color indexed="81"/>
            <rFont val="Tahoma"/>
            <family val="2"/>
          </rPr>
          <t xml:space="preserve">
Adjusted tax rate is 39%.</t>
        </r>
      </text>
    </comment>
    <comment ref="BE95"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Expect 40% tax rate</t>
        </r>
      </text>
    </comment>
    <comment ref="BJ95" authorId="7">
      <text>
        <r>
          <rPr>
            <b/>
            <sz val="8"/>
            <color indexed="81"/>
            <rFont val="Tahoma"/>
            <family val="2"/>
          </rPr>
          <t xml:space="preserve">8.7.14
</t>
        </r>
        <r>
          <rPr>
            <sz val="8"/>
            <color indexed="81"/>
            <rFont val="Tahoma"/>
            <family val="2"/>
          </rPr>
          <t>38-40% reiterated.</t>
        </r>
        <r>
          <rPr>
            <b/>
            <sz val="8"/>
            <color indexed="81"/>
            <rFont val="Tahoma"/>
            <family val="2"/>
          </rPr>
          <t xml:space="preserve">
5.8.14:
</t>
        </r>
        <r>
          <rPr>
            <sz val="8"/>
            <color indexed="81"/>
            <rFont val="Tahoma"/>
            <family val="2"/>
          </rPr>
          <t>38-40% range now</t>
        </r>
        <r>
          <rPr>
            <b/>
            <sz val="8"/>
            <color indexed="81"/>
            <rFont val="Tahoma"/>
            <family val="2"/>
          </rPr>
          <t xml:space="preserve">
2.27.14:
</t>
        </r>
        <r>
          <rPr>
            <sz val="8"/>
            <color indexed="81"/>
            <rFont val="Tahoma"/>
            <family val="2"/>
          </rPr>
          <t>Difficult to guage. Meg said range of 36-40%. They are optimizing corp. sturcture to lower tax rate</t>
        </r>
        <r>
          <rPr>
            <sz val="8"/>
            <color indexed="81"/>
            <rFont val="Tahoma"/>
            <family val="2"/>
          </rPr>
          <t xml:space="preserve">
</t>
        </r>
      </text>
    </comment>
    <comment ref="BM95" authorId="1">
      <text>
        <r>
          <rPr>
            <b/>
            <sz val="9"/>
            <color indexed="81"/>
            <rFont val="Tahoma"/>
            <family val="2"/>
          </rPr>
          <t>O'Brien, Courtney (Research):</t>
        </r>
        <r>
          <rPr>
            <sz val="9"/>
            <color indexed="81"/>
            <rFont val="Tahoma"/>
            <family val="2"/>
          </rPr>
          <t xml:space="preserve">
higher effective tax rate due to effect of changes to valuation allowances on state net operating loss carryfowards relatied to company system opt initiative</t>
        </r>
      </text>
    </comment>
    <comment ref="BO95" authorId="8">
      <text>
        <r>
          <rPr>
            <b/>
            <sz val="9"/>
            <color indexed="81"/>
            <rFont val="Tahoma"/>
            <family val="2"/>
          </rPr>
          <t xml:space="preserve">11.4.15
41-43%
7.22.15
38-40%
5.5.15
41-42%, </t>
        </r>
        <r>
          <rPr>
            <sz val="9"/>
            <color indexed="81"/>
            <rFont val="Tahoma"/>
            <family val="2"/>
          </rPr>
          <t>higher than 14 due ot goodwill disposed of in refranchaisng which is not deductable for tax purposes</t>
        </r>
        <r>
          <rPr>
            <b/>
            <sz val="9"/>
            <color indexed="81"/>
            <rFont val="Tahoma"/>
            <family val="2"/>
          </rPr>
          <t xml:space="preserve">
2.3.15:</t>
        </r>
        <r>
          <rPr>
            <sz val="9"/>
            <color indexed="81"/>
            <rFont val="Tahoma"/>
            <family val="2"/>
          </rPr>
          <t xml:space="preserve">
42 to 43%. The increase compared to the Company’s 2014 reported tax rate of 39.7 percent is due primarily to goodwill disposed of in connection with the sale of Company-operated restaurants which is non-deductible for income tax purposes.</t>
        </r>
      </text>
    </comment>
    <comment ref="BT95" authorId="1">
      <text>
        <r>
          <rPr>
            <b/>
            <sz val="9"/>
            <color indexed="81"/>
            <rFont val="Tahoma"/>
            <family val="2"/>
          </rPr>
          <t xml:space="preserve">11.9.16
reit
32-34%
8.10.16
32-34% ADJ
</t>
        </r>
        <r>
          <rPr>
            <sz val="9"/>
            <color indexed="81"/>
            <rFont val="Tahoma"/>
            <family val="2"/>
          </rPr>
          <t xml:space="preserve">
5.11.2016
38-40% and an adjusted tax rate of approximately 32-34%
2.9.16
41-43%</t>
        </r>
      </text>
    </comment>
    <comment ref="BV95" authorId="2">
      <text>
        <r>
          <rPr>
            <b/>
            <sz val="9"/>
            <color indexed="81"/>
            <rFont val="Tahoma"/>
            <family val="2"/>
          </rPr>
          <t>Carril, Christopher E (Research):</t>
        </r>
        <r>
          <rPr>
            <sz val="9"/>
            <color indexed="81"/>
            <rFont val="Tahoma"/>
            <family val="2"/>
          </rPr>
          <t xml:space="preserve">
MS est. ~37% adj. tax rate
</t>
        </r>
      </text>
    </comment>
    <comment ref="BW95" authorId="2">
      <text>
        <r>
          <rPr>
            <b/>
            <sz val="9"/>
            <color indexed="81"/>
            <rFont val="Tahoma"/>
            <family val="2"/>
          </rPr>
          <t>Carril, Christopher E (Research):</t>
        </r>
        <r>
          <rPr>
            <sz val="9"/>
            <color indexed="81"/>
            <rFont val="Tahoma"/>
            <family val="2"/>
          </rPr>
          <t xml:space="preserve">
</t>
        </r>
        <r>
          <rPr>
            <b/>
            <sz val="9"/>
            <color indexed="81"/>
            <rFont val="Tahoma"/>
            <family val="2"/>
          </rPr>
          <t>11.8.2017</t>
        </r>
        <r>
          <rPr>
            <sz val="9"/>
            <color indexed="81"/>
            <rFont val="Tahoma"/>
            <family val="2"/>
          </rPr>
          <t xml:space="preserve">
MS est. ~37% adj. tax rate
The year-over-year increase in the tax rate was driven by a favorable change in valuation allowances in the prior year.</t>
        </r>
      </text>
    </comment>
    <comment ref="BY95" authorId="1">
      <text>
        <r>
          <rPr>
            <b/>
            <sz val="9"/>
            <color indexed="81"/>
            <rFont val="Tahoma"/>
            <family val="2"/>
          </rPr>
          <t xml:space="preserve">11.8.2017
</t>
        </r>
        <r>
          <rPr>
            <sz val="9"/>
            <color indexed="81"/>
            <rFont val="Tahoma"/>
            <family val="2"/>
          </rPr>
          <t>34-36%</t>
        </r>
        <r>
          <rPr>
            <b/>
            <sz val="9"/>
            <color indexed="81"/>
            <rFont val="Tahoma"/>
            <family val="2"/>
          </rPr>
          <t xml:space="preserve">
8.2.17
</t>
        </r>
        <r>
          <rPr>
            <sz val="9"/>
            <color indexed="81"/>
            <rFont val="Tahoma"/>
            <family val="2"/>
          </rPr>
          <t xml:space="preserve">reit 32-34%
</t>
        </r>
        <r>
          <rPr>
            <b/>
            <sz val="9"/>
            <color indexed="81"/>
            <rFont val="Tahoma"/>
            <family val="2"/>
          </rPr>
          <t xml:space="preserve">
5.10.17
</t>
        </r>
        <r>
          <rPr>
            <sz val="9"/>
            <color indexed="81"/>
            <rFont val="Tahoma"/>
            <family val="2"/>
          </rPr>
          <t xml:space="preserve">An adjusted tax rate of approximately 32 to 34 percent.
</t>
        </r>
        <r>
          <rPr>
            <b/>
            <sz val="9"/>
            <color indexed="81"/>
            <rFont val="Tahoma"/>
            <family val="2"/>
          </rPr>
          <t xml:space="preserve">2.16.17
</t>
        </r>
        <r>
          <rPr>
            <sz val="9"/>
            <color indexed="81"/>
            <rFont val="Tahoma"/>
            <family val="2"/>
          </rPr>
          <t>32-33%</t>
        </r>
      </text>
    </comment>
    <comment ref="CD95" authorId="2">
      <text>
        <r>
          <rPr>
            <b/>
            <sz val="9"/>
            <color indexed="81"/>
            <rFont val="Tahoma"/>
            <family val="2"/>
          </rPr>
          <t>Carril, Christopher E (Research):</t>
        </r>
        <r>
          <rPr>
            <sz val="9"/>
            <color indexed="81"/>
            <rFont val="Tahoma"/>
            <family val="2"/>
          </rPr>
          <t xml:space="preserve">
2.21.2018
An adjusted tax rate of approximately 23 to 25 percent. </t>
        </r>
      </text>
    </comment>
    <comment ref="BK102" authorId="1">
      <text>
        <r>
          <rPr>
            <b/>
            <sz val="9"/>
            <color indexed="81"/>
            <rFont val="Tahoma"/>
            <family val="2"/>
          </rPr>
          <t>O'Brien, Courtney (Research):</t>
        </r>
        <r>
          <rPr>
            <sz val="9"/>
            <color indexed="81"/>
            <rFont val="Tahoma"/>
            <family val="2"/>
          </rPr>
          <t xml:space="preserve">
5.5.15 owned 240 less restauramts than year prior</t>
        </r>
      </text>
    </comment>
    <comment ref="BE105"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Since consolidation of restaurant support center, expect more opportunity to look at efficiencies and get flat/lower G&amp;A</t>
        </r>
      </text>
    </comment>
    <comment ref="BE106" authorId="6">
      <text>
        <r>
          <rPr>
            <b/>
            <sz val="8"/>
            <color indexed="81"/>
            <rFont val="Tahoma"/>
            <family val="2"/>
          </rPr>
          <t xml:space="preserve">11.7.13:
</t>
        </r>
        <r>
          <rPr>
            <sz val="8"/>
            <color indexed="81"/>
            <rFont val="Tahoma"/>
            <family val="2"/>
          </rPr>
          <t>20% Y/Y growuth guidance. vs. 15-20% prior</t>
        </r>
        <r>
          <rPr>
            <sz val="8"/>
            <color indexed="81"/>
            <rFont val="Tahoma"/>
            <family val="2"/>
          </rPr>
          <t xml:space="preserve">
</t>
        </r>
        <r>
          <rPr>
            <b/>
            <sz val="8"/>
            <color indexed="81"/>
            <rFont val="Tahoma"/>
            <family val="2"/>
          </rPr>
          <t xml:space="preserve">1.16.13
</t>
        </r>
        <r>
          <rPr>
            <sz val="8"/>
            <color indexed="81"/>
            <rFont val="Tahoma"/>
            <family val="2"/>
          </rPr>
          <t xml:space="preserve">Expect D&amp;A in '13 to increase 15-20% vs. '12 due to $20-30M pre-tax accelerated depreciation for existing assets that will be replaced during Image Activation
E-mail with Dave Poplar 2/20/13: This $20-30M accelerated depreciation is not included in operating EPS guidance of 18c ( i.e., adjusted out) and will likely grow in the coming years with increased remodels. </t>
        </r>
        <r>
          <rPr>
            <b/>
            <sz val="8"/>
            <color indexed="81"/>
            <rFont val="Tahoma"/>
            <family val="2"/>
          </rPr>
          <t>However</t>
        </r>
        <r>
          <rPr>
            <sz val="8"/>
            <color indexed="81"/>
            <rFont val="Tahoma"/>
            <family val="2"/>
          </rPr>
          <t xml:space="preserve">, since most other companies (JACK, MCD) do not exclude accelerated depreciation from operating EPS, we will treat WEN the same </t>
        </r>
      </text>
    </comment>
    <comment ref="BJ106" authorId="9">
      <text>
        <r>
          <rPr>
            <b/>
            <sz val="8"/>
            <color indexed="81"/>
            <rFont val="Tahoma"/>
            <family val="2"/>
          </rPr>
          <t xml:space="preserve">8.7.14
</t>
        </r>
        <r>
          <rPr>
            <sz val="8"/>
            <color indexed="81"/>
            <rFont val="Tahoma"/>
            <family val="2"/>
          </rPr>
          <t xml:space="preserve">Guidance for a 10% decrease, due to sales of units. </t>
        </r>
        <r>
          <rPr>
            <b/>
            <sz val="8"/>
            <color indexed="81"/>
            <rFont val="Tahoma"/>
            <family val="2"/>
          </rPr>
          <t xml:space="preserve">
2.22.13
</t>
        </r>
        <r>
          <rPr>
            <sz val="8"/>
            <color indexed="81"/>
            <rFont val="Tahoma"/>
            <family val="2"/>
          </rPr>
          <t>Assume base D&amp;A of $150M + $30-40M accelerated depreciation (1.5x the $20-30M in FY13 since # remodels double from 64 to 125 but fewer Tier 1s)</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BO106" authorId="9">
      <text>
        <r>
          <rPr>
            <b/>
            <sz val="8"/>
            <color indexed="81"/>
            <rFont val="Tahoma"/>
            <family val="2"/>
          </rPr>
          <t xml:space="preserve">Sushama Dasari:
2.22.13
</t>
        </r>
        <r>
          <rPr>
            <sz val="8"/>
            <color indexed="81"/>
            <rFont val="Tahoma"/>
            <family val="2"/>
          </rPr>
          <t>Assume base D&amp;A of $150M + ~$50M accelerated depreciation   (# remodels are 225 vs. 64 in 2013 but fewer of them are Tier 1)</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BT106" authorId="9">
      <text>
        <r>
          <rPr>
            <b/>
            <sz val="8"/>
            <color indexed="81"/>
            <rFont val="Tahoma"/>
            <family val="2"/>
          </rPr>
          <t xml:space="preserve">Sushama Dasari:
2.22.13
</t>
        </r>
        <r>
          <rPr>
            <sz val="8"/>
            <color indexed="81"/>
            <rFont val="Tahoma"/>
            <family val="2"/>
          </rPr>
          <t>Assume base D&amp;A of $150M + ~$50M accelerated depreciation   (similar to FY15)</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BY106" authorId="9">
      <text>
        <r>
          <rPr>
            <b/>
            <sz val="8"/>
            <color indexed="81"/>
            <rFont val="Tahoma"/>
            <family val="2"/>
          </rPr>
          <t xml:space="preserve">Sushama Dasari:
2.22.13
</t>
        </r>
        <r>
          <rPr>
            <sz val="8"/>
            <color indexed="81"/>
            <rFont val="Tahoma"/>
            <family val="2"/>
          </rPr>
          <t>Assume base D&amp;A of $150M + ~$50M accelerated depreciation   (similar to FY15)</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CD106" authorId="9">
      <text>
        <r>
          <rPr>
            <b/>
            <sz val="8"/>
            <color indexed="81"/>
            <rFont val="Tahoma"/>
            <family val="2"/>
          </rPr>
          <t xml:space="preserve">Sushama Dasari:
2.22.13
</t>
        </r>
        <r>
          <rPr>
            <sz val="8"/>
            <color indexed="81"/>
            <rFont val="Tahoma"/>
            <family val="2"/>
          </rPr>
          <t>Assume base D&amp;A of $150M + ~$50M accelerated depreciation   (similar to FY15)</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CI106" authorId="9">
      <text>
        <r>
          <rPr>
            <b/>
            <sz val="8"/>
            <color indexed="81"/>
            <rFont val="Tahoma"/>
            <family val="2"/>
          </rPr>
          <t xml:space="preserve">Sushama Dasari:
2.22.13
</t>
        </r>
        <r>
          <rPr>
            <sz val="8"/>
            <color indexed="81"/>
            <rFont val="Tahoma"/>
            <family val="2"/>
          </rPr>
          <t>Assume base D&amp;A of $150M + ~$50M accelerated depreciation   (similar to FY15)</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CN106" authorId="9">
      <text>
        <r>
          <rPr>
            <b/>
            <sz val="8"/>
            <color indexed="81"/>
            <rFont val="Tahoma"/>
            <family val="2"/>
          </rPr>
          <t xml:space="preserve">Sushama Dasari:
2.22.13
</t>
        </r>
        <r>
          <rPr>
            <sz val="8"/>
            <color indexed="81"/>
            <rFont val="Tahoma"/>
            <family val="2"/>
          </rPr>
          <t>Assume base D&amp;A of $150M + ~$50M accelerated depreciation   (similar to FY15)</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AK109" authorId="0">
      <text>
        <r>
          <rPr>
            <b/>
            <sz val="8"/>
            <color indexed="81"/>
            <rFont val="Tahoma"/>
            <family val="2"/>
          </rPr>
          <t>Jon Tower:
8.6.09</t>
        </r>
        <r>
          <rPr>
            <sz val="8"/>
            <color indexed="81"/>
            <rFont val="Tahoma"/>
            <family val="2"/>
          </rPr>
          <t xml:space="preserve">
So when you net out all
these factors, we expect mid-teens adjusted EBITDA growth for 2009</t>
        </r>
        <r>
          <rPr>
            <sz val="8"/>
            <color indexed="81"/>
            <rFont val="Tahoma"/>
            <family val="2"/>
          </rPr>
          <t xml:space="preserve">
3.2.09
Deliver average annual EBITDA growth in the mid-teens through 2011.</t>
        </r>
      </text>
    </comment>
    <comment ref="AP109" authorId="0">
      <text>
        <r>
          <rPr>
            <b/>
            <sz val="8"/>
            <color indexed="81"/>
            <rFont val="Tahoma"/>
            <family val="2"/>
          </rPr>
          <t xml:space="preserve">Jon Tower:
8.12.10
</t>
        </r>
        <r>
          <rPr>
            <sz val="8"/>
            <color indexed="81"/>
            <rFont val="Tahoma"/>
            <family val="2"/>
          </rPr>
          <t xml:space="preserve">The Company updated its outlook and now anticipates </t>
        </r>
        <r>
          <rPr>
            <b/>
            <sz val="8"/>
            <color indexed="81"/>
            <rFont val="Tahoma"/>
            <family val="2"/>
          </rPr>
          <t xml:space="preserve">2010 adjusted EBITDA to decline approximately 3% to 5%, as compared to 2009 adjusted EBITDA of $411.6 million normalized for the effect of the 53rd week (2009 net income was $5.1 million). The revised outlook for adjusted EBITDA excludes the incremental advertising of approximately $8 million to support the expansion of Wendy’s new breakfast program </t>
        </r>
        <r>
          <rPr>
            <sz val="8"/>
            <color indexed="81"/>
            <rFont val="Tahoma"/>
            <family val="2"/>
          </rPr>
          <t xml:space="preserve">later this year to additional company and franchise markets.
</t>
        </r>
        <r>
          <rPr>
            <b/>
            <sz val="8"/>
            <color indexed="81"/>
            <rFont val="Tahoma"/>
            <family val="2"/>
          </rPr>
          <t>Guidance IMPLIES $383-391M including breakfast, or $391-399M ex breakfast push</t>
        </r>
        <r>
          <rPr>
            <sz val="8"/>
            <color indexed="81"/>
            <rFont val="Tahoma"/>
            <family val="2"/>
          </rPr>
          <t xml:space="preserve">
</t>
        </r>
        <r>
          <rPr>
            <b/>
            <sz val="8"/>
            <color indexed="81"/>
            <rFont val="Tahoma"/>
            <family val="2"/>
          </rPr>
          <t xml:space="preserve">
5.13.10</t>
        </r>
        <r>
          <rPr>
            <sz val="8"/>
            <color indexed="81"/>
            <rFont val="Tahoma"/>
            <family val="2"/>
          </rPr>
          <t xml:space="preserve">
reit Adjusted EBITDA growth in the low to mid single-digits, excluding the effect of the 53rd week in 2009 and an
incremental expense for Wendy’s breakfast program in 2010 to expand into additional markets.</t>
        </r>
        <r>
          <rPr>
            <b/>
            <sz val="8"/>
            <color indexed="81"/>
            <rFont val="Tahoma"/>
            <family val="2"/>
          </rPr>
          <t xml:space="preserve">
3.4.10
Adjusted EBITDA growth in the low to mid single-digits, excluding the effect of the 53rd week in 2009 and an incremental expense for Wendy’s breakfast program in 2010 to expand into additional markets
IMPLIES ~$426M-$438.9M
11.5.09</t>
        </r>
        <r>
          <rPr>
            <sz val="8"/>
            <color indexed="81"/>
            <rFont val="Tahoma"/>
            <family val="2"/>
          </rPr>
          <t xml:space="preserve">
The Company continues to expect to achieve average annual adjusted EBITDA growth in the mid-teens through 2011. The Company remains on track with its key profit initiatives targeting a total of $160 million in annualized incremental EBITDA by the end of 2011. These targeted improvements include $100 million from improving Wendy’s company-operated restaurant margins by 500 basis points and $60 million from achieving synergies and G&amp;A reductions.</t>
        </r>
        <r>
          <rPr>
            <b/>
            <sz val="8"/>
            <color indexed="81"/>
            <rFont val="Tahoma"/>
            <family val="2"/>
          </rPr>
          <t xml:space="preserve">
</t>
        </r>
        <r>
          <rPr>
            <sz val="8"/>
            <color indexed="81"/>
            <rFont val="Tahoma"/>
            <family val="2"/>
          </rPr>
          <t xml:space="preserve">
3.2.09
Deliver average annual EBITDA growth in the mid-teens through 2011.</t>
        </r>
      </text>
    </comment>
    <comment ref="AU109" authorId="0">
      <text>
        <r>
          <rPr>
            <b/>
            <sz val="8"/>
            <color indexed="81"/>
            <rFont val="Tahoma"/>
            <family val="2"/>
          </rPr>
          <t xml:space="preserve">Jon Tower:
8.12.10
“We are reviewing our 2011 outlook and plan to provide an update later this year.
</t>
        </r>
        <r>
          <rPr>
            <sz val="8"/>
            <color indexed="81"/>
            <rFont val="Tahoma"/>
            <family val="2"/>
          </rPr>
          <t>11.5.09
The Company continues to expect to achieve average annual adjusted EBITDA growth in the mid-teens through 2011. The Company remains on track with its key profit initiatives targeting a total of $160 million in annualized incremental EBITDA by the end of 2011. These targeted improvements include $100 million from improving Wendy’s company-operated restaurant margins by 500 basis points and $60 million from achieving synergies and G&amp;A reductions.</t>
        </r>
        <r>
          <rPr>
            <sz val="8"/>
            <color indexed="81"/>
            <rFont val="Tahoma"/>
            <family val="2"/>
          </rPr>
          <t xml:space="preserve">
3.2.09
Deliver average annual EBITDA growth in the mid-teens through 2011.</t>
        </r>
      </text>
    </comment>
    <comment ref="AZ109" authorId="0">
      <text>
        <r>
          <rPr>
            <b/>
            <sz val="8"/>
            <color indexed="81"/>
            <rFont val="Tahoma"/>
            <family val="2"/>
          </rPr>
          <t>Jon Tower:</t>
        </r>
        <r>
          <rPr>
            <sz val="8"/>
            <color indexed="81"/>
            <rFont val="Tahoma"/>
            <family val="2"/>
          </rPr>
          <t xml:space="preserve">
1.26.11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D109"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Expect Q4'13 to have slowest growth rate in '13 because of $10M franchisee Image Activation incentive hitting G&amp;A</t>
        </r>
      </text>
    </comment>
    <comment ref="BE109" authorId="0">
      <text>
        <r>
          <rPr>
            <b/>
            <sz val="8"/>
            <color indexed="81"/>
            <rFont val="Tahoma"/>
            <family val="2"/>
          </rPr>
          <t xml:space="preserve">Sushama Dasari:
1.16.13
</t>
        </r>
        <r>
          <rPr>
            <sz val="8"/>
            <color indexed="81"/>
            <rFont val="Tahoma"/>
            <family val="2"/>
          </rPr>
          <t>Reaffirmed $350-360M adjusted EBITDA in '13 (+5-8% y/y)</t>
        </r>
        <r>
          <rPr>
            <b/>
            <sz val="8"/>
            <color indexed="81"/>
            <rFont val="Tahoma"/>
            <family val="2"/>
          </rPr>
          <t xml:space="preserve">
11.8.12
</t>
        </r>
        <r>
          <rPr>
            <sz val="8"/>
            <color indexed="81"/>
            <rFont val="Tahoma"/>
            <family val="2"/>
          </rPr>
          <t xml:space="preserve">For 2013, the Company issued its preliminary outlook for Adjusted EBITDA of $350 million to $360 million. Included in the outlook is the cost of a $10 million incentive program for franchisees to reimage their restaurants in 2013. The Company plans to provide more details regarding the underlying assumptions for this outlook in January 2013.
The Company is targeting long-term Adjusted EBITDA and Adjusted Earnings Per Share growth beyond 2013 in the high single-digit to low double-digit range.
</t>
        </r>
        <r>
          <rPr>
            <b/>
            <sz val="8"/>
            <color indexed="81"/>
            <rFont val="Tahoma"/>
            <family val="2"/>
          </rPr>
          <t>8.9.12:</t>
        </r>
        <r>
          <rPr>
            <sz val="8"/>
            <color indexed="81"/>
            <rFont val="Tahoma"/>
            <family val="2"/>
          </rPr>
          <t xml:space="preserve">
AFFIRMED The Company continues to target an average annual Adjusted EBITDA growth rate in the high-single-digit to low-double-digit range beginning in 2013.</t>
        </r>
        <r>
          <rPr>
            <b/>
            <sz val="8"/>
            <color indexed="81"/>
            <rFont val="Tahoma"/>
            <family val="2"/>
          </rPr>
          <t xml:space="preserve">
6.27.12: </t>
        </r>
        <r>
          <rPr>
            <sz val="8"/>
            <color indexed="81"/>
            <rFont val="Tahoma"/>
            <family val="2"/>
          </rPr>
          <t>affired adjsuted EBITDA of $320 to $335 M. Continues ot expect hihg single to low double digit growth LT beginning in '13</t>
        </r>
        <r>
          <rPr>
            <b/>
            <sz val="8"/>
            <color indexed="81"/>
            <rFont val="Tahoma"/>
            <family val="2"/>
          </rPr>
          <t xml:space="preserve">
</t>
        </r>
        <r>
          <rPr>
            <sz val="8"/>
            <color indexed="81"/>
            <rFont val="Tahoma"/>
            <family val="2"/>
          </rPr>
          <t xml:space="preserve">
1.30.12:
beyond 2012, we are targeting an average annual Adjusted
EBITDA growth rate in the high-single-digit to low-double-digit range. We also expect our Adjusted
Earnings Per Share growth rate, on average, to be higher than our Adjusted EBITDA growth rate
1.26.11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J109" authorId="5">
      <text>
        <r>
          <rPr>
            <b/>
            <sz val="8"/>
            <color indexed="81"/>
            <rFont val="Tahoma"/>
            <family val="2"/>
          </rPr>
          <t xml:space="preserve">1.13.14
</t>
        </r>
        <r>
          <rPr>
            <sz val="8"/>
            <color indexed="81"/>
            <rFont val="Tahoma"/>
            <family val="2"/>
          </rPr>
          <t>6-9% growth in '14</t>
        </r>
        <r>
          <rPr>
            <b/>
            <sz val="8"/>
            <color indexed="81"/>
            <rFont val="Tahoma"/>
            <family val="2"/>
          </rPr>
          <t xml:space="preserve">
7.23.13:
</t>
        </r>
        <r>
          <rPr>
            <sz val="8"/>
            <color indexed="81"/>
            <rFont val="Tahoma"/>
            <family val="2"/>
          </rPr>
          <t>Reaffirmed HSD to LDD long term EBITDA growth</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O109" authorId="5">
      <text>
        <r>
          <rPr>
            <b/>
            <sz val="8"/>
            <color indexed="81"/>
            <rFont val="Tahoma"/>
            <family val="2"/>
          </rPr>
          <t xml:space="preserve">8.7.14
</t>
        </r>
        <r>
          <rPr>
            <sz val="8"/>
            <color indexed="81"/>
            <rFont val="Tahoma"/>
            <family val="2"/>
          </rPr>
          <t>Mid-to-high single digit.</t>
        </r>
        <r>
          <rPr>
            <b/>
            <sz val="8"/>
            <color indexed="81"/>
            <rFont val="Tahoma"/>
            <family val="2"/>
          </rPr>
          <t xml:space="preserve">
1.13.14
</t>
        </r>
        <r>
          <rPr>
            <sz val="8"/>
            <color indexed="81"/>
            <rFont val="Tahoma"/>
            <family val="2"/>
          </rPr>
          <t>HSD growth through '16, LDD thereafter</t>
        </r>
        <r>
          <rPr>
            <b/>
            <sz val="8"/>
            <color indexed="81"/>
            <rFont val="Tahoma"/>
            <family val="2"/>
          </rPr>
          <t xml:space="preserve">
7.23.13:
</t>
        </r>
        <r>
          <rPr>
            <sz val="8"/>
            <color indexed="81"/>
            <rFont val="Tahoma"/>
            <family val="2"/>
          </rPr>
          <t>Reaffirmed HSD to LDD long term EBITDA growth</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T109" authorId="5">
      <text>
        <r>
          <rPr>
            <b/>
            <sz val="8"/>
            <color indexed="81"/>
            <rFont val="Tahoma"/>
            <family val="2"/>
          </rPr>
          <t>5.11.2016</t>
        </r>
        <r>
          <rPr>
            <sz val="8"/>
            <color indexed="81"/>
            <rFont val="Tahoma"/>
            <family val="2"/>
          </rPr>
          <t xml:space="preserve">
...increasing its outlook for 2016 Adjusted EBITDA to down 1 percent to up 1 percent compared to 2015 from its prior guidance of down 2 percent to flat.</t>
        </r>
        <r>
          <rPr>
            <b/>
            <sz val="8"/>
            <color indexed="81"/>
            <rFont val="Tahoma"/>
            <family val="2"/>
          </rPr>
          <t xml:space="preserve">
2.9.16
</t>
        </r>
        <r>
          <rPr>
            <sz val="8"/>
            <color indexed="81"/>
            <rFont val="Tahoma"/>
            <family val="2"/>
          </rPr>
          <t xml:space="preserve">flat ot down 2%
</t>
        </r>
        <r>
          <rPr>
            <b/>
            <sz val="8"/>
            <color indexed="81"/>
            <rFont val="Tahoma"/>
            <family val="2"/>
          </rPr>
          <t xml:space="preserve">
2.3.15
</t>
        </r>
        <r>
          <rPr>
            <sz val="8"/>
            <color indexed="81"/>
            <rFont val="Tahoma"/>
            <family val="2"/>
          </rPr>
          <t xml:space="preserve">'16: </t>
        </r>
        <r>
          <rPr>
            <b/>
            <sz val="8"/>
            <color indexed="81"/>
            <rFont val="Tahoma"/>
            <family val="2"/>
          </rPr>
          <t>"</t>
        </r>
        <r>
          <rPr>
            <sz val="8"/>
            <color indexed="81"/>
            <rFont val="Tahoma"/>
            <family val="2"/>
          </rPr>
          <t>Flattish" EBITDA growth
'17: LSD growth
'18: HSD growth</t>
        </r>
        <r>
          <rPr>
            <b/>
            <sz val="8"/>
            <color indexed="81"/>
            <rFont val="Tahoma"/>
            <family val="2"/>
          </rPr>
          <t xml:space="preserve">
8.7.14
</t>
        </r>
        <r>
          <rPr>
            <sz val="8"/>
            <color indexed="81"/>
            <rFont val="Tahoma"/>
            <family val="2"/>
          </rPr>
          <t>M-to-HSD in '15
HSD in '16
LDD beginning in '17</t>
        </r>
        <r>
          <rPr>
            <b/>
            <sz val="8"/>
            <color indexed="81"/>
            <rFont val="Tahoma"/>
            <family val="2"/>
          </rPr>
          <t xml:space="preserve">
1.13.14
</t>
        </r>
        <r>
          <rPr>
            <sz val="8"/>
            <color indexed="81"/>
            <rFont val="Tahoma"/>
            <family val="2"/>
          </rPr>
          <t>HSD adj. EBITDA growth in '14-'16.
LDD adj. EBITDA growth in '17-'18.</t>
        </r>
        <r>
          <rPr>
            <b/>
            <sz val="8"/>
            <color indexed="81"/>
            <rFont val="Tahoma"/>
            <family val="2"/>
          </rPr>
          <t xml:space="preserve">
11.8.12
</t>
        </r>
        <r>
          <rPr>
            <sz val="8"/>
            <color indexed="81"/>
            <rFont val="Tahoma"/>
            <family val="2"/>
          </rPr>
          <t>The Company is targeting long-term Adjusted EBITDA and Adjusted Earnings Per Share growth beyond 2013 in the high single-digit to low double-digit range.</t>
        </r>
      </text>
    </comment>
    <comment ref="BX109" authorId="2">
      <text>
        <r>
          <rPr>
            <b/>
            <sz val="9"/>
            <color indexed="81"/>
            <rFont val="Tahoma"/>
            <family val="2"/>
          </rPr>
          <t>Carril, Christopher E (Research):</t>
        </r>
        <r>
          <rPr>
            <sz val="9"/>
            <color indexed="81"/>
            <rFont val="Tahoma"/>
            <family val="2"/>
          </rPr>
          <t xml:space="preserve">
2.22.2018
Adjusted EBITDA grew year-over-year by 14.2% coming in at $104 million. Our 420 basis points improvement in the adjusted EBITDA margin is a direct result of our higher quality of earnings from our System Optimization initiatives.</t>
        </r>
      </text>
    </comment>
    <comment ref="BY109" authorId="5">
      <text>
        <r>
          <rPr>
            <b/>
            <sz val="8"/>
            <color indexed="81"/>
            <rFont val="Tahoma"/>
            <family val="2"/>
          </rPr>
          <t xml:space="preserve">5.10.17
+2-4%
2.17: up 1-3% in 17
2.9.16
flat
2.3.15
</t>
        </r>
        <r>
          <rPr>
            <sz val="8"/>
            <color indexed="81"/>
            <rFont val="Tahoma"/>
            <family val="2"/>
          </rPr>
          <t xml:space="preserve">'16: </t>
        </r>
        <r>
          <rPr>
            <b/>
            <sz val="8"/>
            <color indexed="81"/>
            <rFont val="Tahoma"/>
            <family val="2"/>
          </rPr>
          <t>"</t>
        </r>
        <r>
          <rPr>
            <sz val="8"/>
            <color indexed="81"/>
            <rFont val="Tahoma"/>
            <family val="2"/>
          </rPr>
          <t>Flattish" EBITDA growth
'17: LSD growth
'18: HSD growth</t>
        </r>
        <r>
          <rPr>
            <b/>
            <sz val="8"/>
            <color indexed="81"/>
            <rFont val="Tahoma"/>
            <family val="2"/>
          </rPr>
          <t xml:space="preserve">
8.7.14
</t>
        </r>
        <r>
          <rPr>
            <sz val="8"/>
            <color indexed="81"/>
            <rFont val="Tahoma"/>
            <family val="2"/>
          </rPr>
          <t>M-to-HSD in '15
HSD in '16
LDD beginning in '17</t>
        </r>
        <r>
          <rPr>
            <b/>
            <sz val="8"/>
            <color indexed="81"/>
            <rFont val="Tahoma"/>
            <family val="2"/>
          </rPr>
          <t xml:space="preserve">
1.13.14
</t>
        </r>
        <r>
          <rPr>
            <sz val="8"/>
            <color indexed="81"/>
            <rFont val="Tahoma"/>
            <family val="2"/>
          </rPr>
          <t>HSD adj. EBITDA growth in '14-'16.
LDD adj. EBITDA growth in '17-'18.</t>
        </r>
        <r>
          <rPr>
            <b/>
            <sz val="8"/>
            <color indexed="81"/>
            <rFont val="Tahoma"/>
            <family val="2"/>
          </rPr>
          <t xml:space="preserve">
11.8.12
</t>
        </r>
        <r>
          <rPr>
            <sz val="8"/>
            <color indexed="81"/>
            <rFont val="Tahoma"/>
            <family val="2"/>
          </rPr>
          <t>The Company is targeting long-term Adjusted EBITDA and Adjusted Earnings Per Share growth beyond 2013 in the high single-digit to low double-digit range.</t>
        </r>
      </text>
    </comment>
    <comment ref="CD109" authorId="5">
      <text>
        <r>
          <rPr>
            <b/>
            <sz val="8"/>
            <color indexed="81"/>
            <rFont val="Tahoma"/>
            <family val="2"/>
          </rPr>
          <t xml:space="preserve">2.22.2018
</t>
        </r>
        <r>
          <rPr>
            <sz val="8"/>
            <color indexed="81"/>
            <rFont val="Tahoma"/>
            <family val="2"/>
          </rPr>
          <t xml:space="preserve">Adjusted EBITDA of approximately $420 to $430 million, an increase of approximately 8 to 10 percent compared to recast 2017 results. 
</t>
        </r>
        <r>
          <rPr>
            <b/>
            <sz val="8"/>
            <color indexed="81"/>
            <rFont val="Tahoma"/>
            <family val="2"/>
          </rPr>
          <t xml:space="preserve">
2.9.16
+10%
2.3.15
</t>
        </r>
        <r>
          <rPr>
            <sz val="8"/>
            <color indexed="81"/>
            <rFont val="Tahoma"/>
            <family val="2"/>
          </rPr>
          <t xml:space="preserve">'16: </t>
        </r>
        <r>
          <rPr>
            <b/>
            <sz val="8"/>
            <color indexed="81"/>
            <rFont val="Tahoma"/>
            <family val="2"/>
          </rPr>
          <t>"</t>
        </r>
        <r>
          <rPr>
            <sz val="8"/>
            <color indexed="81"/>
            <rFont val="Tahoma"/>
            <family val="2"/>
          </rPr>
          <t>Flattish" EBITDA growth
'17: LSD growth
'18: HSD growth</t>
        </r>
        <r>
          <rPr>
            <b/>
            <sz val="8"/>
            <color indexed="81"/>
            <rFont val="Tahoma"/>
            <family val="2"/>
          </rPr>
          <t xml:space="preserve">
8.7.14
</t>
        </r>
        <r>
          <rPr>
            <sz val="8"/>
            <color indexed="81"/>
            <rFont val="Tahoma"/>
            <family val="2"/>
          </rPr>
          <t>M-to-HSD in '15
HSD in '16
LDD beginning in '17</t>
        </r>
        <r>
          <rPr>
            <b/>
            <sz val="8"/>
            <color indexed="81"/>
            <rFont val="Tahoma"/>
            <family val="2"/>
          </rPr>
          <t xml:space="preserve">
1.13.14
</t>
        </r>
        <r>
          <rPr>
            <sz val="8"/>
            <color indexed="81"/>
            <rFont val="Tahoma"/>
            <family val="2"/>
          </rPr>
          <t>HSD adj. EBITDA growth in '14-'16.
LDD adj. EBITDA growth in '17-'18.</t>
        </r>
        <r>
          <rPr>
            <b/>
            <sz val="8"/>
            <color indexed="81"/>
            <rFont val="Tahoma"/>
            <family val="2"/>
          </rPr>
          <t xml:space="preserve">
11.8.12
</t>
        </r>
        <r>
          <rPr>
            <sz val="8"/>
            <color indexed="81"/>
            <rFont val="Tahoma"/>
            <family val="2"/>
          </rPr>
          <t>The Company is targeting long-term Adjusted EBITDA and Adjusted Earnings Per Share growth beyond 2013 in the high single-digit to low double-digit range.</t>
        </r>
      </text>
    </comment>
    <comment ref="CI109" authorId="5">
      <text>
        <r>
          <rPr>
            <b/>
            <sz val="8"/>
            <color indexed="81"/>
            <rFont val="Tahoma"/>
            <family val="2"/>
          </rPr>
          <t xml:space="preserve">1.13.14
</t>
        </r>
        <r>
          <rPr>
            <sz val="8"/>
            <color indexed="81"/>
            <rFont val="Tahoma"/>
            <family val="2"/>
          </rPr>
          <t>HSD growth through '16, LDD thereafter</t>
        </r>
        <r>
          <rPr>
            <b/>
            <sz val="8"/>
            <color indexed="81"/>
            <rFont val="Tahoma"/>
            <family val="2"/>
          </rPr>
          <t xml:space="preserve">
7.23.13:
</t>
        </r>
        <r>
          <rPr>
            <sz val="8"/>
            <color indexed="81"/>
            <rFont val="Tahoma"/>
            <family val="2"/>
          </rPr>
          <t>Reaffirmed HSD to LDD long term EBITDA growth</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CN109" authorId="5">
      <text>
        <r>
          <rPr>
            <b/>
            <sz val="8"/>
            <color indexed="81"/>
            <rFont val="Tahoma"/>
            <family val="2"/>
          </rPr>
          <t xml:space="preserve">1.13.14
</t>
        </r>
        <r>
          <rPr>
            <sz val="8"/>
            <color indexed="81"/>
            <rFont val="Tahoma"/>
            <family val="2"/>
          </rPr>
          <t>HSD growth through '16, LDD thereafter</t>
        </r>
        <r>
          <rPr>
            <b/>
            <sz val="8"/>
            <color indexed="81"/>
            <rFont val="Tahoma"/>
            <family val="2"/>
          </rPr>
          <t xml:space="preserve">
7.23.13:
</t>
        </r>
        <r>
          <rPr>
            <sz val="8"/>
            <color indexed="81"/>
            <rFont val="Tahoma"/>
            <family val="2"/>
          </rPr>
          <t>Reaffirmed HSD to LDD long term EBITDA growth</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AZ110" authorId="0">
      <text>
        <r>
          <rPr>
            <b/>
            <sz val="8"/>
            <color indexed="81"/>
            <rFont val="Tahoma"/>
            <family val="2"/>
          </rPr>
          <t xml:space="preserve">Jon Tower:
1.30.12
“We expect a low-single-digit increase in our Adjusted EBITDA growth rate for 2012,” Chief Financial Officer Steve Hare said. “In terms of growth beyond 2012, we are targeting an average annual Adjusted EBITDA growth rate in the high-single-digit to low-double-digit range. We also expect our Adjusted Earnings Per Share growth rate, on average, to be higher than our Adjusted EBITDA growth rate.”
</t>
        </r>
        <r>
          <rPr>
            <sz val="8"/>
            <color indexed="81"/>
            <rFont val="Tahoma"/>
            <family val="2"/>
          </rPr>
          <t xml:space="preserve">
1.26.11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A110" authorId="0">
      <text>
        <r>
          <rPr>
            <b/>
            <sz val="8"/>
            <color indexed="81"/>
            <rFont val="Tahoma"/>
            <family val="2"/>
          </rPr>
          <t>Jon Tower:</t>
        </r>
        <r>
          <rPr>
            <sz val="8"/>
            <color indexed="81"/>
            <rFont val="Tahoma"/>
            <family val="2"/>
          </rPr>
          <t xml:space="preserve">
1.26.11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B110" authorId="0">
      <text>
        <r>
          <rPr>
            <b/>
            <sz val="8"/>
            <color indexed="81"/>
            <rFont val="Tahoma"/>
            <family val="2"/>
          </rPr>
          <t>Jon Tower:</t>
        </r>
        <r>
          <rPr>
            <sz val="8"/>
            <color indexed="81"/>
            <rFont val="Tahoma"/>
            <family val="2"/>
          </rPr>
          <t xml:space="preserve">
1.26.11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C110" authorId="0">
      <text>
        <r>
          <rPr>
            <b/>
            <sz val="8"/>
            <color indexed="81"/>
            <rFont val="Tahoma"/>
            <family val="2"/>
          </rPr>
          <t>Jon Tower:</t>
        </r>
        <r>
          <rPr>
            <sz val="8"/>
            <color indexed="81"/>
            <rFont val="Tahoma"/>
            <family val="2"/>
          </rPr>
          <t xml:space="preserve">
1.26.11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D110" authorId="0">
      <text>
        <r>
          <rPr>
            <b/>
            <sz val="8"/>
            <color indexed="81"/>
            <rFont val="Tahoma"/>
            <family val="2"/>
          </rPr>
          <t>Jon Tower:</t>
        </r>
        <r>
          <rPr>
            <sz val="8"/>
            <color indexed="81"/>
            <rFont val="Tahoma"/>
            <family val="2"/>
          </rPr>
          <t xml:space="preserve">
1.26.11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E110" authorId="0">
      <text>
        <r>
          <rPr>
            <b/>
            <sz val="8"/>
            <color indexed="81"/>
            <rFont val="Tahoma"/>
            <family val="2"/>
          </rPr>
          <t xml:space="preserve">Jon Tower:
1.30.12
“We expect a low-single-digit increase in our Adjusted EBITDA growth rate for 2012,” Chief Financial Officer Steve Hare said. “In terms of growth beyond 2012, we are targeting an average annual Adjusted EBITDA growth rate in the high-single-digit to low-double-digit range. We also expect our Adjusted Earnings Per Share growth rate, on average, to be higher than our Adjusted EBITDA growth rate.”
</t>
        </r>
        <r>
          <rPr>
            <sz val="8"/>
            <color indexed="81"/>
            <rFont val="Tahoma"/>
            <family val="2"/>
          </rPr>
          <t xml:space="preserve">
1.26.11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E112" authorId="6">
      <text>
        <r>
          <rPr>
            <b/>
            <sz val="8"/>
            <color indexed="81"/>
            <rFont val="Tahoma"/>
            <family val="2"/>
          </rPr>
          <t>Sushama Dasari:</t>
        </r>
        <r>
          <rPr>
            <sz val="8"/>
            <color indexed="81"/>
            <rFont val="Tahoma"/>
            <family val="2"/>
          </rPr>
          <t xml:space="preserve">
</t>
        </r>
        <r>
          <rPr>
            <b/>
            <sz val="8"/>
            <color indexed="81"/>
            <rFont val="Tahoma"/>
            <family val="2"/>
          </rPr>
          <t xml:space="preserve">1.16.13
</t>
        </r>
        <r>
          <rPr>
            <sz val="8"/>
            <color indexed="81"/>
            <rFont val="Tahoma"/>
            <family val="2"/>
          </rPr>
          <t xml:space="preserve">Expect EPS of 18-20c in '13 (+13-25% y/y)
</t>
        </r>
        <r>
          <rPr>
            <b/>
            <sz val="8"/>
            <color indexed="81"/>
            <rFont val="Tahoma"/>
            <family val="2"/>
          </rPr>
          <t>E-mail with Dave Poplar 2/20/13:</t>
        </r>
        <r>
          <rPr>
            <sz val="8"/>
            <color indexed="81"/>
            <rFont val="Tahoma"/>
            <family val="2"/>
          </rPr>
          <t xml:space="preserve"> Operating EPS guidance adjusts out $20-30M accelerated depreciation from remodels (which will grow over time). </t>
        </r>
        <r>
          <rPr>
            <b/>
            <sz val="8"/>
            <color indexed="81"/>
            <rFont val="Tahoma"/>
            <family val="2"/>
          </rPr>
          <t>However,</t>
        </r>
        <r>
          <rPr>
            <sz val="8"/>
            <color indexed="81"/>
            <rFont val="Tahoma"/>
            <family val="2"/>
          </rPr>
          <t xml:space="preserve"> since most other companies (JACK, MCD) do not exclude accelerated depreciation from operating EPS, we will treat WEN the same </t>
        </r>
      </text>
    </comment>
    <comment ref="BJ112" authorId="5">
      <text>
        <r>
          <rPr>
            <b/>
            <sz val="8"/>
            <color indexed="81"/>
            <rFont val="Tahoma"/>
            <family val="2"/>
          </rPr>
          <t xml:space="preserve">7.23.13
</t>
        </r>
        <r>
          <rPr>
            <sz val="8"/>
            <color indexed="81"/>
            <rFont val="Tahoma"/>
            <family val="2"/>
          </rPr>
          <t>Due to refranchising, think they can sustain EPS growth in mid-teens</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O112" authorId="5">
      <text>
        <r>
          <rPr>
            <b/>
            <sz val="8"/>
            <color indexed="81"/>
            <rFont val="Tahoma"/>
            <family val="2"/>
          </rPr>
          <t xml:space="preserve">8.7.14:
</t>
        </r>
        <r>
          <rPr>
            <sz val="8"/>
            <color indexed="81"/>
            <rFont val="Tahoma"/>
            <family val="2"/>
          </rPr>
          <t>Mid-teens EPS growth beginning in '15</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T112" authorId="5">
      <text>
        <r>
          <rPr>
            <b/>
            <sz val="8"/>
            <color indexed="81"/>
            <rFont val="Tahoma"/>
            <family val="2"/>
          </rPr>
          <t xml:space="preserve">2.9.16
6-12% Y/Y (based on 33c in FY15)
11.4 reiT HSD
2.3.15:
</t>
        </r>
        <r>
          <rPr>
            <sz val="8"/>
            <color indexed="81"/>
            <rFont val="Tahoma"/>
            <family val="2"/>
          </rPr>
          <t>HSD adj. EPS growth in '16  (ex recap).</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Y112" authorId="5">
      <text>
        <r>
          <rPr>
            <b/>
            <sz val="8"/>
            <color indexed="81"/>
            <rFont val="Tahoma"/>
            <family val="2"/>
          </rPr>
          <t xml:space="preserve">11.4.15
REIT High teens
6.15.15
high teens EPS groth in '17
2.3.15:
</t>
        </r>
        <r>
          <rPr>
            <sz val="8"/>
            <color indexed="81"/>
            <rFont val="Tahoma"/>
            <family val="2"/>
          </rPr>
          <t>HSD adj. EPS growth in '17 (ex recap).</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CD112" authorId="5">
      <text>
        <r>
          <rPr>
            <b/>
            <sz val="8"/>
            <color indexed="81"/>
            <rFont val="Tahoma"/>
            <family val="2"/>
          </rPr>
          <t xml:space="preserve">11.4.15
reit 20+% post
6.15
20+% eps growth
2.3.15:
</t>
        </r>
        <r>
          <rPr>
            <sz val="8"/>
            <color indexed="81"/>
            <rFont val="Tahoma"/>
            <family val="2"/>
          </rPr>
          <t>M-to-HSD adj. EPS growth in '18 (ex recap).</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CI112" authorId="5">
      <text>
        <r>
          <rPr>
            <b/>
            <sz val="8"/>
            <color indexed="81"/>
            <rFont val="Tahoma"/>
            <family val="2"/>
          </rPr>
          <t xml:space="preserve">Sushama Dasari: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CN112" authorId="5">
      <text>
        <r>
          <rPr>
            <b/>
            <sz val="8"/>
            <color indexed="81"/>
            <rFont val="Tahoma"/>
            <family val="2"/>
          </rPr>
          <t xml:space="preserve">Sushama Dasari: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J120" authorId="7">
      <text>
        <r>
          <rPr>
            <b/>
            <sz val="8"/>
            <color indexed="81"/>
            <rFont val="Tahoma"/>
            <family val="2"/>
          </rPr>
          <t xml:space="preserve">1.13.14:
</t>
        </r>
        <r>
          <rPr>
            <sz val="8"/>
            <color indexed="81"/>
            <rFont val="Tahoma"/>
            <family val="2"/>
          </rPr>
          <t>Company SSS of $2.5-3.5%</t>
        </r>
        <r>
          <rPr>
            <sz val="8"/>
            <color indexed="81"/>
            <rFont val="Tahoma"/>
            <family val="2"/>
          </rPr>
          <t xml:space="preserve">
</t>
        </r>
      </text>
    </comment>
    <comment ref="BO120" authorId="7">
      <text>
        <r>
          <rPr>
            <b/>
            <sz val="8"/>
            <color indexed="81"/>
            <rFont val="Tahoma"/>
            <family val="2"/>
          </rPr>
          <t xml:space="preserve">1.13.14:
</t>
        </r>
        <r>
          <rPr>
            <sz val="8"/>
            <color indexed="81"/>
            <rFont val="Tahoma"/>
            <family val="2"/>
          </rPr>
          <t>LT company SSS of at least 3%.</t>
        </r>
        <r>
          <rPr>
            <sz val="8"/>
            <color indexed="81"/>
            <rFont val="Tahoma"/>
            <family val="2"/>
          </rPr>
          <t xml:space="preserve">
</t>
        </r>
      </text>
    </comment>
    <comment ref="BT120" authorId="7">
      <text>
        <r>
          <rPr>
            <b/>
            <sz val="8"/>
            <color indexed="81"/>
            <rFont val="Tahoma"/>
            <family val="2"/>
          </rPr>
          <t xml:space="preserve">1.13.14:
</t>
        </r>
        <r>
          <rPr>
            <sz val="8"/>
            <color indexed="81"/>
            <rFont val="Tahoma"/>
            <family val="2"/>
          </rPr>
          <t>LT company SSS of at least 3%.</t>
        </r>
        <r>
          <rPr>
            <sz val="8"/>
            <color indexed="81"/>
            <rFont val="Tahoma"/>
            <family val="2"/>
          </rPr>
          <t xml:space="preserve">
</t>
        </r>
      </text>
    </comment>
    <comment ref="BY120" authorId="7">
      <text>
        <r>
          <rPr>
            <b/>
            <sz val="8"/>
            <color indexed="81"/>
            <rFont val="Tahoma"/>
            <family val="2"/>
          </rPr>
          <t xml:space="preserve">1.13.14:
</t>
        </r>
        <r>
          <rPr>
            <sz val="8"/>
            <color indexed="81"/>
            <rFont val="Tahoma"/>
            <family val="2"/>
          </rPr>
          <t>LT company SSS of at least 3%.</t>
        </r>
        <r>
          <rPr>
            <sz val="8"/>
            <color indexed="81"/>
            <rFont val="Tahoma"/>
            <family val="2"/>
          </rPr>
          <t xml:space="preserve">
</t>
        </r>
      </text>
    </comment>
    <comment ref="CD120" authorId="7">
      <text>
        <r>
          <rPr>
            <b/>
            <sz val="8"/>
            <color indexed="81"/>
            <rFont val="Tahoma"/>
            <family val="2"/>
          </rPr>
          <t xml:space="preserve">1.13.14:
</t>
        </r>
        <r>
          <rPr>
            <sz val="8"/>
            <color indexed="81"/>
            <rFont val="Tahoma"/>
            <family val="2"/>
          </rPr>
          <t>LT company SSS of at least 3%.</t>
        </r>
        <r>
          <rPr>
            <sz val="8"/>
            <color indexed="81"/>
            <rFont val="Tahoma"/>
            <family val="2"/>
          </rPr>
          <t xml:space="preserve">
</t>
        </r>
      </text>
    </comment>
    <comment ref="CI120" authorId="7">
      <text>
        <r>
          <rPr>
            <b/>
            <sz val="8"/>
            <color indexed="81"/>
            <rFont val="Tahoma"/>
            <family val="2"/>
          </rPr>
          <t xml:space="preserve">1.13.14:
</t>
        </r>
        <r>
          <rPr>
            <sz val="8"/>
            <color indexed="81"/>
            <rFont val="Tahoma"/>
            <family val="2"/>
          </rPr>
          <t>LT company SSS of at least 3%.</t>
        </r>
        <r>
          <rPr>
            <sz val="8"/>
            <color indexed="81"/>
            <rFont val="Tahoma"/>
            <family val="2"/>
          </rPr>
          <t xml:space="preserve">
</t>
        </r>
      </text>
    </comment>
    <comment ref="CN120" authorId="7">
      <text>
        <r>
          <rPr>
            <b/>
            <sz val="8"/>
            <color indexed="81"/>
            <rFont val="Tahoma"/>
            <family val="2"/>
          </rPr>
          <t xml:space="preserve">1.13.14:
</t>
        </r>
        <r>
          <rPr>
            <sz val="8"/>
            <color indexed="81"/>
            <rFont val="Tahoma"/>
            <family val="2"/>
          </rPr>
          <t>LT company SSS of at least 3%.</t>
        </r>
        <r>
          <rPr>
            <sz val="8"/>
            <color indexed="81"/>
            <rFont val="Tahoma"/>
            <family val="2"/>
          </rPr>
          <t xml:space="preserve">
</t>
        </r>
      </text>
    </comment>
    <comment ref="AI135" authorId="0">
      <text>
        <r>
          <rPr>
            <b/>
            <sz val="8"/>
            <color indexed="81"/>
            <rFont val="Tahoma"/>
            <family val="2"/>
          </rPr>
          <t>Jon Tower:</t>
        </r>
        <r>
          <rPr>
            <sz val="8"/>
            <color indexed="81"/>
            <rFont val="Tahoma"/>
            <family val="2"/>
          </rPr>
          <t xml:space="preserve">
11.5.09
$100 Million Stock Repurchase Authorization
The Company purchased 10.3 million of shares of common stock as of October 26, 2009, for $49.1 million at an
average per share price of $4.77. At the close of business on October 30, 2009, the Company had approximately
463,003,000 shares of common stock outstanding. On November 3, 2009, the Board authorized an additional $50
million for a total of $100 million authorized common stock repurchases. The authorization will remain in effect
through January 2, 2011 and will allow the Company to make repurchases as market conditions warrant.</t>
        </r>
      </text>
    </comment>
    <comment ref="AJ135" authorId="0">
      <text>
        <r>
          <rPr>
            <b/>
            <sz val="8"/>
            <color indexed="81"/>
            <rFont val="Tahoma"/>
            <family val="2"/>
          </rPr>
          <t xml:space="preserve">Jon Tower:
11.5.09
$100 Million Stock Repurchase Authorization
</t>
        </r>
        <r>
          <rPr>
            <sz val="8"/>
            <color indexed="81"/>
            <rFont val="Tahoma"/>
            <family val="2"/>
          </rPr>
          <t>On November 3, 2009, the Board authorized an additional $50
million for a total of $100 million authorized common stock repurchases. The authorization will remain in effect
through January 2, 2011 and will allow the Company to make repurchases as market conditions warrant.</t>
        </r>
        <r>
          <rPr>
            <b/>
            <sz val="8"/>
            <color indexed="81"/>
            <rFont val="Tahoma"/>
            <family val="2"/>
          </rPr>
          <t xml:space="preserve">
</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AK135" authorId="0">
      <text>
        <r>
          <rPr>
            <b/>
            <sz val="8"/>
            <color indexed="81"/>
            <rFont val="Tahoma"/>
            <family val="2"/>
          </rPr>
          <t xml:space="preserve">Jon Tower:
11.5.09
$100 Million Stock Repurchase Authorization
</t>
        </r>
        <r>
          <rPr>
            <sz val="8"/>
            <color indexed="81"/>
            <rFont val="Tahoma"/>
            <family val="2"/>
          </rPr>
          <t>On November 3, 2009, the Board authorized an additional $50
million for a total of $100 million authorized common stock repurchases. The authorization will remain in effect
through January 2, 2011 and will allow the Company to make repurchases as market conditions warrant.</t>
        </r>
        <r>
          <rPr>
            <b/>
            <sz val="8"/>
            <color indexed="81"/>
            <rFont val="Tahoma"/>
            <family val="2"/>
          </rPr>
          <t xml:space="preserve">
</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AM135" authorId="0">
      <text>
        <r>
          <rPr>
            <b/>
            <sz val="8"/>
            <color indexed="81"/>
            <rFont val="Tahoma"/>
            <family val="2"/>
          </rPr>
          <t xml:space="preserve">Jon Tower:
11.5.09
$100 Million Stock Repurchase Authorization
</t>
        </r>
        <r>
          <rPr>
            <sz val="8"/>
            <color indexed="81"/>
            <rFont val="Tahoma"/>
            <family val="2"/>
          </rPr>
          <t>On November 3, 2009, the Board authorized an additional $50
million for a total of $100 million authorized common stock repurchases. The authorization will remain in effect
through January 2, 2011 and will allow the Company to make repurchases as market conditions warrant.</t>
        </r>
        <r>
          <rPr>
            <b/>
            <sz val="8"/>
            <color indexed="81"/>
            <rFont val="Tahoma"/>
            <family val="2"/>
          </rPr>
          <t xml:space="preserve">
</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AN135" authorId="0">
      <text>
        <r>
          <rPr>
            <b/>
            <sz val="8"/>
            <color indexed="81"/>
            <rFont val="Tahoma"/>
            <family val="2"/>
          </rPr>
          <t xml:space="preserve">Jon Tower:
11.12.10
Since the beginning of our repurchase activity last year, we have purchased approximately $245
million of our common stock and are pleased to announce an additional $170 million authorization today,
bringing the current amount available for repurchase up to $250 million
</t>
        </r>
        <r>
          <rPr>
            <sz val="8"/>
            <color indexed="81"/>
            <rFont val="Tahoma"/>
            <family val="2"/>
          </rPr>
          <t xml:space="preserve">
8.12.10
Since the Board of Directors authorized a stock repurchase program in 2009, the Company has repurchased approximately 52 million shares of common stock for $245 million as of August 6, 2010, at an average price of $4.69 per share. At the close of business on August 6, 2010, the Company had approximately 418 million shares of common stock outstanding. The Company has approximately $80 million authorized and available for additional common stock repurchases as of August 6, 2010. The current common stock repurchase program will remain in effect through January 2, 2011, and will allow the Company to make repurchases as market conditions warrant
5.13.10
the Company has repurchased approximately 40 million common stock shares for $190.2 million as of May 7, 2010, at an average price of $4.76 per share. At the close of business on May 7, 2010, the Company had approximately 430 million shares of common stock outstanding.
The Company has a total of $250 million authorized for common stock repurchases, of which $59.8 million remains available as of May 7, 2010. The current common stock repurchase program will remain in effect through January 2, 2011, and will allow the Company to make repurchases as market conditions warrant 
</t>
        </r>
      </text>
    </comment>
    <comment ref="AO135" authorId="0">
      <text>
        <r>
          <rPr>
            <b/>
            <sz val="8"/>
            <color indexed="81"/>
            <rFont val="Tahoma"/>
            <family val="2"/>
          </rPr>
          <t xml:space="preserve">Jon Tower:
11.12.10
Since the beginning of our repurchase activity last year, we have purchased approximately $245
million of our common stock and are pleased to announce an additional $170 million authorization today,
bringing the current amount available for repurchase up to $250 million
</t>
        </r>
        <r>
          <rPr>
            <sz val="8"/>
            <color indexed="81"/>
            <rFont val="Tahoma"/>
            <family val="2"/>
          </rPr>
          <t xml:space="preserve">
8.12.10
Since the Board of Directors authorized a stock repurchase program in 2009, the Company has repurchased approximately 52 million shares of common stock for $245 million as of August 6, 2010, at an average price of $4.69 per share. At the close of business on August 6, 2010, the Company had approximately 418 million shares of common stock outstanding. The Company has approximately $80 million authorized and available for additional common stock repurchases as of August 6, 2010. The current common stock repurchase program will remain in effect through January 2, 2011, and will allow the Company to make repurchases as market conditions warrant
5.13.10
the Company has repurchased approximately 40 million common stock shares for $190.2 million as of May 7, 2010, at an average price of $4.76 per share. At the close of business on May 7, 2010, the Company had approximately 430 million shares of common stock outstanding.
The Company has a total of $250 million authorized for common stock repurchases, of which $59.8 million remains available as of May 7, 2010. The current common stock repurchase program will remain in effect through January 2, 2011, and will allow the Company to make repurchases as market conditions warrant 
</t>
        </r>
      </text>
    </comment>
    <comment ref="AP135" authorId="0">
      <text>
        <r>
          <rPr>
            <b/>
            <sz val="8"/>
            <color indexed="81"/>
            <rFont val="Tahoma"/>
            <family val="2"/>
          </rPr>
          <t xml:space="preserve">Jon Tower:
11.5.09
$100 Million Stock Repurchase Authorization
</t>
        </r>
        <r>
          <rPr>
            <sz val="8"/>
            <color indexed="81"/>
            <rFont val="Tahoma"/>
            <family val="2"/>
          </rPr>
          <t>On November 3, 2009, the Board authorized an additional $50
million for a total of $100 million authorized common stock repurchases. The authorization will remain in effect
through January 2, 2011 and will allow the Company to make repurchases as market conditions warrant.</t>
        </r>
        <r>
          <rPr>
            <b/>
            <sz val="8"/>
            <color indexed="81"/>
            <rFont val="Tahoma"/>
            <family val="2"/>
          </rPr>
          <t xml:space="preserve">
</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AQ135" authorId="0">
      <text>
        <r>
          <rPr>
            <b/>
            <sz val="8"/>
            <color indexed="81"/>
            <rFont val="Tahoma"/>
            <family val="2"/>
          </rPr>
          <t xml:space="preserve">Jon Tower:
11.12.10
Since the beginning of our repurchase activity last year, we have purchased approximately $245
million of our common stock and are pleased to announce an additional $170 million authorization today,
bringing the current amount available for repurchase up to $250 million
</t>
        </r>
        <r>
          <rPr>
            <sz val="8"/>
            <color indexed="81"/>
            <rFont val="Tahoma"/>
            <family val="2"/>
          </rPr>
          <t xml:space="preserve">
8.12.10
Since the Board of Directors authorized a stock repurchase program in 2009, the Company has repurchased approximately 52 million shares of common stock for $245 million as of August 6, 2010, at an average price of $4.69 per share. At the close of business on August 6, 2010, the Company had approximately 418 million shares of common stock outstanding. The Company has approximately $80 million authorized and available for additional common stock repurchases as of August 6, 2010. The current common stock repurchase program will remain in effect through January 2, 2011, and will allow the Company to make repurchases as market conditions warrant
5.13.10
the Company has repurchased approximately 40 million common stock shares for $190.2 million as of May 7, 2010, at an average price of $4.76 per share. At the close of business on May 7, 2010, the Company had approximately 430 million shares of common stock outstanding.
The Company has a total of $250 million authorized for common stock repurchases, of which $59.8 million remains available as of May 7, 2010. The current common stock repurchase program will remain in effect through January 2, 2011, and will allow the Company to make repurchases as market conditions warrant 
</t>
        </r>
      </text>
    </comment>
    <comment ref="AR135" authorId="0">
      <text>
        <r>
          <rPr>
            <b/>
            <sz val="8"/>
            <color indexed="81"/>
            <rFont val="Tahoma"/>
            <family val="2"/>
          </rPr>
          <t>Jon Tower:</t>
        </r>
        <r>
          <rPr>
            <sz val="8"/>
            <color indexed="81"/>
            <rFont val="Tahoma"/>
            <family val="2"/>
          </rPr>
          <t xml:space="preserve">
8.11.11
Year-to-date through August 5, 2011, the Company has repurchased approximately 24 million shares of common stock for $122 million at an average price of $5.18 per share. As of August 5, 2011, $128 million remains authorized by the Board of Directors and is available for the repurchase of additional common stock.
Since the Board of Directors authorized a stock repurchase program in 2009, the Company has repurchased approximately 76 million shares of common stock for $367 million as of August 5, 2011, at an average price of $4.84 per share.
The common stock repurchase program allows the Company to make repurchases as market conditions warrant and to the extent legally permissible.</t>
        </r>
      </text>
    </comment>
    <comment ref="AS135" authorId="0">
      <text>
        <r>
          <rPr>
            <b/>
            <sz val="8"/>
            <color indexed="81"/>
            <rFont val="Tahoma"/>
            <family val="2"/>
          </rPr>
          <t xml:space="preserve">Jon Tower:
11.12.10
Since the beginning of our repurchase activity last year, we have purchased approximately $245
million of our common stock and are pleased to announce an additional $170 million authorization today,
bringing the current amount available for repurchase up to $250 million
</t>
        </r>
        <r>
          <rPr>
            <sz val="8"/>
            <color indexed="81"/>
            <rFont val="Tahoma"/>
            <family val="2"/>
          </rPr>
          <t xml:space="preserve">
8.12.10
Since the Board of Directors authorized a stock repurchase program in 2009, the Company has repurchased approximately 52 million shares of common stock for $245 million as of August 6, 2010, at an average price of $4.69 per share. At the close of business on August 6, 2010, the Company had approximately 418 million shares of common stock outstanding. The Company has approximately $80 million authorized and available for additional common stock repurchases as of August 6, 2010. The current common stock repurchase program will remain in effect through January 2, 2011, and will allow the Company to make repurchases as market conditions warrant
5.13.10
the Company has repurchased approximately 40 million common stock shares for $190.2 million as of May 7, 2010, at an average price of $4.76 per share. At the close of business on May 7, 2010, the Company had approximately 430 million shares of common stock outstanding.
The Company has a total of $250 million authorized for common stock repurchases, of which $59.8 million remains available as of May 7, 2010. The current common stock repurchase program will remain in effect through January 2, 2011, and will allow the Company to make repurchases as market conditions warrant 
</t>
        </r>
      </text>
    </comment>
    <comment ref="AT135" authorId="0">
      <text>
        <r>
          <rPr>
            <b/>
            <sz val="8"/>
            <color indexed="81"/>
            <rFont val="Tahoma"/>
            <family val="2"/>
          </rPr>
          <t xml:space="preserve">Jon Tower:
11.9.11
</t>
        </r>
        <r>
          <rPr>
            <sz val="8"/>
            <color indexed="81"/>
            <rFont val="Tahoma"/>
            <family val="2"/>
          </rPr>
          <t xml:space="preserve">In the third quarter, the Company repurchased approximately 21 million shares of common stock at an
average price of $5.12 per share. The number of shares outstanding at the end of the third quarter was
approximately 390 million. Year-to-date through October 2, 2011, the Company has repurchased
approximately 30 million shares of common stock for $152 million at an average price of $5.09 per share.
</t>
        </r>
        <r>
          <rPr>
            <b/>
            <sz val="8"/>
            <color indexed="81"/>
            <rFont val="Tahoma"/>
            <family val="2"/>
          </rPr>
          <t xml:space="preserve">As of October 2, 2011, approximately $97 million remains authorized by the Board of Directors and is
available for the repurchase of additional common stock.
</t>
        </r>
        <r>
          <rPr>
            <sz val="8"/>
            <color indexed="81"/>
            <rFont val="Tahoma"/>
            <family val="2"/>
          </rPr>
          <t xml:space="preserve">
10.31.11
As of October 2, 2011, The Wendy's Company had approximately 390 million shares of common stock outstanding</t>
        </r>
      </text>
    </comment>
    <comment ref="AW135" authorId="0">
      <text>
        <r>
          <rPr>
            <b/>
            <sz val="8"/>
            <color indexed="81"/>
            <rFont val="Tahoma"/>
            <family val="2"/>
          </rPr>
          <t xml:space="preserve">Jon Tower:
Our Board authorization for the stock buyback program expired in December 2011. We intend to focus our capital
resources on strategic reinvestment initiatives going forward.
11.9.11
</t>
        </r>
        <r>
          <rPr>
            <sz val="8"/>
            <color indexed="81"/>
            <rFont val="Tahoma"/>
            <family val="2"/>
          </rPr>
          <t xml:space="preserve">In the third quarter, the Company repurchased approximately 21 million shares of common stock at an
average price of $5.12 per share. The number of shares outstanding at the end of the third quarter was
approximately 390 million. Year-to-date through October 2, 2011, the Company has repurchased
approximately 30 million shares of common stock for $152 million at an average price of $5.09 per share.
</t>
        </r>
        <r>
          <rPr>
            <b/>
            <sz val="8"/>
            <color indexed="81"/>
            <rFont val="Tahoma"/>
            <family val="2"/>
          </rPr>
          <t xml:space="preserve">As of October 2, 2011, approximately $97 million remains authorized by the Board of Directors and is
available for the repurchase of additional common stock.
</t>
        </r>
        <r>
          <rPr>
            <sz val="8"/>
            <color indexed="81"/>
            <rFont val="Tahoma"/>
            <family val="2"/>
          </rPr>
          <t xml:space="preserve">
10.31.11
As of October 2, 2011, The Wendy's Company had approximately 390 million shares of common stock outstanding</t>
        </r>
      </text>
    </comment>
    <comment ref="AX135" authorId="0">
      <text>
        <r>
          <rPr>
            <b/>
            <sz val="8"/>
            <color indexed="81"/>
            <rFont val="Tahoma"/>
            <family val="2"/>
          </rPr>
          <t xml:space="preserve">Jon Tower:
2.1.12: Our Board authorization for the stock buyback program expired in December 2011. We intend to focus our capital
resources on strategic reinvestment initiatives going forward.
11.9.11
</t>
        </r>
        <r>
          <rPr>
            <sz val="8"/>
            <color indexed="81"/>
            <rFont val="Tahoma"/>
            <family val="2"/>
          </rPr>
          <t xml:space="preserve">In the third quarter, the Company repurchased approximately 21 million shares of common stock at an
average price of $5.12 per share. The number of shares outstanding at the end of the third quarter was
approximately 390 million. Year-to-date through October 2, 2011, the Company has repurchased
approximately 30 million shares of common stock for $152 million at an average price of $5.09 per share.
</t>
        </r>
        <r>
          <rPr>
            <b/>
            <sz val="8"/>
            <color indexed="81"/>
            <rFont val="Tahoma"/>
            <family val="2"/>
          </rPr>
          <t xml:space="preserve">As of October 2, 2011, approximately $97 million remains authorized by the Board of Directors and is
available for the repurchase of additional common stock.
</t>
        </r>
        <r>
          <rPr>
            <sz val="8"/>
            <color indexed="81"/>
            <rFont val="Tahoma"/>
            <family val="2"/>
          </rPr>
          <t xml:space="preserve">
10.31.11
As of October 2, 2011, The Wendy's Company had approximately 390 million shares of common stock outstanding</t>
        </r>
      </text>
    </comment>
    <comment ref="AY135" authorId="0">
      <text>
        <r>
          <rPr>
            <b/>
            <sz val="8"/>
            <color indexed="81"/>
            <rFont val="Tahoma"/>
            <family val="2"/>
          </rPr>
          <t xml:space="preserve">Sushama Dasari:
1.16.13
</t>
        </r>
        <r>
          <rPr>
            <sz val="8"/>
            <color indexed="81"/>
            <rFont val="Tahoma"/>
            <family val="2"/>
          </rPr>
          <t>The company did not repurchase any shares during the fourth quarter</t>
        </r>
        <r>
          <rPr>
            <b/>
            <sz val="8"/>
            <color indexed="81"/>
            <rFont val="Tahoma"/>
            <family val="2"/>
          </rPr>
          <t xml:space="preserve">
11.8.12
</t>
        </r>
        <r>
          <rPr>
            <sz val="8"/>
            <color indexed="81"/>
            <rFont val="Tahoma"/>
            <family val="2"/>
          </rPr>
          <t>The Company also announced that its Board of Directors authorized a new share repurchase program for up to $100 million of the Company’s common stock through Dec. 29, 2013.</t>
        </r>
        <r>
          <rPr>
            <b/>
            <sz val="8"/>
            <color indexed="81"/>
            <rFont val="Tahoma"/>
            <family val="2"/>
          </rPr>
          <t xml:space="preserve">
1.20.12
</t>
        </r>
        <r>
          <rPr>
            <sz val="8"/>
            <color indexed="81"/>
            <rFont val="Tahoma"/>
            <family val="2"/>
          </rPr>
          <t>Our Board authorization for the stock buyback program expired in December 2011. We intend to focus our capital
resources on strategic reinvestment initiatives going forward.</t>
        </r>
        <r>
          <rPr>
            <b/>
            <sz val="8"/>
            <color indexed="81"/>
            <rFont val="Tahoma"/>
            <family val="2"/>
          </rPr>
          <t xml:space="preserve">
11.9.11
</t>
        </r>
        <r>
          <rPr>
            <sz val="8"/>
            <color indexed="81"/>
            <rFont val="Tahoma"/>
            <family val="2"/>
          </rPr>
          <t xml:space="preserve">In the third quarter, the Company repurchased approximately 21 million shares of common stock at an
average price of $5.12 per share. The number of shares outstanding at the end of the third quarter was
approximately 390 million. Year-to-date through October 2, 2011, the Company has repurchased
approximately 30 million shares of common stock for $152 million at an average price of $5.09 per share.
</t>
        </r>
        <r>
          <rPr>
            <b/>
            <sz val="8"/>
            <color indexed="81"/>
            <rFont val="Tahoma"/>
            <family val="2"/>
          </rPr>
          <t xml:space="preserve">As of October 2, 2011, approximately $97 million remains authorized by the Board of Directors and is
available for the repurchase of additional common stock.
</t>
        </r>
        <r>
          <rPr>
            <sz val="8"/>
            <color indexed="81"/>
            <rFont val="Tahoma"/>
            <family val="2"/>
          </rPr>
          <t xml:space="preserve">
10.31.11
As of October 2, 2011, The Wendy's Company had approximately 390 million shares of common stock outstanding</t>
        </r>
      </text>
    </comment>
    <comment ref="BE135" authorId="0">
      <text>
        <r>
          <rPr>
            <b/>
            <sz val="8"/>
            <color indexed="81"/>
            <rFont val="Tahoma"/>
            <family val="2"/>
          </rPr>
          <t xml:space="preserve">Sushama Dasari:
11.8.12
</t>
        </r>
        <r>
          <rPr>
            <sz val="8"/>
            <color indexed="81"/>
            <rFont val="Tahoma"/>
            <family val="2"/>
          </rPr>
          <t>The Company also announced that its Board of Directors authorized a new share repurchase program for up to $100 million of the Company’s common stock through Dec. 29, 2013.</t>
        </r>
        <r>
          <rPr>
            <b/>
            <sz val="8"/>
            <color indexed="81"/>
            <rFont val="Tahoma"/>
            <family val="2"/>
          </rPr>
          <t xml:space="preserve">
1.20.12
</t>
        </r>
        <r>
          <rPr>
            <sz val="8"/>
            <color indexed="81"/>
            <rFont val="Tahoma"/>
            <family val="2"/>
          </rPr>
          <t>Our Board authorization for the stock buyback program expired in December 2011. We intend to focus our capital
resources on strategic reinvestment initiatives going forward.</t>
        </r>
        <r>
          <rPr>
            <b/>
            <sz val="8"/>
            <color indexed="81"/>
            <rFont val="Tahoma"/>
            <family val="2"/>
          </rPr>
          <t xml:space="preserve">
11.9.11
</t>
        </r>
        <r>
          <rPr>
            <sz val="8"/>
            <color indexed="81"/>
            <rFont val="Tahoma"/>
            <family val="2"/>
          </rPr>
          <t xml:space="preserve">In the third quarter, the Company repurchased approximately 21 million shares of common stock at an
average price of $5.12 per share. The number of shares outstanding at the end of the third quarter was
approximately 390 million. Year-to-date through October 2, 2011, the Company has repurchased
approximately 30 million shares of common stock for $152 million at an average price of $5.09 per share.
</t>
        </r>
        <r>
          <rPr>
            <b/>
            <sz val="8"/>
            <color indexed="81"/>
            <rFont val="Tahoma"/>
            <family val="2"/>
          </rPr>
          <t xml:space="preserve">As of October 2, 2011, approximately $97 million remains authorized by the Board of Directors and is
available for the repurchase of additional common stock.
</t>
        </r>
        <r>
          <rPr>
            <sz val="8"/>
            <color indexed="81"/>
            <rFont val="Tahoma"/>
            <family val="2"/>
          </rPr>
          <t xml:space="preserve">
10.31.11
As of October 2, 2011, The Wendy's Company had approximately 390 million shares of common stock outstanding</t>
        </r>
      </text>
    </comment>
    <comment ref="BF135" authorId="7">
      <text>
        <r>
          <rPr>
            <b/>
            <sz val="8"/>
            <color indexed="81"/>
            <rFont val="Tahoma"/>
            <family val="2"/>
          </rPr>
          <t xml:space="preserve">2.12.14: 
prelimianry results from tender
</t>
        </r>
        <r>
          <rPr>
            <sz val="8"/>
            <color indexed="81"/>
            <rFont val="Tahoma"/>
            <family val="2"/>
          </rPr>
          <t>will acquire 29.7 M sahres at $9.25 for $275 M aggregate</t>
        </r>
        <r>
          <rPr>
            <b/>
            <sz val="8"/>
            <color indexed="81"/>
            <rFont val="Tahoma"/>
            <family val="2"/>
          </rPr>
          <t xml:space="preserve">
1.13.14:
</t>
        </r>
        <r>
          <rPr>
            <sz val="8"/>
            <color indexed="81"/>
            <rFont val="Tahoma"/>
            <family val="2"/>
          </rPr>
          <t xml:space="preserve">Durth Auction launched on 1.14.14 for the purchase of $275M of shares at a range of $8.50-$9.25/shr. Guidance includes further buybacks that offset dilution in '14. </t>
        </r>
        <r>
          <rPr>
            <sz val="8"/>
            <color indexed="81"/>
            <rFont val="Tahoma"/>
            <family val="2"/>
          </rPr>
          <t xml:space="preserve">
</t>
        </r>
      </text>
    </comment>
    <comment ref="BG135" authorId="7">
      <text>
        <r>
          <rPr>
            <b/>
            <sz val="8"/>
            <color indexed="81"/>
            <rFont val="Tahoma"/>
            <family val="2"/>
          </rPr>
          <t xml:space="preserve">2.27.14:
</t>
        </r>
        <r>
          <rPr>
            <sz val="8"/>
            <color indexed="81"/>
            <rFont val="Tahoma"/>
            <family val="2"/>
          </rPr>
          <t>Shr repurchase authorization completed. No more currently authorized as of 2.27.14 10K.</t>
        </r>
        <r>
          <rPr>
            <sz val="8"/>
            <color indexed="81"/>
            <rFont val="Tahoma"/>
            <family val="2"/>
          </rPr>
          <t xml:space="preserve">
</t>
        </r>
      </text>
    </comment>
    <comment ref="BI135" authorId="8">
      <text>
        <r>
          <rPr>
            <b/>
            <sz val="9"/>
            <color indexed="81"/>
            <rFont val="Tahoma"/>
            <family val="2"/>
          </rPr>
          <t xml:space="preserve">11.6.14:
$7.3M repurchases in October. </t>
        </r>
        <r>
          <rPr>
            <sz val="9"/>
            <color indexed="81"/>
            <rFont val="Tahoma"/>
            <family val="2"/>
          </rPr>
          <t xml:space="preserve">
</t>
        </r>
      </text>
    </comment>
    <comment ref="BJ135" authorId="7">
      <text>
        <r>
          <rPr>
            <b/>
            <sz val="8"/>
            <color indexed="81"/>
            <rFont val="Tahoma"/>
            <family val="2"/>
          </rPr>
          <t xml:space="preserve">8.7.14
</t>
        </r>
        <r>
          <rPr>
            <sz val="8"/>
            <color indexed="81"/>
            <rFont val="Tahoma"/>
            <family val="2"/>
          </rPr>
          <t xml:space="preserve">$100M authorized in Aug '14, through 2015. </t>
        </r>
        <r>
          <rPr>
            <b/>
            <sz val="8"/>
            <color indexed="81"/>
            <rFont val="Tahoma"/>
            <family val="2"/>
          </rPr>
          <t xml:space="preserve">
1.13.14:</t>
        </r>
        <r>
          <rPr>
            <sz val="8"/>
            <color indexed="81"/>
            <rFont val="Tahoma"/>
            <family val="2"/>
          </rPr>
          <t xml:space="preserve">
Durth Auction launched on 1.14.14 for the purchase of $275M of shares at a range of $8.50-$9.25/shr. Guidance includes further buybacks that offset dilution in '14.</t>
        </r>
        <r>
          <rPr>
            <sz val="8"/>
            <color indexed="81"/>
            <rFont val="Tahoma"/>
            <family val="2"/>
          </rPr>
          <t xml:space="preserve">
</t>
        </r>
      </text>
    </comment>
    <comment ref="BM135" authorId="3">
      <text>
        <r>
          <rPr>
            <b/>
            <sz val="9"/>
            <color indexed="81"/>
            <rFont val="Tahoma"/>
            <family val="2"/>
          </rPr>
          <t>Glass, John (Research):</t>
        </r>
        <r>
          <rPr>
            <sz val="9"/>
            <color indexed="81"/>
            <rFont val="Tahoma"/>
            <family val="2"/>
          </rPr>
          <t xml:space="preserve">
$850 m tender offer ($639 M + $211 for Trian; 850 completed 1st week in July, 165 M ASR likely completed at end of q (and will not have huge impact on shares)
</t>
        </r>
      </text>
    </comment>
    <comment ref="BN135" authorId="3">
      <text>
        <r>
          <rPr>
            <b/>
            <sz val="9"/>
            <color indexed="81"/>
            <rFont val="Tahoma"/>
            <family val="2"/>
          </rPr>
          <t>Glass, John (Research):</t>
        </r>
        <r>
          <rPr>
            <sz val="9"/>
            <color indexed="81"/>
            <rFont val="Tahoma"/>
            <family val="2"/>
          </rPr>
          <t xml:space="preserve">
assumes balance of buyback ($550 M) completed ratably over next five Qs endingin FY16</t>
        </r>
      </text>
    </comment>
    <comment ref="BS135" authorId="1">
      <text>
        <r>
          <rPr>
            <b/>
            <sz val="9"/>
            <color indexed="81"/>
            <rFont val="Tahoma"/>
            <family val="2"/>
          </rPr>
          <t>O'Brien, Courtney (Research):</t>
        </r>
        <r>
          <rPr>
            <sz val="9"/>
            <color indexed="81"/>
            <rFont val="Tahoma"/>
            <family val="2"/>
          </rPr>
          <t xml:space="preserve">
11.9.16
ASR of $150M</t>
        </r>
      </text>
    </comment>
    <comment ref="BT135" authorId="3">
      <text>
        <r>
          <rPr>
            <b/>
            <sz val="9"/>
            <color indexed="81"/>
            <rFont val="Tahoma"/>
            <family val="2"/>
          </rPr>
          <t xml:space="preserve">5.16: $308m left on authorization
8.5.15
remaining 400M by end of 2016
</t>
        </r>
        <r>
          <rPr>
            <sz val="9"/>
            <color indexed="81"/>
            <rFont val="Tahoma"/>
            <family val="2"/>
          </rPr>
          <t xml:space="preserve">
6.3.15:
assumes remaining $550 M in buyback happens ratably over next five Qs</t>
        </r>
      </text>
    </comment>
    <comment ref="BF136" authorId="4">
      <text>
        <r>
          <rPr>
            <b/>
            <sz val="8"/>
            <color indexed="81"/>
            <rFont val="Tahoma"/>
            <family val="2"/>
          </rPr>
          <t>John Glass:</t>
        </r>
        <r>
          <rPr>
            <sz val="8"/>
            <color indexed="81"/>
            <rFont val="Tahoma"/>
            <family val="2"/>
          </rPr>
          <t xml:space="preserve">
1.13: tender offer $8.50 to $9.25 per sahre</t>
        </r>
      </text>
    </comment>
    <comment ref="BM136" authorId="3">
      <text>
        <r>
          <rPr>
            <b/>
            <sz val="9"/>
            <color indexed="81"/>
            <rFont val="Tahoma"/>
            <family val="2"/>
          </rPr>
          <t xml:space="preserve">Glass, John (Research):
tender completed at $11.45
</t>
        </r>
        <r>
          <rPr>
            <sz val="9"/>
            <color indexed="81"/>
            <rFont val="Tahoma"/>
            <family val="2"/>
          </rPr>
          <t xml:space="preserve">
assumes highest rpcie of $11.05 to $12.25 range</t>
        </r>
      </text>
    </comment>
    <comment ref="AV139" authorId="7">
      <text>
        <r>
          <rPr>
            <b/>
            <sz val="8"/>
            <color indexed="81"/>
            <rFont val="Tahoma"/>
            <family val="2"/>
          </rPr>
          <t>Jake Bartlett:</t>
        </r>
        <r>
          <rPr>
            <sz val="8"/>
            <color indexed="81"/>
            <rFont val="Tahoma"/>
            <family val="2"/>
          </rPr>
          <t xml:space="preserve">
As of filing date 5/1/12</t>
        </r>
      </text>
    </comment>
    <comment ref="AW139" authorId="7">
      <text>
        <r>
          <rPr>
            <b/>
            <sz val="8"/>
            <color indexed="81"/>
            <rFont val="Tahoma"/>
            <family val="2"/>
          </rPr>
          <t>Jake Bartlett:</t>
        </r>
        <r>
          <rPr>
            <sz val="8"/>
            <color indexed="81"/>
            <rFont val="Tahoma"/>
            <family val="2"/>
          </rPr>
          <t xml:space="preserve">
As of filing date 8/1/12</t>
        </r>
      </text>
    </comment>
    <comment ref="BF139" authorId="7">
      <text>
        <r>
          <rPr>
            <b/>
            <sz val="8"/>
            <color indexed="81"/>
            <rFont val="Tahoma"/>
            <family val="2"/>
          </rPr>
          <t xml:space="preserve">10K:
</t>
        </r>
        <r>
          <rPr>
            <sz val="8"/>
            <color indexed="81"/>
            <rFont val="Tahoma"/>
            <family val="2"/>
          </rPr>
          <t>366,161,754 shares as of 2/21/14</t>
        </r>
        <r>
          <rPr>
            <sz val="8"/>
            <color indexed="81"/>
            <rFont val="Tahoma"/>
            <family val="2"/>
          </rPr>
          <t xml:space="preserve">
</t>
        </r>
      </text>
    </comment>
    <comment ref="BU141" authorId="1">
      <text>
        <r>
          <rPr>
            <b/>
            <sz val="9"/>
            <color indexed="81"/>
            <rFont val="Tahoma"/>
            <family val="2"/>
          </rPr>
          <t>O'Brien, Courtney (Research):
5.10.17</t>
        </r>
        <r>
          <rPr>
            <sz val="9"/>
            <color indexed="81"/>
            <rFont val="Tahoma"/>
            <family val="2"/>
          </rPr>
          <t xml:space="preserve">
higher dilution due to higher stock price</t>
        </r>
      </text>
    </comment>
    <comment ref="AN142" authorId="0">
      <text>
        <r>
          <rPr>
            <b/>
            <sz val="8"/>
            <color indexed="81"/>
            <rFont val="Tahoma"/>
            <family val="2"/>
          </rPr>
          <t>Jon Tower:</t>
        </r>
        <r>
          <rPr>
            <sz val="8"/>
            <color indexed="81"/>
            <rFont val="Tahoma"/>
            <family val="2"/>
          </rPr>
          <t xml:space="preserve">
8.12.10
Since the Board of Directors authorized a stock repurchase program in 2009, the Company has repurchased approximately 52 million shares of common stock for $245 million as of August 6, 2010, at an average price of $4.69 per share. At the close of business on August 6, 2010, the Company had approximately 418 million shares of common stock outstanding. The Company has approximately $80 million authorized and available for additional common stock repurchases as of August 6, 2010. The current common stock repurchase program will remain in effect through January 2, 2011, and will allow the Company to make repurchases as market conditions warrant
5.13.10
the Company has repurchased approximately 40 million common stock shares for $190.2 million as of May 7, 2010, at an average price of $4.76 per share. At the close of business on May 7, 2010, the Company had approximately 430 million shares of common stock outstanding.
The Company has a total of $250 million authorized for common stock repurchases, of which $59.8 million remains available as of May 7, 2010. The current common stock repurchase program will remain in effect through January 2, 2011, and will allow the Company to make repurchases as market conditions warrant 
</t>
        </r>
      </text>
    </comment>
    <comment ref="BJ149" authorId="7">
      <text>
        <r>
          <rPr>
            <b/>
            <sz val="8"/>
            <color indexed="81"/>
            <rFont val="Tahoma"/>
            <family val="2"/>
          </rPr>
          <t xml:space="preserve">11.6.14:
</t>
        </r>
        <r>
          <rPr>
            <sz val="8"/>
            <color indexed="81"/>
            <rFont val="Tahoma"/>
            <family val="2"/>
          </rPr>
          <t>Lowered to $30M target</t>
        </r>
        <r>
          <rPr>
            <b/>
            <sz val="8"/>
            <color indexed="81"/>
            <rFont val="Tahoma"/>
            <family val="2"/>
          </rPr>
          <t xml:space="preserve">
5.8.14:
</t>
        </r>
        <r>
          <rPr>
            <sz val="8"/>
            <color indexed="81"/>
            <rFont val="Tahoma"/>
            <family val="2"/>
          </rPr>
          <t>$40M target reiterated</t>
        </r>
        <r>
          <rPr>
            <sz val="8"/>
            <color indexed="81"/>
            <rFont val="Tahoma"/>
            <family val="2"/>
          </rPr>
          <t xml:space="preserve">
</t>
        </r>
      </text>
    </comment>
    <comment ref="BO149" authorId="8">
      <text>
        <r>
          <rPr>
            <b/>
            <sz val="9"/>
            <color indexed="81"/>
            <rFont val="Tahoma"/>
            <family val="2"/>
          </rPr>
          <t>2.6.15</t>
        </r>
        <r>
          <rPr>
            <sz val="9"/>
            <color indexed="81"/>
            <rFont val="Tahoma"/>
            <family val="2"/>
          </rPr>
          <t xml:space="preserve">
$20M in accelerated</t>
        </r>
      </text>
    </comment>
    <comment ref="BJ150" authorId="9">
      <text>
        <r>
          <rPr>
            <b/>
            <sz val="8"/>
            <color indexed="81"/>
            <rFont val="Tahoma"/>
            <family val="2"/>
          </rPr>
          <t xml:space="preserve">8.7.14:
</t>
        </r>
        <r>
          <rPr>
            <sz val="8"/>
            <color indexed="81"/>
            <rFont val="Tahoma"/>
            <family val="2"/>
          </rPr>
          <t>Reiterated</t>
        </r>
        <r>
          <rPr>
            <b/>
            <sz val="8"/>
            <color indexed="81"/>
            <rFont val="Tahoma"/>
            <family val="2"/>
          </rPr>
          <t xml:space="preserve">
5.8.14:
</t>
        </r>
        <r>
          <rPr>
            <sz val="8"/>
            <color indexed="81"/>
            <rFont val="Tahoma"/>
            <family val="2"/>
          </rPr>
          <t>Reiterated</t>
        </r>
        <r>
          <rPr>
            <b/>
            <sz val="8"/>
            <color indexed="81"/>
            <rFont val="Tahoma"/>
            <family val="2"/>
          </rPr>
          <t xml:space="preserve">
2.27.14:</t>
        </r>
        <r>
          <rPr>
            <sz val="8"/>
            <color indexed="81"/>
            <rFont val="Tahoma"/>
            <family val="2"/>
          </rPr>
          <t xml:space="preserve">
Reiterated</t>
        </r>
        <r>
          <rPr>
            <b/>
            <sz val="8"/>
            <color indexed="81"/>
            <rFont val="Tahoma"/>
            <family val="2"/>
          </rPr>
          <t xml:space="preserve">
1.13.14:
</t>
        </r>
        <r>
          <rPr>
            <sz val="8"/>
            <color indexed="81"/>
            <rFont val="Tahoma"/>
            <family val="2"/>
          </rPr>
          <t>Guidance for total D&amp;A to decrease 10% vs. '13 (= $164.2M), including $40M of accelerated D&amp;A in '14 and a similar amount in '13.</t>
        </r>
        <r>
          <rPr>
            <b/>
            <sz val="8"/>
            <color indexed="81"/>
            <rFont val="Tahoma"/>
            <family val="2"/>
          </rPr>
          <t xml:space="preserve">
7.23.13
</t>
        </r>
        <r>
          <rPr>
            <sz val="8"/>
            <color indexed="81"/>
            <rFont val="Tahoma"/>
            <family val="2"/>
          </rPr>
          <t xml:space="preserve">D&amp;A lower by $30 run rate by end of 14 due to refranchsing
</t>
        </r>
        <r>
          <rPr>
            <b/>
            <sz val="8"/>
            <color indexed="81"/>
            <rFont val="Tahoma"/>
            <family val="2"/>
          </rPr>
          <t xml:space="preserve">
2.22.13
</t>
        </r>
        <r>
          <rPr>
            <sz val="8"/>
            <color indexed="81"/>
            <rFont val="Tahoma"/>
            <family val="2"/>
          </rPr>
          <t>Assume base D&amp;A of $150M + $30-40M accelerated depreciation (1.5x the $20-30M in FY13 since # remodels double from 64 to 125 but fewer Tier 1s)</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BO150" authorId="9">
      <text>
        <r>
          <rPr>
            <b/>
            <sz val="8"/>
            <color indexed="81"/>
            <rFont val="Tahoma"/>
            <family val="2"/>
          </rPr>
          <t xml:space="preserve">2.3.15
</t>
        </r>
        <r>
          <rPr>
            <sz val="8"/>
            <color indexed="81"/>
            <rFont val="Tahoma"/>
            <family val="2"/>
          </rPr>
          <t>Up 3-5% Y/Y, including $20M in accelerated depreciation. Implies $164-167M.</t>
        </r>
        <r>
          <rPr>
            <b/>
            <sz val="8"/>
            <color indexed="81"/>
            <rFont val="Tahoma"/>
            <family val="2"/>
          </rPr>
          <t xml:space="preserve">
2.22.13
</t>
        </r>
        <r>
          <rPr>
            <sz val="8"/>
            <color indexed="81"/>
            <rFont val="Tahoma"/>
            <family val="2"/>
          </rPr>
          <t>Assume base D&amp;A of $150M + ~$50M accelerated depreciation   (# remodels are 225 vs. 64 in 2013 but fewer of them are Tier 1)</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BT150" authorId="9">
      <text>
        <r>
          <rPr>
            <b/>
            <sz val="8"/>
            <color indexed="81"/>
            <rFont val="Tahoma"/>
            <family val="2"/>
          </rPr>
          <t xml:space="preserve">
6.15: </t>
        </r>
        <r>
          <rPr>
            <sz val="8"/>
            <color indexed="81"/>
            <rFont val="Tahoma"/>
            <family val="2"/>
          </rPr>
          <t>depreciation hits $110-$115 M by 16/17</t>
        </r>
        <r>
          <rPr>
            <b/>
            <sz val="8"/>
            <color indexed="81"/>
            <rFont val="Tahoma"/>
            <family val="2"/>
          </rPr>
          <t xml:space="preserve">
2.22.13
</t>
        </r>
        <r>
          <rPr>
            <sz val="8"/>
            <color indexed="81"/>
            <rFont val="Tahoma"/>
            <family val="2"/>
          </rPr>
          <t>Assume base D&amp;A of $150M + ~$50M accelerated depreciation   (similar to FY15)</t>
        </r>
        <r>
          <rPr>
            <b/>
            <sz val="8"/>
            <color indexed="81"/>
            <rFont val="Tahoma"/>
            <family val="2"/>
          </rPr>
          <t xml:space="preserve">
</t>
        </r>
        <r>
          <rPr>
            <sz val="8"/>
            <color indexed="81"/>
            <rFont val="Tahoma"/>
            <family val="2"/>
          </rPr>
          <t>The company excludes accelerated depreciation from operating EPS but other companies (JACK, MCD) do not</t>
        </r>
      </text>
    </comment>
    <comment ref="BB152"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C152"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D152"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F152"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G152"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H152"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I152"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K152"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L152"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Q152" authorId="1">
      <text>
        <r>
          <rPr>
            <b/>
            <sz val="9"/>
            <color indexed="81"/>
            <rFont val="Tahoma"/>
            <family val="2"/>
          </rPr>
          <t>8.101.6</t>
        </r>
        <r>
          <rPr>
            <sz val="9"/>
            <color indexed="81"/>
            <rFont val="Tahoma"/>
            <family val="2"/>
          </rPr>
          <t xml:space="preserve">
NO REFRANCHISING IN 2Q</t>
        </r>
      </text>
    </comment>
    <comment ref="BU160" authorId="1">
      <text>
        <r>
          <rPr>
            <b/>
            <sz val="9"/>
            <color indexed="81"/>
            <rFont val="Tahoma"/>
            <family val="2"/>
          </rPr>
          <t>O'Brien, Courtney (Research):</t>
        </r>
        <r>
          <rPr>
            <sz val="9"/>
            <color indexed="81"/>
            <rFont val="Tahoma"/>
            <family val="2"/>
          </rPr>
          <t xml:space="preserve">
5.10.17
The change in other operating expense (income), net during the first quarter of 2017 was primarily due to a gain recognized on a lease buyout during the first quarter of 2016. In addition, the first quarter of 2017 includes costs incurred to provide information technology, customer care and help desk support services to our franchisees, as well as costs related to facilitating franchisee-to-franchisee restaurant transfers</t>
        </r>
      </text>
    </comment>
    <comment ref="BV160" authorId="1">
      <text>
        <r>
          <rPr>
            <b/>
            <sz val="9"/>
            <color indexed="81"/>
            <rFont val="Tahoma"/>
            <family val="2"/>
          </rPr>
          <t>O'Brien, Courtney (Research):</t>
        </r>
        <r>
          <rPr>
            <sz val="9"/>
            <color indexed="81"/>
            <rFont val="Tahoma"/>
            <family val="2"/>
          </rPr>
          <t xml:space="preserve">
5.10.17
B+F support = 50% ; so 40k TAF *50% * 120 per q = ~2.4M per q</t>
        </r>
      </text>
    </comment>
    <comment ref="BW160" authorId="1">
      <text>
        <r>
          <rPr>
            <b/>
            <sz val="9"/>
            <color indexed="81"/>
            <rFont val="Tahoma"/>
            <family val="2"/>
          </rPr>
          <t>O'Brien, Courtney (Research):</t>
        </r>
        <r>
          <rPr>
            <sz val="9"/>
            <color indexed="81"/>
            <rFont val="Tahoma"/>
            <family val="2"/>
          </rPr>
          <t xml:space="preserve">
5.10.17
B+F support = 50% ; so 40k TAF *50% * 120 per q = ~2.4M per q</t>
        </r>
      </text>
    </comment>
    <comment ref="BX160" authorId="1">
      <text>
        <r>
          <rPr>
            <b/>
            <sz val="9"/>
            <color indexed="81"/>
            <rFont val="Tahoma"/>
            <family val="2"/>
          </rPr>
          <t>O'Brien, Courtney (Research):</t>
        </r>
        <r>
          <rPr>
            <sz val="9"/>
            <color indexed="81"/>
            <rFont val="Tahoma"/>
            <family val="2"/>
          </rPr>
          <t xml:space="preserve">
5.10.17
B+F support = 50% ; so 40k TAF *50% * 120 per q = ~2.4M per q</t>
        </r>
      </text>
    </comment>
    <comment ref="BY160" authorId="1">
      <text>
        <r>
          <rPr>
            <b/>
            <sz val="9"/>
            <color indexed="81"/>
            <rFont val="Tahoma"/>
            <family val="2"/>
          </rPr>
          <t>O'Brien, Courtney (Research):</t>
        </r>
        <r>
          <rPr>
            <sz val="9"/>
            <color indexed="81"/>
            <rFont val="Tahoma"/>
            <family val="2"/>
          </rPr>
          <t xml:space="preserve">
5.10.17
B+F support = 50% ; so 40k TAF *50% * 120 per q = ~2.4M per q</t>
        </r>
      </text>
    </comment>
    <comment ref="BZ160" authorId="1">
      <text>
        <r>
          <rPr>
            <sz val="9"/>
            <color indexed="81"/>
            <rFont val="Tahoma"/>
            <family val="2"/>
          </rPr>
          <t xml:space="preserve">
5.10.17
B+F support = 50% ; so 40k TAF *50% * 50 per q in '18= ~1M per q</t>
        </r>
      </text>
    </comment>
    <comment ref="CA160" authorId="1">
      <text>
        <r>
          <rPr>
            <sz val="9"/>
            <color indexed="81"/>
            <rFont val="Tahoma"/>
            <family val="2"/>
          </rPr>
          <t xml:space="preserve">
5.10.17
B+F support = 50% ; so 40k TAF *50% * 50 per q in '18= ~1M per q</t>
        </r>
      </text>
    </comment>
    <comment ref="CB160" authorId="1">
      <text>
        <r>
          <rPr>
            <sz val="9"/>
            <color indexed="81"/>
            <rFont val="Tahoma"/>
            <family val="2"/>
          </rPr>
          <t xml:space="preserve">
5.10.17
B+F support = 50% ; so 40k TAF *50% * 50 per q in '18= ~1M per q</t>
        </r>
      </text>
    </comment>
    <comment ref="CC160" authorId="1">
      <text>
        <r>
          <rPr>
            <sz val="9"/>
            <color indexed="81"/>
            <rFont val="Tahoma"/>
            <family val="2"/>
          </rPr>
          <t xml:space="preserve">
5.10.17
B+F support = 50% ; so 40k TAF *50% * 50 per q in '18= ~1M per q</t>
        </r>
      </text>
    </comment>
    <comment ref="BY166" authorId="1">
      <text>
        <r>
          <rPr>
            <b/>
            <sz val="9"/>
            <color indexed="81"/>
            <rFont val="Tahoma"/>
            <family val="2"/>
          </rPr>
          <t xml:space="preserve">11.8.2017
</t>
        </r>
        <r>
          <rPr>
            <sz val="9"/>
            <color indexed="81"/>
            <rFont val="Tahoma"/>
            <family val="2"/>
          </rPr>
          <t xml:space="preserve">Net franchise rental income of approximately $100 to $105 million (gross rental income of approximately $190 to $195 million). 
</t>
        </r>
        <r>
          <rPr>
            <b/>
            <sz val="9"/>
            <color indexed="81"/>
            <rFont val="Tahoma"/>
            <family val="2"/>
          </rPr>
          <t xml:space="preserve">
5.10.12
add'l 75 B+f should push higher
2.16.17 mgmt now assumes 95M net rental income due to buy &amp; flips, implies 175M rental revenue</t>
        </r>
        <r>
          <rPr>
            <sz val="9"/>
            <color indexed="81"/>
            <rFont val="Tahoma"/>
            <family val="2"/>
          </rPr>
          <t xml:space="preserve">
</t>
        </r>
        <r>
          <rPr>
            <b/>
            <sz val="9"/>
            <color indexed="81"/>
            <rFont val="Tahoma"/>
            <family val="2"/>
          </rPr>
          <t xml:space="preserve">8.10.16
</t>
        </r>
        <r>
          <rPr>
            <sz val="9"/>
            <color indexed="81"/>
            <rFont val="Tahoma"/>
            <family val="2"/>
          </rPr>
          <t>170M gross</t>
        </r>
      </text>
    </comment>
    <comment ref="BU167" authorId="1">
      <text>
        <r>
          <rPr>
            <b/>
            <sz val="9"/>
            <color indexed="81"/>
            <rFont val="Tahoma"/>
            <family val="2"/>
          </rPr>
          <t>O'Brien, Courtney (Research):</t>
        </r>
        <r>
          <rPr>
            <sz val="9"/>
            <color indexed="81"/>
            <rFont val="Tahoma"/>
            <family val="2"/>
          </rPr>
          <t xml:space="preserve">
5.10.17
The increase in franchise rental expense during the first quarter of 2017 was primarily due to subleasing properties to franchisees that were previously Company-operated restaurants and as such, had been previously recorded in cost of sales. Rental expense also increased as a result of entering into new leases in connection with facilitating franchisee-to-franchisee restaurant transfers for purposes of subleasing such properties to the franchisee. 
</t>
        </r>
      </text>
    </comment>
    <comment ref="BY167" authorId="1">
      <text>
        <r>
          <rPr>
            <b/>
            <sz val="9"/>
            <color indexed="81"/>
            <rFont val="Tahoma"/>
            <family val="2"/>
          </rPr>
          <t>5.11.17
75 add'l b+f should push higher</t>
        </r>
        <r>
          <rPr>
            <sz val="9"/>
            <color indexed="81"/>
            <rFont val="Tahoma"/>
            <family val="2"/>
          </rPr>
          <t xml:space="preserve">
8.10.16
~80M net</t>
        </r>
      </text>
    </comment>
    <comment ref="BY169" authorId="2">
      <text>
        <r>
          <rPr>
            <b/>
            <sz val="9"/>
            <color indexed="81"/>
            <rFont val="Tahoma"/>
            <family val="2"/>
          </rPr>
          <t>Carril, Christopher E (Research):</t>
        </r>
        <r>
          <rPr>
            <sz val="9"/>
            <color indexed="81"/>
            <rFont val="Tahoma"/>
            <family val="2"/>
          </rPr>
          <t xml:space="preserve">
</t>
        </r>
        <r>
          <rPr>
            <b/>
            <sz val="9"/>
            <color indexed="81"/>
            <rFont val="Tahoma"/>
            <family val="2"/>
          </rPr>
          <t xml:space="preserve">11.8.2017
</t>
        </r>
        <r>
          <rPr>
            <sz val="9"/>
            <color indexed="81"/>
            <rFont val="Tahoma"/>
            <family val="2"/>
          </rPr>
          <t>Net franchise rental income of approximately</t>
        </r>
        <r>
          <rPr>
            <b/>
            <sz val="9"/>
            <color indexed="81"/>
            <rFont val="Tahoma"/>
            <family val="2"/>
          </rPr>
          <t xml:space="preserve"> $100 to $105 million</t>
        </r>
        <r>
          <rPr>
            <sz val="9"/>
            <color indexed="81"/>
            <rFont val="Tahoma"/>
            <family val="2"/>
          </rPr>
          <t xml:space="preserve"> (gross rental income of approximately $190 to $195 million). </t>
        </r>
      </text>
    </comment>
    <comment ref="BU172" authorId="3">
      <text>
        <r>
          <rPr>
            <b/>
            <sz val="9"/>
            <color indexed="81"/>
            <rFont val="Tahoma"/>
            <family val="2"/>
          </rPr>
          <t>Glass, John (Research):</t>
        </r>
        <r>
          <rPr>
            <sz val="9"/>
            <color indexed="81"/>
            <rFont val="Tahoma"/>
            <family val="2"/>
          </rPr>
          <t xml:space="preserve">
lapping $3.7 m in lega/professional fees</t>
        </r>
      </text>
    </comment>
    <comment ref="BY172" authorId="3">
      <text>
        <r>
          <rPr>
            <b/>
            <sz val="9"/>
            <color indexed="81"/>
            <rFont val="Tahoma"/>
            <family val="2"/>
          </rPr>
          <t>Glass, John (Research):</t>
        </r>
        <r>
          <rPr>
            <sz val="9"/>
            <color indexed="81"/>
            <rFont val="Tahoma"/>
            <family val="2"/>
          </rPr>
          <t xml:space="preserve">
GA&amp; hits run rate of 230 in 2H15, bu then beings to inflate at 2-3% rate so never hits $230 on a full yr basis</t>
        </r>
      </text>
    </comment>
    <comment ref="BN173" authorId="8">
      <text>
        <r>
          <rPr>
            <b/>
            <sz val="9"/>
            <color indexed="81"/>
            <rFont val="Tahoma"/>
            <family val="2"/>
          </rPr>
          <t>11.6.14:</t>
        </r>
        <r>
          <rPr>
            <sz val="9"/>
            <color indexed="81"/>
            <rFont val="Tahoma"/>
            <family val="2"/>
          </rPr>
          <t xml:space="preserve">
Higher due to xtra opwk</t>
        </r>
      </text>
    </comment>
    <comment ref="BJ174" authorId="3">
      <text>
        <r>
          <rPr>
            <b/>
            <sz val="9"/>
            <color indexed="81"/>
            <rFont val="Tahoma"/>
            <family val="2"/>
          </rPr>
          <t>Glass, John (Research):</t>
        </r>
        <r>
          <rPr>
            <sz val="9"/>
            <color indexed="81"/>
            <rFont val="Tahoma"/>
            <family val="2"/>
          </rPr>
          <t xml:space="preserve">
Stock base comp increase = $11 M 14 vs 13</t>
        </r>
      </text>
    </comment>
    <comment ref="BJ175" authorId="4">
      <text>
        <r>
          <rPr>
            <b/>
            <sz val="8"/>
            <color indexed="81"/>
            <rFont val="Tahoma"/>
            <family val="2"/>
          </rPr>
          <t xml:space="preserve">11.6.14:
</t>
        </r>
        <r>
          <rPr>
            <sz val="8"/>
            <color indexed="81"/>
            <rFont val="Tahoma"/>
            <family val="2"/>
          </rPr>
          <t>$5-6M of $8M is in G&amp;A</t>
        </r>
        <r>
          <rPr>
            <b/>
            <sz val="8"/>
            <color indexed="81"/>
            <rFont val="Tahoma"/>
            <family val="2"/>
          </rPr>
          <t xml:space="preserve">
5.8.14:</t>
        </r>
        <r>
          <rPr>
            <sz val="8"/>
            <color indexed="81"/>
            <rFont val="Tahoma"/>
            <family val="2"/>
          </rPr>
          <t xml:space="preserve">
of the $8M in franchise incentives, $3M in cash and $2M in construction support (both hit G&amp;A). $3M will be in royalty relief which does not hit G&amp;A.</t>
        </r>
        <r>
          <rPr>
            <b/>
            <sz val="8"/>
            <color indexed="81"/>
            <rFont val="Tahoma"/>
            <family val="2"/>
          </rPr>
          <t xml:space="preserve">
2.27.14:
</t>
        </r>
        <r>
          <rPr>
            <sz val="8"/>
            <color indexed="81"/>
            <rFont val="Tahoma"/>
            <family val="2"/>
          </rPr>
          <t xml:space="preserve">$4.5M of incentive payment expected to be cash. </t>
        </r>
        <r>
          <rPr>
            <b/>
            <sz val="8"/>
            <color indexed="81"/>
            <rFont val="Tahoma"/>
            <family val="2"/>
          </rPr>
          <t xml:space="preserve">
1.21.14: </t>
        </r>
        <r>
          <rPr>
            <sz val="8"/>
            <color indexed="81"/>
            <rFont val="Tahoma"/>
            <family val="2"/>
          </rPr>
          <t>conversation with Dave P. Roughly 2/3 of $8M incentive is cash incentive and franchise support (in G&amp;A). Roughly 50% of the $30M in G&amp;A savings from infranchising . We estimate ~$5M was realized in '13. Rest in '14. 
G&amp;A base (ex franchise incentive is $284M. Our estimate grows 3% from there, plus $6M franchisin incentive fee, less $25M remaining G&amp;A savings from reimaging = ~$273.5M</t>
        </r>
        <r>
          <rPr>
            <b/>
            <sz val="8"/>
            <color indexed="81"/>
            <rFont val="Tahoma"/>
            <family val="2"/>
          </rPr>
          <t xml:space="preserve">
1.13.14:
</t>
        </r>
        <r>
          <rPr>
            <sz val="8"/>
            <color indexed="81"/>
            <rFont val="Tahoma"/>
            <family val="2"/>
          </rPr>
          <t xml:space="preserve">Expected to include $8M (less an unspecified amount of royalty relief with hits franchise revenue) of IA incentive expenses.
</t>
        </r>
        <r>
          <rPr>
            <sz val="8"/>
            <color indexed="81"/>
            <rFont val="Tahoma"/>
            <family val="2"/>
          </rPr>
          <t xml:space="preserve">
7.13: goal is to reduce to $30 M below 12 levels (or ~$258 M)</t>
        </r>
      </text>
    </comment>
    <comment ref="BJ177" authorId="3">
      <text>
        <r>
          <rPr>
            <b/>
            <sz val="9"/>
            <color indexed="81"/>
            <rFont val="Tahoma"/>
            <family val="2"/>
          </rPr>
          <t>Glass, John (Research):</t>
        </r>
        <r>
          <rPr>
            <sz val="9"/>
            <color indexed="81"/>
            <rFont val="Tahoma"/>
            <family val="2"/>
          </rPr>
          <t xml:space="preserve">
8.14: G&amp;A target is $275 m</t>
        </r>
      </text>
    </comment>
    <comment ref="BT177" authorId="8">
      <text>
        <r>
          <rPr>
            <b/>
            <sz val="9"/>
            <color indexed="81"/>
            <rFont val="Tahoma"/>
            <family val="2"/>
          </rPr>
          <t>2.3.15:</t>
        </r>
        <r>
          <rPr>
            <sz val="9"/>
            <color indexed="81"/>
            <rFont val="Tahoma"/>
            <family val="2"/>
          </rPr>
          <t xml:space="preserve">
G&amp;A of $230M once refranchising (5% mix is achieved (expected in 2Q16</t>
        </r>
      </text>
    </comment>
    <comment ref="BY177" authorId="3">
      <text>
        <r>
          <rPr>
            <b/>
            <sz val="9"/>
            <color indexed="81"/>
            <rFont val="Tahoma"/>
            <family val="2"/>
          </rPr>
          <t xml:space="preserve">2.16.17
210-220m
</t>
        </r>
        <r>
          <rPr>
            <sz val="9"/>
            <color indexed="81"/>
            <rFont val="Tahoma"/>
            <family val="2"/>
          </rPr>
          <t xml:space="preserve">
5.16: gaol is to reduce G&amp;A to apporximately $230 m in 17.</t>
        </r>
      </text>
    </comment>
    <comment ref="BB179"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C179"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D179"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F179"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G179"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H179"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I179"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K179"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BL179" authorId="7">
      <text>
        <r>
          <rPr>
            <b/>
            <sz val="8"/>
            <color indexed="81"/>
            <rFont val="Tahoma"/>
            <family val="2"/>
          </rPr>
          <t>Jake Bartlett:</t>
        </r>
        <r>
          <rPr>
            <sz val="8"/>
            <color indexed="81"/>
            <rFont val="Tahoma"/>
            <family val="2"/>
          </rPr>
          <t xml:space="preserve">
Estimated based on $30M in annualized savings from the franchising program</t>
        </r>
      </text>
    </comment>
    <comment ref="A185" authorId="12">
      <text>
        <r>
          <rPr>
            <sz val="8"/>
            <color indexed="81"/>
            <rFont val="Tahoma"/>
            <family val="2"/>
          </rPr>
          <t>Effective tax rate tagged  as statutory tax rate.  This rate is our ongoing assumption of the effective tax rate, not necessarily what is stated in 10-K.</t>
        </r>
      </text>
    </comment>
    <comment ref="BE192"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 xml:space="preserve">Annual cash interest is ~$72-73M </t>
        </r>
      </text>
    </comment>
    <comment ref="AH193" authorId="0">
      <text>
        <r>
          <rPr>
            <b/>
            <sz val="8"/>
            <color indexed="81"/>
            <rFont val="Tahoma"/>
            <family val="2"/>
          </rPr>
          <t>Jon Tower:</t>
        </r>
        <r>
          <rPr>
            <sz val="8"/>
            <color indexed="81"/>
            <rFont val="Tahoma"/>
            <family val="2"/>
          </rPr>
          <t xml:space="preserve">
calc on LTDebt tab</t>
        </r>
      </text>
    </comment>
    <comment ref="AX193"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During the third quarter, we completed the refinancing of our bank debt and high-yield notes with a new senior credit facility. As a result, we expect
interest expense savings of approximately $25 million on an annualized basis.
Term loan: 4.75%
(+ amortization)</t>
        </r>
      </text>
    </comment>
    <comment ref="BB193" authorId="4">
      <text>
        <r>
          <rPr>
            <b/>
            <sz val="8"/>
            <color indexed="81"/>
            <rFont val="Tahoma"/>
            <family val="2"/>
          </rPr>
          <t>John Glass:</t>
        </r>
        <r>
          <rPr>
            <sz val="8"/>
            <color indexed="81"/>
            <rFont val="Tahoma"/>
            <family val="2"/>
          </rPr>
          <t xml:space="preserve">
4.13: refnanining lowers blended rate by 175 bp</t>
        </r>
      </text>
    </comment>
    <comment ref="AG200" authorId="0">
      <text>
        <r>
          <rPr>
            <b/>
            <sz val="8"/>
            <color indexed="81"/>
            <rFont val="Tahoma"/>
            <family val="2"/>
          </rPr>
          <t>Jon Tower:</t>
        </r>
        <r>
          <rPr>
            <sz val="8"/>
            <color indexed="81"/>
            <rFont val="Tahoma"/>
            <family val="2"/>
          </rPr>
          <t xml:space="preserve">
2008 10K
During the 2009 first quarter, we declared dividends of $0.015 per share to be paid on March 30, 2009 to shareholders of record as of March 20, 2009.  If we pay regular quarterly cash dividends for the remainder of 2009 at the same rate as declared in our 2009 first quarter, our total cash requirement for dividends for all of 2009 would be approximately $28.0 million based on the number of shares of our Class A common stock outstanding at February 27, 2009.</t>
        </r>
      </text>
    </comment>
    <comment ref="AH200" authorId="0">
      <text>
        <r>
          <rPr>
            <b/>
            <sz val="8"/>
            <color indexed="81"/>
            <rFont val="Tahoma"/>
            <family val="2"/>
          </rPr>
          <t>Jon Tower:</t>
        </r>
        <r>
          <rPr>
            <sz val="8"/>
            <color indexed="81"/>
            <rFont val="Tahoma"/>
            <family val="2"/>
          </rPr>
          <t xml:space="preserve">
2008 10K
During the 2009 first quarter, we declared dividends of $0.015 per share to be paid on March 30, 2009 to shareholders of record as of March 20, 2009.  If we pay regular quarterly cash dividends for the remainder of 2009 at the same rate as declared in our 2009 first quarter, our total cash requirement for dividends for all of 2009 would be approximately $28.0 million based on the number of shares of our Class A common stock outstanding at February 27, 2009.</t>
        </r>
      </text>
    </comment>
    <comment ref="AI200" authorId="0">
      <text>
        <r>
          <rPr>
            <b/>
            <sz val="8"/>
            <color indexed="81"/>
            <rFont val="Tahoma"/>
            <family val="2"/>
          </rPr>
          <t>Jon Tower:</t>
        </r>
        <r>
          <rPr>
            <sz val="8"/>
            <color indexed="81"/>
            <rFont val="Tahoma"/>
            <family val="2"/>
          </rPr>
          <t xml:space="preserve">
2008 10K
During the 2009 first quarter, we declared dividends of $0.015 per share to be paid on March 30, 2009 to shareholders of record as of March 20, 2009.  If we pay regular quarterly cash dividends for the remainder of 2009 at the same rate as declared in our 2009 first quarter, our total cash requirement for dividends for all of 2009 would be approximately $28.0 million based on the number of shares of our Class A common stock outstanding at February 27, 2009.</t>
        </r>
      </text>
    </comment>
    <comment ref="AJ200" authorId="0">
      <text>
        <r>
          <rPr>
            <b/>
            <sz val="8"/>
            <color indexed="81"/>
            <rFont val="Tahoma"/>
            <family val="2"/>
          </rPr>
          <t>Jon Tower:</t>
        </r>
        <r>
          <rPr>
            <sz val="8"/>
            <color indexed="81"/>
            <rFont val="Tahoma"/>
            <family val="2"/>
          </rPr>
          <t xml:space="preserve">
2008 10K
During the 2009 first quarter, we declared dividends of $0.015 per share to be paid on March 30, 2009 to shareholders of record as of March 20, 2009.  If we pay regular quarterly cash dividends for the remainder of 2009 at the same rate as declared in our 2009 first quarter, our total cash requirement for dividends for all of 2009 would be approximately $28.0 million based on the number of shares of our Class A common stock outstanding at February 27, 2009.</t>
        </r>
      </text>
    </comment>
    <comment ref="AK200" authorId="0">
      <text>
        <r>
          <rPr>
            <b/>
            <sz val="8"/>
            <color indexed="81"/>
            <rFont val="Tahoma"/>
            <family val="2"/>
          </rPr>
          <t>Jon Tower:</t>
        </r>
        <r>
          <rPr>
            <sz val="8"/>
            <color indexed="81"/>
            <rFont val="Tahoma"/>
            <family val="2"/>
          </rPr>
          <t xml:space="preserve">
2008 10K
During the 2009 first quarter, we declared dividends of $0.015 per share to be paid on March 30, 2009 to shareholders of record as of March 20, 2009.  If we pay regular quarterly cash dividends for the remainder of 2009 at the same rate as declared in our 2009 first quarter, our total cash requirement for dividends for all of 2009 would be approximately $28.0 million based on the number of shares of our Class A common stock outstanding at February 27, 2009.</t>
        </r>
      </text>
    </comment>
    <comment ref="AY200" authorId="6">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The Company’s Board of Directors authorized a 100 percent increase in the quarterly cash dividend rate from $0.02 to $0.04 per share. The increase will be effective with the next quarterly cash dividend, which is payable Dec. 17 to stockholders of record as of Dec. 3.</t>
        </r>
      </text>
    </comment>
    <comment ref="BA200" authorId="6">
      <text>
        <r>
          <rPr>
            <b/>
            <sz val="8"/>
            <color indexed="81"/>
            <rFont val="Tahoma"/>
            <family val="2"/>
          </rPr>
          <t>Sushama Dasari:</t>
        </r>
        <r>
          <rPr>
            <sz val="8"/>
            <color indexed="81"/>
            <rFont val="Tahoma"/>
            <family val="2"/>
          </rPr>
          <t xml:space="preserve">
</t>
        </r>
        <r>
          <rPr>
            <b/>
            <sz val="8"/>
            <color indexed="81"/>
            <rFont val="Tahoma"/>
            <family val="2"/>
          </rPr>
          <t xml:space="preserve">2.13.13
</t>
        </r>
        <r>
          <rPr>
            <sz val="8"/>
            <color indexed="81"/>
            <rFont val="Tahoma"/>
            <family val="2"/>
          </rPr>
          <t>The Wendy’s Company (NASDAQ: WEN) today announced the declaration of its regular quarterly cash dividend of $0.04 per share. The dividend is payable on March 15, 2013, to stockholders of record as of March 1, 2013.</t>
        </r>
      </text>
    </comment>
    <comment ref="BI200" authorId="8">
      <text>
        <r>
          <rPr>
            <b/>
            <sz val="9"/>
            <color indexed="81"/>
            <rFont val="Tahoma"/>
            <family val="2"/>
          </rPr>
          <t>11.6.14:</t>
        </r>
        <r>
          <rPr>
            <sz val="9"/>
            <color indexed="81"/>
            <rFont val="Tahoma"/>
            <family val="2"/>
          </rPr>
          <t xml:space="preserve">
Increased 10%</t>
        </r>
      </text>
    </comment>
    <comment ref="BA344" authorId="11">
      <text>
        <r>
          <rPr>
            <b/>
            <sz val="8"/>
            <color indexed="81"/>
            <rFont val="Tahoma"/>
            <family val="2"/>
          </rPr>
          <t>bartljak:</t>
        </r>
        <r>
          <rPr>
            <sz val="8"/>
            <color indexed="81"/>
            <rFont val="Tahoma"/>
            <family val="2"/>
          </rPr>
          <t xml:space="preserve">
WEN backs out accelerated depreciation related to reimages. $9.068 in 1Q13.</t>
        </r>
      </text>
    </comment>
    <comment ref="BD344" authorId="7">
      <text>
        <r>
          <rPr>
            <b/>
            <sz val="8"/>
            <color indexed="81"/>
            <rFont val="Tahoma"/>
            <family val="2"/>
          </rPr>
          <t xml:space="preserve">1.13.14:
</t>
        </r>
        <r>
          <rPr>
            <sz val="8"/>
            <color indexed="81"/>
            <rFont val="Tahoma"/>
            <family val="2"/>
          </rPr>
          <t>10-11c reported (tax rate causes the range)</t>
        </r>
        <r>
          <rPr>
            <sz val="8"/>
            <color indexed="81"/>
            <rFont val="Tahoma"/>
            <family val="2"/>
          </rPr>
          <t xml:space="preserve">
</t>
        </r>
      </text>
    </comment>
    <comment ref="BE344" authorId="7">
      <text>
        <r>
          <rPr>
            <b/>
            <sz val="8"/>
            <color indexed="81"/>
            <rFont val="Tahoma"/>
            <family val="2"/>
          </rPr>
          <t xml:space="preserve">11.6.13:
</t>
        </r>
        <r>
          <rPr>
            <sz val="8"/>
            <color indexed="81"/>
            <rFont val="Tahoma"/>
            <family val="2"/>
          </rPr>
          <t>$0.25 guidance</t>
        </r>
        <r>
          <rPr>
            <b/>
            <sz val="8"/>
            <color indexed="81"/>
            <rFont val="Tahoma"/>
            <family val="2"/>
          </rPr>
          <t xml:space="preserve">
</t>
        </r>
        <r>
          <rPr>
            <sz val="8"/>
            <color indexed="81"/>
            <rFont val="Tahoma"/>
            <family val="2"/>
          </rPr>
          <t xml:space="preserve">
7.23.13
$0.20-$0.22
Adjusted EPS (as presented by WEN) excludes $20-25M in pretax accelerated depreciation associated with Image Activation.</t>
        </r>
      </text>
    </comment>
    <comment ref="BF344" authorId="1">
      <text>
        <r>
          <rPr>
            <b/>
            <sz val="9"/>
            <color indexed="81"/>
            <rFont val="Tahoma"/>
            <family val="2"/>
          </rPr>
          <t>O'Brien, Courtney (Research):</t>
        </r>
        <r>
          <rPr>
            <sz val="9"/>
            <color indexed="81"/>
            <rFont val="Tahoma"/>
            <family val="2"/>
          </rPr>
          <t xml:space="preserve">
5.5.15
reduced -2c to account for previously reported net gain on disposal of assets</t>
        </r>
      </text>
    </comment>
    <comment ref="BJ344" authorId="7">
      <text>
        <r>
          <rPr>
            <b/>
            <sz val="8"/>
            <color indexed="81"/>
            <rFont val="Tahoma"/>
            <family val="2"/>
          </rPr>
          <t xml:space="preserve">11.6.14
</t>
        </r>
        <r>
          <rPr>
            <sz val="8"/>
            <color indexed="81"/>
            <rFont val="Tahoma"/>
            <family val="2"/>
          </rPr>
          <t>Reiterated $0.34-0.36 range</t>
        </r>
        <r>
          <rPr>
            <b/>
            <sz val="8"/>
            <color indexed="81"/>
            <rFont val="Tahoma"/>
            <family val="2"/>
          </rPr>
          <t xml:space="preserve">
8.7.14
</t>
        </r>
        <r>
          <rPr>
            <sz val="8"/>
            <color indexed="81"/>
            <rFont val="Tahoma"/>
            <family val="2"/>
          </rPr>
          <t>$0.34-0.36 range</t>
        </r>
        <r>
          <rPr>
            <b/>
            <sz val="8"/>
            <color indexed="81"/>
            <rFont val="Tahoma"/>
            <family val="2"/>
          </rPr>
          <t xml:space="preserve">
5.8.14
</t>
        </r>
        <r>
          <rPr>
            <sz val="8"/>
            <color indexed="81"/>
            <rFont val="Tahoma"/>
            <family val="2"/>
          </rPr>
          <t>$0.34-0.36 range</t>
        </r>
        <r>
          <rPr>
            <b/>
            <sz val="8"/>
            <color indexed="81"/>
            <rFont val="Tahoma"/>
            <family val="2"/>
          </rPr>
          <t xml:space="preserve">
2.27.14</t>
        </r>
        <r>
          <rPr>
            <sz val="8"/>
            <color indexed="81"/>
            <rFont val="Tahoma"/>
            <family val="2"/>
          </rPr>
          <t xml:space="preserve">
$0.34-$0.36 range</t>
        </r>
        <r>
          <rPr>
            <b/>
            <sz val="8"/>
            <color indexed="81"/>
            <rFont val="Tahoma"/>
            <family val="2"/>
          </rPr>
          <t xml:space="preserve">
1.13.14:
</t>
        </r>
        <r>
          <rPr>
            <sz val="8"/>
            <color indexed="81"/>
            <rFont val="Tahoma"/>
            <family val="2"/>
          </rPr>
          <t>$0.34-$0.36 range</t>
        </r>
        <r>
          <rPr>
            <sz val="8"/>
            <color indexed="81"/>
            <rFont val="Tahoma"/>
            <family val="2"/>
          </rPr>
          <t xml:space="preserve">
</t>
        </r>
      </text>
    </comment>
    <comment ref="BO344" authorId="8">
      <text>
        <r>
          <rPr>
            <b/>
            <sz val="9"/>
            <color indexed="81"/>
            <rFont val="Tahoma"/>
            <family val="2"/>
          </rPr>
          <t>6.3.15:
 15 EPS now 31-33c refelcting 2c loss of barkery profits
5.5.15
reit 33-35c, +10-17% (before recap)
2.3.15</t>
        </r>
        <r>
          <rPr>
            <sz val="9"/>
            <color indexed="81"/>
            <rFont val="Tahoma"/>
            <family val="2"/>
          </rPr>
          <t xml:space="preserve">
$0.33-0.35. (+10-17% Y/Y ex gains in 2014). </t>
        </r>
      </text>
    </comment>
    <comment ref="BT344" authorId="5">
      <text>
        <r>
          <rPr>
            <b/>
            <sz val="8"/>
            <color indexed="81"/>
            <rFont val="Tahoma"/>
            <family val="2"/>
          </rPr>
          <t xml:space="preserve">6.15: reiterates HSD EPS in 16 (implies 35c at high end); increased interest offsets buy back accretion thru 2016
2.3.15:
</t>
        </r>
        <r>
          <rPr>
            <sz val="8"/>
            <color indexed="81"/>
            <rFont val="Tahoma"/>
            <family val="2"/>
          </rPr>
          <t>HSD adj. EPS growth in '16  (ex recap).</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Y344" authorId="5">
      <text>
        <r>
          <rPr>
            <b/>
            <sz val="8"/>
            <color indexed="81"/>
            <rFont val="Tahoma"/>
            <family val="2"/>
          </rPr>
          <t xml:space="preserve">6.3.15:
high teens EPS in 17 post recap (implies 41-42c); 80% of earning strem will come from predictable royalty cash flows in '17
2.3.15:
</t>
        </r>
        <r>
          <rPr>
            <sz val="8"/>
            <color indexed="81"/>
            <rFont val="Tahoma"/>
            <family val="2"/>
          </rPr>
          <t>HSD adj. EPS growth in '17 (ex recap).</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CD344" authorId="5">
      <text>
        <r>
          <rPr>
            <b/>
            <sz val="8"/>
            <color indexed="81"/>
            <rFont val="Tahoma"/>
            <family val="2"/>
          </rPr>
          <t xml:space="preserve">6.3.15:
&gt;20% EPS growht in 18 and beyond post recap (mplies 50c+)
2.3.15:
</t>
        </r>
        <r>
          <rPr>
            <sz val="8"/>
            <color indexed="81"/>
            <rFont val="Tahoma"/>
            <family val="2"/>
          </rPr>
          <t>M-to-HSD adj. EPS growth in '18 (ex recap).</t>
        </r>
        <r>
          <rPr>
            <b/>
            <sz val="8"/>
            <color indexed="81"/>
            <rFont val="Tahoma"/>
            <family val="2"/>
          </rPr>
          <t xml:space="preserve">
11.8.12
</t>
        </r>
        <r>
          <rPr>
            <sz val="8"/>
            <color indexed="81"/>
            <rFont val="Tahoma"/>
            <family val="2"/>
          </rPr>
          <t xml:space="preserve">The Company is targeting long-term Adjusted EBITDA and Adjusted Earnings Per Share growth beyond 2013 in the high single-digit to low double-digit range.
</t>
        </r>
        <r>
          <rPr>
            <b/>
            <sz val="8"/>
            <color indexed="81"/>
            <rFont val="Tahoma"/>
            <family val="2"/>
          </rPr>
          <t xml:space="preserve">
1.26.11</t>
        </r>
        <r>
          <rPr>
            <sz val="8"/>
            <color indexed="81"/>
            <rFont val="Tahoma"/>
            <family val="2"/>
          </rPr>
          <t xml:space="preserve">
Beginning in 2012, we would expect Wendy’s to be able to drive average annual EBITDA growth
in a range of 10% to 15%. Also, we intend to use the strength of our balance sheet and free cash flow to grow our
business and increase stockholder returns through dividends and share repurchases</t>
        </r>
      </text>
    </comment>
    <comment ref="BN368" authorId="1">
      <text>
        <r>
          <rPr>
            <b/>
            <sz val="9"/>
            <color indexed="81"/>
            <rFont val="Tahoma"/>
            <family val="2"/>
          </rPr>
          <t>O'Brien, Courtney (Research):</t>
        </r>
        <r>
          <rPr>
            <sz val="9"/>
            <color indexed="81"/>
            <rFont val="Tahoma"/>
            <family val="2"/>
          </rPr>
          <t xml:space="preserve">
pre tax = 54.9</t>
        </r>
      </text>
    </comment>
  </commentList>
</comments>
</file>

<file path=xl/comments3.xml><?xml version="1.0" encoding="utf-8"?>
<comments xmlns="http://schemas.openxmlformats.org/spreadsheetml/2006/main">
  <authors>
    <author>Jon Tower</author>
    <author>John Glass</author>
    <author>O'Brien, Courtney (Research)</author>
    <author>glassjoh</author>
    <author>Jake Bartlett</author>
  </authors>
  <commentList>
    <comment ref="A11" authorId="0">
      <text>
        <r>
          <rPr>
            <b/>
            <sz val="8"/>
            <color indexed="81"/>
            <rFont val="Tahoma"/>
            <family val="2"/>
          </rPr>
          <t>Jon Tower:</t>
        </r>
        <r>
          <rPr>
            <sz val="8"/>
            <color indexed="81"/>
            <rFont val="Tahoma"/>
            <family val="2"/>
          </rPr>
          <t xml:space="preserve">
All highly liquid investments with a maturity of three months or less when acquired are considered cash equivalents. The Company’s cash equivalents principally consist of cash in bank, money market and mutual fund money market accounts and are primarily not in Federal Deposit Insurance Corporation (FDIC) insured accounts</t>
        </r>
      </text>
    </comment>
    <comment ref="BQ11" authorId="0">
      <text>
        <r>
          <rPr>
            <b/>
            <sz val="8"/>
            <color indexed="81"/>
            <rFont val="Tahoma"/>
            <family val="2"/>
          </rPr>
          <t>Jon Tower:</t>
        </r>
        <r>
          <rPr>
            <sz val="8"/>
            <color indexed="81"/>
            <rFont val="Tahoma"/>
            <family val="2"/>
          </rPr>
          <t xml:space="preserve">
6.11.09
deal announced with Trian:
will try to get $37M from Equity account (don't know if that will happen) --aka the liquidation
ALSO, will generate $34M from the withdrawal from the equity account (market value of funds is $81M, but already withdrew $47M at year end '08 and paid down debt).</t>
        </r>
      </text>
    </comment>
    <comment ref="CM11" authorId="1">
      <text>
        <r>
          <rPr>
            <b/>
            <sz val="8"/>
            <color indexed="81"/>
            <rFont val="Tahoma"/>
            <family val="2"/>
          </rPr>
          <t>John Glass:</t>
        </r>
        <r>
          <rPr>
            <sz val="8"/>
            <color indexed="81"/>
            <rFont val="Tahoma"/>
            <family val="2"/>
          </rPr>
          <t xml:space="preserve">
cash baalnce = $580 prior to tender offer</t>
        </r>
      </text>
    </comment>
    <comment ref="A13" authorId="0">
      <text>
        <r>
          <rPr>
            <b/>
            <sz val="8"/>
            <color indexed="81"/>
            <rFont val="Tahoma"/>
            <family val="2"/>
          </rPr>
          <t>Jon Tower:</t>
        </r>
        <r>
          <rPr>
            <sz val="8"/>
            <color indexed="81"/>
            <rFont val="Tahoma"/>
            <family val="2"/>
          </rPr>
          <t xml:space="preserve">
Short-term investments
Short-term investments consist of marketable equity securities with readily determinable fair values. The Company’s marketable equity securities are classified and accounted for as “available-for-sale” and are reported at fair market value with the resulting net unrealized holding gains or losses, net of income taxes, reported as a separate component of comprehensive income (loss) bypassing net income. The Company uses the specific identification method to determine the amount reclassified out of accumulated other comprehensive income (loss) into earnings or losses of securities sold for all marketable securities
</t>
        </r>
      </text>
    </comment>
    <comment ref="A15" authorId="0">
      <text>
        <r>
          <rPr>
            <b/>
            <sz val="8"/>
            <color indexed="81"/>
            <rFont val="Tahoma"/>
            <family val="2"/>
          </rPr>
          <t>Jon Tower:</t>
        </r>
        <r>
          <rPr>
            <sz val="8"/>
            <color indexed="81"/>
            <rFont val="Tahoma"/>
            <family val="2"/>
          </rPr>
          <t xml:space="preserve">
Accounts and notes receivable consist primarily of royalty and franchise fee receivables, credit card receivables, rent and recoverable income tax. The need for an allowance for doubtful accounts is reviewed on a specific franchisee basis based upon past due balances and the financial strength of the franchisee</t>
        </r>
      </text>
    </comment>
    <comment ref="A16" authorId="0">
      <text>
        <r>
          <rPr>
            <b/>
            <sz val="8"/>
            <color indexed="81"/>
            <rFont val="Tahoma"/>
            <family val="2"/>
          </rPr>
          <t>Jon Tower:</t>
        </r>
        <r>
          <rPr>
            <sz val="8"/>
            <color indexed="81"/>
            <rFont val="Tahoma"/>
            <family val="2"/>
          </rPr>
          <t xml:space="preserve">
The Company’s inventories are stated at the lower of cost or market with cost determined in accordance with the first-in, first-out method, and consist primarily of restaurant food items, kids’ meal toys and paper supplies.</t>
        </r>
      </text>
    </comment>
    <comment ref="A22" authorId="0">
      <text>
        <r>
          <rPr>
            <b/>
            <sz val="8"/>
            <color indexed="81"/>
            <rFont val="Tahoma"/>
            <family val="2"/>
          </rPr>
          <t>Jon Tower:</t>
        </r>
        <r>
          <rPr>
            <sz val="8"/>
            <color indexed="81"/>
            <rFont val="Tahoma"/>
            <family val="2"/>
          </rPr>
          <t xml:space="preserve">
Notes receivable (non-current) consist of the (1) notes receivable (“DFR Notes”) due from Deerfield Capital Corp. (“DFR”) received as proceeds in the Deerfield Sale (see Note 4 regarding collectability) and (2) notes receivable for franchisee obligations. The need for an allowance for doubtful accounts is reviewed on a specific identification basis based upon past due balances and the financial strength of the franchisee.</t>
        </r>
      </text>
    </comment>
    <comment ref="A23" authorId="0">
      <text>
        <r>
          <rPr>
            <b/>
            <sz val="8"/>
            <color indexed="81"/>
            <rFont val="Tahoma"/>
            <family val="2"/>
          </rPr>
          <t>Jon Tower:</t>
        </r>
        <r>
          <rPr>
            <sz val="8"/>
            <color indexed="81"/>
            <rFont val="Tahoma"/>
            <family val="2"/>
          </rPr>
          <t xml:space="preserve">
Investments
The Company’s investments (see Note 8) include (1) investments included in brokerage accounts (“Equities Account”) being managed by a management company (the “Management Company”) (see Note 27), (2) our 50% share in a partnership in a Canadian restaurant real estate joint venture (“TimWen”) with Tim Hortons Inc. (“THI”), (3) investments in preferred and common stock of DFR (see Note 3), and (4) cost investments.  Investments in limited partnerships and other non-current investments in which we do not have significant influence over the investees are recorded at cost (the “Cost Method”), and for which realized gains and losses are reported as income or loss in the period in which the securities are sold or otherwise disposed.  Investments in which we have significant influence over the investees (“Equity Investments”) are accounted for in accordance with the “Equity Method” of accounting under which our results of operations include our share of the income or loss of the investees. Unrealized holding gains or losses, net of income taxes, for derivatives are reported as a component of net income or loss.  
The difference, if any, between the carrying value of the Company’s Equity Investments and its underlying equity in the net assets of each investee (the “Carrying Value Difference”) is accounted for as if the investee were a consolidated subsidiary.  Accordingly, the Carrying Value Difference is amortized over the estimated lives of the assets of the investee to which such difference would have been allocated if the Equity Investment were a consolidated subsidiary.  To the extent the Carrying Value Difference represents goodwill, it is not amortized.  
</t>
        </r>
      </text>
    </comment>
    <comment ref="BQ23" authorId="0">
      <text>
        <r>
          <rPr>
            <b/>
            <sz val="8"/>
            <color indexed="81"/>
            <rFont val="Tahoma"/>
            <family val="2"/>
          </rPr>
          <t>Jon Tower:</t>
        </r>
        <r>
          <rPr>
            <sz val="8"/>
            <color indexed="81"/>
            <rFont val="Tahoma"/>
            <family val="2"/>
          </rPr>
          <t xml:space="preserve">
6.11.09
The withdrawal agreement (“Withdrawal Agreement”) provides that TCMG-MA, LLC, which is a wholly-owned subsidiary of the Company, and which is the “Investor” under an Amended and Restated Investment Management Agreement with Trian Partners dated as of April 30, 2007 (the “Investment Management Agreement”), will be permitted to withdraw on an accelerated basis (the “Early Withdrawal”) all of the capital in its account under the Investment Management Agreement (the “Account”) effective no later than June 26, 2009, at which time the Investment Management Agreement will terminate.  Prior to the Withdrawal Agreement, the Investor was not permitted to withdraw any capital from the Account until December 31, 2010.  </t>
        </r>
        <r>
          <rPr>
            <b/>
            <sz val="8"/>
            <color indexed="81"/>
            <rFont val="Tahoma"/>
            <family val="2"/>
          </rPr>
          <t>In consideration for obtaining such Early Withdrawal right, the Investor agreed to pay Trian Partners $5.5 million and will no longer be obligated to pay an investment management fee of 2% per annum on the Account balance (which was $80.7 million as of March 29, 2009) and certain performance fees.</t>
        </r>
        <r>
          <rPr>
            <sz val="8"/>
            <color indexed="81"/>
            <rFont val="Tahoma"/>
            <family val="2"/>
          </rPr>
          <t xml:space="preserve">
</t>
        </r>
      </text>
    </comment>
    <comment ref="A24" authorId="0">
      <text>
        <r>
          <rPr>
            <b/>
            <sz val="8"/>
            <color indexed="81"/>
            <rFont val="Tahoma"/>
            <family val="2"/>
          </rPr>
          <t>Jon Tower:</t>
        </r>
        <r>
          <rPr>
            <sz val="8"/>
            <color indexed="81"/>
            <rFont val="Tahoma"/>
            <family val="2"/>
          </rPr>
          <t xml:space="preserve">
Properties and depreciation and amortization
Properties are stated at cost, including internal costs of employees to the extent such employees are dedicated to specific restaurant construction projects, less accumulated depreciation and amortization.  Depreciation and amortization of properties is computed principally on the straight-line basis using the following estimated useful lives of the related major classes of properties:  1 to 15 years for office and restaurant equipment, 3 to 15 years for transportation equipment, 7 to 30 years for buildings and 7 to 20 years for owned site improvements.  Leased assets capitalized and leasehold improvements are amortized over the shorter of their estimated useful lives or the terms of the respective leases, including periods covered by renewal options that the Company believes it is reasonably assured of exercising.
</t>
        </r>
      </text>
    </comment>
    <comment ref="A26" authorId="0">
      <text>
        <r>
          <rPr>
            <b/>
            <sz val="8"/>
            <color indexed="81"/>
            <rFont val="Tahoma"/>
            <family val="2"/>
          </rPr>
          <t>Jon Tower:</t>
        </r>
        <r>
          <rPr>
            <sz val="8"/>
            <color indexed="81"/>
            <rFont val="Tahoma"/>
            <family val="2"/>
          </rPr>
          <t xml:space="preserve">
Favorable and unfavorable lease amounts are recorded as components of “Other intangible assets” and “Other liabilities”, respectively, when we purchase restaurants (see Note 3) and are amortized to “Cost of sales” – both on a straight-line basis over the remaining term of the leases.  Upon early termination of a lease, the favorable or unfavorable lease balance associated with the lease is recognized as a loss or gain, respectively, in the Consolidated Statements of Operations.</t>
        </r>
      </text>
    </comment>
    <comment ref="A28" authorId="0">
      <text>
        <r>
          <rPr>
            <b/>
            <sz val="8"/>
            <color indexed="81"/>
            <rFont val="Tahoma"/>
            <family val="2"/>
          </rPr>
          <t>Jon Tower:</t>
        </r>
        <r>
          <rPr>
            <sz val="8"/>
            <color indexed="81"/>
            <rFont val="Tahoma"/>
            <family val="2"/>
          </rPr>
          <t xml:space="preserve">
Deferred financing costs, original issue debt discount, and adjustments to fair value of debt for purchase price adjustments related to the Wendy’s Merger (see Note 3) are amortized as interest expense over the lives of the respective debt using the interest rate method.</t>
        </r>
      </text>
    </comment>
    <comment ref="BQ29" authorId="0">
      <text>
        <r>
          <rPr>
            <b/>
            <sz val="8"/>
            <color indexed="81"/>
            <rFont val="Tahoma"/>
            <family val="2"/>
          </rPr>
          <t>Jon Tower:</t>
        </r>
        <r>
          <rPr>
            <sz val="8"/>
            <color indexed="81"/>
            <rFont val="Tahoma"/>
            <family val="2"/>
          </rPr>
          <t xml:space="preserve">
6.10.09
The Liquidation Agreement provides that the Company will pay Trian Partners a one-time fee of $900,000 for these services, which will be payable in cash in installments as follows: (i) $450,000 on the date of the Liquidation Agreement and (ii) $450,000 on the earlier of (x) June 30, 2010 and (y) the expiration of the term of the Liquidation Agreement.</t>
        </r>
        <r>
          <rPr>
            <b/>
            <sz val="8"/>
            <color indexed="81"/>
            <rFont val="Tahoma"/>
            <family val="2"/>
          </rPr>
          <t xml:space="preserve">  In addition, in the event that any or all of the Legacy Assets are sold, liquidated or otherwise disposed of for aggregate net proceeds to the Company in excess of $36,607,000 (the “Target Amount”), then the Company will pay Trian Partners in cash a success fee equal to 10% of the aggregate net proceeds in excess of the Target Amount</t>
        </r>
      </text>
    </comment>
    <comment ref="DE35" authorId="2">
      <text>
        <r>
          <rPr>
            <b/>
            <sz val="9"/>
            <color indexed="81"/>
            <rFont val="Tahoma"/>
            <family val="2"/>
          </rPr>
          <t>O'Brien, Courtney (Research):</t>
        </r>
        <r>
          <rPr>
            <sz val="9"/>
            <color indexed="81"/>
            <rFont val="Tahoma"/>
            <family val="2"/>
          </rPr>
          <t xml:space="preserve">
5.10.17
</t>
        </r>
        <r>
          <rPr>
            <b/>
            <sz val="9"/>
            <color indexed="81"/>
            <rFont val="Tahoma"/>
            <family val="2"/>
          </rPr>
          <t>As of  April 2, 2017 , our accruals for the G&amp;A realignment plan, which are included in “Accrued expenses and other current liabilities,” totaled  $76  and primarily related to severance and related employee costs</t>
        </r>
      </text>
    </comment>
    <comment ref="DF35" authorId="2">
      <text>
        <r>
          <rPr>
            <b/>
            <sz val="9"/>
            <color indexed="81"/>
            <rFont val="Tahoma"/>
            <family val="2"/>
          </rPr>
          <t>O'Brien, Courtney (Research):</t>
        </r>
        <r>
          <rPr>
            <sz val="9"/>
            <color indexed="81"/>
            <rFont val="Tahoma"/>
            <family val="2"/>
          </rPr>
          <t xml:space="preserve">
5.10.17
</t>
        </r>
        <r>
          <rPr>
            <b/>
            <sz val="9"/>
            <color indexed="81"/>
            <rFont val="Tahoma"/>
            <family val="2"/>
          </rPr>
          <t>As of  April 2, 2017 , our accruals for the G&amp;A realignment plan, which are included in “Accrued expenses and other current liabilities,” totaled  $76  and primarily related to severance and related employee costs</t>
        </r>
      </text>
    </comment>
    <comment ref="DG35" authorId="2">
      <text>
        <r>
          <rPr>
            <b/>
            <sz val="9"/>
            <color indexed="81"/>
            <rFont val="Tahoma"/>
            <family val="2"/>
          </rPr>
          <t>O'Brien, Courtney (Research):</t>
        </r>
        <r>
          <rPr>
            <sz val="9"/>
            <color indexed="81"/>
            <rFont val="Tahoma"/>
            <family val="2"/>
          </rPr>
          <t xml:space="preserve">
5.10.17
</t>
        </r>
        <r>
          <rPr>
            <b/>
            <sz val="9"/>
            <color indexed="81"/>
            <rFont val="Tahoma"/>
            <family val="2"/>
          </rPr>
          <t>As of  April 2, 2017 , our accruals for the G&amp;A realignment plan, which are included in “Accrued expenses and other current liabilities,” totaled  $76  and primarily related to severance and related employee costs</t>
        </r>
      </text>
    </comment>
    <comment ref="DI35" authorId="2">
      <text>
        <r>
          <rPr>
            <b/>
            <sz val="9"/>
            <color indexed="81"/>
            <rFont val="Tahoma"/>
            <family val="2"/>
          </rPr>
          <t>O'Brien, Courtney (Research):</t>
        </r>
        <r>
          <rPr>
            <sz val="9"/>
            <color indexed="81"/>
            <rFont val="Tahoma"/>
            <family val="2"/>
          </rPr>
          <t xml:space="preserve">
5.10.17
</t>
        </r>
        <r>
          <rPr>
            <b/>
            <sz val="9"/>
            <color indexed="81"/>
            <rFont val="Tahoma"/>
            <family val="2"/>
          </rPr>
          <t>As of  April 2, 2017 , our accruals for the G&amp;A realignment plan, which are included in “Accrued expenses and other current liabilities,” totaled  $76  and primarily related to severance and related employee costs</t>
        </r>
      </text>
    </comment>
    <comment ref="DJ35" authorId="2">
      <text>
        <r>
          <rPr>
            <b/>
            <sz val="9"/>
            <color indexed="81"/>
            <rFont val="Tahoma"/>
            <family val="2"/>
          </rPr>
          <t>O'Brien, Courtney (Research):</t>
        </r>
        <r>
          <rPr>
            <sz val="9"/>
            <color indexed="81"/>
            <rFont val="Tahoma"/>
            <family val="2"/>
          </rPr>
          <t xml:space="preserve">
5.10.17
</t>
        </r>
        <r>
          <rPr>
            <b/>
            <sz val="9"/>
            <color indexed="81"/>
            <rFont val="Tahoma"/>
            <family val="2"/>
          </rPr>
          <t>As of  April 2, 2017 , our accruals for the G&amp;A realignment plan, which are included in “Accrued expenses and other current liabilities,” totaled  $76  and primarily related to severance and related employee costs</t>
        </r>
      </text>
    </comment>
    <comment ref="DK35" authorId="2">
      <text>
        <r>
          <rPr>
            <b/>
            <sz val="9"/>
            <color indexed="81"/>
            <rFont val="Tahoma"/>
            <family val="2"/>
          </rPr>
          <t>O'Brien, Courtney (Research):</t>
        </r>
        <r>
          <rPr>
            <sz val="9"/>
            <color indexed="81"/>
            <rFont val="Tahoma"/>
            <family val="2"/>
          </rPr>
          <t xml:space="preserve">
5.10.17
</t>
        </r>
        <r>
          <rPr>
            <b/>
            <sz val="9"/>
            <color indexed="81"/>
            <rFont val="Tahoma"/>
            <family val="2"/>
          </rPr>
          <t>As of  April 2, 2017 , our accruals for the G&amp;A realignment plan, which are included in “Accrued expenses and other current liabilities,” totaled  $76  and primarily related to severance and related employee costs</t>
        </r>
      </text>
    </comment>
    <comment ref="DL35" authorId="2">
      <text>
        <r>
          <rPr>
            <b/>
            <sz val="9"/>
            <color indexed="81"/>
            <rFont val="Tahoma"/>
            <family val="2"/>
          </rPr>
          <t>O'Brien, Courtney (Research):</t>
        </r>
        <r>
          <rPr>
            <sz val="9"/>
            <color indexed="81"/>
            <rFont val="Tahoma"/>
            <family val="2"/>
          </rPr>
          <t xml:space="preserve">
5.10.17
</t>
        </r>
        <r>
          <rPr>
            <b/>
            <sz val="9"/>
            <color indexed="81"/>
            <rFont val="Tahoma"/>
            <family val="2"/>
          </rPr>
          <t>As of  April 2, 2017 , our accruals for the G&amp;A realignment plan, which are included in “Accrued expenses and other current liabilities,” totaled  $76  and primarily related to severance and related employee costs</t>
        </r>
      </text>
    </comment>
    <comment ref="DN35" authorId="2">
      <text>
        <r>
          <rPr>
            <b/>
            <sz val="9"/>
            <color indexed="81"/>
            <rFont val="Tahoma"/>
            <family val="2"/>
          </rPr>
          <t>O'Brien, Courtney (Research):</t>
        </r>
        <r>
          <rPr>
            <sz val="9"/>
            <color indexed="81"/>
            <rFont val="Tahoma"/>
            <family val="2"/>
          </rPr>
          <t xml:space="preserve">
5.10.17
</t>
        </r>
        <r>
          <rPr>
            <b/>
            <sz val="9"/>
            <color indexed="81"/>
            <rFont val="Tahoma"/>
            <family val="2"/>
          </rPr>
          <t>As of  April 2, 2017 , our accruals for the G&amp;A realignment plan, which are included in “Accrued expenses and other current liabilities,” totaled  $76  and primarily related to severance and related employee costs</t>
        </r>
      </text>
    </comment>
    <comment ref="DO35" authorId="2">
      <text>
        <r>
          <rPr>
            <b/>
            <sz val="9"/>
            <color indexed="81"/>
            <rFont val="Tahoma"/>
            <family val="2"/>
          </rPr>
          <t>O'Brien, Courtney (Research):</t>
        </r>
        <r>
          <rPr>
            <sz val="9"/>
            <color indexed="81"/>
            <rFont val="Tahoma"/>
            <family val="2"/>
          </rPr>
          <t xml:space="preserve">
5.10.17
</t>
        </r>
        <r>
          <rPr>
            <b/>
            <sz val="9"/>
            <color indexed="81"/>
            <rFont val="Tahoma"/>
            <family val="2"/>
          </rPr>
          <t>As of  April 2, 2017 , our accruals for the G&amp;A realignment plan, which are included in “Accrued expenses and other current liabilities,” totaled  $76  and primarily related to severance and related employee costs</t>
        </r>
      </text>
    </comment>
    <comment ref="CD39" authorId="3">
      <text>
        <r>
          <rPr>
            <b/>
            <sz val="8"/>
            <color indexed="81"/>
            <rFont val="Tahoma"/>
            <family val="2"/>
          </rPr>
          <t>glassjoh:</t>
        </r>
        <r>
          <rPr>
            <sz val="8"/>
            <color indexed="81"/>
            <rFont val="Tahoma"/>
            <family val="2"/>
          </rPr>
          <t xml:space="preserve">
Long−Term Debt, Including Current Portion
Year End
2011
Senior Notes $ 554.9
Term Loan 466.1
6.20% senior notes 224.6
7% debentures 82.3
Capitalized lease obligations, excluding interest 15.2
Sale−leaseback obligations, excluding interest 1.5
Other 1.1
Total Wendy’s Restaurants long−term debt 1,345.7
6.54% aircraft term loan 11.3
</t>
        </r>
        <r>
          <rPr>
            <b/>
            <sz val="8"/>
            <color indexed="81"/>
            <rFont val="Tahoma"/>
            <family val="2"/>
          </rPr>
          <t>Total The Wendy’s Company long−term debt $ 1,357.0</t>
        </r>
      </text>
    </comment>
    <comment ref="CF39" authorId="3">
      <text>
        <r>
          <rPr>
            <b/>
            <sz val="8"/>
            <color indexed="81"/>
            <rFont val="Tahoma"/>
            <family val="2"/>
          </rPr>
          <t xml:space="preserve">glassjoh:
April 17, 2012: </t>
        </r>
        <r>
          <rPr>
            <sz val="8"/>
            <color indexed="81"/>
            <rFont val="Tahoma"/>
            <family val="2"/>
          </rPr>
          <t xml:space="preserve">
The Wendy's Company ("the Company") announced today that Wendy's Restaurants, LLC, its wholly owned subsidiary ("Wendy's Restaurants"), has commenced a tender offer to purchase for cash any and all of its outstanding 10.00% Senior Notes due 2016. Total amount as of YE 11: $550 M
 will receive the total consideration of $1,081.25 per $1,000 principal amount of the Notes, which includes an early tender premium/consent payment of $20.00 per $1,000 principal amount of the Notes, plus any accrued and unpaid interest on the Notes up to, but not including, the payment date.
</t>
        </r>
      </text>
    </comment>
    <comment ref="CK39" authorId="4">
      <text>
        <r>
          <rPr>
            <b/>
            <sz val="8"/>
            <color indexed="81"/>
            <rFont val="Tahoma"/>
            <family val="2"/>
          </rPr>
          <t>Jake Bartlett:</t>
        </r>
        <r>
          <rPr>
            <sz val="8"/>
            <color indexed="81"/>
            <rFont val="Tahoma"/>
            <family val="2"/>
          </rPr>
          <t xml:space="preserve">
Senior 6.2% note matures June 30</t>
        </r>
      </text>
    </comment>
    <comment ref="A43" authorId="0">
      <text>
        <r>
          <rPr>
            <b/>
            <sz val="8"/>
            <color indexed="81"/>
            <rFont val="Tahoma"/>
            <family val="2"/>
          </rPr>
          <t>Jon Tower:</t>
        </r>
        <r>
          <rPr>
            <sz val="8"/>
            <color indexed="81"/>
            <rFont val="Tahoma"/>
            <family val="2"/>
          </rPr>
          <t xml:space="preserve">
For leases that contain rent escalations, we record the rent payable during the lease term, as determined above, on the straight-line basis over the term of the lease (including the rent holiday period beginning upon our possession of the premises), </t>
        </r>
        <r>
          <rPr>
            <b/>
            <sz val="8"/>
            <color indexed="81"/>
            <rFont val="Tahoma"/>
            <family val="2"/>
          </rPr>
          <t>and record the excess of the Straight-Line Rent over the minimum rents paid and the as a deferred lease liability included in “Other liabilities” in our Consolidated Balance Sheets.</t>
        </r>
        <r>
          <rPr>
            <sz val="8"/>
            <color indexed="81"/>
            <rFont val="Tahoma"/>
            <family val="2"/>
          </rPr>
          <t xml:space="preserve">  Certain leases contain provisions, referred to as contingent rent (“Contingent Rent”), that require additional rental payments based upon restaurant sales volume. Contingent rent is expensed each period as the liability is incurred.
Favorable and unfavorable lease amounts are recorded as components of “Other intangible assets” and “Other liabilities”, respectively, when we purchase restaurants (see Note 3) and are amortized to “Cost of sales” – both on a straight-line basis over the remaining term of the leases.  Upon early termination of a lease, the favorable or unfavorable lease balance associated with the lease is recognized as a loss or gain, respectively, in the Consolidated Statements of Operations.</t>
        </r>
      </text>
    </comment>
    <comment ref="CX70" authorId="2">
      <text>
        <r>
          <rPr>
            <b/>
            <sz val="9"/>
            <color indexed="81"/>
            <rFont val="Tahoma"/>
            <family val="2"/>
          </rPr>
          <t>O'Brien, Courtney (Research):</t>
        </r>
        <r>
          <rPr>
            <sz val="9"/>
            <color indexed="81"/>
            <rFont val="Tahoma"/>
            <family val="2"/>
          </rPr>
          <t xml:space="preserve">
2.9.16
LT leverage target of 5-6x</t>
        </r>
      </text>
    </comment>
    <comment ref="DC70" authorId="2">
      <text>
        <r>
          <rPr>
            <b/>
            <sz val="9"/>
            <color indexed="81"/>
            <rFont val="Tahoma"/>
            <family val="2"/>
          </rPr>
          <t>O'Brien, Courtney (Research):</t>
        </r>
        <r>
          <rPr>
            <sz val="9"/>
            <color indexed="81"/>
            <rFont val="Tahoma"/>
            <family val="2"/>
          </rPr>
          <t xml:space="preserve">
2.9.16
LT leverage target of 5-6x</t>
        </r>
      </text>
    </comment>
    <comment ref="DD70" authorId="2">
      <text>
        <r>
          <rPr>
            <b/>
            <sz val="9"/>
            <color indexed="81"/>
            <rFont val="Tahoma"/>
            <family val="2"/>
          </rPr>
          <t>5.10.17
On a trailing 12-month basis, our leverage ratio currently sits at 5.5x, right in the middle of our range</t>
        </r>
        <r>
          <rPr>
            <sz val="9"/>
            <color indexed="81"/>
            <rFont val="Tahoma"/>
            <family val="2"/>
          </rPr>
          <t xml:space="preserve">
2.9.16
LT leverage target of 5-6x</t>
        </r>
      </text>
    </comment>
    <comment ref="DF70" authorId="2">
      <text>
        <r>
          <rPr>
            <b/>
            <sz val="9"/>
            <color indexed="81"/>
            <rFont val="Tahoma"/>
            <family val="2"/>
          </rPr>
          <t>O'Brien, Courtney (Research):</t>
        </r>
        <r>
          <rPr>
            <sz val="9"/>
            <color indexed="81"/>
            <rFont val="Tahoma"/>
            <family val="2"/>
          </rPr>
          <t xml:space="preserve">
11.8.2017
On a trailing 12-month basis, our leverage
ratio currently sits comfortably at 5.3x.
2.9.16
LT leverage target of 5-6x</t>
        </r>
      </text>
    </comment>
    <comment ref="DG70" authorId="2">
      <text>
        <r>
          <rPr>
            <b/>
            <sz val="9"/>
            <color indexed="81"/>
            <rFont val="Tahoma"/>
            <family val="2"/>
          </rPr>
          <t>O'Brien, Courtney (Research):</t>
        </r>
        <r>
          <rPr>
            <sz val="9"/>
            <color indexed="81"/>
            <rFont val="Tahoma"/>
            <family val="2"/>
          </rPr>
          <t xml:space="preserve">
2.9.16
LT leverage target of 5-6x</t>
        </r>
      </text>
    </comment>
    <comment ref="DH70" authorId="2">
      <text>
        <r>
          <rPr>
            <b/>
            <sz val="9"/>
            <color indexed="81"/>
            <rFont val="Tahoma"/>
            <family val="2"/>
          </rPr>
          <t>O'Brien, Courtney (Research):</t>
        </r>
        <r>
          <rPr>
            <sz val="9"/>
            <color indexed="81"/>
            <rFont val="Tahoma"/>
            <family val="2"/>
          </rPr>
          <t xml:space="preserve">
2.9.16
LT leverage target of 5-6x</t>
        </r>
      </text>
    </comment>
    <comment ref="CU71" authorId="2">
      <text>
        <r>
          <rPr>
            <b/>
            <sz val="9"/>
            <color indexed="81"/>
            <rFont val="Tahoma"/>
            <family val="2"/>
          </rPr>
          <t>O'Brien, Courtney (Research):</t>
        </r>
        <r>
          <rPr>
            <sz val="9"/>
            <color indexed="81"/>
            <rFont val="Tahoma"/>
            <family val="2"/>
          </rPr>
          <t xml:space="preserve">
6/3/15
nearly 6x net debt to TTM ebitda</t>
        </r>
      </text>
    </comment>
    <comment ref="CK86" authorId="4">
      <text>
        <r>
          <rPr>
            <b/>
            <sz val="8"/>
            <color indexed="81"/>
            <rFont val="Tahoma"/>
            <family val="2"/>
          </rPr>
          <t>Jake Bartlett:</t>
        </r>
        <r>
          <rPr>
            <sz val="8"/>
            <color indexed="81"/>
            <rFont val="Tahoma"/>
            <family val="2"/>
          </rPr>
          <t xml:space="preserve">
On May 16, 2013, Wendy’s amended and restated (the “Restated Credit Agreement”) its Credit Agreement, dated as of May 15, 2012 (the “Credit Agreement”). The Restated Credit Agreement is comprised of (1) a $350,000 senior secured term loan facility (“Term Loan A”) which will mature on May 15, 2018 and bears interest at the Eurodollar Rate (as defined in the Restated Credit Agreement) plus 2.25%, (2) a $769,375 senior secured term loan facility (“Term Loan B”) which will mature on May 15, 2019 and bears interest at the Eurodollar Rate plus 2.50% with a floor of 0.75% and (3) a $200,000 senior secured revolving credit facility which will mature on May 15, 2018. The proceeds from the Term Loan A were used to refinance a portion of our existing Term Loan B (formerly described in our Form 10-K as the “Term Loan”). The terms and amounts of the senior secured revolving credit facility are unchanged with the exception of the maturity date which was extended from May 15, 2017. The Restated Credit Agreement does not contain any material changes to existing covenants or other terms of the Credit Agreement, except as described above. The interest rates on Term Loan A and Term Loan B were 2.44% and 3.25%, respectively, as of June 30, 2013.
Wendy’s incurred $5,811 in fees related to the refinancing, which are being amortized to “Interest expense” utilizing the effective interest rate method through the maturities of the related debt instruments.
</t>
        </r>
      </text>
    </comment>
    <comment ref="CM86" authorId="4">
      <text>
        <r>
          <rPr>
            <b/>
            <sz val="8"/>
            <color indexed="81"/>
            <rFont val="Tahoma"/>
            <family val="2"/>
          </rPr>
          <t>11.7.13:</t>
        </r>
        <r>
          <rPr>
            <sz val="8"/>
            <color indexed="81"/>
            <rFont val="Tahoma"/>
            <family val="2"/>
          </rPr>
          <t xml:space="preserve">
On September 24, 2013, Wendy’s entered into an amendment (the “Amendment”) to its Restated Credit Agreement to borrow additional Term A Loans (“Incremental Term Loans”) in an aggregate principal amount up to $225,000. As a result of the execution of the Amendment, the outstanding Wendy’s 6.20%
Senior Notes due in 2014 (the “6.20% Senior Notes”) have been classified as long-term debt in our condensed consolidated balance sheet as of September 29, 2013. The Amendment does not contain any material changes to existing covenants or other terms of the Restated Credit Agreement, except as described above. During the three months ended September 29, 2013, Wendy’s incurred $2,293 in fees related to the refinancing, which have been capitalized and included in “Deferred costs and other assets” in the condensed consolidated balance sheet. The interest rates on Term A Loan and Term B Loan were 2.43% and 3.25%,
respectively, as of September 29, 2013.</t>
        </r>
        <r>
          <rPr>
            <b/>
            <sz val="8"/>
            <color indexed="81"/>
            <rFont val="Tahoma"/>
            <family val="2"/>
          </rPr>
          <t xml:space="preserve">
</t>
        </r>
        <r>
          <rPr>
            <sz val="8"/>
            <color indexed="81"/>
            <rFont val="Tahoma"/>
            <family val="2"/>
          </rPr>
          <t xml:space="preserve">
On May 16, 2013, Wendy’s amended and restated (the “Restated Credit Agreement”) its Credit Agreement, dated as of May 15, 2012 (the “Credit Agreement”). The Restated Credit Agreement is comprised of (1) a $350,000 senior secured term loan facility (“Term Loan A”) which will mature on May 15, 2018 and bears interest at the Eurodollar Rate (as defined in the Restated Credit Agreement) plus 2.25%, (2) a $769,375 senior secured term loan facility (“Term Loan B”) which will mature on May 15, 2019 and bears interest at the Eurodollar Rate plus 2.50% with a floor of 0.75% and (3) a $200,000 senior secured revolving credit facility which will mature on May 15, 2018. The proceeds from the Term Loan A were used to refinance a portion of our existing Term Loan B (formerly described in our Form 10-K as the “Term Loan”). The terms and amounts of the senior secured revolving credit facility are unchanged with the exception of the maturity date which was extended from May 15, 2017. The Restated Credit Agreement does not contain any material changes to existing covenants or other terms of the Credit Agreement, except as described above. The interest rates on Term Loan A and Term Loan B were 2.44% and 3.25%, respectively, as of June 30, 2013.
Wendy’s incurred $5,811 in fees related to the refinancing, which are being amortized to “Interest expense” utilizing the effective interest rate method through the maturities of the related debt instruments.
</t>
        </r>
      </text>
    </comment>
    <comment ref="A91" authorId="4">
      <text>
        <r>
          <rPr>
            <b/>
            <sz val="8"/>
            <color indexed="81"/>
            <rFont val="Tahoma"/>
            <family val="2"/>
          </rPr>
          <t>Jake Bartlett:</t>
        </r>
        <r>
          <rPr>
            <sz val="8"/>
            <color indexed="81"/>
            <rFont val="Tahoma"/>
            <family val="2"/>
          </rPr>
          <t xml:space="preserve">
2Q13 10Q:
Other includes $4,988 of debt resulting from the consolidation of the Japan JV in the second quarter of 2013. The carrying amount of the long-term debt approximates fair value.</t>
        </r>
      </text>
    </comment>
    <comment ref="CK93" authorId="4">
      <text>
        <r>
          <rPr>
            <b/>
            <sz val="8"/>
            <color indexed="81"/>
            <rFont val="Tahoma"/>
            <family val="2"/>
          </rPr>
          <t>Jake Bartlett:</t>
        </r>
        <r>
          <rPr>
            <sz val="8"/>
            <color indexed="81"/>
            <rFont val="Tahoma"/>
            <family val="2"/>
          </rPr>
          <t xml:space="preserve">
02Q13 10Q
As of June 30, 2013, we classified our 6.20% senior notes in “Current portion of long-term debt” in our condensed consolidated balance sheet as the debt is due in June of 2014.</t>
        </r>
      </text>
    </comment>
    <comment ref="A102" authorId="4">
      <text>
        <r>
          <rPr>
            <b/>
            <sz val="8"/>
            <color indexed="81"/>
            <rFont val="Tahoma"/>
            <family val="2"/>
          </rPr>
          <t>Jake Bartlett:</t>
        </r>
        <r>
          <rPr>
            <sz val="8"/>
            <color indexed="81"/>
            <rFont val="Tahoma"/>
            <family val="2"/>
          </rPr>
          <t xml:space="preserve">
2Q13 10Q:
Other includes $4,988 of debt resulting from the consolidation of the Japan JV in the second quarter of 2013. The carrying amount of the long-term debt approximates fair value.</t>
        </r>
      </text>
    </comment>
    <comment ref="DB130" authorId="2">
      <text>
        <r>
          <rPr>
            <b/>
            <sz val="9"/>
            <color indexed="81"/>
            <rFont val="Tahoma"/>
            <family val="2"/>
          </rPr>
          <t>O'Brien, Courtney (Research):</t>
        </r>
        <r>
          <rPr>
            <sz val="9"/>
            <color indexed="81"/>
            <rFont val="Tahoma"/>
            <family val="2"/>
          </rPr>
          <t xml:space="preserve">
</t>
        </r>
      </text>
    </comment>
  </commentList>
</comments>
</file>

<file path=xl/comments4.xml><?xml version="1.0" encoding="utf-8"?>
<comments xmlns="http://schemas.openxmlformats.org/spreadsheetml/2006/main">
  <authors>
    <author>Jon Tower</author>
    <author>glassjoh</author>
    <author>O'Brien, Courtney (Research)</author>
    <author>Sushama Dasari</author>
    <author>Carril, Christopher E (Research)</author>
    <author>Bartlett, Jake (Research)</author>
    <author>Jake Bartlett</author>
    <author>John Glass</author>
    <author>Glass, John (Research)</author>
  </authors>
  <commentList>
    <comment ref="A14" authorId="0">
      <text>
        <r>
          <rPr>
            <b/>
            <sz val="8"/>
            <color indexed="81"/>
            <rFont val="Tahoma"/>
            <family val="2"/>
          </rPr>
          <t>Jon Tower:</t>
        </r>
        <r>
          <rPr>
            <sz val="8"/>
            <color indexed="81"/>
            <rFont val="Tahoma"/>
            <family val="2"/>
          </rPr>
          <t xml:space="preserve">
Properties and depreciation and amortization
Properties are stated at cost, including internal costs of employees to the extent such employees are dedicated to specific restaurant construction projects, less accumulated depreciation and amortization.  Depreciation and amortization of properties is computed principally on the straight-line basis using the following estimated useful lives of the related major classes of properties:  1 to 15 years for office and restaurant equipment, 3 to 15 years for transportation equipment, 7 to 30 years for buildings and 7 to 20 years for owned site improvements.  Leased assets capitalized and leasehold improvements are amortized over the shorter of their estimated useful lives or the terms of the respective leases, including periods covered by renewal options that the Company believes it is reasonably assured of exercising.
Other intangible assets are amortized on the straight-line basis using the following estimated useful lives of the related classes of intangibles: the terms of the respective leases, including periods covered by renewal options that the Company is reasonably assured of exercising, for favorable leases; 21 years for franchise agreements, 1 to 5 years for costs of computer software, 20 years for reacquired rights under franchise agreements, 15 years for trademarks with a definite life and distribution rights, except those acquired in the Wendy’s Merger, and 3 to 8 years for non-compete agreements. Trademarks acquired in the Wendy’s Merger have an indefinite life and are not amortized. Asset management contracts, through the date of the Deerfield Sale, were amortized on the straight-line basis over their estimated lives of 5 to 27 years for CDO contracts and 15 years for contracts under which the Company managed investment funds</t>
        </r>
      </text>
    </comment>
    <comment ref="A15" authorId="0">
      <text>
        <r>
          <rPr>
            <b/>
            <sz val="8"/>
            <color indexed="81"/>
            <rFont val="Tahoma"/>
            <family val="2"/>
          </rPr>
          <t>Jon Tower:</t>
        </r>
        <r>
          <rPr>
            <sz val="8"/>
            <color indexed="81"/>
            <rFont val="Tahoma"/>
            <family val="2"/>
          </rPr>
          <t xml:space="preserve">
Long-lived assets
The Company reviews its long-lived assets for impairment whenever events or changes in circumstances indicate that the carrying amount of an asset may not be recoverable.  If such review indicates an asset may not be recoverable, an impairment loss is recognized for the excess of the carrying amount over the fair value of an asset to be held and used or over the fair value less cost to sell of an asset to be disposed.
</t>
        </r>
      </text>
    </comment>
    <comment ref="BT15" authorId="0">
      <text>
        <r>
          <rPr>
            <b/>
            <sz val="8"/>
            <color indexed="81"/>
            <rFont val="Tahoma"/>
            <family val="2"/>
          </rPr>
          <t>Jon Tower:</t>
        </r>
        <r>
          <rPr>
            <sz val="8"/>
            <color indexed="81"/>
            <rFont val="Tahoma"/>
            <family val="2"/>
          </rPr>
          <t xml:space="preserve">
Severance payments of approximately $3.2 million related to our Wendy’s merger integration program; and</t>
        </r>
      </text>
    </comment>
    <comment ref="CE29" authorId="1">
      <text>
        <r>
          <rPr>
            <b/>
            <sz val="8"/>
            <color indexed="81"/>
            <rFont val="Tahoma"/>
            <family val="2"/>
          </rPr>
          <t>glassjoh:</t>
        </r>
        <r>
          <rPr>
            <sz val="8"/>
            <color indexed="81"/>
            <rFont val="Tahoma"/>
            <family val="2"/>
          </rPr>
          <t xml:space="preserve">
Includes sale of Jurlique</t>
        </r>
      </text>
    </comment>
    <comment ref="CV29" authorId="2">
      <text>
        <r>
          <rPr>
            <b/>
            <sz val="9"/>
            <color indexed="81"/>
            <rFont val="Tahoma"/>
            <family val="2"/>
          </rPr>
          <t>O'Brien, Courtney (Research):</t>
        </r>
        <r>
          <rPr>
            <sz val="9"/>
            <color indexed="81"/>
            <rFont val="Tahoma"/>
            <family val="2"/>
          </rPr>
          <t xml:space="preserve">
gains on disposal of bakers + system opt gains</t>
        </r>
      </text>
    </comment>
    <comment ref="CF30" authorId="3">
      <text>
        <r>
          <rPr>
            <b/>
            <sz val="8"/>
            <color indexed="81"/>
            <rFont val="Tahoma"/>
            <family val="2"/>
          </rPr>
          <t>Sushama Dasari:</t>
        </r>
        <r>
          <rPr>
            <sz val="8"/>
            <color indexed="81"/>
            <rFont val="Tahoma"/>
            <family val="2"/>
          </rPr>
          <t xml:space="preserve">
Includes $25.195 loss on early extinguishment of debt + $4.148 accretion of long-term debt + $6.694 distributions from JV</t>
        </r>
      </text>
    </comment>
    <comment ref="CG30" authorId="3">
      <text>
        <r>
          <rPr>
            <b/>
            <sz val="8"/>
            <color indexed="81"/>
            <rFont val="Tahoma"/>
            <family val="2"/>
          </rPr>
          <t>Sushama Dasari:</t>
        </r>
        <r>
          <rPr>
            <sz val="8"/>
            <color indexed="81"/>
            <rFont val="Tahoma"/>
            <family val="2"/>
          </rPr>
          <t xml:space="preserve">
Loss on debt extinguishment</t>
        </r>
      </text>
    </comment>
    <comment ref="CV30" authorId="2">
      <text>
        <r>
          <rPr>
            <b/>
            <sz val="9"/>
            <color indexed="81"/>
            <rFont val="Tahoma"/>
            <family val="2"/>
          </rPr>
          <t>O'Brien, Courtney (Research):</t>
        </r>
        <r>
          <rPr>
            <sz val="9"/>
            <color indexed="81"/>
            <rFont val="Tahoma"/>
            <family val="2"/>
          </rPr>
          <t xml:space="preserve">
</t>
        </r>
      </text>
    </comment>
    <comment ref="CE31" authorId="1">
      <text>
        <r>
          <rPr>
            <b/>
            <sz val="8"/>
            <color indexed="81"/>
            <rFont val="Tahoma"/>
            <family val="2"/>
          </rPr>
          <t>glassjoh:</t>
        </r>
        <r>
          <rPr>
            <sz val="8"/>
            <color indexed="81"/>
            <rFont val="Tahoma"/>
            <family val="2"/>
          </rPr>
          <t xml:space="preserve">
$20 m coke rebate in 2Q istead of 1Q this yr</t>
        </r>
      </text>
    </comment>
    <comment ref="DM31" authorId="4">
      <text>
        <r>
          <rPr>
            <b/>
            <sz val="9"/>
            <color indexed="81"/>
            <rFont val="Tahoma"/>
            <family val="2"/>
          </rPr>
          <t>Carril, Christopher E (Research):</t>
        </r>
        <r>
          <rPr>
            <sz val="9"/>
            <color indexed="81"/>
            <rFont val="Tahoma"/>
            <family val="2"/>
          </rPr>
          <t xml:space="preserve">
11.8.2017
And don't forget, we also have year 2 of our core working capital initiative that we are kicking off really in the fourth quarter
of this year, which majority of the effect will bleed in 2018.</t>
        </r>
      </text>
    </comment>
    <comment ref="CE36" authorId="3">
      <text>
        <r>
          <rPr>
            <b/>
            <sz val="8"/>
            <color indexed="81"/>
            <rFont val="Tahoma"/>
            <family val="2"/>
          </rPr>
          <t>Sushama Dasari:</t>
        </r>
        <r>
          <rPr>
            <sz val="8"/>
            <color indexed="81"/>
            <rFont val="Tahoma"/>
            <family val="2"/>
          </rPr>
          <t xml:space="preserve">
Large outflow from A/P</t>
        </r>
      </text>
    </comment>
    <comment ref="DF36" authorId="2">
      <text>
        <r>
          <rPr>
            <b/>
            <sz val="9"/>
            <color indexed="81"/>
            <rFont val="Tahoma"/>
            <family val="2"/>
          </rPr>
          <t>O'Brien, Courtney (Research):</t>
        </r>
        <r>
          <rPr>
            <sz val="9"/>
            <color indexed="81"/>
            <rFont val="Tahoma"/>
            <family val="2"/>
          </rPr>
          <t xml:space="preserve">
5.10.17
As far as costs go, we expect total cash expenditures to be around $23 million to $27 million, which will start to be incurred in the second half of this year and finishing in 2019. About half of these cash expenditures are expected to occur in 2018.
 The total costs expected to be incurred are comprised of (1) severance and related employee costs of approximately  $17-19M , (2) share-based compensation costs of approximately  $5-6M , (3) recruitment and relocation costs of approximately  $4-5M  and (4) third-party and other costs of approximately  $2-3M . </t>
        </r>
      </text>
    </comment>
    <comment ref="DG36" authorId="2">
      <text>
        <r>
          <rPr>
            <b/>
            <sz val="9"/>
            <color indexed="81"/>
            <rFont val="Tahoma"/>
            <family val="2"/>
          </rPr>
          <t>O'Brien, Courtney (Research):</t>
        </r>
        <r>
          <rPr>
            <sz val="9"/>
            <color indexed="81"/>
            <rFont val="Tahoma"/>
            <family val="2"/>
          </rPr>
          <t xml:space="preserve">
5.10.17
As far as costs go, we expect total cash expenditures to be around $23 million to $27 million, which will start to be incurred in the second half of this year and finishing in 2019. About half of these cash expenditures are expected to occur in 2018.
 The total costs expected to be incurred are comprised of (1) severance and related employee costs of approximately  $17-19M , (2) share-based compensation costs of approximately  $5-6M , (3) recruitment and relocation costs of approximately  $4-5M  and (4) third-party and other costs of approximately  $2-3M . </t>
        </r>
      </text>
    </comment>
    <comment ref="DH36" authorId="2">
      <text>
        <r>
          <rPr>
            <b/>
            <sz val="9"/>
            <color indexed="81"/>
            <rFont val="Tahoma"/>
            <family val="2"/>
          </rPr>
          <t>O'Brien, Courtney (Research):</t>
        </r>
        <r>
          <rPr>
            <sz val="9"/>
            <color indexed="81"/>
            <rFont val="Tahoma"/>
            <family val="2"/>
          </rPr>
          <t xml:space="preserve">
5.10.17
As far as costs go, we expect total cash expenditures to be around $23 million to $27 million, which will start to be incurred in the second half of this year and finishing in 2019. About half of these cash expenditures are expected to occur in 2018.
 The total costs expected to be incurred are comprised of (1) severance and related employee costs of approximately  $17-19M , (2) share-based compensation costs of approximately  $5-6M , (3) recruitment and relocation costs of approximately  $4-5M  and (4) third-party and other costs of approximately  $2-3M . </t>
        </r>
      </text>
    </comment>
    <comment ref="DI36" authorId="2">
      <text>
        <r>
          <rPr>
            <b/>
            <sz val="9"/>
            <color indexed="81"/>
            <rFont val="Tahoma"/>
            <family val="2"/>
          </rPr>
          <t>O'Brien, Courtney (Research):</t>
        </r>
        <r>
          <rPr>
            <sz val="9"/>
            <color indexed="81"/>
            <rFont val="Tahoma"/>
            <family val="2"/>
          </rPr>
          <t xml:space="preserve">
5.10.17
As far as costs go, we expect total cash expenditures to be around $23 million to $27 million, which will start to be incurred in the second half of this year and finishing in 2019. About half of these cash expenditures are expected to occur in 2018.
 The total costs expected to be incurred are comprised of (1) severance and related employee costs of approximately  $17-19M , (2) share-based compensation costs of approximately  $5-6M , (3) recruitment and relocation costs of approximately  $4-5M  and (4) third-party and other costs of approximately  $2-3M . </t>
        </r>
      </text>
    </comment>
    <comment ref="DJ36" authorId="2">
      <text>
        <r>
          <rPr>
            <b/>
            <sz val="9"/>
            <color indexed="81"/>
            <rFont val="Tahoma"/>
            <family val="2"/>
          </rPr>
          <t>O'Brien, Courtney (Research):</t>
        </r>
        <r>
          <rPr>
            <sz val="9"/>
            <color indexed="81"/>
            <rFont val="Tahoma"/>
            <family val="2"/>
          </rPr>
          <t xml:space="preserve">
5.10.17
As far as costs go, we expect total cash expenditures to be around $23 million to $27 million, which will start to be incurred in the second half of this year and finishing in 2019. About half of these cash expenditures are expected to occur in 2018.
 The total costs expected to be incurred are comprised of (1) severance and related employee costs of approximately  $17-19M , (2) share-based compensation costs of approximately  $5-6M , (3) recruitment and relocation costs of approximately  $4-5M  and (4) third-party and other costs of approximately  $2-3M . </t>
        </r>
      </text>
    </comment>
    <comment ref="DK36" authorId="2">
      <text>
        <r>
          <rPr>
            <b/>
            <sz val="9"/>
            <color indexed="81"/>
            <rFont val="Tahoma"/>
            <family val="2"/>
          </rPr>
          <t>O'Brien, Courtney (Research):</t>
        </r>
        <r>
          <rPr>
            <sz val="9"/>
            <color indexed="81"/>
            <rFont val="Tahoma"/>
            <family val="2"/>
          </rPr>
          <t xml:space="preserve">
5.10.17
As far as costs go, we expect total cash expenditures to be around $23 million to $27 million, which will start to be incurred in the second half of this year and finishing in 2019. About half of these cash expenditures are expected to occur in 2018.
 The total costs expected to be incurred are comprised of (1) severance and related employee costs of approximately  $17-19M , (2) share-based compensation costs of approximately  $5-6M , (3) recruitment and relocation costs of approximately  $4-5M  and (4) third-party and other costs of approximately  $2-3M . </t>
        </r>
      </text>
    </comment>
    <comment ref="DL36" authorId="2">
      <text>
        <r>
          <rPr>
            <b/>
            <sz val="9"/>
            <color indexed="81"/>
            <rFont val="Tahoma"/>
            <family val="2"/>
          </rPr>
          <t>O'Brien, Courtney (Research):</t>
        </r>
        <r>
          <rPr>
            <sz val="9"/>
            <color indexed="81"/>
            <rFont val="Tahoma"/>
            <family val="2"/>
          </rPr>
          <t xml:space="preserve">
5.10.17
As far as costs go, we expect total cash expenditures to be around $23 million to $27 million, which will start to be incurred in the second half of this year and finishing in 2019. About half of these cash expenditures are expected to occur in 2018.
 The total costs expected to be incurred are comprised of (1) severance and related employee costs of approximately  $17-19M , (2) share-based compensation costs of approximately  $5-6M , (3) recruitment and relocation costs of approximately  $4-5M  and (4) third-party and other costs of approximately  $2-3M . </t>
        </r>
      </text>
    </comment>
    <comment ref="DM36" authorId="2">
      <text>
        <r>
          <rPr>
            <b/>
            <sz val="9"/>
            <color indexed="81"/>
            <rFont val="Tahoma"/>
            <family val="2"/>
          </rPr>
          <t>O'Brien, Courtney (Research):</t>
        </r>
        <r>
          <rPr>
            <sz val="9"/>
            <color indexed="81"/>
            <rFont val="Tahoma"/>
            <family val="2"/>
          </rPr>
          <t xml:space="preserve">
5.10.17
As far as costs go, we expect total cash expenditures to be around $23 million to $27 million, which will start to be incurred in the second half of this year and finishing in 2019. About half of these cash expenditures are expected to occur in 2018.
 The total costs expected to be incurred are comprised of (1) severance and related employee costs of approximately  $17-19M , (2) share-based compensation costs of approximately  $5-6M , (3) recruitment and relocation costs of approximately  $4-5M  and (4) third-party and other costs of approximately  $2-3M . </t>
        </r>
      </text>
    </comment>
    <comment ref="DN36" authorId="2">
      <text>
        <r>
          <rPr>
            <b/>
            <sz val="9"/>
            <color indexed="81"/>
            <rFont val="Tahoma"/>
            <family val="2"/>
          </rPr>
          <t>O'Brien, Courtney (Research):</t>
        </r>
        <r>
          <rPr>
            <sz val="9"/>
            <color indexed="81"/>
            <rFont val="Tahoma"/>
            <family val="2"/>
          </rPr>
          <t xml:space="preserve">
5.10.17
As far as costs go, we expect total cash expenditures to be around $23 million to $27 million, which will start to be incurred in the second half of this year and finishing in 2019. About half of these cash expenditures are expected to occur in 2018.
 The total costs expected to be incurred are comprised of (1) severance and related employee costs of approximately  $17-19M , (2) share-based compensation costs of approximately  $5-6M , (3) recruitment and relocation costs of approximately  $4-5M  and (4) third-party and other costs of approximately  $2-3M . </t>
        </r>
      </text>
    </comment>
    <comment ref="DO36" authorId="2">
      <text>
        <r>
          <rPr>
            <b/>
            <sz val="9"/>
            <color indexed="81"/>
            <rFont val="Tahoma"/>
            <family val="2"/>
          </rPr>
          <t>O'Brien, Courtney (Research):</t>
        </r>
        <r>
          <rPr>
            <sz val="9"/>
            <color indexed="81"/>
            <rFont val="Tahoma"/>
            <family val="2"/>
          </rPr>
          <t xml:space="preserve">
5.10.17
As far as costs go, we expect total cash expenditures to be around $23 million to $27 million, which will start to be incurred in the second half of this year and finishing in 2019. About half of these cash expenditures are expected to occur in 2018.
 The total costs expected to be incurred are comprised of (1) severance and related employee costs of approximately  $17-19M , (2) share-based compensation costs of approximately  $5-6M , (3) recruitment and relocation costs of approximately  $4-5M  and (4) third-party and other costs of approximately  $2-3M . </t>
        </r>
      </text>
    </comment>
    <comment ref="BS37" authorId="0">
      <text>
        <r>
          <rPr>
            <b/>
            <sz val="8"/>
            <color indexed="81"/>
            <rFont val="Tahoma"/>
            <family val="2"/>
          </rPr>
          <t>Jon Tower:</t>
        </r>
        <r>
          <rPr>
            <sz val="8"/>
            <color indexed="81"/>
            <rFont val="Tahoma"/>
            <family val="2"/>
          </rPr>
          <t xml:space="preserve">
11.5.09
We expect positive cash flows from continuing operating activities during the fourth quarter of 2009.</t>
        </r>
      </text>
    </comment>
    <comment ref="DC37" authorId="2">
      <text>
        <r>
          <rPr>
            <b/>
            <sz val="9"/>
            <color indexed="81"/>
            <rFont val="Tahoma"/>
            <family val="2"/>
          </rPr>
          <t>O'Brien, Courtney (Research):</t>
        </r>
        <r>
          <rPr>
            <sz val="9"/>
            <color indexed="81"/>
            <rFont val="Tahoma"/>
            <family val="2"/>
          </rPr>
          <t xml:space="preserve">
10.11.16
 $180 to $200 million. 
8.4.16
$185-220M</t>
        </r>
      </text>
    </comment>
    <comment ref="DH37" authorId="2">
      <text>
        <r>
          <rPr>
            <b/>
            <sz val="9"/>
            <color indexed="81"/>
            <rFont val="Tahoma"/>
            <family val="2"/>
          </rPr>
          <t xml:space="preserve">2.22.2018
</t>
        </r>
        <r>
          <rPr>
            <sz val="9"/>
            <color indexed="81"/>
            <rFont val="Tahoma"/>
            <family val="2"/>
          </rPr>
          <t>Our working capital initiatives started in the fourth quarter and provided a $7 million benefit, which help to offset that the cash payments related to our G&amp;A savings initiatives. The majority of the benefit from our core working capital improvement will occur in 2018, which I will discuss a little later.</t>
        </r>
        <r>
          <rPr>
            <b/>
            <sz val="9"/>
            <color indexed="81"/>
            <rFont val="Tahoma"/>
            <family val="2"/>
          </rPr>
          <t xml:space="preserve">
11.8.2017
</t>
        </r>
        <r>
          <rPr>
            <sz val="9"/>
            <color indexed="81"/>
            <rFont val="Tahoma"/>
            <family val="2"/>
          </rPr>
          <t>$250-265M</t>
        </r>
        <r>
          <rPr>
            <b/>
            <sz val="9"/>
            <color indexed="81"/>
            <rFont val="Tahoma"/>
            <family val="2"/>
          </rPr>
          <t xml:space="preserve">
8.2.17
</t>
        </r>
        <r>
          <rPr>
            <sz val="9"/>
            <color indexed="81"/>
            <rFont val="Tahoma"/>
            <family val="2"/>
          </rPr>
          <t xml:space="preserve">reit 240-275M
</t>
        </r>
        <r>
          <rPr>
            <b/>
            <sz val="9"/>
            <color indexed="81"/>
            <rFont val="Tahoma"/>
            <family val="2"/>
          </rPr>
          <t xml:space="preserve">
5.10.17
</t>
        </r>
        <r>
          <rPr>
            <sz val="9"/>
            <color indexed="81"/>
            <rFont val="Tahoma"/>
            <family val="2"/>
          </rPr>
          <t xml:space="preserve">Cash flows from operations of approximately $240 to $275 million.
</t>
        </r>
        <r>
          <rPr>
            <b/>
            <sz val="9"/>
            <color indexed="81"/>
            <rFont val="Tahoma"/>
            <family val="2"/>
          </rPr>
          <t xml:space="preserve">2.16.17
</t>
        </r>
        <r>
          <rPr>
            <sz val="9"/>
            <color indexed="81"/>
            <rFont val="Tahoma"/>
            <family val="2"/>
          </rPr>
          <t>$240 to $275 million</t>
        </r>
      </text>
    </comment>
    <comment ref="DM37" authorId="2">
      <text>
        <r>
          <rPr>
            <b/>
            <sz val="9"/>
            <color indexed="81"/>
            <rFont val="Tahoma"/>
            <family val="2"/>
          </rPr>
          <t>O'Brien, Courtney (Research):</t>
        </r>
        <r>
          <rPr>
            <sz val="9"/>
            <color indexed="81"/>
            <rFont val="Tahoma"/>
            <family val="2"/>
          </rPr>
          <t xml:space="preserve">
5.10.17
As far as costs go, we expect total cash expenditures to be around $23 million to $27 million, which will start to be incurred in the second half of this year and finishing in 2019. About half of these cash expenditures are expected to occur in 2018</t>
        </r>
      </text>
    </comment>
    <comment ref="DR37" authorId="2">
      <text>
        <r>
          <rPr>
            <b/>
            <sz val="9"/>
            <color indexed="81"/>
            <rFont val="Tahoma"/>
            <family val="2"/>
          </rPr>
          <t>O'Brien, Courtney (Research):</t>
        </r>
        <r>
          <rPr>
            <sz val="9"/>
            <color indexed="81"/>
            <rFont val="Tahoma"/>
            <family val="2"/>
          </rPr>
          <t xml:space="preserve">
5.10.17
As far as costs go, we expect total cash expenditures to be around $23 million to $27 million, which will start to be incurred in the second half of this year and finishing in 2019. About half of these cash expenditures are expected to occur in 2018</t>
        </r>
      </text>
    </comment>
    <comment ref="BY39" authorId="0">
      <text>
        <r>
          <rPr>
            <b/>
            <sz val="8"/>
            <color indexed="81"/>
            <rFont val="Tahoma"/>
            <family val="2"/>
          </rPr>
          <t xml:space="preserve">Jon Tower:
11.12.10
$145M
8.12.10
reiterate $165M
5.13.10
reiterate $165M
</t>
        </r>
        <r>
          <rPr>
            <sz val="8"/>
            <color indexed="81"/>
            <rFont val="Tahoma"/>
            <family val="2"/>
          </rPr>
          <t xml:space="preserve">
3.4.10
Capital expenditures of approximately $165 million in 2010, up from approximately $102 million in 2009, which includes investments in 12 new company-owned Wendy’s restaurants and 100 remodels of company-owned restaurants at each brand (200 total remodels).</t>
        </r>
      </text>
    </comment>
    <comment ref="CD39" authorId="0">
      <text>
        <r>
          <rPr>
            <b/>
            <sz val="8"/>
            <color indexed="81"/>
            <rFont val="Tahoma"/>
            <family val="2"/>
          </rPr>
          <t xml:space="preserve">Jon Tower:
11.9.11
Capital expenditures for the Wendy’s brand of approximately $145 million.
8.11.11
Capital expenditures for the Wendy‟s brand of approximately $145 million.
5.10.11
Capital expenditures for the Wendy‟s brand of approximately $145 million.
</t>
        </r>
        <r>
          <rPr>
            <sz val="8"/>
            <color indexed="81"/>
            <rFont val="Tahoma"/>
            <family val="2"/>
          </rPr>
          <t xml:space="preserve">
1.26.11
Capital expenditures for the Wendy’s brand of approximately $145 million
New units = $31
remodels = $27m (100 stores, $270k each)
Maint = $36 m
Technology = $12 M
other proj. = $39 m</t>
        </r>
      </text>
    </comment>
    <comment ref="CI39" authorId="0">
      <text>
        <r>
          <rPr>
            <b/>
            <sz val="8"/>
            <color indexed="81"/>
            <rFont val="Tahoma"/>
            <family val="2"/>
          </rPr>
          <t xml:space="preserve">Sushama Dasari:
11.8.12
</t>
        </r>
        <r>
          <rPr>
            <sz val="8"/>
            <color indexed="81"/>
            <rFont val="Tahoma"/>
            <family val="2"/>
          </rPr>
          <t>Expect $85M cap ex in 2012 from company-operated Image Activation (48 rebuilds + 16 new builds out of 19 opened)</t>
        </r>
        <r>
          <rPr>
            <b/>
            <sz val="8"/>
            <color indexed="81"/>
            <rFont val="Tahoma"/>
            <family val="2"/>
          </rPr>
          <t xml:space="preserve">
</t>
        </r>
        <r>
          <rPr>
            <b/>
            <sz val="8"/>
            <color indexed="81"/>
            <rFont val="Tahoma"/>
            <family val="2"/>
          </rPr>
          <t>8.8.12:</t>
        </r>
        <r>
          <rPr>
            <sz val="8"/>
            <color indexed="81"/>
            <rFont val="Tahoma"/>
            <family val="2"/>
          </rPr>
          <t xml:space="preserve">
Affirmed $225MM cap ex in 2012. Expect $80MM cap ex in 2012 from Image Activation (50 rebuilds + 17 new builds)
</t>
        </r>
        <r>
          <rPr>
            <b/>
            <sz val="8"/>
            <color indexed="81"/>
            <rFont val="Tahoma"/>
            <family val="2"/>
          </rPr>
          <t xml:space="preserve">
</t>
        </r>
        <r>
          <rPr>
            <sz val="8"/>
            <color indexed="81"/>
            <rFont val="Tahoma"/>
            <family val="2"/>
          </rPr>
          <t xml:space="preserve">
1.30.12
Capital expenditures for the Wendy‟s brand of approximately $225 million, an increase of $78 million compared to $147 million in 2011. This estimate includes “Image Activation” designs at 20 new and 50 remodeled Company-operated restaurants in North America. The capital expenditures estimate also includes an upgrade of restaurant point-of-sale technology.
$40mn new stores
$40mn remodels
$65mn restaurant equip/maintenance
$20mn pdt development
$30mn tech
$30mn OTHER
</t>
        </r>
      </text>
    </comment>
    <comment ref="CN39" authorId="1">
      <text>
        <r>
          <rPr>
            <b/>
            <sz val="8"/>
            <color indexed="81"/>
            <rFont val="Tahoma"/>
            <family val="2"/>
          </rPr>
          <t xml:space="preserve">11.7.13
</t>
        </r>
        <r>
          <rPr>
            <sz val="8"/>
            <color indexed="81"/>
            <rFont val="Tahoma"/>
            <family val="2"/>
          </rPr>
          <t xml:space="preserve">$235m capex in FY13, $145mm for image reactivation with 25 new and 100 reimages company units.
</t>
        </r>
        <r>
          <rPr>
            <b/>
            <sz val="8"/>
            <color indexed="81"/>
            <rFont val="Tahoma"/>
            <family val="2"/>
          </rPr>
          <t xml:space="preserve">
7.23.13
</t>
        </r>
        <r>
          <rPr>
            <sz val="8"/>
            <color indexed="81"/>
            <rFont val="Tahoma"/>
            <family val="2"/>
          </rPr>
          <t xml:space="preserve">Reiterated $245m capex in FY13, $145mm for image reactivation with 25 new and 100 reimages company units.
</t>
        </r>
        <r>
          <rPr>
            <b/>
            <sz val="8"/>
            <color indexed="81"/>
            <rFont val="Tahoma"/>
            <family val="2"/>
          </rPr>
          <t xml:space="preserve">5.8.13
</t>
        </r>
        <r>
          <rPr>
            <sz val="8"/>
            <color indexed="81"/>
            <rFont val="Tahoma"/>
            <family val="2"/>
          </rPr>
          <t>Reiterated $245m capex in FY13, $145mm for image reactivation with 25 new and 100 reimages company units.</t>
        </r>
        <r>
          <rPr>
            <b/>
            <sz val="8"/>
            <color indexed="81"/>
            <rFont val="Tahoma"/>
            <family val="2"/>
          </rPr>
          <t xml:space="preserve">
1.16.13
</t>
        </r>
        <r>
          <rPr>
            <sz val="8"/>
            <color indexed="81"/>
            <rFont val="Tahoma"/>
            <family val="2"/>
          </rPr>
          <t>Confirmed $245M cap ex in FY13 ($145M for Image Activation, $50M from new and $95M from remodels), but may end up being $225-245M due to underspending</t>
        </r>
        <r>
          <rPr>
            <b/>
            <sz val="8"/>
            <color indexed="81"/>
            <rFont val="Tahoma"/>
            <family val="2"/>
          </rPr>
          <t xml:space="preserve">
</t>
        </r>
        <r>
          <rPr>
            <b/>
            <sz val="8"/>
            <color indexed="81"/>
            <rFont val="Tahoma"/>
            <family val="2"/>
          </rPr>
          <t xml:space="preserve">11.8.12
</t>
        </r>
        <r>
          <rPr>
            <sz val="8"/>
            <color indexed="81"/>
            <rFont val="Tahoma"/>
            <family val="2"/>
          </rPr>
          <t>For 2013, Wendy’s plans to reimage 100 and build 25 new Company-operated restaurants with Image Activation designs and expects that franchisees will reimage approximately 100 and build 40 new restaurants.</t>
        </r>
        <r>
          <rPr>
            <b/>
            <sz val="8"/>
            <color indexed="81"/>
            <rFont val="Tahoma"/>
            <family val="2"/>
          </rPr>
          <t xml:space="preserve">
</t>
        </r>
        <r>
          <rPr>
            <sz val="8"/>
            <color indexed="81"/>
            <rFont val="Tahoma"/>
            <family val="2"/>
          </rPr>
          <t xml:space="preserve">
6.12: annual avg capex from 12-15 = $245 - $265, inclding $100 M base plus $145 - $165 M in remodeling capex</t>
        </r>
      </text>
    </comment>
    <comment ref="CR39" authorId="5">
      <text>
        <r>
          <rPr>
            <b/>
            <sz val="9"/>
            <color indexed="81"/>
            <rFont val="Tahoma"/>
            <family val="2"/>
          </rPr>
          <t>3Q 10Q:</t>
        </r>
        <r>
          <rPr>
            <sz val="9"/>
            <color indexed="81"/>
            <rFont val="Tahoma"/>
            <family val="2"/>
          </rPr>
          <t xml:space="preserve">
$87.1M capex in 4Q, for $285M total</t>
        </r>
      </text>
    </comment>
    <comment ref="CS39" authorId="3">
      <text>
        <r>
          <rPr>
            <b/>
            <sz val="8"/>
            <color indexed="81"/>
            <rFont val="Tahoma"/>
            <family val="2"/>
          </rPr>
          <t xml:space="preserve">11.6.14:
</t>
        </r>
        <r>
          <rPr>
            <sz val="8"/>
            <color indexed="81"/>
            <rFont val="Tahoma"/>
            <family val="2"/>
          </rPr>
          <t>$280-290M. 10Q lists $285M target</t>
        </r>
        <r>
          <rPr>
            <b/>
            <sz val="8"/>
            <color indexed="81"/>
            <rFont val="Tahoma"/>
            <family val="2"/>
          </rPr>
          <t xml:space="preserve">
8.7.14
</t>
        </r>
        <r>
          <rPr>
            <sz val="8"/>
            <color indexed="81"/>
            <rFont val="Tahoma"/>
            <family val="2"/>
          </rPr>
          <t>$285M guidance</t>
        </r>
        <r>
          <rPr>
            <b/>
            <sz val="8"/>
            <color indexed="81"/>
            <rFont val="Tahoma"/>
            <family val="2"/>
          </rPr>
          <t xml:space="preserve">
5.8.14:</t>
        </r>
        <r>
          <rPr>
            <sz val="8"/>
            <color indexed="81"/>
            <rFont val="Tahoma"/>
            <family val="2"/>
          </rPr>
          <t xml:space="preserve">
$280-290M guidance including $215M company-operated IA units (reimaged and new)</t>
        </r>
        <r>
          <rPr>
            <b/>
            <sz val="8"/>
            <color indexed="81"/>
            <rFont val="Tahoma"/>
            <family val="2"/>
          </rPr>
          <t xml:space="preserve">
2.27.14
</t>
        </r>
        <r>
          <rPr>
            <sz val="8"/>
            <color indexed="81"/>
            <rFont val="Tahoma"/>
            <family val="2"/>
          </rPr>
          <t>$285M guidance</t>
        </r>
        <r>
          <rPr>
            <b/>
            <sz val="8"/>
            <color indexed="81"/>
            <rFont val="Tahoma"/>
            <family val="2"/>
          </rPr>
          <t xml:space="preserve">
1.13.14
</t>
        </r>
        <r>
          <rPr>
            <sz val="8"/>
            <color indexed="81"/>
            <rFont val="Tahoma"/>
            <family val="2"/>
          </rPr>
          <t xml:space="preserve">2014 capex: $280-290M
2015 capex: $275-300M
2016 capex: $250-275M
2017 capex: $175-200M
2018 capex: $100-125M
</t>
        </r>
        <r>
          <rPr>
            <sz val="8"/>
            <color indexed="81"/>
            <rFont val="Tahoma"/>
            <family val="2"/>
          </rPr>
          <t xml:space="preserve">
</t>
        </r>
        <r>
          <rPr>
            <b/>
            <sz val="8"/>
            <color indexed="81"/>
            <rFont val="Tahoma"/>
            <family val="2"/>
          </rPr>
          <t xml:space="preserve">2.4.13
10K:
</t>
        </r>
        <r>
          <rPr>
            <sz val="8"/>
            <color indexed="81"/>
            <rFont val="Tahoma"/>
            <family val="2"/>
          </rPr>
          <t>$285M capex</t>
        </r>
        <r>
          <rPr>
            <b/>
            <sz val="8"/>
            <color indexed="81"/>
            <rFont val="Tahoma"/>
            <family val="2"/>
          </rPr>
          <t xml:space="preserve">
2014 cap ex: $265M
2015 cap ex: $265M
</t>
        </r>
        <r>
          <rPr>
            <sz val="8"/>
            <color indexed="81"/>
            <rFont val="Tahoma"/>
            <family val="2"/>
          </rPr>
          <t xml:space="preserve">Base capex in 2013: $100M
Image Activation spending in 2013: $145M
Expect $160-170M IA spending in '14 and '15 (evenly split since same # company IAs expected each year). Add to that base cap ex of $100M (from '13) staying flat
</t>
        </r>
        <r>
          <rPr>
            <sz val="8"/>
            <color indexed="81"/>
            <rFont val="Tahoma"/>
            <family val="2"/>
          </rPr>
          <t xml:space="preserve">
</t>
        </r>
        <r>
          <rPr>
            <b/>
            <sz val="8"/>
            <color indexed="81"/>
            <rFont val="Tahoma"/>
            <family val="2"/>
          </rPr>
          <t xml:space="preserve">1.16.13
</t>
        </r>
        <r>
          <rPr>
            <sz val="8"/>
            <color indexed="81"/>
            <rFont val="Tahoma"/>
            <family val="2"/>
          </rPr>
          <t>Expect $440-500M spending on Image Activation between 2013-2015</t>
        </r>
        <r>
          <rPr>
            <sz val="8"/>
            <color indexed="81"/>
            <rFont val="Tahoma"/>
            <family val="2"/>
          </rPr>
          <t xml:space="preserve">
</t>
        </r>
        <r>
          <rPr>
            <b/>
            <sz val="8"/>
            <color indexed="81"/>
            <rFont val="Tahoma"/>
            <family val="2"/>
          </rPr>
          <t xml:space="preserve">11.8.12
</t>
        </r>
        <r>
          <rPr>
            <sz val="8"/>
            <color indexed="81"/>
            <rFont val="Tahoma"/>
            <family val="2"/>
          </rPr>
          <t xml:space="preserve">Have the financial flexibility to invest up to $500
million for Image Activation by the end of 2015 to reach our goal of re-imaging 50% of our Company restaurants. </t>
        </r>
      </text>
    </comment>
    <comment ref="CW39" authorId="5">
      <text>
        <r>
          <rPr>
            <b/>
            <sz val="9"/>
            <color indexed="81"/>
            <rFont val="Tahoma"/>
            <family val="2"/>
          </rPr>
          <t>3Q 10Q:</t>
        </r>
        <r>
          <rPr>
            <sz val="9"/>
            <color indexed="81"/>
            <rFont val="Tahoma"/>
            <family val="2"/>
          </rPr>
          <t xml:space="preserve">
$87.1M capex in 4Q, for $285M total</t>
        </r>
      </text>
    </comment>
    <comment ref="CX39" authorId="3">
      <text>
        <r>
          <rPr>
            <b/>
            <sz val="8"/>
            <color indexed="81"/>
            <rFont val="Tahoma"/>
            <family val="2"/>
          </rPr>
          <t xml:space="preserve">11.4.15
235M-245m
6.3.15: 
Post bakery sale, 2015 capex will be $240-$250 (or ~$10 m lower than prior)
5.15:
capex now $250-$260M, icl $165 M for co. IA
2.3.15
</t>
        </r>
        <r>
          <rPr>
            <sz val="8"/>
            <color indexed="81"/>
            <rFont val="Tahoma"/>
            <family val="2"/>
          </rPr>
          <t xml:space="preserve">$265-275M, includes $135M for reimaging, $45 for 20 new company owned units, $40M for tech investments and $25M for maint. 
</t>
        </r>
        <r>
          <rPr>
            <b/>
            <sz val="8"/>
            <color indexed="81"/>
            <rFont val="Tahoma"/>
            <family val="2"/>
          </rPr>
          <t xml:space="preserve">
1.13.14
</t>
        </r>
        <r>
          <rPr>
            <sz val="8"/>
            <color indexed="81"/>
            <rFont val="Tahoma"/>
            <family val="2"/>
          </rPr>
          <t xml:space="preserve">2014 capex: $280-290M
2015 capex: $275-300M
2016 capex: $250-275M
2017 capex: $175-200M
2018 capex: $100-125M
</t>
        </r>
        <r>
          <rPr>
            <sz val="8"/>
            <color indexed="81"/>
            <rFont val="Tahoma"/>
            <family val="2"/>
          </rPr>
          <t xml:space="preserve">
</t>
        </r>
        <r>
          <rPr>
            <b/>
            <sz val="8"/>
            <color indexed="81"/>
            <rFont val="Tahoma"/>
            <family val="2"/>
          </rPr>
          <t xml:space="preserve">2.4.13
2014 cap ex: $265M
2015 cap ex: $265M
</t>
        </r>
        <r>
          <rPr>
            <sz val="8"/>
            <color indexed="81"/>
            <rFont val="Tahoma"/>
            <family val="2"/>
          </rPr>
          <t xml:space="preserve">Base capex in 2013: $100M
Image Activation spending in 2013: $145M
Expect $160-170M IA spending in '14 and '15 (evenly split since same # company IAs expected each year). Add to that base cap ex of $100M (from '13) staying flat
</t>
        </r>
        <r>
          <rPr>
            <sz val="8"/>
            <color indexed="81"/>
            <rFont val="Tahoma"/>
            <family val="2"/>
          </rPr>
          <t xml:space="preserve">
</t>
        </r>
        <r>
          <rPr>
            <b/>
            <sz val="8"/>
            <color indexed="81"/>
            <rFont val="Tahoma"/>
            <family val="2"/>
          </rPr>
          <t xml:space="preserve">1.16.13
</t>
        </r>
        <r>
          <rPr>
            <sz val="8"/>
            <color indexed="81"/>
            <rFont val="Tahoma"/>
            <family val="2"/>
          </rPr>
          <t>Expect $440-500M spending on Image Activation between 2013-2015</t>
        </r>
        <r>
          <rPr>
            <sz val="8"/>
            <color indexed="81"/>
            <rFont val="Tahoma"/>
            <family val="2"/>
          </rPr>
          <t xml:space="preserve">
</t>
        </r>
        <r>
          <rPr>
            <b/>
            <sz val="8"/>
            <color indexed="81"/>
            <rFont val="Tahoma"/>
            <family val="2"/>
          </rPr>
          <t xml:space="preserve">11.8.12
</t>
        </r>
        <r>
          <rPr>
            <sz val="8"/>
            <color indexed="81"/>
            <rFont val="Tahoma"/>
            <family val="2"/>
          </rPr>
          <t xml:space="preserve">Have the financial flexibility to invest up to $500
million for Image Activation by the end of 2015 to reach our goal of re-imaging 50% of our Company restaurants. </t>
        </r>
      </text>
    </comment>
    <comment ref="DC39" authorId="3">
      <text>
        <r>
          <rPr>
            <b/>
            <sz val="8"/>
            <color indexed="81"/>
            <rFont val="Tahoma"/>
            <family val="2"/>
          </rPr>
          <t xml:space="preserve">11.1.16
~145M
8.10.16
$135-145M
5.11.2016
</t>
        </r>
        <r>
          <rPr>
            <sz val="8"/>
            <color indexed="81"/>
            <rFont val="Tahoma"/>
            <family val="2"/>
          </rPr>
          <t>Reit $135-145M</t>
        </r>
        <r>
          <rPr>
            <b/>
            <sz val="8"/>
            <color indexed="81"/>
            <rFont val="Tahoma"/>
            <family val="2"/>
          </rPr>
          <t xml:space="preserve">
2.9.16
</t>
        </r>
        <r>
          <rPr>
            <sz val="8"/>
            <color indexed="81"/>
            <rFont val="Tahoma"/>
            <family val="2"/>
          </rPr>
          <t xml:space="preserve">$135-145M (RAISED BY $5M)
</t>
        </r>
        <r>
          <rPr>
            <b/>
            <sz val="8"/>
            <color indexed="81"/>
            <rFont val="Tahoma"/>
            <family val="2"/>
          </rPr>
          <t xml:space="preserve">
11.4.15
</t>
        </r>
        <r>
          <rPr>
            <sz val="8"/>
            <color indexed="81"/>
            <rFont val="Tahoma"/>
            <family val="2"/>
          </rPr>
          <t xml:space="preserve">$130-140
</t>
        </r>
        <r>
          <rPr>
            <b/>
            <sz val="8"/>
            <color indexed="81"/>
            <rFont val="Tahoma"/>
            <family val="2"/>
          </rPr>
          <t xml:space="preserve">
6.3.15:
</t>
        </r>
        <r>
          <rPr>
            <sz val="8"/>
            <color indexed="81"/>
            <rFont val="Tahoma"/>
            <family val="2"/>
          </rPr>
          <t>2016 capex will be $130-$140 M psot bakery sales ($5 m less than prior)</t>
        </r>
        <r>
          <rPr>
            <b/>
            <sz val="8"/>
            <color indexed="81"/>
            <rFont val="Tahoma"/>
            <family val="2"/>
          </rPr>
          <t xml:space="preserve">
2.3.15 reit
</t>
        </r>
        <r>
          <rPr>
            <sz val="8"/>
            <color indexed="81"/>
            <rFont val="Tahoma"/>
            <family val="2"/>
          </rPr>
          <t>2016 capex: $135-145M
2017 capex: $80-90M
2018 capex: $75M</t>
        </r>
        <r>
          <rPr>
            <b/>
            <sz val="8"/>
            <color indexed="81"/>
            <rFont val="Tahoma"/>
            <family val="2"/>
          </rPr>
          <t xml:space="preserve">
2.3.15
</t>
        </r>
        <r>
          <rPr>
            <sz val="8"/>
            <color indexed="81"/>
            <rFont val="Tahoma"/>
            <family val="2"/>
          </rPr>
          <t xml:space="preserve">2016 capex: $135-145M
2017 capex: $80-90M
2018 capex: $75M
</t>
        </r>
        <r>
          <rPr>
            <b/>
            <sz val="8"/>
            <color indexed="81"/>
            <rFont val="Tahoma"/>
            <family val="2"/>
          </rPr>
          <t xml:space="preserve">
1.13.14
</t>
        </r>
        <r>
          <rPr>
            <sz val="8"/>
            <color indexed="81"/>
            <rFont val="Tahoma"/>
            <family val="2"/>
          </rPr>
          <t xml:space="preserve">2014 capex: $280-290M
2015 capex: $275-300M
2016 capex: $250-275M
2017 capex: $175-200M
2018 capex: $100-125M
</t>
        </r>
        <r>
          <rPr>
            <sz val="8"/>
            <color indexed="81"/>
            <rFont val="Tahoma"/>
            <family val="2"/>
          </rPr>
          <t xml:space="preserve">
</t>
        </r>
        <r>
          <rPr>
            <b/>
            <sz val="8"/>
            <color indexed="81"/>
            <rFont val="Tahoma"/>
            <family val="2"/>
          </rPr>
          <t xml:space="preserve">2.4.13
2014 cap ex: $265M
2015 cap ex: $265M
</t>
        </r>
        <r>
          <rPr>
            <sz val="8"/>
            <color indexed="81"/>
            <rFont val="Tahoma"/>
            <family val="2"/>
          </rPr>
          <t xml:space="preserve">Base capex in 2013: $100M
Image Activation spending in 2013: $145M
Expect $160-170M IA spending in '14 and '15 (evenly split since same # company IAs expected each year). Add to that base cap ex of $100M (from '13) staying flat
</t>
        </r>
        <r>
          <rPr>
            <sz val="8"/>
            <color indexed="81"/>
            <rFont val="Tahoma"/>
            <family val="2"/>
          </rPr>
          <t xml:space="preserve">
</t>
        </r>
        <r>
          <rPr>
            <b/>
            <sz val="8"/>
            <color indexed="81"/>
            <rFont val="Tahoma"/>
            <family val="2"/>
          </rPr>
          <t xml:space="preserve">1.16.13
</t>
        </r>
        <r>
          <rPr>
            <sz val="8"/>
            <color indexed="81"/>
            <rFont val="Tahoma"/>
            <family val="2"/>
          </rPr>
          <t>Expect $440-500M spending on Image Activation between 2013-2015</t>
        </r>
        <r>
          <rPr>
            <sz val="8"/>
            <color indexed="81"/>
            <rFont val="Tahoma"/>
            <family val="2"/>
          </rPr>
          <t xml:space="preserve">
</t>
        </r>
        <r>
          <rPr>
            <b/>
            <sz val="8"/>
            <color indexed="81"/>
            <rFont val="Tahoma"/>
            <family val="2"/>
          </rPr>
          <t xml:space="preserve">11.8.12
</t>
        </r>
        <r>
          <rPr>
            <sz val="8"/>
            <color indexed="81"/>
            <rFont val="Tahoma"/>
            <family val="2"/>
          </rPr>
          <t xml:space="preserve">Have the financial flexibility to invest up to $500
million for Image Activation by the end of 2015 to reach our goal of re-imaging 50% of our Company restaurants. </t>
        </r>
      </text>
    </comment>
    <comment ref="DH39" authorId="3">
      <text>
        <r>
          <rPr>
            <b/>
            <sz val="8"/>
            <color indexed="81"/>
            <rFont val="Tahoma"/>
            <family val="2"/>
          </rPr>
          <t xml:space="preserve">11.8.2017
</t>
        </r>
        <r>
          <rPr>
            <sz val="8"/>
            <color indexed="81"/>
            <rFont val="Tahoma"/>
            <family val="2"/>
          </rPr>
          <t>$80-85M</t>
        </r>
        <r>
          <rPr>
            <b/>
            <sz val="8"/>
            <color indexed="81"/>
            <rFont val="Tahoma"/>
            <family val="2"/>
          </rPr>
          <t xml:space="preserve">
8.2.1
</t>
        </r>
        <r>
          <rPr>
            <sz val="8"/>
            <color indexed="81"/>
            <rFont val="Tahoma"/>
            <family val="2"/>
          </rPr>
          <t>reit 80-90M</t>
        </r>
        <r>
          <rPr>
            <b/>
            <sz val="8"/>
            <color indexed="81"/>
            <rFont val="Tahoma"/>
            <family val="2"/>
          </rPr>
          <t xml:space="preserve">
5.10.17
</t>
        </r>
        <r>
          <rPr>
            <sz val="8"/>
            <color indexed="81"/>
            <rFont val="Tahoma"/>
            <family val="2"/>
          </rPr>
          <t>Capital expenditures of approximately $80 to $90 million</t>
        </r>
        <r>
          <rPr>
            <b/>
            <sz val="8"/>
            <color indexed="81"/>
            <rFont val="Tahoma"/>
            <family val="2"/>
          </rPr>
          <t xml:space="preserve">
2.16.17
</t>
        </r>
        <r>
          <rPr>
            <sz val="8"/>
            <color indexed="81"/>
            <rFont val="Tahoma"/>
            <family val="2"/>
          </rPr>
          <t>approximately $80 to $90 million</t>
        </r>
        <r>
          <rPr>
            <b/>
            <sz val="8"/>
            <color indexed="81"/>
            <rFont val="Tahoma"/>
            <family val="2"/>
          </rPr>
          <t xml:space="preserve">
2.9.16
</t>
        </r>
        <r>
          <rPr>
            <sz val="8"/>
            <color indexed="81"/>
            <rFont val="Tahoma"/>
            <family val="2"/>
          </rPr>
          <t>$80-90m (+5m)</t>
        </r>
        <r>
          <rPr>
            <b/>
            <sz val="8"/>
            <color indexed="81"/>
            <rFont val="Tahoma"/>
            <family val="2"/>
          </rPr>
          <t xml:space="preserve">
11.4.15
</t>
        </r>
        <r>
          <rPr>
            <sz val="8"/>
            <color indexed="81"/>
            <rFont val="Tahoma"/>
            <family val="2"/>
          </rPr>
          <t>75-85M</t>
        </r>
        <r>
          <rPr>
            <b/>
            <sz val="8"/>
            <color indexed="81"/>
            <rFont val="Tahoma"/>
            <family val="2"/>
          </rPr>
          <t xml:space="preserve">
6.3.15:
</t>
        </r>
        <r>
          <rPr>
            <sz val="8"/>
            <color indexed="81"/>
            <rFont val="Tahoma"/>
            <family val="2"/>
          </rPr>
          <t>2107 capex of $75 - 85 m post bakery sale</t>
        </r>
        <r>
          <rPr>
            <b/>
            <sz val="8"/>
            <color indexed="81"/>
            <rFont val="Tahoma"/>
            <family val="2"/>
          </rPr>
          <t xml:space="preserve">
2.3.15
</t>
        </r>
        <r>
          <rPr>
            <sz val="8"/>
            <color indexed="81"/>
            <rFont val="Tahoma"/>
            <family val="2"/>
          </rPr>
          <t xml:space="preserve">2016 capex: $135-145M
2017 capex: $80-90M
2018 capex: $75M
</t>
        </r>
        <r>
          <rPr>
            <b/>
            <sz val="8"/>
            <color indexed="81"/>
            <rFont val="Tahoma"/>
            <family val="2"/>
          </rPr>
          <t xml:space="preserve">
1.13.14
</t>
        </r>
        <r>
          <rPr>
            <sz val="8"/>
            <color indexed="81"/>
            <rFont val="Tahoma"/>
            <family val="2"/>
          </rPr>
          <t xml:space="preserve">2014 capex: $280-290M
2015 capex: $275-300M
2016 capex: $250-275M
2017 capex: $175-200M
2018 capex: $100-125M
</t>
        </r>
        <r>
          <rPr>
            <b/>
            <sz val="8"/>
            <color indexed="81"/>
            <rFont val="Tahoma"/>
            <family val="2"/>
          </rPr>
          <t xml:space="preserve">2.4.13
2014 cap ex: $265M
2015 cap ex: $265M
</t>
        </r>
        <r>
          <rPr>
            <sz val="8"/>
            <color indexed="81"/>
            <rFont val="Tahoma"/>
            <family val="2"/>
          </rPr>
          <t xml:space="preserve">Base capex in 2013: $100M
Image Activation spending in 2013: $145M
Expect $160-170M IA spending in '14 and '15 (evenly split since same # company IAs expected each year). Add to that base cap ex of $100M (from '13) staying flat
</t>
        </r>
        <r>
          <rPr>
            <b/>
            <sz val="8"/>
            <color indexed="81"/>
            <rFont val="Tahoma"/>
            <family val="2"/>
          </rPr>
          <t xml:space="preserve">1.16.13
</t>
        </r>
        <r>
          <rPr>
            <sz val="8"/>
            <color indexed="81"/>
            <rFont val="Tahoma"/>
            <family val="2"/>
          </rPr>
          <t xml:space="preserve">Expect $440-500M spending on Image Activation between 2013-2015
</t>
        </r>
        <r>
          <rPr>
            <b/>
            <sz val="8"/>
            <color indexed="81"/>
            <rFont val="Tahoma"/>
            <family val="2"/>
          </rPr>
          <t xml:space="preserve">11.8.12
</t>
        </r>
        <r>
          <rPr>
            <sz val="8"/>
            <color indexed="81"/>
            <rFont val="Tahoma"/>
            <family val="2"/>
          </rPr>
          <t xml:space="preserve">Have the financial flexibility to invest up to $500
million for Image Activation by the end of 2015 to reach our goal of re-imaging 50% of our Company restaurants. </t>
        </r>
      </text>
    </comment>
    <comment ref="DM39" authorId="3">
      <text>
        <r>
          <rPr>
            <b/>
            <sz val="8"/>
            <color indexed="81"/>
            <rFont val="Tahoma"/>
            <family val="2"/>
          </rPr>
          <t xml:space="preserve">2.21.2018
</t>
        </r>
        <r>
          <rPr>
            <sz val="8"/>
            <color indexed="81"/>
            <rFont val="Tahoma"/>
            <family val="2"/>
          </rPr>
          <t xml:space="preserve">Capital expenditures of approximately $75 to $80 million. 
</t>
        </r>
        <r>
          <rPr>
            <b/>
            <sz val="8"/>
            <color indexed="81"/>
            <rFont val="Tahoma"/>
            <family val="2"/>
          </rPr>
          <t xml:space="preserve">
2.16.17
</t>
        </r>
        <r>
          <rPr>
            <sz val="8"/>
            <color indexed="81"/>
            <rFont val="Tahoma"/>
            <family val="2"/>
          </rPr>
          <t xml:space="preserve">~65m in 2020 (modest decrease each year)
</t>
        </r>
        <r>
          <rPr>
            <b/>
            <sz val="8"/>
            <color indexed="81"/>
            <rFont val="Tahoma"/>
            <family val="2"/>
          </rPr>
          <t xml:space="preserve">
2.9.16
</t>
        </r>
        <r>
          <rPr>
            <sz val="8"/>
            <color indexed="81"/>
            <rFont val="Tahoma"/>
            <family val="2"/>
          </rPr>
          <t xml:space="preserve">$80-90M
</t>
        </r>
        <r>
          <rPr>
            <b/>
            <sz val="8"/>
            <color indexed="81"/>
            <rFont val="Tahoma"/>
            <family val="2"/>
          </rPr>
          <t xml:space="preserve">
11.4.15
</t>
        </r>
        <r>
          <rPr>
            <sz val="8"/>
            <color indexed="81"/>
            <rFont val="Tahoma"/>
            <family val="2"/>
          </rPr>
          <t xml:space="preserve">70M
</t>
        </r>
        <r>
          <rPr>
            <b/>
            <sz val="8"/>
            <color indexed="81"/>
            <rFont val="Tahoma"/>
            <family val="2"/>
          </rPr>
          <t xml:space="preserve">
6.3.15: 
</t>
        </r>
        <r>
          <rPr>
            <sz val="8"/>
            <color indexed="81"/>
            <rFont val="Tahoma"/>
            <family val="2"/>
          </rPr>
          <t xml:space="preserve">2018 capex of $70 m psot bakery sale
</t>
        </r>
        <r>
          <rPr>
            <b/>
            <sz val="8"/>
            <color indexed="81"/>
            <rFont val="Tahoma"/>
            <family val="2"/>
          </rPr>
          <t xml:space="preserve">
2.3.15
</t>
        </r>
        <r>
          <rPr>
            <sz val="8"/>
            <color indexed="81"/>
            <rFont val="Tahoma"/>
            <family val="2"/>
          </rPr>
          <t xml:space="preserve">2016 capex: $135-145M
2017 capex: $80-90M
2018 capex: $75M
</t>
        </r>
        <r>
          <rPr>
            <b/>
            <sz val="8"/>
            <color indexed="81"/>
            <rFont val="Tahoma"/>
            <family val="2"/>
          </rPr>
          <t xml:space="preserve">
1.13.14
</t>
        </r>
        <r>
          <rPr>
            <sz val="8"/>
            <color indexed="81"/>
            <rFont val="Tahoma"/>
            <family val="2"/>
          </rPr>
          <t xml:space="preserve">2014 capex: $280-290M
2015 capex: $275-300M
2016 capex: $250-275M
2017 capex: $175-200M
2018 capex: $100-125M
</t>
        </r>
        <r>
          <rPr>
            <b/>
            <sz val="8"/>
            <color indexed="81"/>
            <rFont val="Tahoma"/>
            <family val="2"/>
          </rPr>
          <t xml:space="preserve">2.4.13
2014 cap ex: $265M
2015 cap ex: $265M
</t>
        </r>
        <r>
          <rPr>
            <sz val="8"/>
            <color indexed="81"/>
            <rFont val="Tahoma"/>
            <family val="2"/>
          </rPr>
          <t xml:space="preserve">Base capex in 2013: $100M
Image Activation spending in 2013: $145M
Expect $160-170M IA spending in '14 and '15 (evenly split since same # company IAs expected each year). Add to that base cap ex of $100M (from '13) staying flat
</t>
        </r>
        <r>
          <rPr>
            <b/>
            <sz val="8"/>
            <color indexed="81"/>
            <rFont val="Tahoma"/>
            <family val="2"/>
          </rPr>
          <t xml:space="preserve">1.16.13
</t>
        </r>
        <r>
          <rPr>
            <sz val="8"/>
            <color indexed="81"/>
            <rFont val="Tahoma"/>
            <family val="2"/>
          </rPr>
          <t xml:space="preserve">Expect $440-500M spending on Image Activation between 2013-2015
</t>
        </r>
        <r>
          <rPr>
            <b/>
            <sz val="8"/>
            <color indexed="81"/>
            <rFont val="Tahoma"/>
            <family val="2"/>
          </rPr>
          <t xml:space="preserve">11.8.12
</t>
        </r>
        <r>
          <rPr>
            <sz val="8"/>
            <color indexed="81"/>
            <rFont val="Tahoma"/>
            <family val="2"/>
          </rPr>
          <t xml:space="preserve">Have the financial flexibility to invest up to $500
million for Image Activation by the end of 2015 to reach our goal of re-imaging 50% of our Company restaurants. </t>
        </r>
      </text>
    </comment>
    <comment ref="DR39" authorId="3">
      <text>
        <r>
          <rPr>
            <b/>
            <sz val="8"/>
            <color indexed="81"/>
            <rFont val="Tahoma"/>
            <family val="2"/>
          </rPr>
          <t xml:space="preserve">2,16.17
2.16.17
~65m in 2020 (modest decrease each year)
1.13.14
</t>
        </r>
        <r>
          <rPr>
            <sz val="8"/>
            <color indexed="81"/>
            <rFont val="Tahoma"/>
            <family val="2"/>
          </rPr>
          <t xml:space="preserve">2014 capex: $280-290M
2015 capex: $275-300M
2016 capex: $250-275M
2017 capex: $175-200M
2018 capex: $100-125M
</t>
        </r>
        <r>
          <rPr>
            <b/>
            <sz val="8"/>
            <color indexed="81"/>
            <rFont val="Tahoma"/>
            <family val="2"/>
          </rPr>
          <t xml:space="preserve">2.4.13
2014 cap ex: $265M
2015 cap ex: $265M
</t>
        </r>
        <r>
          <rPr>
            <sz val="8"/>
            <color indexed="81"/>
            <rFont val="Tahoma"/>
            <family val="2"/>
          </rPr>
          <t xml:space="preserve">Base capex in 2013: $100M
Image Activation spending in 2013: $145M
Expect $160-170M IA spending in '14 and '15 (evenly split since same # company IAs expected each year). Add to that base cap ex of $100M (from '13) staying flat
</t>
        </r>
        <r>
          <rPr>
            <b/>
            <sz val="8"/>
            <color indexed="81"/>
            <rFont val="Tahoma"/>
            <family val="2"/>
          </rPr>
          <t xml:space="preserve">1.16.13
</t>
        </r>
        <r>
          <rPr>
            <sz val="8"/>
            <color indexed="81"/>
            <rFont val="Tahoma"/>
            <family val="2"/>
          </rPr>
          <t xml:space="preserve">Expect $440-500M spending on Image Activation between 2013-2015
</t>
        </r>
        <r>
          <rPr>
            <b/>
            <sz val="8"/>
            <color indexed="81"/>
            <rFont val="Tahoma"/>
            <family val="2"/>
          </rPr>
          <t xml:space="preserve">11.8.12
</t>
        </r>
        <r>
          <rPr>
            <sz val="8"/>
            <color indexed="81"/>
            <rFont val="Tahoma"/>
            <family val="2"/>
          </rPr>
          <t xml:space="preserve">Have the financial flexibility to invest up to $500
million for Image Activation by the end of 2015 to reach our goal of re-imaging 50% of our Company restaurants. </t>
        </r>
      </text>
    </comment>
    <comment ref="DW39" authorId="3">
      <text>
        <r>
          <rPr>
            <b/>
            <sz val="8"/>
            <color indexed="81"/>
            <rFont val="Tahoma"/>
            <family val="2"/>
          </rPr>
          <t>2.21.2018</t>
        </r>
        <r>
          <rPr>
            <sz val="8"/>
            <color indexed="81"/>
            <rFont val="Tahoma"/>
            <family val="2"/>
          </rPr>
          <t xml:space="preserve">
Free cash flow of ~$300 million (capital expenditures of ~$65 million</t>
        </r>
        <r>
          <rPr>
            <b/>
            <sz val="8"/>
            <color indexed="81"/>
            <rFont val="Tahoma"/>
            <family val="2"/>
          </rPr>
          <t xml:space="preserve">
11.8.2017
</t>
        </r>
        <r>
          <rPr>
            <sz val="8"/>
            <color indexed="81"/>
            <rFont val="Tahoma"/>
            <family val="2"/>
          </rPr>
          <t xml:space="preserve">Reit: Free cash flow of ~$275 million (capital expenditures of ~$65 million).
</t>
        </r>
        <r>
          <rPr>
            <b/>
            <sz val="8"/>
            <color indexed="81"/>
            <rFont val="Tahoma"/>
            <family val="2"/>
          </rPr>
          <t xml:space="preserve">
2.16.17
</t>
        </r>
        <r>
          <rPr>
            <sz val="8"/>
            <color indexed="81"/>
            <rFont val="Tahoma"/>
            <family val="2"/>
          </rPr>
          <t xml:space="preserve">~65m in 2020 (modest decrease each year)
</t>
        </r>
        <r>
          <rPr>
            <b/>
            <sz val="8"/>
            <color indexed="81"/>
            <rFont val="Tahoma"/>
            <family val="2"/>
          </rPr>
          <t xml:space="preserve">2.4.13
</t>
        </r>
        <r>
          <rPr>
            <sz val="8"/>
            <color indexed="81"/>
            <rFont val="Tahoma"/>
            <family val="2"/>
          </rPr>
          <t>Assume similar level as 2015. 50% of company-operated stores should be Image Activated at this point. Have not released targets beyond that</t>
        </r>
      </text>
    </comment>
    <comment ref="A40" authorId="0">
      <text>
        <r>
          <rPr>
            <b/>
            <sz val="8"/>
            <color indexed="81"/>
            <rFont val="Tahoma"/>
            <family val="2"/>
          </rPr>
          <t>Jon Tower:</t>
        </r>
        <r>
          <rPr>
            <sz val="8"/>
            <color indexed="81"/>
            <rFont val="Tahoma"/>
            <family val="2"/>
          </rPr>
          <t xml:space="preserve">
Costs of business acquisitions
Under SFAS No. 141, “Business Combinations”, (“SFAS 141”) the Company defers any costs incurred relating to the pursuit of business acquisitions while the potential acquisition process is ongoing.  If the acquisition is successful, such costs are then included as a component of the purchase price of the acquired entity.  Whenever the Company decides it will no longer pursue a potential acquisition, any related deferred costs are expensed at that time.  During December 2007, the FASB issued SFAS No. 141 (revised 2007), “Business Combinations” (“SFAS 141(R)”), which requires that, subsequent to the adoption date of the standard, all such costs are to be expensed when incurred.  SFAS 141(R) applies prospectively to the Company’s business combinations occurring after December 28, 2008.
</t>
        </r>
      </text>
    </comment>
    <comment ref="CE44" authorId="1">
      <text>
        <r>
          <rPr>
            <b/>
            <sz val="8"/>
            <color indexed="81"/>
            <rFont val="Tahoma"/>
            <family val="2"/>
          </rPr>
          <t>glassjoh:</t>
        </r>
        <r>
          <rPr>
            <sz val="8"/>
            <color indexed="81"/>
            <rFont val="Tahoma"/>
            <family val="2"/>
          </rPr>
          <t xml:space="preserve">
Proceeds from sale of Jurlique</t>
        </r>
      </text>
    </comment>
    <comment ref="CK44" authorId="6">
      <text>
        <r>
          <rPr>
            <b/>
            <sz val="8"/>
            <color indexed="81"/>
            <rFont val="Tahoma"/>
            <family val="2"/>
          </rPr>
          <t>Jake Bartlett:</t>
        </r>
        <r>
          <rPr>
            <sz val="8"/>
            <color indexed="81"/>
            <rFont val="Tahoma"/>
            <family val="2"/>
          </rPr>
          <t xml:space="preserve">
2Q 10Q
During the six months ended June 30, 2013, Wendy’s received cash proceeds of $13,211 from dispositions, consisting of (1) $8,653 resulting from franchisees exercising options to purchase previously subleased properties and (2) $4,558 primarily from the sale of surplus properties. These sales resulted in a net gain of $3,163 which is included as a reduction to “Depreciation and amortization.” </t>
        </r>
      </text>
    </comment>
    <comment ref="CL44" authorId="7">
      <text>
        <r>
          <rPr>
            <b/>
            <sz val="8"/>
            <color indexed="81"/>
            <rFont val="Tahoma"/>
            <family val="2"/>
          </rPr>
          <t>John Glass:</t>
        </r>
        <r>
          <rPr>
            <sz val="8"/>
            <color indexed="81"/>
            <rFont val="Tahoma"/>
            <family val="2"/>
          </rPr>
          <t xml:space="preserve">
assumes $400k/store proceeds form refrancshing </t>
        </r>
      </text>
    </comment>
    <comment ref="CN44" authorId="7">
      <text>
        <r>
          <rPr>
            <b/>
            <sz val="8"/>
            <color indexed="81"/>
            <rFont val="Tahoma"/>
            <family val="2"/>
          </rPr>
          <t>John Glass:</t>
        </r>
        <r>
          <rPr>
            <sz val="8"/>
            <color indexed="81"/>
            <rFont val="Tahoma"/>
            <family val="2"/>
          </rPr>
          <t xml:space="preserve">
1.13: total proceeds of $235 M exepcted for refranchising in 13/14</t>
        </r>
      </text>
    </comment>
    <comment ref="CS44" authorId="7">
      <text>
        <r>
          <rPr>
            <b/>
            <sz val="8"/>
            <color indexed="81"/>
            <rFont val="Tahoma"/>
            <family val="2"/>
          </rPr>
          <t xml:space="preserve">2013 10K:
</t>
        </r>
        <r>
          <rPr>
            <sz val="8"/>
            <color indexed="81"/>
            <rFont val="Tahoma"/>
            <family val="2"/>
          </rPr>
          <t>$95M in proceeds</t>
        </r>
        <r>
          <rPr>
            <b/>
            <sz val="8"/>
            <color indexed="81"/>
            <rFont val="Tahoma"/>
            <family val="2"/>
          </rPr>
          <t xml:space="preserve">
John Glass:</t>
        </r>
        <r>
          <rPr>
            <sz val="8"/>
            <color indexed="81"/>
            <rFont val="Tahoma"/>
            <family val="2"/>
          </rPr>
          <t xml:space="preserve">
total refrancnsing proceeds of $235 M expected</t>
        </r>
      </text>
    </comment>
    <comment ref="CX44" authorId="8">
      <text>
        <r>
          <rPr>
            <b/>
            <sz val="9"/>
            <color indexed="81"/>
            <rFont val="Tahoma"/>
            <family val="2"/>
          </rPr>
          <t>Glass, John (Research):</t>
        </r>
        <r>
          <rPr>
            <sz val="9"/>
            <color indexed="81"/>
            <rFont val="Tahoma"/>
            <family val="2"/>
          </rPr>
          <t xml:space="preserve">
6.15: expects proceeds from refrancisng to be $350 M psot tax PLUS $50 post tax from bakery (in 2Q15)</t>
        </r>
      </text>
    </comment>
    <comment ref="CY44" authorId="8">
      <text>
        <r>
          <rPr>
            <b/>
            <sz val="9"/>
            <color indexed="81"/>
            <rFont val="Tahoma"/>
            <family val="2"/>
          </rPr>
          <t>Glass, John (Research):</t>
        </r>
        <r>
          <rPr>
            <sz val="9"/>
            <color indexed="81"/>
            <rFont val="Tahoma"/>
            <family val="2"/>
          </rPr>
          <t xml:space="preserve">
6.15: expects proceeds from refrancing to be $350 M post tax (=~$550k/store)</t>
        </r>
      </text>
    </comment>
    <comment ref="CZ44" authorId="5">
      <text>
        <r>
          <rPr>
            <b/>
            <sz val="9"/>
            <color indexed="81"/>
            <rFont val="Tahoma"/>
            <family val="2"/>
          </rPr>
          <t>2.3.15:</t>
        </r>
        <r>
          <rPr>
            <sz val="9"/>
            <color indexed="81"/>
            <rFont val="Tahoma"/>
            <family val="2"/>
          </rPr>
          <t xml:space="preserve">
Expect refranchising of 600 (100 in Canada) by 2Q16 to generate $400-475M in pretax cash proceeds. </t>
        </r>
      </text>
    </comment>
    <comment ref="DC44" authorId="8">
      <text>
        <r>
          <rPr>
            <b/>
            <sz val="9"/>
            <color indexed="81"/>
            <rFont val="Tahoma"/>
            <family val="2"/>
          </rPr>
          <t>Glass, John (Research):</t>
        </r>
        <r>
          <rPr>
            <sz val="9"/>
            <color indexed="81"/>
            <rFont val="Tahoma"/>
            <family val="2"/>
          </rPr>
          <t xml:space="preserve">
6.15: expects proceeds from refrancing to be $350 M post tax (=~$550k/store)</t>
        </r>
      </text>
    </comment>
    <comment ref="CF45" authorId="3">
      <text>
        <r>
          <rPr>
            <b/>
            <sz val="8"/>
            <color indexed="81"/>
            <rFont val="Tahoma"/>
            <family val="2"/>
          </rPr>
          <t>Sushama Dasari:</t>
        </r>
        <r>
          <rPr>
            <sz val="8"/>
            <color indexed="81"/>
            <rFont val="Tahoma"/>
            <family val="2"/>
          </rPr>
          <t xml:space="preserve">
Includes $1.001 franchise incentive loans</t>
        </r>
      </text>
    </comment>
    <comment ref="CF48" authorId="3">
      <text>
        <r>
          <rPr>
            <b/>
            <sz val="8"/>
            <color indexed="81"/>
            <rFont val="Tahoma"/>
            <family val="2"/>
          </rPr>
          <t>Sushama Dasari:</t>
        </r>
        <r>
          <rPr>
            <sz val="8"/>
            <color indexed="81"/>
            <rFont val="Tahoma"/>
            <family val="2"/>
          </rPr>
          <t xml:space="preserve">
</t>
        </r>
        <r>
          <rPr>
            <b/>
            <sz val="8"/>
            <color indexed="81"/>
            <rFont val="Tahoma"/>
            <family val="2"/>
          </rPr>
          <t xml:space="preserve">8.9.12:
</t>
        </r>
        <r>
          <rPr>
            <sz val="8"/>
            <color indexed="81"/>
            <rFont val="Tahoma"/>
            <family val="2"/>
          </rPr>
          <t>Proceeds of $619.4 million from the term loan draw on May 15, 2012 were used (1) to repay all amounts outstanding under the prior credit agreement, (2) to purchase $124.2 million aggregate principal amount of the Senior Notes at a redemption price of 108.125% of the principal amount plus accrued and unpaid interest and (3) to pay fees and expenses.
Proceeds of $494.3 million from the Term Loan drawn on July 16, 2012, subsequent to the end of our second quarter, were used to purchase the $440.8 million aggregate principal amount of the remaining Senior Notes outstanding at a redemption price of 107.5% of the principal amount plus accrued and unpaid interest.
The Company recognized a loss on early extinguishment of debt of $25.2 million in the second quarter of 2012 related to the repayment of debt from the proceeds of the Term Loan draw on May 15, 2012. Subsequent to the end of our second quarter and as a result of the purchase of the remaining Senior Notes from the proceeds of the Term Loan draw on July 16, 2012, the Company will recognize a loss on early extinguishment of debt of $49.8 million in the third quarter of 2012.</t>
        </r>
      </text>
    </comment>
    <comment ref="CI48" authorId="0">
      <text>
        <r>
          <rPr>
            <b/>
            <sz val="8"/>
            <color indexed="81"/>
            <rFont val="Tahoma"/>
            <family val="2"/>
          </rPr>
          <t>Jon Tower:</t>
        </r>
        <r>
          <rPr>
            <sz val="8"/>
            <color indexed="81"/>
            <rFont val="Tahoma"/>
            <family val="2"/>
          </rPr>
          <t xml:space="preserve">
1.30.12 -- likely refinance the $565mn of10% coupon debt in July '12
</t>
        </r>
      </text>
    </comment>
    <comment ref="BT49" authorId="0">
      <text>
        <r>
          <rPr>
            <b/>
            <sz val="8"/>
            <color indexed="81"/>
            <rFont val="Tahoma"/>
            <family val="2"/>
          </rPr>
          <t xml:space="preserve">Jon Tower:
6.10.09
Assumes WEN pays down $125M in debt &amp; scheduled debt principal repayments of $26M for the year -- so total repayments of ~$151M in 2009
5.7.09
Scheduled debt principal repayments aggregating $25.9 million
</t>
        </r>
        <r>
          <rPr>
            <sz val="8"/>
            <color indexed="81"/>
            <rFont val="Tahoma"/>
            <family val="2"/>
          </rPr>
          <t xml:space="preserve">
2008 10K
Scheduled debt principal repayments aggregating $30.4 million;</t>
        </r>
      </text>
    </comment>
    <comment ref="BY49" authorId="0">
      <text>
        <r>
          <rPr>
            <b/>
            <sz val="8"/>
            <color indexed="81"/>
            <rFont val="Tahoma"/>
            <family val="2"/>
          </rPr>
          <t>Jon Tower:</t>
        </r>
        <r>
          <rPr>
            <sz val="8"/>
            <color indexed="81"/>
            <rFont val="Tahoma"/>
            <family val="2"/>
          </rPr>
          <t xml:space="preserve">
3.4.10
Scheduled debt principal repayments aggregating $22.1 million, including a $5.0 million mandatory prepayment on our secured equipment term loan;</t>
        </r>
      </text>
    </comment>
    <comment ref="CF49" authorId="3">
      <text>
        <r>
          <rPr>
            <b/>
            <sz val="8"/>
            <color indexed="81"/>
            <rFont val="Tahoma"/>
            <family val="2"/>
          </rPr>
          <t>Sushama Dasari:</t>
        </r>
        <r>
          <rPr>
            <sz val="8"/>
            <color indexed="81"/>
            <rFont val="Tahoma"/>
            <family val="2"/>
          </rPr>
          <t xml:space="preserve">
Includes $602.823 repayments of LT debt + -10.093 premium payment on redemption of Senior Notes</t>
        </r>
      </text>
    </comment>
    <comment ref="BP50" authorId="0">
      <text>
        <r>
          <rPr>
            <b/>
            <sz val="8"/>
            <color indexed="81"/>
            <rFont val="Tahoma"/>
            <family val="2"/>
          </rPr>
          <t>Jon Tower:</t>
        </r>
        <r>
          <rPr>
            <sz val="8"/>
            <color indexed="81"/>
            <rFont val="Tahoma"/>
            <family val="2"/>
          </rPr>
          <t xml:space="preserve">
2008 10K
During the 2009 first quarter, we declared dividends of $0.015 per share to be paid on March 30, 2009 to shareholders of record as of March 20, 2009.  If we pay regular quarterly cash dividends for the remainder of 2009 at the same rate as declared in our 2009 first quarter, our total cash requirement for dividends for all of 2009 would be approximately $28.0 million based on the number of shares of our Class A common stock outstanding at February 27, 2009.</t>
        </r>
      </text>
    </comment>
    <comment ref="BQ50" authorId="0">
      <text>
        <r>
          <rPr>
            <b/>
            <sz val="8"/>
            <color indexed="81"/>
            <rFont val="Tahoma"/>
            <family val="2"/>
          </rPr>
          <t>Jon Tower:</t>
        </r>
        <r>
          <rPr>
            <sz val="8"/>
            <color indexed="81"/>
            <rFont val="Tahoma"/>
            <family val="2"/>
          </rPr>
          <t xml:space="preserve">
2008 10K
During the 2009 first quarter, we declared dividends of $0.015 per share to be paid on March 30, 2009 to shareholders of record as of March 20, 2009.  If we pay regular quarterly cash dividends for the remainder of 2009 at the same rate as declared in our 2009 first quarter, our total cash requirement for dividends for all of 2009 would be approximately $28.0 million based on the number of shares of our Class A common stock outstanding at February 27, 2009.</t>
        </r>
      </text>
    </comment>
    <comment ref="BR50" authorId="0">
      <text>
        <r>
          <rPr>
            <b/>
            <sz val="8"/>
            <color indexed="81"/>
            <rFont val="Tahoma"/>
            <family val="2"/>
          </rPr>
          <t>Jon Tower:</t>
        </r>
        <r>
          <rPr>
            <sz val="8"/>
            <color indexed="81"/>
            <rFont val="Tahoma"/>
            <family val="2"/>
          </rPr>
          <t xml:space="preserve">
2008 10K
During the 2009 first quarter, we declared dividends of $0.015 per share to be paid on March 30, 2009 to shareholders of record as of March 20, 2009.  If we pay regular quarterly cash dividends for the remainder of 2009 at the same rate as declared in our 2009 first quarter, our total cash requirement for dividends for all of 2009 would be approximately $28.0 million based on the number of shares of our Class A common stock outstanding at February 27, 2009.</t>
        </r>
      </text>
    </comment>
    <comment ref="BS50" authorId="0">
      <text>
        <r>
          <rPr>
            <b/>
            <sz val="8"/>
            <color indexed="81"/>
            <rFont val="Tahoma"/>
            <family val="2"/>
          </rPr>
          <t>Jon Tower:</t>
        </r>
        <r>
          <rPr>
            <sz val="8"/>
            <color indexed="81"/>
            <rFont val="Tahoma"/>
            <family val="2"/>
          </rPr>
          <t xml:space="preserve">
2008 10K
During the 2009 first quarter, we declared dividends of $0.015 per share to be paid on March 30, 2009 to shareholders of record as of March 20, 2009.  If we pay regular quarterly cash dividends for the remainder of 2009 at the same rate as declared in our 2009 first quarter, our total cash requirement for dividends for all of 2009 would be approximately $28.0 million based on the number of shares of our Class A common stock outstanding at February 27, 2009.</t>
        </r>
      </text>
    </comment>
    <comment ref="BT50" authorId="0">
      <text>
        <r>
          <rPr>
            <b/>
            <sz val="8"/>
            <color indexed="81"/>
            <rFont val="Tahoma"/>
            <family val="2"/>
          </rPr>
          <t>Jon Tower:</t>
        </r>
        <r>
          <rPr>
            <sz val="8"/>
            <color indexed="81"/>
            <rFont val="Tahoma"/>
            <family val="2"/>
          </rPr>
          <t xml:space="preserve">
2008 10K
During the 2009 first quarter, we declared dividends of $0.015 per share to be paid on March 30, 2009 to shareholders of record as of March 20, 2009.  If we pay regular quarterly cash dividends for the remainder of 2009 at the same rate as declared in our 2009 first quarter, our total cash requirement for dividends for all of 2009 would be approximately $28.0 million based on the number of shares of our Class A common stock outstanding at February 27, 2009.</t>
        </r>
      </text>
    </comment>
    <comment ref="BY50" authorId="0">
      <text>
        <r>
          <rPr>
            <b/>
            <sz val="8"/>
            <color indexed="81"/>
            <rFont val="Tahoma"/>
            <family val="2"/>
          </rPr>
          <t>Jon Tower:</t>
        </r>
        <r>
          <rPr>
            <sz val="8"/>
            <color indexed="81"/>
            <rFont val="Tahoma"/>
            <family val="2"/>
          </rPr>
          <t xml:space="preserve">
3.4.10
Quarterly cash dividends aggregating up to approximately $26.6 million </t>
        </r>
      </text>
    </comment>
    <comment ref="CG50" authorId="3">
      <text>
        <r>
          <rPr>
            <b/>
            <sz val="8"/>
            <color indexed="81"/>
            <rFont val="Tahoma"/>
            <family val="2"/>
          </rPr>
          <t>Sushama Dasari:</t>
        </r>
        <r>
          <rPr>
            <sz val="8"/>
            <color indexed="81"/>
            <rFont val="Tahoma"/>
            <family val="2"/>
          </rPr>
          <t xml:space="preserve">
</t>
        </r>
        <r>
          <rPr>
            <b/>
            <sz val="8"/>
            <color indexed="81"/>
            <rFont val="Tahoma"/>
            <family val="2"/>
          </rPr>
          <t xml:space="preserve">8.9.12:
</t>
        </r>
        <r>
          <rPr>
            <sz val="8"/>
            <color indexed="81"/>
            <rFont val="Tahoma"/>
            <family val="2"/>
          </rPr>
          <t>Company expects quarterly cash dividends adding up to $15.6MM in 2H</t>
        </r>
      </text>
    </comment>
    <comment ref="CH50" authorId="3">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The Company’s Board of Directors authorized a 100 percent increase in the quarterly cash dividend rate from $0.02 to $0.04 per share. The increase will be effective with the next quarterly cash dividend, which is payable Dec. 17 to stockholders of record as of Dec. 3.</t>
        </r>
      </text>
    </comment>
    <comment ref="CS50" authorId="6">
      <text>
        <r>
          <rPr>
            <b/>
            <sz val="8"/>
            <color indexed="81"/>
            <rFont val="Tahoma"/>
            <family val="2"/>
          </rPr>
          <t xml:space="preserve">2013 10K:
</t>
        </r>
        <r>
          <rPr>
            <sz val="8"/>
            <color indexed="81"/>
            <rFont val="Tahoma"/>
            <family val="2"/>
          </rPr>
          <t>Cash dividends of $73.2M</t>
        </r>
        <r>
          <rPr>
            <sz val="8"/>
            <color indexed="81"/>
            <rFont val="Tahoma"/>
            <family val="2"/>
          </rPr>
          <t xml:space="preserve">
</t>
        </r>
      </text>
    </comment>
    <comment ref="A51" authorId="2">
      <text>
        <r>
          <rPr>
            <sz val="9"/>
            <color indexed="81"/>
            <rFont val="Tahoma"/>
            <family val="2"/>
          </rPr>
          <t xml:space="preserve">
</t>
        </r>
        <r>
          <rPr>
            <b/>
            <sz val="9"/>
            <color indexed="81"/>
            <rFont val="Tahoma"/>
            <family val="2"/>
          </rPr>
          <t>6.3.15 new share repurchase of 1.4bn authorized (1/2 of market cap)</t>
        </r>
      </text>
    </comment>
    <comment ref="BQ51" authorId="0">
      <text>
        <r>
          <rPr>
            <b/>
            <sz val="8"/>
            <color indexed="81"/>
            <rFont val="Tahoma"/>
            <family val="2"/>
          </rPr>
          <t>Jon Tower:</t>
        </r>
        <r>
          <rPr>
            <sz val="8"/>
            <color indexed="81"/>
            <rFont val="Tahoma"/>
            <family val="2"/>
          </rPr>
          <t xml:space="preserve">
6.10.09
assumes WEN uses ~$400M to repurchase stock
</t>
        </r>
      </text>
    </comment>
    <comment ref="BR51" authorId="0">
      <text>
        <r>
          <rPr>
            <b/>
            <sz val="8"/>
            <color indexed="81"/>
            <rFont val="Tahoma"/>
            <family val="2"/>
          </rPr>
          <t>Jon Tower:</t>
        </r>
        <r>
          <rPr>
            <sz val="8"/>
            <color indexed="81"/>
            <rFont val="Tahoma"/>
            <family val="2"/>
          </rPr>
          <t xml:space="preserve">
11.5.09
$100 Million Stock Repurchase Authorization
The Company purchased 10.3 million of shares of common stock as of October 26, 2009, for $49.1 million at an
average per share price of $4.77. At the close of business on October 30, 2009, the Company had approximately
463,003,000 shares of common stock outstanding. On November 3, 2009, the Board authorized an additional $50
million for a total of $100 million authorized common stock repurchases. The authorization will remain in effect
through January 2, 2011 and will allow the Company to make repurchases as market conditions warrant.</t>
        </r>
      </text>
    </comment>
    <comment ref="BS51" authorId="0">
      <text>
        <r>
          <rPr>
            <b/>
            <sz val="8"/>
            <color indexed="81"/>
            <rFont val="Tahoma"/>
            <family val="2"/>
          </rPr>
          <t xml:space="preserve">Jon Tower:
11.5.09
$100 Million Stock Repurchase Authorization
</t>
        </r>
        <r>
          <rPr>
            <sz val="8"/>
            <color indexed="81"/>
            <rFont val="Tahoma"/>
            <family val="2"/>
          </rPr>
          <t>On November 3, 2009, the Board authorized an additional $50
million for a total of $100 million authorized common stock repurchases. The authorization will remain in effect
through January 2, 2011 and will allow the Company to make repurchases as market conditions warrant.</t>
        </r>
        <r>
          <rPr>
            <b/>
            <sz val="8"/>
            <color indexed="81"/>
            <rFont val="Tahoma"/>
            <family val="2"/>
          </rPr>
          <t xml:space="preserve">
</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BT51" authorId="0">
      <text>
        <r>
          <rPr>
            <b/>
            <sz val="8"/>
            <color indexed="81"/>
            <rFont val="Tahoma"/>
            <family val="2"/>
          </rPr>
          <t xml:space="preserve">Jon Tower:
11.5.09
$100 Million Stock Repurchase Authorization
</t>
        </r>
        <r>
          <rPr>
            <sz val="8"/>
            <color indexed="81"/>
            <rFont val="Tahoma"/>
            <family val="2"/>
          </rPr>
          <t>On November 3, 2009, the Board authorized an additional $50
million for a total of $100 million authorized common stock repurchases. The authorization will remain in effect
through January 2, 2011 and will allow the Company to make repurchases as market conditions warrant.</t>
        </r>
        <r>
          <rPr>
            <b/>
            <sz val="8"/>
            <color indexed="81"/>
            <rFont val="Tahoma"/>
            <family val="2"/>
          </rPr>
          <t xml:space="preserve">
</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BV51" authorId="0">
      <text>
        <r>
          <rPr>
            <b/>
            <sz val="8"/>
            <color indexed="81"/>
            <rFont val="Tahoma"/>
            <family val="2"/>
          </rPr>
          <t xml:space="preserve">Jon Tower:
11.5.09
$100 Million Stock Repurchase Authorization
</t>
        </r>
        <r>
          <rPr>
            <sz val="8"/>
            <color indexed="81"/>
            <rFont val="Tahoma"/>
            <family val="2"/>
          </rPr>
          <t>On November 3, 2009, the Board authorized an additional $50
million for a total of $100 million authorized common stock repurchases. The authorization will remain in effect
through January 2, 2011 and will allow the Company to make repurchases as market conditions warrant.</t>
        </r>
        <r>
          <rPr>
            <b/>
            <sz val="8"/>
            <color indexed="81"/>
            <rFont val="Tahoma"/>
            <family val="2"/>
          </rPr>
          <t xml:space="preserve">
</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BW51" authorId="0">
      <text>
        <r>
          <rPr>
            <b/>
            <sz val="8"/>
            <color indexed="81"/>
            <rFont val="Tahoma"/>
            <family val="2"/>
          </rPr>
          <t xml:space="preserve">Jon Tower:
8.12.10
</t>
        </r>
        <r>
          <rPr>
            <sz val="8"/>
            <color indexed="81"/>
            <rFont val="Tahoma"/>
            <family val="2"/>
          </rPr>
          <t xml:space="preserve">The Company has approximately </t>
        </r>
        <r>
          <rPr>
            <b/>
            <sz val="8"/>
            <color indexed="81"/>
            <rFont val="Tahoma"/>
            <family val="2"/>
          </rPr>
          <t>$80 million authorized</t>
        </r>
        <r>
          <rPr>
            <sz val="8"/>
            <color indexed="81"/>
            <rFont val="Tahoma"/>
            <family val="2"/>
          </rPr>
          <t xml:space="preserve"> and available for additional common stock repurchases as of August 6, 2010. The current common stock repurchase program will remain in effect through January 2, 2011, and will allow the Company to make repurchases as market conditions
warrant</t>
        </r>
        <r>
          <rPr>
            <b/>
            <sz val="8"/>
            <color indexed="81"/>
            <rFont val="Tahoma"/>
            <family val="2"/>
          </rPr>
          <t xml:space="preserve">
11.5.09
$100 Million Stock Repurchase Authorization
</t>
        </r>
        <r>
          <rPr>
            <sz val="8"/>
            <color indexed="81"/>
            <rFont val="Tahoma"/>
            <family val="2"/>
          </rPr>
          <t>On November 3, 2009, the Board authorized an additional $50
million for a total of $100 million authorized common stock repurchases. The authorization will remain in effect
through January 2, 2011 and will allow the Company to make repurchases as market conditions warrant.</t>
        </r>
        <r>
          <rPr>
            <b/>
            <sz val="8"/>
            <color indexed="81"/>
            <rFont val="Tahoma"/>
            <family val="2"/>
          </rPr>
          <t xml:space="preserve">
</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BX51" authorId="0">
      <text>
        <r>
          <rPr>
            <b/>
            <sz val="8"/>
            <color indexed="81"/>
            <rFont val="Tahoma"/>
            <family val="2"/>
          </rPr>
          <t xml:space="preserve">Jon Tower:
8.12.10
The Company has approximately $80 million authorized and available for additional common stock repurchases as of August 6, 2010. The current common stock repurchase program will remain in effect through January 2, 2011, and will allow the Company to make repurchases as market conditions
warrant
11.5.09
$100 Million Stock Repurchase Authorization
</t>
        </r>
        <r>
          <rPr>
            <sz val="8"/>
            <color indexed="81"/>
            <rFont val="Tahoma"/>
            <family val="2"/>
          </rPr>
          <t>On November 3, 2009, the Board authorized an additional $50
million for a total of $100 million authorized common stock repurchases. The authorization will remain in effect
through January 2, 2011 and will allow the Company to make repurchases as market conditions warrant.</t>
        </r>
        <r>
          <rPr>
            <b/>
            <sz val="8"/>
            <color indexed="81"/>
            <rFont val="Tahoma"/>
            <family val="2"/>
          </rPr>
          <t xml:space="preserve">
</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BY51" authorId="0">
      <text>
        <r>
          <rPr>
            <b/>
            <sz val="8"/>
            <color indexed="81"/>
            <rFont val="Tahoma"/>
            <family val="2"/>
          </rPr>
          <t xml:space="preserve">Jon Tower:
8.12.10
The Company has approximately $80 million authorized and available for additional common stock repurchases as of August 6, 2010. The current common stock repurchase program will remain in effect through January 2, 2011, and will allow the Company to make repurchases as market conditions
warrant
3.4.10
</t>
        </r>
        <r>
          <rPr>
            <sz val="8"/>
            <color indexed="81"/>
            <rFont val="Tahoma"/>
            <family val="2"/>
          </rPr>
          <t>Potential repurchases of common stock of up to $121.6 million (including $5.8 million of repurchases in 2009 that were not settled until after the 2009 year end) under the currently authorized stock buyback program, including $41.8 million, excluding commissions of $0.2 million, already purchased through February 26, 2010</t>
        </r>
        <r>
          <rPr>
            <b/>
            <sz val="8"/>
            <color indexed="81"/>
            <rFont val="Tahoma"/>
            <family val="2"/>
          </rPr>
          <t xml:space="preserve">
11.5.09
$100 Million Stock Repurchase Authorization
</t>
        </r>
        <r>
          <rPr>
            <sz val="8"/>
            <color indexed="81"/>
            <rFont val="Tahoma"/>
            <family val="2"/>
          </rPr>
          <t>On November 3, 2009, the Board authorized an additional $50
million for a total of $100 million authorized common stock repurchases. The authorization will remain in effect
through January 2, 2011 and will allow the Company to make repurchases as market conditions warrant.</t>
        </r>
        <r>
          <rPr>
            <b/>
            <sz val="8"/>
            <color indexed="81"/>
            <rFont val="Tahoma"/>
            <family val="2"/>
          </rPr>
          <t xml:space="preserve">
</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BZ51" authorId="0">
      <text>
        <r>
          <rPr>
            <b/>
            <sz val="8"/>
            <color indexed="81"/>
            <rFont val="Tahoma"/>
            <family val="2"/>
          </rPr>
          <t xml:space="preserve">Jon Tower:
</t>
        </r>
        <r>
          <rPr>
            <sz val="8"/>
            <color indexed="81"/>
            <rFont val="Tahoma"/>
            <family val="2"/>
          </rPr>
          <t>The Company has approximately $80 million authorized and available for
additional common stock repurchases as of August 6, 2010. The current common stock repurchase program will
remain in effect through January 2, 2011, and will allow the Company to make repurchases as market conditions
warrant.</t>
        </r>
        <r>
          <rPr>
            <b/>
            <sz val="8"/>
            <color indexed="81"/>
            <rFont val="Tahoma"/>
            <family val="2"/>
          </rPr>
          <t xml:space="preserve">
11.5.09
$100 Million Stock Repurchase Authorization
</t>
        </r>
        <r>
          <rPr>
            <sz val="8"/>
            <color indexed="81"/>
            <rFont val="Tahoma"/>
            <family val="2"/>
          </rPr>
          <t>On November 3, 2009, the Board authorized an additional $50
million for a total of $100 million authorized common stock repurchases. The authorization will remain in effect
through January 2, 2011 and will allow the Company to make repurchases as market conditions warrant.</t>
        </r>
        <r>
          <rPr>
            <b/>
            <sz val="8"/>
            <color indexed="81"/>
            <rFont val="Tahoma"/>
            <family val="2"/>
          </rPr>
          <t xml:space="preserve">
</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CE51" authorId="0">
      <text>
        <r>
          <rPr>
            <b/>
            <sz val="8"/>
            <color indexed="81"/>
            <rFont val="Tahoma"/>
            <family val="2"/>
          </rPr>
          <t xml:space="preserve">Jon Tower:
</t>
        </r>
        <r>
          <rPr>
            <sz val="8"/>
            <color indexed="81"/>
            <rFont val="Tahoma"/>
            <family val="2"/>
          </rPr>
          <t>The Company has approximately $80 million authorized and available for
additional common stock repurchases as of August 6, 2010. The current common stock repurchase program will
remain in effect through January 2, 2011, and will allow the Company to make repurchases as market conditions
warrant.</t>
        </r>
        <r>
          <rPr>
            <b/>
            <sz val="8"/>
            <color indexed="81"/>
            <rFont val="Tahoma"/>
            <family val="2"/>
          </rPr>
          <t xml:space="preserve">
11.5.09
$100 Million Stock Repurchase Authorization
</t>
        </r>
        <r>
          <rPr>
            <sz val="8"/>
            <color indexed="81"/>
            <rFont val="Tahoma"/>
            <family val="2"/>
          </rPr>
          <t>On November 3, 2009, the Board authorized an additional $50
million for a total of $100 million authorized common stock repurchases. The authorization will remain in effect
through January 2, 2011 and will allow the Company to make repurchases as market conditions warrant.</t>
        </r>
        <r>
          <rPr>
            <b/>
            <sz val="8"/>
            <color indexed="81"/>
            <rFont val="Tahoma"/>
            <family val="2"/>
          </rPr>
          <t xml:space="preserve">
</t>
        </r>
        <r>
          <rPr>
            <sz val="8"/>
            <color indexed="81"/>
            <rFont val="Tahoma"/>
            <family val="2"/>
          </rPr>
          <t xml:space="preserve">
8.6.09
The Board authorized a $50 million common stock repurchase program. The stock repurchase program will remain in effect through January 2, 2011 and will allow the Company to make repurchases as market conditions warrant. At the close of business on July 31, 2009, the Company had approximately 470,939,552 shares of
common stock outstanding.</t>
        </r>
      </text>
    </comment>
    <comment ref="CH51" authorId="0">
      <text>
        <r>
          <rPr>
            <b/>
            <sz val="8"/>
            <color indexed="81"/>
            <rFont val="Tahoma"/>
            <family val="2"/>
          </rPr>
          <t xml:space="preserve">Sushama Dasari:
1.16.13
</t>
        </r>
        <r>
          <rPr>
            <sz val="8"/>
            <color indexed="81"/>
            <rFont val="Tahoma"/>
            <family val="2"/>
          </rPr>
          <t>The company did not repurchase any shares during the fourth quarter</t>
        </r>
      </text>
    </comment>
    <comment ref="CI51" authorId="1">
      <text>
        <r>
          <rPr>
            <b/>
            <sz val="8"/>
            <color indexed="81"/>
            <rFont val="Tahoma"/>
            <family val="2"/>
          </rPr>
          <t xml:space="preserve">Sushama Dasari:
11.8.12
</t>
        </r>
        <r>
          <rPr>
            <sz val="8"/>
            <color indexed="81"/>
            <rFont val="Tahoma"/>
            <family val="2"/>
          </rPr>
          <t>The Company also announced that its Board of Directors authorized a new share repurchase program for up to $100 million of the Company’s common stock through Dec. 29, 2013.</t>
        </r>
        <r>
          <rPr>
            <b/>
            <sz val="8"/>
            <color indexed="81"/>
            <rFont val="Tahoma"/>
            <family val="2"/>
          </rPr>
          <t xml:space="preserve">
</t>
        </r>
        <r>
          <rPr>
            <sz val="8"/>
            <color indexed="81"/>
            <rFont val="Tahoma"/>
            <family val="2"/>
          </rPr>
          <t xml:space="preserve">
Our Board authorization for the stock buyback program expired in December 2011. We intend to focus our capital
resources on strategic reinvestment initiatives going forward.</t>
        </r>
      </text>
    </comment>
    <comment ref="CL51" authorId="6">
      <text>
        <r>
          <rPr>
            <b/>
            <sz val="8"/>
            <color indexed="81"/>
            <rFont val="Tahoma"/>
            <family val="2"/>
          </rPr>
          <t>Jake Bartlett:</t>
        </r>
        <r>
          <rPr>
            <sz val="8"/>
            <color indexed="81"/>
            <rFont val="Tahoma"/>
            <family val="2"/>
          </rPr>
          <t xml:space="preserve">
2Q13 10Q
Subsequent to 2Q, purchased 1.9mm shares  for $13.3M ($7/shr)</t>
        </r>
      </text>
    </comment>
    <comment ref="CN51" authorId="0">
      <text>
        <r>
          <rPr>
            <b/>
            <sz val="8"/>
            <color indexed="81"/>
            <rFont val="Tahoma"/>
            <family val="2"/>
          </rPr>
          <t xml:space="preserve">Sushama Dasari:
11.8.12
</t>
        </r>
        <r>
          <rPr>
            <sz val="8"/>
            <color indexed="81"/>
            <rFont val="Tahoma"/>
            <family val="2"/>
          </rPr>
          <t>The Company also announced that its Board of Directors authorized a new share repurchase program for up to $100 million of the Company’s common stock through Dec. 29, 2013.</t>
        </r>
      </text>
    </comment>
    <comment ref="CP51" authorId="6">
      <text>
        <r>
          <rPr>
            <b/>
            <sz val="8"/>
            <color indexed="81"/>
            <rFont val="Tahoma"/>
            <family val="2"/>
          </rPr>
          <t xml:space="preserve">1.13.14:
</t>
        </r>
        <r>
          <rPr>
            <sz val="8"/>
            <color indexed="81"/>
            <rFont val="Tahoma"/>
            <family val="2"/>
          </rPr>
          <t xml:space="preserve">Beyond the 1Q Dutch Auction, buybacks are expected to offset options dilution </t>
        </r>
        <r>
          <rPr>
            <sz val="8"/>
            <color indexed="81"/>
            <rFont val="Tahoma"/>
            <family val="2"/>
          </rPr>
          <t xml:space="preserve">
</t>
        </r>
      </text>
    </comment>
    <comment ref="CR51" authorId="5">
      <text>
        <r>
          <rPr>
            <b/>
            <sz val="9"/>
            <color indexed="81"/>
            <rFont val="Tahoma"/>
            <family val="2"/>
          </rPr>
          <t>3Q 10Q:</t>
        </r>
        <r>
          <rPr>
            <sz val="9"/>
            <color indexed="81"/>
            <rFont val="Tahoma"/>
            <family val="2"/>
          </rPr>
          <t xml:space="preserve">
$7.3M repurchased Through 10/31. Up to $86.1M possible.</t>
        </r>
      </text>
    </comment>
    <comment ref="CS51" authorId="6">
      <text>
        <r>
          <rPr>
            <b/>
            <sz val="8"/>
            <color indexed="81"/>
            <rFont val="Tahoma"/>
            <family val="2"/>
          </rPr>
          <t xml:space="preserve">2013 10k:
</t>
        </r>
        <r>
          <rPr>
            <sz val="8"/>
            <color indexed="81"/>
            <rFont val="Tahoma"/>
            <family val="2"/>
          </rPr>
          <t xml:space="preserve">$275m spend on dutch auction in Feb. None other contemplated at this time. </t>
        </r>
        <r>
          <rPr>
            <sz val="8"/>
            <color indexed="81"/>
            <rFont val="Tahoma"/>
            <family val="2"/>
          </rPr>
          <t xml:space="preserve">
</t>
        </r>
      </text>
    </comment>
    <comment ref="CU51" authorId="2">
      <text>
        <r>
          <rPr>
            <b/>
            <sz val="9"/>
            <color indexed="81"/>
            <rFont val="Tahoma"/>
            <family val="2"/>
          </rPr>
          <t xml:space="preserve">6.15 new share repurchase of 1.4bn authorized (1/2 of market cap)
</t>
        </r>
        <r>
          <rPr>
            <sz val="9"/>
            <color indexed="81"/>
            <rFont val="Tahoma"/>
            <family val="2"/>
          </rPr>
          <t xml:space="preserve">
5.5.15
-24.7m qtd</t>
        </r>
      </text>
    </comment>
    <comment ref="CV51" authorId="8">
      <text>
        <r>
          <rPr>
            <b/>
            <sz val="9"/>
            <color indexed="81"/>
            <rFont val="Tahoma"/>
            <family val="2"/>
          </rPr>
          <t>Glass, John (Research):</t>
        </r>
        <r>
          <rPr>
            <sz val="9"/>
            <color indexed="81"/>
            <rFont val="Tahoma"/>
            <family val="2"/>
          </rPr>
          <t xml:space="preserve">
6.15: dutch tender (639) + trian (211) = $850 M . See I/S for details</t>
        </r>
      </text>
    </comment>
    <comment ref="CW51" authorId="5">
      <text>
        <r>
          <rPr>
            <b/>
            <sz val="9"/>
            <color indexed="81"/>
            <rFont val="Tahoma"/>
            <family val="2"/>
          </rPr>
          <t>3Q 10Q:</t>
        </r>
        <r>
          <rPr>
            <sz val="9"/>
            <color indexed="81"/>
            <rFont val="Tahoma"/>
            <family val="2"/>
          </rPr>
          <t xml:space="preserve">
$7.3M repurchased Through 10/31. Up to $86.1M possible.</t>
        </r>
      </text>
    </comment>
    <comment ref="CX51" authorId="5">
      <text>
        <r>
          <rPr>
            <b/>
            <sz val="9"/>
            <color indexed="81"/>
            <rFont val="Tahoma"/>
            <family val="2"/>
          </rPr>
          <t>7.3.15 925M buyback due to refinaing, 400-475 from optimization proceeds ($350 post tax), 50m from bakery sale
5.5.15
pretax proceeds of 400-475 million from sale of restaurants
2014 10K:</t>
        </r>
        <r>
          <rPr>
            <sz val="9"/>
            <color indexed="81"/>
            <rFont val="Tahoma"/>
            <family val="2"/>
          </rPr>
          <t xml:space="preserve">
$76.1M potential repurchases, $6M of which was done in 1Q to date (through 2/18/15)</t>
        </r>
      </text>
    </comment>
    <comment ref="DB51" authorId="2">
      <text>
        <r>
          <rPr>
            <b/>
            <sz val="9"/>
            <color indexed="81"/>
            <rFont val="Tahoma"/>
            <family val="2"/>
          </rPr>
          <t>O'Brien, Courtney (Research):</t>
        </r>
        <r>
          <rPr>
            <sz val="9"/>
            <color indexed="81"/>
            <rFont val="Tahoma"/>
            <family val="2"/>
          </rPr>
          <t xml:space="preserve">
11.9.16
150M ASR; after completeion will have utilized substantially all of repo authorization ($1.4B)</t>
        </r>
      </text>
    </comment>
    <comment ref="DC51" authorId="2">
      <text>
        <r>
          <rPr>
            <b/>
            <sz val="9"/>
            <color indexed="81"/>
            <rFont val="Tahoma"/>
            <family val="2"/>
          </rPr>
          <t>8.10.16
SO: $435m pretax proceeds, $340M post
11.4.15
$400M remaining under existing share repurchase authorization and plan to use by end of 2016</t>
        </r>
        <r>
          <rPr>
            <sz val="9"/>
            <color indexed="81"/>
            <rFont val="Tahoma"/>
            <family val="2"/>
          </rPr>
          <t xml:space="preserve">
6.15: assumes remaining $550 M of $1.4 b in buyback done ratably over five S ending in 16</t>
        </r>
      </text>
    </comment>
    <comment ref="DH51" authorId="2">
      <text>
        <r>
          <rPr>
            <b/>
            <sz val="9"/>
            <color indexed="81"/>
            <rFont val="Tahoma"/>
            <family val="2"/>
          </rPr>
          <t>O'Brien, Courtney (Research):</t>
        </r>
        <r>
          <rPr>
            <sz val="9"/>
            <color indexed="81"/>
            <rFont val="Tahoma"/>
            <family val="2"/>
          </rPr>
          <t xml:space="preserve">
5.10.17
150M share repurchase authorization</t>
        </r>
      </text>
    </comment>
    <comment ref="DM51" authorId="4">
      <text>
        <r>
          <rPr>
            <b/>
            <sz val="9"/>
            <color indexed="81"/>
            <rFont val="Tahoma"/>
            <family val="2"/>
          </rPr>
          <t>Carril, Christopher E (Research):</t>
        </r>
        <r>
          <rPr>
            <sz val="9"/>
            <color indexed="81"/>
            <rFont val="Tahoma"/>
            <family val="2"/>
          </rPr>
          <t xml:space="preserve">
2.22.2018
On February 15, 2018, the Company announced that its Board of Directors authorized a 21 percent increase in its quarterly cash dividend rate and a new share repurchase program for up to $175 million of the Company's common stock through March 3, 2019. The Company's new quarterly cash dividend rate of 8.5 cents per share will be effective with its next dividend payment, which is payable on March 15, 2018, to shareholders of record as of March 1, 2018.</t>
        </r>
      </text>
    </comment>
    <comment ref="CF54" authorId="3">
      <text>
        <r>
          <rPr>
            <b/>
            <sz val="8"/>
            <color indexed="81"/>
            <rFont val="Tahoma"/>
            <family val="2"/>
          </rPr>
          <t>Sushama Dasari:</t>
        </r>
        <r>
          <rPr>
            <sz val="8"/>
            <color indexed="81"/>
            <rFont val="Tahoma"/>
            <family val="2"/>
          </rPr>
          <t xml:space="preserve">
Includes -$15.602 deferred financing costs + $1.544 proceeds from stock option exercises</t>
        </r>
      </text>
    </comment>
    <comment ref="CG54" authorId="3">
      <text>
        <r>
          <rPr>
            <b/>
            <sz val="8"/>
            <color indexed="81"/>
            <rFont val="Tahoma"/>
            <family val="2"/>
          </rPr>
          <t>Sushama Dasari:</t>
        </r>
        <r>
          <rPr>
            <sz val="8"/>
            <color indexed="81"/>
            <rFont val="Tahoma"/>
            <family val="2"/>
          </rPr>
          <t xml:space="preserve">
Includes -$15.511 deferred financing costs + $2.526 proceeds from stock option exercises + 0.052 Other, net</t>
        </r>
      </text>
    </comment>
    <comment ref="DH61" authorId="2">
      <text>
        <r>
          <rPr>
            <b/>
            <sz val="9"/>
            <color indexed="81"/>
            <rFont val="Tahoma"/>
            <family val="2"/>
          </rPr>
          <t>O'Brien, Courtney (Research):</t>
        </r>
        <r>
          <rPr>
            <sz val="9"/>
            <color indexed="81"/>
            <rFont val="Tahoma"/>
            <family val="2"/>
          </rPr>
          <t xml:space="preserve">
11.9.16
need ~150M cash in steady state</t>
        </r>
      </text>
    </comment>
    <comment ref="DM64" authorId="4">
      <text>
        <r>
          <rPr>
            <b/>
            <sz val="9"/>
            <color indexed="81"/>
            <rFont val="Tahoma"/>
            <family val="2"/>
          </rPr>
          <t>Carril, Christopher E (Research):</t>
        </r>
        <r>
          <rPr>
            <sz val="9"/>
            <color indexed="81"/>
            <rFont val="Tahoma"/>
            <family val="2"/>
          </rPr>
          <t xml:space="preserve">
2.21.2018
Cash flows from operations of approximately $295 to $320 million. </t>
        </r>
      </text>
    </comment>
    <comment ref="CN66" authorId="3">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 xml:space="preserve">Over this three-year period (2011-2013), we expect to generate approximately $360 million of FCF </t>
        </r>
        <r>
          <rPr>
            <b/>
            <sz val="8"/>
            <color indexed="81"/>
            <rFont val="Tahoma"/>
            <family val="2"/>
          </rPr>
          <t xml:space="preserve">as defined by the company: </t>
        </r>
        <r>
          <rPr>
            <sz val="8"/>
            <color indexed="81"/>
            <rFont val="Tahoma"/>
            <family val="2"/>
          </rPr>
          <t>Adj. EBITDA - cash interest &amp; taxes - cap ex. Excludes OWC</t>
        </r>
      </text>
    </comment>
    <comment ref="CX66" authorId="2">
      <text>
        <r>
          <rPr>
            <b/>
            <sz val="9"/>
            <color indexed="81"/>
            <rFont val="Tahoma"/>
            <family val="2"/>
          </rPr>
          <t>O'Brien, Courtney (Research):</t>
        </r>
        <r>
          <rPr>
            <sz val="9"/>
            <color indexed="81"/>
            <rFont val="Tahoma"/>
            <family val="2"/>
          </rPr>
          <t xml:space="preserve">
6.15.
~25M</t>
        </r>
      </text>
    </comment>
    <comment ref="DC66" authorId="8">
      <text>
        <r>
          <rPr>
            <b/>
            <sz val="9"/>
            <color indexed="81"/>
            <rFont val="Tahoma"/>
            <family val="2"/>
          </rPr>
          <t xml:space="preserve">11.1.16
$35-55M
8.10.16
reit $50-75M
5.11.2016
</t>
        </r>
        <r>
          <rPr>
            <sz val="9"/>
            <color indexed="81"/>
            <rFont val="Tahoma"/>
            <family val="2"/>
          </rPr>
          <t>Reit $50-75M</t>
        </r>
        <r>
          <rPr>
            <b/>
            <sz val="9"/>
            <color indexed="81"/>
            <rFont val="Tahoma"/>
            <family val="2"/>
          </rPr>
          <t xml:space="preserve">
2.9.16
</t>
        </r>
        <r>
          <rPr>
            <sz val="9"/>
            <color indexed="81"/>
            <rFont val="Tahoma"/>
            <family val="2"/>
          </rPr>
          <t>$50-75m</t>
        </r>
        <r>
          <rPr>
            <b/>
            <sz val="9"/>
            <color indexed="81"/>
            <rFont val="Tahoma"/>
            <family val="2"/>
          </rPr>
          <t xml:space="preserve">
</t>
        </r>
        <r>
          <rPr>
            <sz val="9"/>
            <color indexed="81"/>
            <rFont val="Tahoma"/>
            <family val="2"/>
          </rPr>
          <t xml:space="preserve">
</t>
        </r>
        <r>
          <rPr>
            <b/>
            <sz val="9"/>
            <color indexed="81"/>
            <rFont val="Tahoma"/>
            <family val="2"/>
          </rPr>
          <t xml:space="preserve">6.15
</t>
        </r>
        <r>
          <rPr>
            <sz val="9"/>
            <color indexed="81"/>
            <rFont val="Tahoma"/>
            <family val="2"/>
          </rPr>
          <t>FCF for 16 = $50 - $75 M</t>
        </r>
      </text>
    </comment>
    <comment ref="DH66" authorId="8">
      <text>
        <r>
          <rPr>
            <b/>
            <sz val="9"/>
            <color indexed="81"/>
            <rFont val="Tahoma"/>
            <family val="2"/>
          </rPr>
          <t>11.8.2017</t>
        </r>
        <r>
          <rPr>
            <sz val="9"/>
            <color indexed="81"/>
            <rFont val="Tahoma"/>
            <family val="2"/>
          </rPr>
          <t xml:space="preserve">
$170-180M</t>
        </r>
        <r>
          <rPr>
            <b/>
            <sz val="9"/>
            <color indexed="81"/>
            <rFont val="Tahoma"/>
            <family val="2"/>
          </rPr>
          <t xml:space="preserve">
8.9.2017
</t>
        </r>
        <r>
          <rPr>
            <sz val="9"/>
            <color indexed="81"/>
            <rFont val="Tahoma"/>
            <family val="2"/>
          </rPr>
          <t xml:space="preserve">$160-185M
</t>
        </r>
        <r>
          <rPr>
            <b/>
            <sz val="9"/>
            <color indexed="81"/>
            <rFont val="Tahoma"/>
            <family val="2"/>
          </rPr>
          <t xml:space="preserve">
5.10.17
</t>
        </r>
        <r>
          <rPr>
            <sz val="9"/>
            <color indexed="81"/>
            <rFont val="Tahoma"/>
            <family val="2"/>
          </rPr>
          <t xml:space="preserve">Free cash flow of approximately $160 to $185 million; way to think about At Investor Day, we had not included any cash flow impact out of restructuring charges. So the way you have to think about it is a slight headwind on cash out related to restructuring 2017 as obviously, tailwind and offset as we've increased our EBITDA guidance so the net-net effect was unchanged, hence the reason why we didn't improve change our guidance for 2017
</t>
        </r>
        <r>
          <rPr>
            <b/>
            <sz val="9"/>
            <color indexed="81"/>
            <rFont val="Tahoma"/>
            <family val="2"/>
          </rPr>
          <t xml:space="preserve">
2.16.17
</t>
        </r>
        <r>
          <rPr>
            <sz val="9"/>
            <color indexed="81"/>
            <rFont val="Tahoma"/>
            <family val="2"/>
          </rPr>
          <t>$160 to $185 million</t>
        </r>
        <r>
          <rPr>
            <b/>
            <sz val="9"/>
            <color indexed="81"/>
            <rFont val="Tahoma"/>
            <family val="2"/>
          </rPr>
          <t xml:space="preserve">
11.9.16
</t>
        </r>
        <r>
          <rPr>
            <sz val="9"/>
            <color indexed="81"/>
            <rFont val="Tahoma"/>
            <family val="2"/>
          </rPr>
          <t>no update, still holds.</t>
        </r>
        <r>
          <rPr>
            <b/>
            <sz val="9"/>
            <color indexed="81"/>
            <rFont val="Tahoma"/>
            <family val="2"/>
          </rPr>
          <t xml:space="preserve">
2.9.16
</t>
        </r>
        <r>
          <rPr>
            <sz val="9"/>
            <color indexed="81"/>
            <rFont val="Tahoma"/>
            <family val="2"/>
          </rPr>
          <t>$150-200M
6.15:
2106 FCF = $150- $200 M</t>
        </r>
      </text>
    </comment>
    <comment ref="DM66" authorId="8">
      <text>
        <r>
          <rPr>
            <b/>
            <sz val="9"/>
            <color indexed="81"/>
            <rFont val="Tahoma"/>
            <family val="2"/>
          </rPr>
          <t xml:space="preserve">2.21.2018
</t>
        </r>
        <r>
          <rPr>
            <sz val="9"/>
            <color indexed="81"/>
            <rFont val="Tahoma"/>
            <family val="2"/>
          </rPr>
          <t xml:space="preserve">Free cash flow of approximately $220 to $240 million, an increase of approximately 29 to 41 percent compared to 2017.
</t>
        </r>
        <r>
          <rPr>
            <b/>
            <sz val="9"/>
            <color indexed="81"/>
            <rFont val="Tahoma"/>
            <family val="2"/>
          </rPr>
          <t xml:space="preserve">
11.8.2017
</t>
        </r>
        <r>
          <rPr>
            <sz val="9"/>
            <color indexed="81"/>
            <rFont val="Tahoma"/>
            <family val="2"/>
          </rPr>
          <t>Again, transparency, headwinds are going to be the G&amp;A restructuring plan is going to be an adverse effect on our cash flows in '18. And again, we have disclosed that it's in the range of $12 million to $13 million for 2018.</t>
        </r>
        <r>
          <rPr>
            <b/>
            <sz val="9"/>
            <color indexed="81"/>
            <rFont val="Tahoma"/>
            <family val="2"/>
          </rPr>
          <t xml:space="preserve">
2.9.16
$200-250M
</t>
        </r>
        <r>
          <rPr>
            <sz val="9"/>
            <color indexed="81"/>
            <rFont val="Tahoma"/>
            <family val="2"/>
          </rPr>
          <t xml:space="preserve">
6.15
FCF for 18 = $200 - $250 M (CFO - capex)</t>
        </r>
      </text>
    </comment>
    <comment ref="DW66" authorId="2">
      <text>
        <r>
          <rPr>
            <b/>
            <sz val="9"/>
            <color indexed="81"/>
            <rFont val="Tahoma"/>
            <family val="2"/>
          </rPr>
          <t>O'Brien, Courtney (Research):</t>
        </r>
        <r>
          <rPr>
            <sz val="9"/>
            <color indexed="81"/>
            <rFont val="Tahoma"/>
            <family val="2"/>
          </rPr>
          <t xml:space="preserve">
</t>
        </r>
        <r>
          <rPr>
            <b/>
            <sz val="9"/>
            <color indexed="81"/>
            <rFont val="Tahoma"/>
            <family val="2"/>
          </rPr>
          <t xml:space="preserve">2.21.2018
</t>
        </r>
        <r>
          <rPr>
            <sz val="9"/>
            <color indexed="81"/>
            <rFont val="Tahoma"/>
            <family val="2"/>
          </rPr>
          <t xml:space="preserve">Free cash flow of ~$300 million (capital expenditures of ~$65 million
</t>
        </r>
        <r>
          <rPr>
            <b/>
            <sz val="9"/>
            <color indexed="81"/>
            <rFont val="Tahoma"/>
            <family val="2"/>
          </rPr>
          <t>11.8.2017</t>
        </r>
        <r>
          <rPr>
            <sz val="9"/>
            <color indexed="81"/>
            <rFont val="Tahoma"/>
            <family val="2"/>
          </rPr>
          <t xml:space="preserve">
Reit: Free cash flow of ~$275 million (capital expenditures of ~$65 million). This is predicated on $12 B in systemide sales and 7,500 systemwide units, and 38-40% EIBITDA margins by that yr.
</t>
        </r>
        <r>
          <rPr>
            <b/>
            <sz val="9"/>
            <color indexed="81"/>
            <rFont val="Tahoma"/>
            <family val="2"/>
          </rPr>
          <t>2.16.17</t>
        </r>
        <r>
          <rPr>
            <sz val="9"/>
            <color indexed="81"/>
            <rFont val="Tahoma"/>
            <family val="2"/>
          </rPr>
          <t xml:space="preserve">
Free Cash Flow of ~$275 million (capital expenditures of ~$65 million).</t>
        </r>
      </text>
    </comment>
    <comment ref="CN78" authorId="3">
      <text>
        <r>
          <rPr>
            <b/>
            <sz val="8"/>
            <color indexed="81"/>
            <rFont val="Tahoma"/>
            <family val="2"/>
          </rPr>
          <t>Sushama Dasari:</t>
        </r>
        <r>
          <rPr>
            <sz val="8"/>
            <color indexed="81"/>
            <rFont val="Tahoma"/>
            <family val="2"/>
          </rPr>
          <t xml:space="preserve">
</t>
        </r>
        <r>
          <rPr>
            <b/>
            <sz val="8"/>
            <color indexed="81"/>
            <rFont val="Tahoma"/>
            <family val="2"/>
          </rPr>
          <t xml:space="preserve">11.8.12
</t>
        </r>
        <r>
          <rPr>
            <sz val="8"/>
            <color indexed="81"/>
            <rFont val="Tahoma"/>
            <family val="2"/>
          </rPr>
          <t xml:space="preserve">Over this three-year period (2011-2013), we expect to generate approximately $360 million of FCF </t>
        </r>
        <r>
          <rPr>
            <b/>
            <sz val="8"/>
            <color indexed="81"/>
            <rFont val="Tahoma"/>
            <family val="2"/>
          </rPr>
          <t xml:space="preserve">as defined by the company: </t>
        </r>
        <r>
          <rPr>
            <sz val="8"/>
            <color indexed="81"/>
            <rFont val="Tahoma"/>
            <family val="2"/>
          </rPr>
          <t>Adj. EBITDA - cash interest &amp; taxes - cap ex. Excludes OWC</t>
        </r>
      </text>
    </comment>
    <comment ref="CS91" authorId="6">
      <text>
        <r>
          <rPr>
            <b/>
            <sz val="8"/>
            <color indexed="81"/>
            <rFont val="Tahoma"/>
            <family val="2"/>
          </rPr>
          <t xml:space="preserve">5.8.14:
</t>
        </r>
        <r>
          <rPr>
            <sz val="8"/>
            <color indexed="81"/>
            <rFont val="Tahoma"/>
            <family val="2"/>
          </rPr>
          <t>Reiterated $215M</t>
        </r>
        <r>
          <rPr>
            <b/>
            <sz val="8"/>
            <color indexed="81"/>
            <rFont val="Tahoma"/>
            <family val="2"/>
          </rPr>
          <t xml:space="preserve">
1.13.14:
</t>
        </r>
        <r>
          <rPr>
            <sz val="8"/>
            <color indexed="81"/>
            <rFont val="Tahoma"/>
            <family val="2"/>
          </rPr>
          <t>$215M</t>
        </r>
        <r>
          <rPr>
            <sz val="8"/>
            <color indexed="81"/>
            <rFont val="Tahoma"/>
            <family val="2"/>
          </rPr>
          <t xml:space="preserve">
</t>
        </r>
      </text>
    </comment>
    <comment ref="CE92" authorId="6">
      <text>
        <r>
          <rPr>
            <b/>
            <sz val="8"/>
            <color indexed="81"/>
            <rFont val="Tahoma"/>
            <family val="2"/>
          </rPr>
          <t xml:space="preserve">10Q:
</t>
        </r>
        <r>
          <rPr>
            <sz val="8"/>
            <color indexed="81"/>
            <rFont val="Tahoma"/>
            <family val="2"/>
          </rPr>
          <t xml:space="preserve">Doesn't breakout IA. Includes $8.8M for remodels, $7.2M for new units. </t>
        </r>
        <r>
          <rPr>
            <sz val="8"/>
            <color indexed="81"/>
            <rFont val="Tahoma"/>
            <family val="2"/>
          </rPr>
          <t xml:space="preserve">
</t>
        </r>
      </text>
    </comment>
    <comment ref="CF92" authorId="6">
      <text>
        <r>
          <rPr>
            <b/>
            <sz val="8"/>
            <color indexed="81"/>
            <rFont val="Tahoma"/>
            <family val="2"/>
          </rPr>
          <t xml:space="preserve">10Q:
</t>
        </r>
        <r>
          <rPr>
            <sz val="8"/>
            <color indexed="81"/>
            <rFont val="Tahoma"/>
            <family val="2"/>
          </rPr>
          <t xml:space="preserve">Doesn't breakout IA. Includes $4M for remodels, $2.6M for new units. </t>
        </r>
        <r>
          <rPr>
            <sz val="8"/>
            <color indexed="81"/>
            <rFont val="Tahoma"/>
            <family val="2"/>
          </rPr>
          <t xml:space="preserve">
</t>
        </r>
      </text>
    </comment>
    <comment ref="CF94" authorId="6">
      <text>
        <r>
          <rPr>
            <b/>
            <sz val="8"/>
            <color indexed="81"/>
            <rFont val="Tahoma"/>
            <family val="2"/>
          </rPr>
          <t xml:space="preserve">10Q:
</t>
        </r>
        <r>
          <rPr>
            <sz val="8"/>
            <color indexed="81"/>
            <rFont val="Tahoma"/>
            <family val="2"/>
          </rPr>
          <t>Includes $24.8M for POS equipment</t>
        </r>
        <r>
          <rPr>
            <sz val="8"/>
            <color indexed="81"/>
            <rFont val="Tahoma"/>
            <family val="2"/>
          </rPr>
          <t xml:space="preserve">
</t>
        </r>
      </text>
    </comment>
    <comment ref="CI94" authorId="6">
      <text>
        <r>
          <rPr>
            <b/>
            <sz val="8"/>
            <color indexed="81"/>
            <rFont val="Tahoma"/>
            <family val="2"/>
          </rPr>
          <t xml:space="preserve">2012 10K:
</t>
        </r>
        <r>
          <rPr>
            <sz val="8"/>
            <color indexed="81"/>
            <rFont val="Tahoma"/>
            <family val="2"/>
          </rPr>
          <t>Includes $28M in POS equipment</t>
        </r>
        <r>
          <rPr>
            <sz val="8"/>
            <color indexed="81"/>
            <rFont val="Tahoma"/>
            <family val="2"/>
          </rPr>
          <t xml:space="preserve">
</t>
        </r>
      </text>
    </comment>
    <comment ref="CS95" authorId="3">
      <text>
        <r>
          <rPr>
            <b/>
            <sz val="8"/>
            <color indexed="81"/>
            <rFont val="Tahoma"/>
            <family val="2"/>
          </rPr>
          <t>5.8.14:</t>
        </r>
        <r>
          <rPr>
            <sz val="8"/>
            <color indexed="81"/>
            <rFont val="Tahoma"/>
            <family val="2"/>
          </rPr>
          <t xml:space="preserve">
$280-290M guidance including $215M company-operated IA units (reimaged and new)</t>
        </r>
        <r>
          <rPr>
            <b/>
            <sz val="8"/>
            <color indexed="81"/>
            <rFont val="Tahoma"/>
            <family val="2"/>
          </rPr>
          <t xml:space="preserve">
2.27.14
</t>
        </r>
        <r>
          <rPr>
            <sz val="8"/>
            <color indexed="81"/>
            <rFont val="Tahoma"/>
            <family val="2"/>
          </rPr>
          <t>$285M guidance</t>
        </r>
        <r>
          <rPr>
            <b/>
            <sz val="8"/>
            <color indexed="81"/>
            <rFont val="Tahoma"/>
            <family val="2"/>
          </rPr>
          <t xml:space="preserve">
1.13.14
</t>
        </r>
        <r>
          <rPr>
            <sz val="8"/>
            <color indexed="81"/>
            <rFont val="Tahoma"/>
            <family val="2"/>
          </rPr>
          <t xml:space="preserve">2014 capex: $280-290M
2015 capex: $275-300M
2016 capex: $250-275M
2017 capex: $175-200M
2018 capex: $100-125M
</t>
        </r>
        <r>
          <rPr>
            <sz val="8"/>
            <color indexed="81"/>
            <rFont val="Tahoma"/>
            <family val="2"/>
          </rPr>
          <t xml:space="preserve">
</t>
        </r>
        <r>
          <rPr>
            <b/>
            <sz val="8"/>
            <color indexed="81"/>
            <rFont val="Tahoma"/>
            <family val="2"/>
          </rPr>
          <t xml:space="preserve">2.4.13
10K:
</t>
        </r>
        <r>
          <rPr>
            <sz val="8"/>
            <color indexed="81"/>
            <rFont val="Tahoma"/>
            <family val="2"/>
          </rPr>
          <t>$285M capex</t>
        </r>
        <r>
          <rPr>
            <b/>
            <sz val="8"/>
            <color indexed="81"/>
            <rFont val="Tahoma"/>
            <family val="2"/>
          </rPr>
          <t xml:space="preserve">
2014 cap ex: $265M
2015 cap ex: $265M
</t>
        </r>
        <r>
          <rPr>
            <sz val="8"/>
            <color indexed="81"/>
            <rFont val="Tahoma"/>
            <family val="2"/>
          </rPr>
          <t xml:space="preserve">Base capex in 2013: $100M
Image Activation spending in 2013: $145M
Expect $160-170M IA spending in '14 and '15 (evenly split since same # company IAs expected each year). Add to that base cap ex of $100M (from '13) staying flat
</t>
        </r>
        <r>
          <rPr>
            <sz val="8"/>
            <color indexed="81"/>
            <rFont val="Tahoma"/>
            <family val="2"/>
          </rPr>
          <t xml:space="preserve">
</t>
        </r>
        <r>
          <rPr>
            <b/>
            <sz val="8"/>
            <color indexed="81"/>
            <rFont val="Tahoma"/>
            <family val="2"/>
          </rPr>
          <t xml:space="preserve">1.16.13
</t>
        </r>
        <r>
          <rPr>
            <sz val="8"/>
            <color indexed="81"/>
            <rFont val="Tahoma"/>
            <family val="2"/>
          </rPr>
          <t>Expect $440-500M spending on Image Activation between 2013-2015</t>
        </r>
        <r>
          <rPr>
            <sz val="8"/>
            <color indexed="81"/>
            <rFont val="Tahoma"/>
            <family val="2"/>
          </rPr>
          <t xml:space="preserve">
</t>
        </r>
        <r>
          <rPr>
            <b/>
            <sz val="8"/>
            <color indexed="81"/>
            <rFont val="Tahoma"/>
            <family val="2"/>
          </rPr>
          <t xml:space="preserve">11.8.12
</t>
        </r>
        <r>
          <rPr>
            <sz val="8"/>
            <color indexed="81"/>
            <rFont val="Tahoma"/>
            <family val="2"/>
          </rPr>
          <t xml:space="preserve">Have the financial flexibility to invest up to $500
million for Image Activation by the end of 2015 to reach our goal of re-imaging 50% of our Company restaurants. </t>
        </r>
      </text>
    </comment>
    <comment ref="CX95" authorId="6">
      <text>
        <r>
          <rPr>
            <b/>
            <sz val="8"/>
            <color indexed="81"/>
            <rFont val="Tahoma"/>
            <family val="2"/>
          </rPr>
          <t xml:space="preserve">1.13.14:
</t>
        </r>
        <r>
          <rPr>
            <sz val="8"/>
            <color indexed="81"/>
            <rFont val="Tahoma"/>
            <family val="2"/>
          </rPr>
          <t>$275-300M guidance</t>
        </r>
        <r>
          <rPr>
            <sz val="8"/>
            <color indexed="81"/>
            <rFont val="Tahoma"/>
            <family val="2"/>
          </rPr>
          <t xml:space="preserve">
</t>
        </r>
      </text>
    </comment>
    <comment ref="DC95" authorId="6">
      <text>
        <r>
          <rPr>
            <b/>
            <sz val="8"/>
            <color indexed="81"/>
            <rFont val="Tahoma"/>
            <family val="2"/>
          </rPr>
          <t xml:space="preserve">2.9.16 $135-$145
6.15: $130 - $140 m
1.13.14:
</t>
        </r>
        <r>
          <rPr>
            <sz val="8"/>
            <color indexed="81"/>
            <rFont val="Tahoma"/>
            <family val="2"/>
          </rPr>
          <t>$250-275M guidance</t>
        </r>
        <r>
          <rPr>
            <sz val="8"/>
            <color indexed="81"/>
            <rFont val="Tahoma"/>
            <family val="2"/>
          </rPr>
          <t xml:space="preserve">
</t>
        </r>
      </text>
    </comment>
    <comment ref="DH95" authorId="6">
      <text>
        <r>
          <rPr>
            <b/>
            <sz val="8"/>
            <color indexed="81"/>
            <rFont val="Tahoma"/>
            <family val="2"/>
          </rPr>
          <t xml:space="preserve">6.15:
$75-85 M
1.13.14:
</t>
        </r>
        <r>
          <rPr>
            <sz val="8"/>
            <color indexed="81"/>
            <rFont val="Tahoma"/>
            <family val="2"/>
          </rPr>
          <t>$175-200M guidance</t>
        </r>
        <r>
          <rPr>
            <sz val="8"/>
            <color indexed="81"/>
            <rFont val="Tahoma"/>
            <family val="2"/>
          </rPr>
          <t xml:space="preserve">
</t>
        </r>
      </text>
    </comment>
    <comment ref="CM97" authorId="6">
      <text>
        <r>
          <rPr>
            <b/>
            <sz val="8"/>
            <color indexed="81"/>
            <rFont val="Tahoma"/>
            <family val="2"/>
          </rPr>
          <t xml:space="preserve">1.13.14:
</t>
        </r>
        <r>
          <rPr>
            <sz val="8"/>
            <color indexed="81"/>
            <rFont val="Tahoma"/>
            <family val="2"/>
          </rPr>
          <t>$450-650K range</t>
        </r>
        <r>
          <rPr>
            <sz val="8"/>
            <color indexed="81"/>
            <rFont val="Tahoma"/>
            <family val="2"/>
          </rPr>
          <t xml:space="preserve">
</t>
        </r>
      </text>
    </comment>
    <comment ref="CO97" authorId="6">
      <text>
        <r>
          <rPr>
            <b/>
            <sz val="8"/>
            <color indexed="81"/>
            <rFont val="Tahoma"/>
            <family val="2"/>
          </rPr>
          <t>1.13.14:</t>
        </r>
        <r>
          <rPr>
            <sz val="8"/>
            <color indexed="81"/>
            <rFont val="Tahoma"/>
            <family val="2"/>
          </rPr>
          <t xml:space="preserve">
$450-650K range reiterated</t>
        </r>
        <r>
          <rPr>
            <b/>
            <sz val="8"/>
            <color indexed="81"/>
            <rFont val="Tahoma"/>
            <family val="2"/>
          </rPr>
          <t xml:space="preserve">
1.13.14:
</t>
        </r>
        <r>
          <rPr>
            <sz val="8"/>
            <color indexed="81"/>
            <rFont val="Tahoma"/>
            <family val="2"/>
          </rPr>
          <t>$450-650K range</t>
        </r>
        <r>
          <rPr>
            <sz val="8"/>
            <color indexed="81"/>
            <rFont val="Tahoma"/>
            <family val="2"/>
          </rPr>
          <t xml:space="preserve">
</t>
        </r>
      </text>
    </comment>
    <comment ref="CP97" authorId="6">
      <text>
        <r>
          <rPr>
            <b/>
            <sz val="8"/>
            <color indexed="81"/>
            <rFont val="Tahoma"/>
            <family val="2"/>
          </rPr>
          <t xml:space="preserve">1.13.14:
</t>
        </r>
        <r>
          <rPr>
            <sz val="8"/>
            <color indexed="81"/>
            <rFont val="Tahoma"/>
            <family val="2"/>
          </rPr>
          <t>$450-650K range</t>
        </r>
        <r>
          <rPr>
            <sz val="8"/>
            <color indexed="81"/>
            <rFont val="Tahoma"/>
            <family val="2"/>
          </rPr>
          <t xml:space="preserve">
</t>
        </r>
      </text>
    </comment>
    <comment ref="CQ97" authorId="6">
      <text>
        <r>
          <rPr>
            <b/>
            <sz val="8"/>
            <color indexed="81"/>
            <rFont val="Tahoma"/>
            <family val="2"/>
          </rPr>
          <t xml:space="preserve">1.13.14:
</t>
        </r>
        <r>
          <rPr>
            <sz val="8"/>
            <color indexed="81"/>
            <rFont val="Tahoma"/>
            <family val="2"/>
          </rPr>
          <t>$450-650K range</t>
        </r>
        <r>
          <rPr>
            <sz val="8"/>
            <color indexed="81"/>
            <rFont val="Tahoma"/>
            <family val="2"/>
          </rPr>
          <t xml:space="preserve">
</t>
        </r>
      </text>
    </comment>
    <comment ref="CR97" authorId="6">
      <text>
        <r>
          <rPr>
            <b/>
            <sz val="8"/>
            <color indexed="81"/>
            <rFont val="Tahoma"/>
            <family val="2"/>
          </rPr>
          <t xml:space="preserve">1.13.14:
</t>
        </r>
        <r>
          <rPr>
            <sz val="8"/>
            <color indexed="81"/>
            <rFont val="Tahoma"/>
            <family val="2"/>
          </rPr>
          <t>$450-650K range</t>
        </r>
        <r>
          <rPr>
            <sz val="8"/>
            <color indexed="81"/>
            <rFont val="Tahoma"/>
            <family val="2"/>
          </rPr>
          <t xml:space="preserve">
</t>
        </r>
      </text>
    </comment>
    <comment ref="CM98" authorId="6">
      <text>
        <r>
          <rPr>
            <b/>
            <sz val="8"/>
            <color indexed="81"/>
            <rFont val="Tahoma"/>
            <family val="2"/>
          </rPr>
          <t xml:space="preserve">1.13.14: (ICR presentation)
</t>
        </r>
        <r>
          <rPr>
            <sz val="8"/>
            <color indexed="81"/>
            <rFont val="Tahoma"/>
            <family val="2"/>
          </rPr>
          <t>$1.5-$1.9M range</t>
        </r>
        <r>
          <rPr>
            <b/>
            <sz val="8"/>
            <color indexed="81"/>
            <rFont val="Tahoma"/>
            <family val="2"/>
          </rPr>
          <t xml:space="preserve">
</t>
        </r>
        <r>
          <rPr>
            <sz val="8"/>
            <color indexed="81"/>
            <rFont val="Tahoma"/>
            <family val="2"/>
          </rPr>
          <t xml:space="preserve">
</t>
        </r>
      </text>
    </comment>
    <comment ref="CO98" authorId="6">
      <text>
        <r>
          <rPr>
            <b/>
            <sz val="8"/>
            <color indexed="81"/>
            <rFont val="Tahoma"/>
            <family val="2"/>
          </rPr>
          <t xml:space="preserve">1.13.14: (ICR presentation)
</t>
        </r>
        <r>
          <rPr>
            <sz val="8"/>
            <color indexed="81"/>
            <rFont val="Tahoma"/>
            <family val="2"/>
          </rPr>
          <t>$1.5-$1.9M range</t>
        </r>
        <r>
          <rPr>
            <b/>
            <sz val="8"/>
            <color indexed="81"/>
            <rFont val="Tahoma"/>
            <family val="2"/>
          </rPr>
          <t xml:space="preserve">
</t>
        </r>
        <r>
          <rPr>
            <sz val="8"/>
            <color indexed="81"/>
            <rFont val="Tahoma"/>
            <family val="2"/>
          </rPr>
          <t xml:space="preserve">
</t>
        </r>
      </text>
    </comment>
    <comment ref="CP98" authorId="6">
      <text>
        <r>
          <rPr>
            <b/>
            <sz val="8"/>
            <color indexed="81"/>
            <rFont val="Tahoma"/>
            <family val="2"/>
          </rPr>
          <t xml:space="preserve">1.13.14: (ICR presentation)
</t>
        </r>
        <r>
          <rPr>
            <sz val="8"/>
            <color indexed="81"/>
            <rFont val="Tahoma"/>
            <family val="2"/>
          </rPr>
          <t>$1.5-$1.9M range</t>
        </r>
        <r>
          <rPr>
            <b/>
            <sz val="8"/>
            <color indexed="81"/>
            <rFont val="Tahoma"/>
            <family val="2"/>
          </rPr>
          <t xml:space="preserve">
</t>
        </r>
        <r>
          <rPr>
            <sz val="8"/>
            <color indexed="81"/>
            <rFont val="Tahoma"/>
            <family val="2"/>
          </rPr>
          <t xml:space="preserve">
</t>
        </r>
      </text>
    </comment>
    <comment ref="CQ98" authorId="6">
      <text>
        <r>
          <rPr>
            <b/>
            <sz val="8"/>
            <color indexed="81"/>
            <rFont val="Tahoma"/>
            <family val="2"/>
          </rPr>
          <t xml:space="preserve">1.13.14: (ICR presentation)
</t>
        </r>
        <r>
          <rPr>
            <sz val="8"/>
            <color indexed="81"/>
            <rFont val="Tahoma"/>
            <family val="2"/>
          </rPr>
          <t>$1.5-$1.9M range</t>
        </r>
        <r>
          <rPr>
            <b/>
            <sz val="8"/>
            <color indexed="81"/>
            <rFont val="Tahoma"/>
            <family val="2"/>
          </rPr>
          <t xml:space="preserve">
</t>
        </r>
        <r>
          <rPr>
            <sz val="8"/>
            <color indexed="81"/>
            <rFont val="Tahoma"/>
            <family val="2"/>
          </rPr>
          <t xml:space="preserve">
</t>
        </r>
      </text>
    </comment>
    <comment ref="CR98" authorId="6">
      <text>
        <r>
          <rPr>
            <b/>
            <sz val="8"/>
            <color indexed="81"/>
            <rFont val="Tahoma"/>
            <family val="2"/>
          </rPr>
          <t xml:space="preserve">1.13.14: (ICR presentation)
</t>
        </r>
        <r>
          <rPr>
            <sz val="8"/>
            <color indexed="81"/>
            <rFont val="Tahoma"/>
            <family val="2"/>
          </rPr>
          <t>$1.5-$1.9M range</t>
        </r>
        <r>
          <rPr>
            <b/>
            <sz val="8"/>
            <color indexed="81"/>
            <rFont val="Tahoma"/>
            <family val="2"/>
          </rPr>
          <t xml:space="preserve">
</t>
        </r>
        <r>
          <rPr>
            <sz val="8"/>
            <color indexed="81"/>
            <rFont val="Tahoma"/>
            <family val="2"/>
          </rPr>
          <t xml:space="preserve">
</t>
        </r>
      </text>
    </comment>
    <comment ref="CJ99" authorId="6">
      <text>
        <r>
          <rPr>
            <b/>
            <sz val="8"/>
            <color indexed="81"/>
            <rFont val="Tahoma"/>
            <family val="2"/>
          </rPr>
          <t xml:space="preserve">1.16.13:
</t>
        </r>
        <r>
          <rPr>
            <sz val="8"/>
            <color indexed="81"/>
            <rFont val="Tahoma"/>
            <family val="2"/>
          </rPr>
          <t>'13 ICR presentatition (28 scrape/rebuilds or 100 targeted)</t>
        </r>
        <r>
          <rPr>
            <sz val="8"/>
            <color indexed="81"/>
            <rFont val="Tahoma"/>
            <family val="2"/>
          </rPr>
          <t xml:space="preserve">
</t>
        </r>
      </text>
    </comment>
    <comment ref="CK99" authorId="6">
      <text>
        <r>
          <rPr>
            <b/>
            <sz val="8"/>
            <color indexed="81"/>
            <rFont val="Tahoma"/>
            <family val="2"/>
          </rPr>
          <t xml:space="preserve">1.16.13:
</t>
        </r>
        <r>
          <rPr>
            <sz val="8"/>
            <color indexed="81"/>
            <rFont val="Tahoma"/>
            <family val="2"/>
          </rPr>
          <t>'13 ICR presentatition (28 scrape/rebuilds or 100 targeted)</t>
        </r>
        <r>
          <rPr>
            <sz val="8"/>
            <color indexed="81"/>
            <rFont val="Tahoma"/>
            <family val="2"/>
          </rPr>
          <t xml:space="preserve">
</t>
        </r>
      </text>
    </comment>
    <comment ref="CL99" authorId="6">
      <text>
        <r>
          <rPr>
            <b/>
            <sz val="8"/>
            <color indexed="81"/>
            <rFont val="Tahoma"/>
            <family val="2"/>
          </rPr>
          <t xml:space="preserve">1.16.13:
</t>
        </r>
        <r>
          <rPr>
            <sz val="8"/>
            <color indexed="81"/>
            <rFont val="Tahoma"/>
            <family val="2"/>
          </rPr>
          <t>'13 ICR presentatition (28 scrape/rebuilds or 100 targeted)</t>
        </r>
        <r>
          <rPr>
            <sz val="8"/>
            <color indexed="81"/>
            <rFont val="Tahoma"/>
            <family val="2"/>
          </rPr>
          <t xml:space="preserve">
</t>
        </r>
      </text>
    </comment>
    <comment ref="CM99" authorId="6">
      <text>
        <r>
          <rPr>
            <b/>
            <sz val="8"/>
            <color indexed="81"/>
            <rFont val="Tahoma"/>
            <family val="2"/>
          </rPr>
          <t xml:space="preserve">1.16.13:
</t>
        </r>
        <r>
          <rPr>
            <sz val="8"/>
            <color indexed="81"/>
            <rFont val="Tahoma"/>
            <family val="2"/>
          </rPr>
          <t>'13 ICR presentatition (28 scrape/rebuilds or 100 targeted)</t>
        </r>
        <r>
          <rPr>
            <sz val="8"/>
            <color indexed="81"/>
            <rFont val="Tahoma"/>
            <family val="2"/>
          </rPr>
          <t xml:space="preserve">
</t>
        </r>
      </text>
    </comment>
    <comment ref="CN99" authorId="6">
      <text>
        <r>
          <rPr>
            <b/>
            <sz val="8"/>
            <color indexed="81"/>
            <rFont val="Tahoma"/>
            <family val="2"/>
          </rPr>
          <t xml:space="preserve">1.16.13:
</t>
        </r>
        <r>
          <rPr>
            <sz val="8"/>
            <color indexed="81"/>
            <rFont val="Tahoma"/>
            <family val="2"/>
          </rPr>
          <t>'13 ICR presentatition (28 scrape/rebuilds or 100 targeted)</t>
        </r>
        <r>
          <rPr>
            <sz val="8"/>
            <color indexed="81"/>
            <rFont val="Tahoma"/>
            <family val="2"/>
          </rPr>
          <t xml:space="preserve">
</t>
        </r>
      </text>
    </comment>
  </commentList>
</comments>
</file>

<file path=xl/sharedStrings.xml><?xml version="1.0" encoding="utf-8"?>
<sst xmlns="http://schemas.openxmlformats.org/spreadsheetml/2006/main" count="1525" uniqueCount="1011">
  <si>
    <t>Proceeds from stock option exercises</t>
  </si>
  <si>
    <t xml:space="preserve">   Stock based comp</t>
  </si>
  <si>
    <t xml:space="preserve">   Company SSS</t>
  </si>
  <si>
    <t>Total G&amp;A</t>
  </si>
  <si>
    <t>1Q03A</t>
  </si>
  <si>
    <t>2Q03A</t>
  </si>
  <si>
    <t>3Q03A</t>
  </si>
  <si>
    <t>4Q03A</t>
  </si>
  <si>
    <t>2003A</t>
  </si>
  <si>
    <t>Fiscal Year Ends: December</t>
  </si>
  <si>
    <t>A vs. E</t>
  </si>
  <si>
    <t>NA</t>
  </si>
  <si>
    <t>REVENUE</t>
  </si>
  <si>
    <t xml:space="preserve">  Franchise revenues </t>
  </si>
  <si>
    <t>TOTAL REVENUE</t>
  </si>
  <si>
    <t>Cost of sales</t>
  </si>
  <si>
    <t>G&amp;A</t>
  </si>
  <si>
    <t>Depreciation &amp; amortization</t>
  </si>
  <si>
    <t>Other (income)/expense</t>
  </si>
  <si>
    <t>OPERATING INCOME</t>
  </si>
  <si>
    <t>Pretax Income</t>
  </si>
  <si>
    <t>Company-Calculated Free Cash Flow</t>
  </si>
  <si>
    <t>This sheet contains Factset binary data for use with this workbook's =FDS codes.  Modifying the worksheet's contents may damage the workbook's =FDS functionality.</t>
  </si>
  <si>
    <t>EPS Growth</t>
  </si>
  <si>
    <t>Operating/Continuing Ops EPS</t>
  </si>
  <si>
    <t>1Q08A</t>
  </si>
  <si>
    <t>EPS - reported (fully diluted) includ. asset gains</t>
  </si>
  <si>
    <t>Shares outstanding (diluted)</t>
  </si>
  <si>
    <t>Margin Analysis</t>
  </si>
  <si>
    <t xml:space="preserve">G&amp;A </t>
  </si>
  <si>
    <t>Operating Margin</t>
  </si>
  <si>
    <t>Tax rate</t>
  </si>
  <si>
    <t xml:space="preserve">Net income </t>
  </si>
  <si>
    <t>Year-over-Year Change</t>
  </si>
  <si>
    <t>Systemwide sales</t>
  </si>
  <si>
    <t>Retail Sales</t>
  </si>
  <si>
    <t>2Q05A</t>
  </si>
  <si>
    <t>Total Net Sales</t>
  </si>
  <si>
    <t>Total COGS</t>
  </si>
  <si>
    <t>Total SG&amp;A</t>
  </si>
  <si>
    <t>Total Expenses</t>
  </si>
  <si>
    <t>A/R Days</t>
  </si>
  <si>
    <t>Inventory Days</t>
  </si>
  <si>
    <t>A/P Days</t>
  </si>
  <si>
    <t>D&amp;A</t>
  </si>
  <si>
    <t>Accounts payable, accrued expenses and other current liabilities</t>
  </si>
  <si>
    <t>Class A</t>
  </si>
  <si>
    <t>Repurchase of common shares</t>
  </si>
  <si>
    <t>Occupancy, advertising and other</t>
  </si>
  <si>
    <t>P/E</t>
  </si>
  <si>
    <t>2008A</t>
  </si>
  <si>
    <t>Goodwill impairment</t>
  </si>
  <si>
    <t>Other impairment</t>
  </si>
  <si>
    <t>Gain on early extinguishments of debt</t>
  </si>
  <si>
    <t>Adjusted EBITDA</t>
  </si>
  <si>
    <t>Market Cap</t>
  </si>
  <si>
    <t>Current Stock Price</t>
  </si>
  <si>
    <t>2Q14A</t>
  </si>
  <si>
    <t>NI/Sales</t>
  </si>
  <si>
    <t>3Q06A</t>
  </si>
  <si>
    <t>1Q09E</t>
  </si>
  <si>
    <t>2Q09E</t>
  </si>
  <si>
    <t>3Q09E</t>
  </si>
  <si>
    <t>4Q09E</t>
  </si>
  <si>
    <t>Go To:</t>
  </si>
  <si>
    <t>(data in $ millions except EPS &amp; Units)</t>
  </si>
  <si>
    <t>Adjustments to reconcile NI/Net loss to CFO</t>
  </si>
  <si>
    <t>Operating investment adjustments, net</t>
  </si>
  <si>
    <t>Depreciation &amp; Amortization</t>
  </si>
  <si>
    <t>Write-off &amp; amortization of deferred financing costs</t>
  </si>
  <si>
    <t>Share-based compensation provision</t>
  </si>
  <si>
    <t>Receipt of deferred vendor incentive, net of amount recognized</t>
  </si>
  <si>
    <t>Straight-line rent accrual</t>
  </si>
  <si>
    <t>2Q06A</t>
  </si>
  <si>
    <t>3Q04A</t>
  </si>
  <si>
    <t>4Q04A</t>
  </si>
  <si>
    <t>2004A</t>
  </si>
  <si>
    <t>3Q07A</t>
  </si>
  <si>
    <t>Retained earnings</t>
  </si>
  <si>
    <t>4Q05A</t>
  </si>
  <si>
    <t>2005A</t>
  </si>
  <si>
    <t>EBIT/Sales</t>
  </si>
  <si>
    <t>EBITDA Margin</t>
  </si>
  <si>
    <t>1Q06A</t>
  </si>
  <si>
    <t>Total</t>
  </si>
  <si>
    <t>Difference</t>
  </si>
  <si>
    <t>1Q13A</t>
  </si>
  <si>
    <t xml:space="preserve">    Loss on sale of unconsolidated business</t>
  </si>
  <si>
    <t>Income Statement</t>
  </si>
  <si>
    <t xml:space="preserve">Revenue </t>
  </si>
  <si>
    <t>Balance Sheet</t>
  </si>
  <si>
    <t>Revenue Growth</t>
  </si>
  <si>
    <t>Statement of Cash Flows</t>
  </si>
  <si>
    <t>Unit Detail</t>
  </si>
  <si>
    <t>Operating Income Growth</t>
  </si>
  <si>
    <t>Same-store Sales</t>
  </si>
  <si>
    <t>Revenue Drivers</t>
  </si>
  <si>
    <t xml:space="preserve">NET INCOME </t>
  </si>
  <si>
    <t>Minority Interest/Non-controlling interest</t>
  </si>
  <si>
    <t>1Q05A</t>
  </si>
  <si>
    <t>1Q12A</t>
  </si>
  <si>
    <t>Goodwill impairments</t>
  </si>
  <si>
    <t>Impairment of other long-lived assets</t>
  </si>
  <si>
    <t>Non-cash rent expense</t>
  </si>
  <si>
    <t>Gain on sale of consolidated business</t>
  </si>
  <si>
    <t>Net Debt to TTM EBITDA</t>
  </si>
  <si>
    <t>Fiscal Year Ends: December $ in millions</t>
  </si>
  <si>
    <t>Increase in cash from Wendy's merger</t>
  </si>
  <si>
    <t>Effect of exchange rates on cash</t>
  </si>
  <si>
    <t>Loss on sale of unconsolidated business</t>
  </si>
  <si>
    <t>Other income (expense), net</t>
  </si>
  <si>
    <t>Minority Interest</t>
  </si>
  <si>
    <t>PROFORMA Shares outstanding (diluted)</t>
  </si>
  <si>
    <t>PROFORMA Shares outstanding (basic)</t>
  </si>
  <si>
    <t>Advertising costs</t>
  </si>
  <si>
    <t>EBITDA (adjusted)</t>
  </si>
  <si>
    <t>EBITDA Margin (adjusted)</t>
  </si>
  <si>
    <t>Wendy's Company Owned</t>
  </si>
  <si>
    <t>Wendy's Franchised</t>
  </si>
  <si>
    <t>Current Assets</t>
  </si>
  <si>
    <t>Cash &amp; cash equivalents</t>
  </si>
  <si>
    <t>Accounts &amp; notes receivable</t>
  </si>
  <si>
    <t>Prepaid expenses &amp; other current assets</t>
  </si>
  <si>
    <t>Total current assets</t>
  </si>
  <si>
    <t>EPS (Operating)</t>
  </si>
  <si>
    <t>3Q10A</t>
  </si>
  <si>
    <t>Average Assets/Average Equity</t>
  </si>
  <si>
    <t>ROAA</t>
  </si>
  <si>
    <t>ROAE</t>
  </si>
  <si>
    <t>Y/Y Change (bps)</t>
  </si>
  <si>
    <t xml:space="preserve">    Restaurant Margin</t>
  </si>
  <si>
    <t>CASH FLOWS FROM OPERATING ACTIVITIES:</t>
  </si>
  <si>
    <t>John S. Glass, (617) 856-8752</t>
  </si>
  <si>
    <t xml:space="preserve">Unrecorded goodwill from poolings, write-offs, and cumulative amortization </t>
  </si>
  <si>
    <t>Notes payable</t>
  </si>
  <si>
    <t>Deferred compensation payable to related parties</t>
  </si>
  <si>
    <t>Cash Flow Statistics</t>
  </si>
  <si>
    <t>Free Cash Flow</t>
  </si>
  <si>
    <t>Dupont Valuation Analysis</t>
  </si>
  <si>
    <t>Sales/Average Assets</t>
  </si>
  <si>
    <t>THE WENDY'S COMPANY: INCOME STATEMENT</t>
  </si>
  <si>
    <t>Count</t>
  </si>
  <si>
    <t>4Q08A</t>
  </si>
  <si>
    <t>Y/Y Change</t>
  </si>
  <si>
    <t>EV/EBITDA</t>
  </si>
  <si>
    <t>Net income adjusted for consensus</t>
  </si>
  <si>
    <t>Shares Issued (millions)</t>
  </si>
  <si>
    <t>Common Equity Beginning of Period</t>
  </si>
  <si>
    <t>Net Issuance (Repurchase of common stock)</t>
  </si>
  <si>
    <t>AOCI changes</t>
  </si>
  <si>
    <t xml:space="preserve">Period end </t>
  </si>
  <si>
    <t>-</t>
  </si>
  <si>
    <t>Currency</t>
  </si>
  <si>
    <t>Other change ni AOCI</t>
  </si>
  <si>
    <t>Restaurant Cost of Sales</t>
  </si>
  <si>
    <t>Restaurant Sales</t>
  </si>
  <si>
    <t>Bakery sales</t>
  </si>
  <si>
    <t>Restaurant COS</t>
  </si>
  <si>
    <t>Total COS</t>
  </si>
  <si>
    <t>Other Changes</t>
  </si>
  <si>
    <t>Common Equity End of Period</t>
  </si>
  <si>
    <t>Dividends</t>
  </si>
  <si>
    <t>Per share</t>
  </si>
  <si>
    <t>Payout ratio</t>
  </si>
  <si>
    <t>Cash interest</t>
  </si>
  <si>
    <t>Cash income taxes, net of refunds</t>
  </si>
  <si>
    <t>(Adj EBITDA - Cash interest &amp; taxes - CapEx)</t>
  </si>
  <si>
    <t>Investment settlement receivable</t>
  </si>
  <si>
    <t>Check</t>
  </si>
  <si>
    <t>2010E</t>
  </si>
  <si>
    <t>1Q11E</t>
  </si>
  <si>
    <t>2Q11E</t>
  </si>
  <si>
    <t>3Q11E</t>
  </si>
  <si>
    <t>4Q11E</t>
  </si>
  <si>
    <t>2011E</t>
  </si>
  <si>
    <t>Actual vs. Estimated</t>
  </si>
  <si>
    <t xml:space="preserve"> - stock buybacks</t>
  </si>
  <si>
    <t>EPS - Operating/Continuing Ops</t>
  </si>
  <si>
    <t>Accelerated depreciation (after-tax)</t>
  </si>
  <si>
    <t>Pre EBITDA</t>
  </si>
  <si>
    <t>Current</t>
  </si>
  <si>
    <t>Balance sheet drivers</t>
  </si>
  <si>
    <t>Long-term debt detail</t>
  </si>
  <si>
    <t>Term Loan A, due in 2018</t>
  </si>
  <si>
    <t>Term Loan B, due in 2019</t>
  </si>
  <si>
    <t>6.20% senior notes, due in 2014</t>
  </si>
  <si>
    <t>7% debentures, due in 2025</t>
  </si>
  <si>
    <t>Capital lease obligations, due through 2040</t>
  </si>
  <si>
    <t>Bakery Margin</t>
  </si>
  <si>
    <t>1Q01A</t>
  </si>
  <si>
    <t>2Q01A</t>
  </si>
  <si>
    <t>4Q13A</t>
  </si>
  <si>
    <t>2013A</t>
  </si>
  <si>
    <t>Wendy's Systemwide</t>
  </si>
  <si>
    <t>Long-term debt</t>
  </si>
  <si>
    <t>Deferred income</t>
  </si>
  <si>
    <t>Minority interests in consolidated subsidiaries</t>
  </si>
  <si>
    <t>Other liabilities</t>
  </si>
  <si>
    <t>Class A common stock</t>
  </si>
  <si>
    <t>Class B common stock</t>
  </si>
  <si>
    <t>Additional paid-in capital</t>
  </si>
  <si>
    <t>Current portion of LT debt</t>
  </si>
  <si>
    <t>Accrued expenses &amp; other CL</t>
  </si>
  <si>
    <t>Current liabilities related to discon't ops</t>
  </si>
  <si>
    <t>Total current liabilities</t>
  </si>
  <si>
    <t>Stockholder's equity:</t>
  </si>
  <si>
    <t>Accumulated other comprehensive income (loss)</t>
  </si>
  <si>
    <t>Total stockholder's equity</t>
  </si>
  <si>
    <t>check</t>
  </si>
  <si>
    <t>Per Average Store</t>
  </si>
  <si>
    <t>Average franchise stores</t>
  </si>
  <si>
    <t xml:space="preserve">Interest Expense/Income </t>
  </si>
  <si>
    <t>Restaurant Expenses</t>
  </si>
  <si>
    <t>Restaurant COGS TOTAL</t>
  </si>
  <si>
    <t>Bakery Costs</t>
  </si>
  <si>
    <t>The Wendy's Company</t>
  </si>
  <si>
    <t>WENDY'S: BALANCE SHEET</t>
  </si>
  <si>
    <t xml:space="preserve">   Dilution</t>
  </si>
  <si>
    <t>EPS - Adjusted  per WEN</t>
  </si>
  <si>
    <t>2017E</t>
  </si>
  <si>
    <t>2018E</t>
  </si>
  <si>
    <t>EBIT</t>
  </si>
  <si>
    <t>weeks/Q</t>
  </si>
  <si>
    <t>Net Debt/EBITDA</t>
  </si>
  <si>
    <t>Net cash provided by continuing operating activities</t>
  </si>
  <si>
    <t>Capital expenditures</t>
  </si>
  <si>
    <t>Cost of business acquisitions, less cash acquired</t>
  </si>
  <si>
    <t>Capitalized Wendy's merger costs</t>
  </si>
  <si>
    <t xml:space="preserve">Investment activities, net </t>
  </si>
  <si>
    <t>Proceeds from dispositions of assets</t>
  </si>
  <si>
    <t>Net cash provided by continuing investing activities</t>
  </si>
  <si>
    <t>3Q08A</t>
  </si>
  <si>
    <t>Income from Continuing Ops</t>
  </si>
  <si>
    <t>Income from Discontinued Ops</t>
  </si>
  <si>
    <t>Interest Expense</t>
  </si>
  <si>
    <t>Current stock price</t>
  </si>
  <si>
    <t>4Q01A</t>
  </si>
  <si>
    <t>2001A</t>
  </si>
  <si>
    <t>1Q02A</t>
  </si>
  <si>
    <t>2Q02A</t>
  </si>
  <si>
    <t>3Q02A</t>
  </si>
  <si>
    <t>4Q02A</t>
  </si>
  <si>
    <t>2002A</t>
  </si>
  <si>
    <t>NM</t>
  </si>
  <si>
    <t>3Q05A</t>
  </si>
  <si>
    <t>Implied Interest Rate</t>
  </si>
  <si>
    <t>Interest Expense (income), net</t>
  </si>
  <si>
    <t>TTM/NTM</t>
  </si>
  <si>
    <t>COGs</t>
  </si>
  <si>
    <t>Interest Expense, net</t>
  </si>
  <si>
    <t>Balance Sheet Data</t>
  </si>
  <si>
    <t>Cash &amp; equivalents</t>
  </si>
  <si>
    <t>Long-term Debt</t>
  </si>
  <si>
    <t>Cash Flow Data</t>
  </si>
  <si>
    <t>Capex</t>
  </si>
  <si>
    <t>Free-cash Flow (CFO less capex)</t>
  </si>
  <si>
    <t>John.glass@morganstanley.com</t>
  </si>
  <si>
    <t>Snapshot</t>
  </si>
  <si>
    <t>EBITDA Growth</t>
  </si>
  <si>
    <t>Valuation Information</t>
  </si>
  <si>
    <t>Current shares outstanding</t>
  </si>
  <si>
    <t>Current net debt</t>
  </si>
  <si>
    <t>Enterprise Value</t>
  </si>
  <si>
    <t>Wendy's US Company SSS</t>
  </si>
  <si>
    <t>EPS - operating as per WEN</t>
  </si>
  <si>
    <t>Net increase in cash and cash equivalents</t>
  </si>
  <si>
    <t xml:space="preserve">   Core depreciation</t>
  </si>
  <si>
    <t xml:space="preserve">      Y/Y change</t>
  </si>
  <si>
    <t xml:space="preserve">   Refranchising D&amp;A savings (est)</t>
  </si>
  <si>
    <t>Y/Y growth ex refranchising impact</t>
  </si>
  <si>
    <t># of reimages</t>
  </si>
  <si>
    <t xml:space="preserve">   Core G&amp;A</t>
  </si>
  <si>
    <t xml:space="preserve">   Franchise incentive costs</t>
  </si>
  <si>
    <t xml:space="preserve">   Other non-recurring</t>
  </si>
  <si>
    <t xml:space="preserve">   Refranchising G&amp;A savings (est)</t>
  </si>
  <si>
    <t>Y/Y growthin core ex refranchising impact</t>
  </si>
  <si>
    <t>Minority interests in income of consolidated subsidiaries</t>
  </si>
  <si>
    <t>Facilities relocation and corporate restructuring, net provision (payments)</t>
  </si>
  <si>
    <t>Unfavorable lease liability recognized</t>
  </si>
  <si>
    <t>Loss (income) from discontinued operations</t>
  </si>
  <si>
    <t>Payment of withholding taxes related to share-based compensation</t>
  </si>
  <si>
    <t>2009A</t>
  </si>
  <si>
    <t>Company</t>
  </si>
  <si>
    <t>Gross Debt to TTM EBITDA</t>
  </si>
  <si>
    <t>Capital expenditures as a % of revenues</t>
  </si>
  <si>
    <t>4Q09A</t>
  </si>
  <si>
    <t>1Q14A</t>
  </si>
  <si>
    <t>2006A</t>
  </si>
  <si>
    <t>WEN.N,mscalc:sedolCodeCalc</t>
  </si>
  <si>
    <t>WEN.N,mscalc:targetPrice,,,,USD</t>
  </si>
  <si>
    <t>WEN.N,mscalc:closePriceCurrencyCalc</t>
  </si>
  <si>
    <t>Deferred costs and other assets</t>
  </si>
  <si>
    <t>Total Assets</t>
  </si>
  <si>
    <t>Current Liabilities</t>
  </si>
  <si>
    <t>Total Liabilities &amp; Stockholder's equity</t>
  </si>
  <si>
    <t>Common stock held in treasury</t>
  </si>
  <si>
    <t>Shares outstanding (basic)</t>
  </si>
  <si>
    <t>Other, net</t>
  </si>
  <si>
    <t>1Q10E</t>
  </si>
  <si>
    <t>2Q10E</t>
  </si>
  <si>
    <t>Other than temporary losses on investments</t>
  </si>
  <si>
    <t>Net Income (loss)</t>
  </si>
  <si>
    <t xml:space="preserve">Total </t>
  </si>
  <si>
    <t>Interest (Income)</t>
  </si>
  <si>
    <t>Accounts and notes receivable</t>
  </si>
  <si>
    <t>Inventories</t>
  </si>
  <si>
    <t>3Q09A</t>
  </si>
  <si>
    <t>2007P</t>
  </si>
  <si>
    <t>ND</t>
  </si>
  <si>
    <t xml:space="preserve">Average Diluted shares outstanding </t>
  </si>
  <si>
    <t>Period end basic shares outstanding</t>
  </si>
  <si>
    <t>average basic shares outstanding</t>
  </si>
  <si>
    <t>Taxes</t>
  </si>
  <si>
    <t>Effective tax rate</t>
  </si>
  <si>
    <t>Statutory tax rate</t>
  </si>
  <si>
    <t xml:space="preserve">    State &amp; local taxes</t>
  </si>
  <si>
    <t xml:space="preserve">    Foreign taxes</t>
  </si>
  <si>
    <t>Elmer's Statutory tax rate</t>
  </si>
  <si>
    <t>Restaurant Margin</t>
  </si>
  <si>
    <t>USD</t>
  </si>
  <si>
    <t>Notes receivable</t>
  </si>
  <si>
    <t>3Q08P</t>
  </si>
  <si>
    <t>Source: Company financials and Morgan Stanley estimates. "A" is actual, "P" is proforma and "E" is Morgan Stanley estimates.</t>
  </si>
  <si>
    <t>(617) 856-8752</t>
  </si>
  <si>
    <t>John S. Glass</t>
  </si>
  <si>
    <t>3Q01A</t>
  </si>
  <si>
    <t>2Q08A</t>
  </si>
  <si>
    <t>Cash flows from continuing investing activities:</t>
  </si>
  <si>
    <t>Cash flows from continuing financing activities:</t>
  </si>
  <si>
    <t>Proceeds from issuance of long-term debt</t>
  </si>
  <si>
    <t>Repayments of notes payable and long-term debt</t>
  </si>
  <si>
    <t>Dividends paid</t>
  </si>
  <si>
    <t>Net distributions to minority interests</t>
  </si>
  <si>
    <t>Other</t>
  </si>
  <si>
    <t>Net cash provided by continuing financing activities</t>
  </si>
  <si>
    <t>Net cash used in continuing operations</t>
  </si>
  <si>
    <t>Net cash used in operating activities of discontinued operations</t>
  </si>
  <si>
    <t>Cash and cash equivalents at end of period</t>
  </si>
  <si>
    <t>Cash and cash equivalents at beginning of period</t>
  </si>
  <si>
    <t>Total Cost of Sales</t>
  </si>
  <si>
    <t>Wendy's special committee costs/other</t>
  </si>
  <si>
    <t xml:space="preserve"> </t>
  </si>
  <si>
    <t>1Q96A</t>
  </si>
  <si>
    <t>2Q96A</t>
  </si>
  <si>
    <t>3Q96A</t>
  </si>
  <si>
    <t>4Q96A</t>
  </si>
  <si>
    <t>1Q97A</t>
  </si>
  <si>
    <t>2Q97A</t>
  </si>
  <si>
    <t>3Q97A</t>
  </si>
  <si>
    <t>4Q97A</t>
  </si>
  <si>
    <t>1997A</t>
  </si>
  <si>
    <t>1Q98A</t>
  </si>
  <si>
    <t>2Q98A</t>
  </si>
  <si>
    <t>3Q98A</t>
  </si>
  <si>
    <t>4Q98A</t>
  </si>
  <si>
    <t>1998A</t>
  </si>
  <si>
    <t>1Q99A</t>
  </si>
  <si>
    <t>2Q99A</t>
  </si>
  <si>
    <t>3Q99A</t>
  </si>
  <si>
    <t>4Q99A</t>
  </si>
  <si>
    <t>1999A</t>
  </si>
  <si>
    <t>1Q00A</t>
  </si>
  <si>
    <t>2Q00A</t>
  </si>
  <si>
    <t>3Q00A</t>
  </si>
  <si>
    <t>4Q00A</t>
  </si>
  <si>
    <t>2000A</t>
  </si>
  <si>
    <t>2Q11A</t>
  </si>
  <si>
    <t>3Q11A</t>
  </si>
  <si>
    <t>WEN.O</t>
  </si>
  <si>
    <t>3Q12A</t>
  </si>
  <si>
    <t>Basic</t>
  </si>
  <si>
    <t>Diluted</t>
  </si>
  <si>
    <t>Class B</t>
  </si>
  <si>
    <t>4Q10A</t>
  </si>
  <si>
    <t>2010A</t>
  </si>
  <si>
    <t>Revenues</t>
  </si>
  <si>
    <t>4Q17E</t>
  </si>
  <si>
    <t>1Q18E</t>
  </si>
  <si>
    <t>2Q18E</t>
  </si>
  <si>
    <t>3Q18E</t>
  </si>
  <si>
    <t>4Q18E</t>
  </si>
  <si>
    <t>1Q19E</t>
  </si>
  <si>
    <t>2Q19E</t>
  </si>
  <si>
    <t>3Q19E</t>
  </si>
  <si>
    <t>4Q20E</t>
  </si>
  <si>
    <t>2019E</t>
  </si>
  <si>
    <t>4Q19E</t>
  </si>
  <si>
    <t>1Q20E</t>
  </si>
  <si>
    <t>2Q20E</t>
  </si>
  <si>
    <t>3Q20E</t>
  </si>
  <si>
    <t>2020E</t>
  </si>
  <si>
    <t>Capex analysis</t>
  </si>
  <si>
    <t>Image Activation units (remodel and new)</t>
  </si>
  <si>
    <t>Corporate buildings and reno</t>
  </si>
  <si>
    <t>Otther capital projects</t>
  </si>
  <si>
    <t>Other restaurants (remodel and new)</t>
  </si>
  <si>
    <t>Total capex</t>
  </si>
  <si>
    <t>Cost per remodel</t>
  </si>
  <si>
    <t>Cost per new unit/rebuild</t>
  </si>
  <si>
    <t xml:space="preserve">   % scrape/rebuild</t>
  </si>
  <si>
    <t>Avg. remodel cost (est)</t>
  </si>
  <si>
    <t>Depreciation detail</t>
  </si>
  <si>
    <t xml:space="preserve">   Accelerated depreciation</t>
  </si>
  <si>
    <t>Total depreciation</t>
  </si>
  <si>
    <t>Goodwill</t>
  </si>
  <si>
    <t>2Q09A</t>
  </si>
  <si>
    <t>Total Unit Growth</t>
  </si>
  <si>
    <t>Ticker (NYSE): WEN</t>
  </si>
  <si>
    <t>2Q07A</t>
  </si>
  <si>
    <t>Net Income</t>
  </si>
  <si>
    <t>Shares Outstanding</t>
  </si>
  <si>
    <t>2Q12A</t>
  </si>
  <si>
    <t>(Gain) / loss on early extinguishments of debt</t>
  </si>
  <si>
    <t>Non recurring charges (after-tax)</t>
  </si>
  <si>
    <t>Facilities relocation and corporate restructuring</t>
  </si>
  <si>
    <t>Wendy's special committee costs</t>
  </si>
  <si>
    <t>Settlement of pre-existing business relationships</t>
  </si>
  <si>
    <t>Operating Margin (adjusted)</t>
  </si>
  <si>
    <t>Non recurring charges (pre-tax)</t>
  </si>
  <si>
    <t>Non recurring charges (after-tax, 35%)</t>
  </si>
  <si>
    <t>Investment income (loss), net</t>
  </si>
  <si>
    <t>(Provision for) benefit from income taxes</t>
  </si>
  <si>
    <t>WENDY'S: CASH FLOW STATEMENT</t>
  </si>
  <si>
    <t>G&amp;A per average store (in $)</t>
  </si>
  <si>
    <t>G&amp;A per average store (in $ millions)</t>
  </si>
  <si>
    <t>Price-to-Sales</t>
  </si>
  <si>
    <t>EV-to-Sales</t>
  </si>
  <si>
    <t>1Q11A</t>
  </si>
  <si>
    <t>Interest expense</t>
  </si>
  <si>
    <t>2Q10A</t>
  </si>
  <si>
    <t>Changes in operating assets &amp; liabilities</t>
  </si>
  <si>
    <t>B3NXMJ9</t>
  </si>
  <si>
    <t>Non-recurring charges/share</t>
  </si>
  <si>
    <t>EBITDA (reported)</t>
  </si>
  <si>
    <t>LEVERAGE</t>
  </si>
  <si>
    <t>Debt to Capital</t>
  </si>
  <si>
    <t>Interest Coverage (TTM)</t>
  </si>
  <si>
    <t>4Q07A</t>
  </si>
  <si>
    <t>2007A</t>
  </si>
  <si>
    <t>EBITDA</t>
  </si>
  <si>
    <t>ASSETS</t>
  </si>
  <si>
    <t xml:space="preserve">  CURRENT ASSETS</t>
  </si>
  <si>
    <t>Franchise revenue</t>
  </si>
  <si>
    <t>Revenue (total)</t>
  </si>
  <si>
    <t>Operating Income</t>
  </si>
  <si>
    <t>EPS- operating (excl. asset gains)</t>
  </si>
  <si>
    <t>Unit Summary</t>
  </si>
  <si>
    <t>Cash from Operations</t>
  </si>
  <si>
    <t>3Q13A</t>
  </si>
  <si>
    <t>- Dividends Paid</t>
  </si>
  <si>
    <t>+ Proceeds from Asset Dispositions</t>
  </si>
  <si>
    <t>- Acquisitions of Franchises</t>
  </si>
  <si>
    <t>= Adjusted Free Cash Flow</t>
  </si>
  <si>
    <t xml:space="preserve">Wendy's U.S. Company </t>
  </si>
  <si>
    <t xml:space="preserve">  Yr/Yr Change</t>
  </si>
  <si>
    <t>Same-Store Sales</t>
  </si>
  <si>
    <t>Supplemental cash flow information:</t>
  </si>
  <si>
    <t>Share Count Calculation</t>
  </si>
  <si>
    <t>Beginning Shares (millions)</t>
  </si>
  <si>
    <t>Avg. Price</t>
  </si>
  <si>
    <t>Shares Purchased (millions)</t>
  </si>
  <si>
    <t xml:space="preserve">Food &amp; paper </t>
  </si>
  <si>
    <t>1Q10A</t>
  </si>
  <si>
    <t>PT/Base Case</t>
  </si>
  <si>
    <t>Average Total stores</t>
  </si>
  <si>
    <t>Average company stores</t>
  </si>
  <si>
    <t>Cost of sales/average company store</t>
  </si>
  <si>
    <t>Retail sales/average company store</t>
  </si>
  <si>
    <t>Franchise revenue/average franchise store</t>
  </si>
  <si>
    <t>D&amp;A/average total store</t>
  </si>
  <si>
    <t>G&amp;A/average total store</t>
  </si>
  <si>
    <t>Op Income/average total store</t>
  </si>
  <si>
    <t>EBITDA/average total store</t>
  </si>
  <si>
    <t>WEN.O,mscalc:targetPrice</t>
  </si>
  <si>
    <t>WEN.O,mscalc:targetPrice,,,,USD</t>
  </si>
  <si>
    <t>WEN.O,mscalc:sedolCodeCalc</t>
  </si>
  <si>
    <t>WEN.O,mscalc:closePriceCurrencyCalc</t>
  </si>
  <si>
    <t>,mscalc:targetPrice,,,,USD</t>
  </si>
  <si>
    <t>,mscalc:closePriceCurrencyCalc</t>
  </si>
  <si>
    <t>,mscalc:sedolCodeCalc</t>
  </si>
  <si>
    <t>$T$2</t>
  </si>
  <si>
    <t>Equity in undistributed (earnings) lossess of investees</t>
  </si>
  <si>
    <t>Total Debt</t>
  </si>
  <si>
    <t xml:space="preserve">   Less amounts payable within 1yr</t>
  </si>
  <si>
    <t>Total LT debt</t>
  </si>
  <si>
    <t>Related interest rates</t>
  </si>
  <si>
    <t>Term Loan A - Eurodollar rate plus 250bps</t>
  </si>
  <si>
    <t>Term Loan B - Eurodollar rate + 250bps, 75bps floor</t>
  </si>
  <si>
    <t>Eurodollar rate</t>
  </si>
  <si>
    <t>Restaurant labor</t>
  </si>
  <si>
    <t>4Q11A</t>
  </si>
  <si>
    <t>2011A</t>
  </si>
  <si>
    <t>Deferred income taxes</t>
  </si>
  <si>
    <t>2Q13A</t>
  </si>
  <si>
    <t>Short-term investments</t>
  </si>
  <si>
    <t>Advertising fund restricted assets</t>
  </si>
  <si>
    <t>Prepaid expenses and other current assets</t>
  </si>
  <si>
    <t>1Q08P</t>
  </si>
  <si>
    <t>2Q08P</t>
  </si>
  <si>
    <t>Restricted cash equivalents</t>
  </si>
  <si>
    <t>Investments</t>
  </si>
  <si>
    <t>Properties</t>
  </si>
  <si>
    <t>Other intangible assets</t>
  </si>
  <si>
    <t>Deferred income tax benefit</t>
  </si>
  <si>
    <t>Accounts payable</t>
  </si>
  <si>
    <t>Advertising fund restricted liabilities</t>
  </si>
  <si>
    <t>1995A</t>
  </si>
  <si>
    <t>Total Units</t>
  </si>
  <si>
    <t>Wendy's</t>
  </si>
  <si>
    <t>United States</t>
  </si>
  <si>
    <t>Total Wendy's</t>
  </si>
  <si>
    <t>2Q04A</t>
  </si>
  <si>
    <t>Y/Y % Change</t>
  </si>
  <si>
    <t>Wendy's U.S. Franchise</t>
  </si>
  <si>
    <t>4Q12A</t>
  </si>
  <si>
    <t>2012A</t>
  </si>
  <si>
    <t>1Q09A</t>
  </si>
  <si>
    <t>Restaurant profit</t>
  </si>
  <si>
    <t>3Q10E</t>
  </si>
  <si>
    <t>4Q10E</t>
  </si>
  <si>
    <t>Average Total Stores</t>
  </si>
  <si>
    <t>Statement of Stockholder's Equity</t>
  </si>
  <si>
    <t>- Capital Expenditures</t>
  </si>
  <si>
    <t>Other operating (income)/expense</t>
  </si>
  <si>
    <t>EPS - Reported</t>
  </si>
  <si>
    <t>1Q04A</t>
  </si>
  <si>
    <t>2009E</t>
  </si>
  <si>
    <t>4Q06A</t>
  </si>
  <si>
    <t>Adj. Net Debt to TTM EBITDAA</t>
  </si>
  <si>
    <t>FCF Yield</t>
  </si>
  <si>
    <t>Free Cash Flow (CFO less Capex)</t>
  </si>
  <si>
    <t>FCF/EV Yield</t>
  </si>
  <si>
    <t>Dividend Yield</t>
  </si>
  <si>
    <t>1Q07A</t>
  </si>
  <si>
    <r>
      <t xml:space="preserve">EPS - Adjusted  per WEN </t>
    </r>
    <r>
      <rPr>
        <b/>
        <sz val="7"/>
        <rFont val="Arial"/>
        <family val="2"/>
      </rPr>
      <t>(ex accelerated depreciation</t>
    </r>
    <r>
      <rPr>
        <b/>
        <sz val="8"/>
        <rFont val="Arial"/>
        <family val="2"/>
      </rPr>
      <t>)</t>
    </r>
  </si>
  <si>
    <t>3Q14A</t>
  </si>
  <si>
    <t>Treasury Stock Repurchased ($millions)</t>
  </si>
  <si>
    <t>4Q14A</t>
  </si>
  <si>
    <t>2014A</t>
  </si>
  <si>
    <t>Operating income (reported)</t>
  </si>
  <si>
    <t>Courtney O'Brien, CFA, (617) 856-8037</t>
  </si>
  <si>
    <t>1Q15A</t>
  </si>
  <si>
    <t>June 2015 securitization</t>
  </si>
  <si>
    <t>Fixed rate senior secured notes (3.371% due in 4.25 yrs or mdi 2019)</t>
  </si>
  <si>
    <t>Fixed rate senior secured notes (4.08% due in 7 yrs or mdi 2022)</t>
  </si>
  <si>
    <t>Fixed rate senior secured notes (4.497% due in 10 yrs or 2025)</t>
  </si>
  <si>
    <t>Variable funding notes ($150 m, none drawn intialy)</t>
  </si>
  <si>
    <t>Plus legacy debt</t>
  </si>
  <si>
    <t>7% debentures</t>
  </si>
  <si>
    <t>Other/amortization of financing costs (est $10 annual mort of fin costs + $3 M swap wind down)</t>
  </si>
  <si>
    <t>Total period interest</t>
  </si>
  <si>
    <t>WEN refied debt Jun 1, 2015 with securitization below</t>
  </si>
  <si>
    <t>Total debt</t>
  </si>
  <si>
    <t>Dividend per share growth rate</t>
  </si>
  <si>
    <t xml:space="preserve">   Core depreciation/ company unit ($000)</t>
  </si>
  <si>
    <t xml:space="preserve">  Sales</t>
  </si>
  <si>
    <t xml:space="preserve">  System Optimization losses (gains)</t>
  </si>
  <si>
    <t xml:space="preserve">  Reorganization and realignment costs </t>
  </si>
  <si>
    <t xml:space="preserve">  Impairment</t>
  </si>
  <si>
    <t>Lease Expense</t>
  </si>
  <si>
    <t>Gain on Dispositions, net</t>
  </si>
  <si>
    <t>Equity in earnings or JVs, nets</t>
  </si>
  <si>
    <t>Other Operating Income</t>
  </si>
  <si>
    <t>Lease expense/Stores</t>
  </si>
  <si>
    <t>One time pension withdrawal liability</t>
  </si>
  <si>
    <t>2Q15A</t>
  </si>
  <si>
    <t>Reported Op Profit</t>
  </si>
  <si>
    <t>Adjusted EBITDA from Continuing Operations</t>
  </si>
  <si>
    <t xml:space="preserve">  D&amp;A</t>
  </si>
  <si>
    <t xml:space="preserve">  System optimization gains, net</t>
  </si>
  <si>
    <t xml:space="preserve">  Reorganization and realigment costs</t>
  </si>
  <si>
    <t xml:space="preserve">  Impairment of Long Lived Assets</t>
  </si>
  <si>
    <t>Income from Continuing Ops before taxes</t>
  </si>
  <si>
    <t xml:space="preserve">Income from Continuing Ops </t>
  </si>
  <si>
    <t xml:space="preserve">  Provision for Income Taxes</t>
  </si>
  <si>
    <t>Discontinued operations</t>
  </si>
  <si>
    <t xml:space="preserve">  Income from discontinued operations, net of income taxes</t>
  </si>
  <si>
    <t xml:space="preserve">  Gain on disposal of discontinued operations, net of income taxes</t>
  </si>
  <si>
    <t xml:space="preserve">  Net Income from discontinued operations</t>
  </si>
  <si>
    <t>NET INCOME</t>
  </si>
  <si>
    <t xml:space="preserve">  Impairments</t>
  </si>
  <si>
    <t xml:space="preserve">  Loss on early extinguisment of debt</t>
  </si>
  <si>
    <t>reorg and realigment costs</t>
  </si>
  <si>
    <t>depreciation of assets that will be replaces as part of IA initiative</t>
  </si>
  <si>
    <t>System Opt gains/losses</t>
  </si>
  <si>
    <t>Total Adjustment</t>
  </si>
  <si>
    <t>Adjusted Income from continuing operations</t>
  </si>
  <si>
    <t>3Q15A</t>
  </si>
  <si>
    <t>Excess tax benefits from share-based compensation</t>
  </si>
  <si>
    <t xml:space="preserve">    Restricted Cash</t>
  </si>
  <si>
    <t>Average Interest Rate</t>
  </si>
  <si>
    <t>Stores</t>
  </si>
  <si>
    <t>EBITDA Adjustments</t>
  </si>
  <si>
    <t>4Q15A</t>
  </si>
  <si>
    <t>2015A</t>
  </si>
  <si>
    <t>Other than termporary loss on investment</t>
  </si>
  <si>
    <t>10</t>
  </si>
  <si>
    <t>Shares outstanding Y/Y change</t>
  </si>
  <si>
    <t>1Q16A</t>
  </si>
  <si>
    <t>Rent Detail</t>
  </si>
  <si>
    <t>G&amp;A Detail</t>
  </si>
  <si>
    <t>Rental revenue</t>
  </si>
  <si>
    <t>Lease expense (w/in Other Op Exp)</t>
  </si>
  <si>
    <t>Lease expense</t>
  </si>
  <si>
    <t>Lease buyout</t>
  </si>
  <si>
    <t>Equity in earnings in JVs, net</t>
  </si>
  <si>
    <t>Other operating expense, net</t>
  </si>
  <si>
    <t>Delta</t>
  </si>
  <si>
    <t>Lease exp / rental rev</t>
  </si>
  <si>
    <t>Other op exp, per I/S (above)</t>
  </si>
  <si>
    <t>Other Operating Expense, Net Detail</t>
  </si>
  <si>
    <t>2Q16A</t>
  </si>
  <si>
    <t>Income tax impact on adjustments</t>
  </si>
  <si>
    <t>3Q16A</t>
  </si>
  <si>
    <t>Courtney Yakavonis, CFA, (617) 856-8037</t>
  </si>
  <si>
    <t>Cost of Food and Paper/Company Store</t>
  </si>
  <si>
    <t xml:space="preserve">    Franchised Rental expense (used to be in other)</t>
  </si>
  <si>
    <t>4Q16A</t>
  </si>
  <si>
    <t xml:space="preserve">  Franchise rental income</t>
  </si>
  <si>
    <t>Franchise Margin</t>
  </si>
  <si>
    <t>As % of sales</t>
  </si>
  <si>
    <t>2016A</t>
  </si>
  <si>
    <t>Unamortized Debt Issuance Costs</t>
  </si>
  <si>
    <t>Amounts Payable within One Year</t>
  </si>
  <si>
    <t>G&amp;A as % of system sales</t>
  </si>
  <si>
    <t>Operating income (adjusted)</t>
  </si>
  <si>
    <t>1Q17A</t>
  </si>
  <si>
    <t>Rental Income</t>
  </si>
  <si>
    <t>Maintenance Capex</t>
  </si>
  <si>
    <t>Image Activation</t>
  </si>
  <si>
    <t>New Restaurants</t>
  </si>
  <si>
    <t>Technology</t>
  </si>
  <si>
    <t>2Q17A</t>
  </si>
  <si>
    <t xml:space="preserve">  Franchise Royalty Revenues &amp; Fees </t>
  </si>
  <si>
    <t>Prior</t>
  </si>
  <si>
    <t>Diff.</t>
  </si>
  <si>
    <t>3Q17A</t>
  </si>
  <si>
    <t>FCF per share</t>
  </si>
  <si>
    <r>
      <t xml:space="preserve">Systemwide Sales </t>
    </r>
    <r>
      <rPr>
        <b/>
        <sz val="6"/>
        <rFont val="Arial"/>
        <family val="2"/>
      </rPr>
      <t>(not disclosed prior to 16)</t>
    </r>
  </si>
  <si>
    <t>EBITDA (Wendy's-only)</t>
  </si>
  <si>
    <t>Adj. EBITDA (Wendy's-only)</t>
  </si>
  <si>
    <t>Dividend</t>
  </si>
  <si>
    <t>4Q17A</t>
  </si>
  <si>
    <t>2017A</t>
  </si>
  <si>
    <t>19</t>
  </si>
  <si>
    <t xml:space="preserve"> j</t>
  </si>
  <si>
    <t>MSA12568</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</si>
  <si>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</si>
  <si>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</si>
  <si>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</si>
  <si>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</si>
  <si>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</si>
  <si>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</si>
  <si>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</si>
  <si>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John Glass</t>
  </si>
  <si>
    <t>Date: 16 Apr 2018</t>
  </si>
  <si>
    <t>Ticker: WEN.O</t>
  </si>
  <si>
    <t>Stock Rating: Equal-Weight</t>
  </si>
  <si>
    <t>Industry: Restaurants</t>
  </si>
  <si>
    <t>Industry View: In-Line</t>
  </si>
  <si>
    <t>Price as of 16 Apr 2018: 17.59</t>
  </si>
  <si>
    <t>Target Price: 19</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</si>
  <si>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</si>
  <si>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</si>
  <si>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</si>
  <si>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</si>
  <si>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The Wendy's Company.</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</si>
  <si>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</si>
  <si>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</si>
  <si>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</si>
  <si>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</si>
  <si>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</si>
  <si>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</si>
  <si>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</si>
  <si>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</si>
  <si>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</si>
  <si>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</si>
  <si>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</si>
  <si>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</si>
  <si>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</si>
  <si>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</si>
  <si>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</si>
  <si>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</si>
  <si>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</si>
  <si>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</si>
  <si>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</si>
  <si>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</si>
  <si>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</si>
  <si>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</si>
  <si>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</si>
  <si>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</si>
  <si>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</si>
  <si>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</si>
  <si>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</si>
  <si>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</si>
  <si>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</si>
  <si>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</si>
  <si>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</si>
  <si>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</si>
  <si>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</si>
  <si>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</si>
  <si>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</si>
  <si>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</si>
  <si>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</si>
  <si>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</si>
  <si>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</si>
  <si>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</si>
  <si>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</si>
  <si>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</si>
  <si>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</si>
  <si>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</si>
  <si>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</si>
  <si>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</si>
  <si>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</si>
  <si>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</si>
  <si>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</si>
  <si>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</si>
  <si>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</si>
  <si>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</si>
  <si>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</si>
  <si>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</si>
  <si>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</si>
  <si>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</si>
  <si>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</si>
  <si>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</si>
  <si>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</si>
  <si>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</si>
  <si>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</si>
  <si>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</si>
  <si>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</si>
  <si>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</si>
  <si>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</si>
  <si>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</si>
  <si>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</si>
  <si>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</si>
  <si>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</si>
  <si>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</si>
  <si>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</si>
  <si>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</si>
  <si>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</si>
  <si>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</si>
  <si>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</si>
  <si>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</si>
  <si>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</si>
  <si>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</si>
  <si>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</si>
  <si>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</si>
  <si>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</si>
  <si>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</si>
  <si>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</si>
  <si>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</si>
  <si>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</si>
  <si>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</si>
  <si>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</si>
  <si>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</si>
  <si>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</si>
  <si>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</si>
  <si>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</si>
  <si>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</si>
  <si>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</si>
  <si>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</si>
  <si>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</si>
  <si>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</si>
  <si>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</si>
  <si>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</si>
  <si>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</si>
  <si>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</si>
  <si>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</si>
  <si>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</si>
  <si>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</si>
  <si>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</si>
  <si>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</si>
  <si>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</si>
  <si>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</si>
  <si>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</si>
  <si>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</si>
  <si>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</si>
  <si>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</si>
  <si>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</si>
  <si>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</si>
  <si>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</si>
  <si>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</si>
  <si>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</si>
  <si>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</si>
  <si>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</si>
  <si>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</si>
  <si>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</si>
  <si>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</si>
  <si>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</si>
  <si>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</si>
  <si>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</si>
  <si>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</si>
  <si>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</si>
  <si>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</si>
  <si>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</si>
  <si>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</si>
  <si>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</si>
  <si>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</si>
  <si>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</si>
  <si>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</si>
  <si>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</si>
  <si>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</si>
  <si>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</si>
  <si>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</si>
  <si>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</si>
  <si>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</si>
  <si>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</si>
  <si>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</si>
  <si>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</si>
  <si>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</si>
  <si>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</si>
  <si>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</si>
  <si>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</si>
  <si>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</si>
  <si>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</si>
  <si>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</si>
  <si>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</si>
  <si>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</si>
  <si>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</si>
  <si>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</si>
  <si>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</si>
  <si>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</si>
  <si>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</si>
  <si>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</si>
  <si>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</si>
  <si>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</si>
  <si>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</si>
  <si>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</si>
  <si>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</si>
  <si>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</si>
  <si>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</si>
  <si>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</si>
  <si>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</si>
  <si>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</si>
  <si>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</si>
  <si>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</si>
  <si>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</si>
  <si>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</si>
  <si>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</si>
  <si>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</si>
  <si>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</si>
  <si>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</si>
  <si>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</si>
  <si>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The Wendy's Company.</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</si>
  <si>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</si>
  <si>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</si>
  <si>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</si>
  <si>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</si>
  <si>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</si>
  <si>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</si>
  <si>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</si>
  <si>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</si>
  <si>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</si>
  <si>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</si>
  <si>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</si>
  <si>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</si>
  <si>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</si>
  <si>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</si>
  <si>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</si>
  <si>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</si>
  <si>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</si>
  <si>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</si>
  <si>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</si>
  <si>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</si>
  <si>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</si>
  <si>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</si>
  <si>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</si>
  <si>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</si>
  <si>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</si>
  <si>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</si>
  <si>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</si>
  <si>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</si>
  <si>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</si>
  <si>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</si>
  <si>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</si>
  <si>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</si>
  <si>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</si>
  <si>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</si>
  <si>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</si>
  <si>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</si>
  <si>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</si>
  <si>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</si>
  <si>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</si>
  <si>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</si>
  <si>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</si>
  <si>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</si>
  <si>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</si>
  <si>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</si>
  <si>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</si>
  <si>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</si>
  <si>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</si>
  <si>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</si>
  <si>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</si>
  <si>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</si>
  <si>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</si>
  <si>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</si>
  <si>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</si>
  <si>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</si>
  <si>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</si>
  <si>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</si>
  <si>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</si>
  <si>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</si>
  <si>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</si>
  <si>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</si>
  <si>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</si>
  <si>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</si>
  <si>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</si>
  <si>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</si>
  <si>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</si>
  <si>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</si>
  <si>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</si>
  <si>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</si>
  <si>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The Wendy's Company.</t>
  </si>
  <si>
    <t>Within the last 12 months, Morgan Stanley has provided or is providing investment banking services to,</t>
  </si>
  <si>
    <t>or has an investment banking client relationship with, the following company: The Wendy's Company.</t>
  </si>
  <si>
    <t>Within the last 12 months, Morgan Stanley has received compensation for products and services other than</t>
  </si>
  <si>
    <t>investment banking services from The Wendy's Company.</t>
  </si>
  <si>
    <t>In the next 3 months, Morgan Stanley expects to receive or intends to seek compensation for investment</t>
  </si>
  <si>
    <t>banking services from The Wendy's Company.</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</si>
  <si>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</si>
  <si>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</si>
  <si>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</si>
  <si>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</si>
  <si>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</si>
  <si>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John Glass.</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</si>
  <si>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</si>
  <si>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</si>
  <si>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</si>
  <si>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</si>
  <si>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</si>
  <si>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</si>
  <si>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</si>
  <si>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</si>
  <si>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</si>
  <si>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</si>
  <si>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</si>
  <si>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</si>
  <si>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</si>
  <si>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</si>
  <si>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</si>
  <si>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</si>
  <si>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</si>
  <si>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</si>
  <si>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</si>
  <si>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</si>
  <si>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</si>
  <si>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</si>
  <si>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</si>
  <si>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</si>
  <si>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</si>
  <si>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</si>
  <si>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</si>
  <si>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</si>
  <si>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</si>
  <si>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</si>
  <si>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</si>
  <si>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</si>
  <si>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</si>
  <si>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</si>
  <si>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</si>
  <si>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</si>
  <si>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</si>
  <si>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</si>
  <si>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</si>
  <si>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</si>
  <si>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</si>
  <si>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</si>
  <si>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</si>
  <si>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</si>
  <si>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</si>
  <si>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</si>
  <si>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</si>
  <si>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</si>
  <si>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</si>
  <si>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</si>
  <si>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</si>
  <si>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</si>
  <si>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</si>
  <si>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</si>
  <si>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</si>
  <si>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</si>
  <si>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</si>
  <si>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</si>
  <si>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</si>
  <si>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</si>
  <si>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</si>
  <si>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</si>
  <si>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</si>
  <si>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</si>
  <si>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</si>
  <si>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</si>
  <si>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</si>
  <si>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</si>
  <si>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Regular Update</t>
  </si>
  <si>
    <t>NorthAmerica</t>
  </si>
  <si>
    <t>carrichr</t>
  </si>
  <si>
    <t>95058W100</t>
  </si>
  <si>
    <t>L:\RESTAURANTS\Restaurant\MODELS\WEN - MS v2.xlsm</t>
  </si>
  <si>
    <t>[BRO MSA]</t>
  </si>
  <si>
    <t>[PRODUCT MODEL]</t>
  </si>
  <si>
    <t>[EMAIL_ALERT YES]</t>
  </si>
  <si>
    <t>[DISCIPLINE Company]</t>
  </si>
  <si>
    <t>[SUPPRESSED NO]</t>
  </si>
  <si>
    <t>[DOCDAT 2018-04-16]</t>
  </si>
  <si>
    <t>[DOCTIME 11:05]</t>
  </si>
  <si>
    <t>[PSYM WEN.O(S&amp;P) (None)]</t>
  </si>
  <si>
    <t>[COU 1]</t>
  </si>
  <si>
    <t>[ANA ]</t>
  </si>
  <si>
    <t>[HL WEN.O Model]</t>
  </si>
  <si>
    <t>[IND RESTLG]</t>
  </si>
  <si>
    <t>[PANA MSA12568]</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</si>
</sst>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7" formatCode="&quot;$&quot;#,##0.00_);\(&quot;$&quot;#,##0.00\)"/>
    <numFmt numFmtId="41" formatCode="_(* #,##0_);_(* \(#,##0\);_(* &quot;-&quot;_);_(@_)"/>
    <numFmt numFmtId="44" formatCode="_(&quot;$&quot;* #,##0.00_);_(&quot;$&quot;* \(#,##0.00\);_(&quot;$&quot;* &quot;-&quot;??_);_(@_)"/>
    <numFmt numFmtId="43" formatCode="_(* #,##0.00_);_(* \(#,##0.00\);_(* &quot;-&quot;??_);_(@_)"/>
    <numFmt numFmtId="164" formatCode="#,##0.0_);\(#,##0.0\)"/>
    <numFmt numFmtId="166" formatCode="0.0%"/>
    <numFmt numFmtId="167" formatCode="0.0"/>
    <numFmt numFmtId="168" formatCode="_(* #,##0.0_);_(* \(#,##0.0\);_(* &quot;-&quot;??_);_(@_)"/>
    <numFmt numFmtId="169" formatCode="_(* #,##0_);_(* \(#,##0\);_(* &quot;-&quot;??_);_(@_)"/>
    <numFmt numFmtId="170" formatCode="_(* #,##0.000_);_(* \(#,##0.000\);_(* &quot;-&quot;??_);_(@_)"/>
    <numFmt numFmtId="171" formatCode="_(* #,##0.0000_);_(* \(#,##0.0000\);_(* &quot;-&quot;??_);_(@_)"/>
    <numFmt numFmtId="172" formatCode="&quot;$&quot;#,##0.00"/>
    <numFmt numFmtId="173" formatCode="0.000"/>
    <numFmt numFmtId="174" formatCode="_(&quot;$&quot;* #,##0.000_);_(&quot;$&quot;* \(#,##0.000\);_(&quot;$&quot;* &quot;-&quot;??_);_(@_)"/>
    <numFmt numFmtId="175" formatCode="#,##0.0"/>
    <numFmt numFmtId="176" formatCode="&quot;$&quot;#,##0.000_);\(&quot;$&quot;#,##0.000\)"/>
    <numFmt numFmtId="177" formatCode="&quot;$&quot;#,##0.0"/>
    <numFmt numFmtId="178" formatCode="&quot;$&quot;#,##0"/>
    <numFmt numFmtId="179" formatCode="0.0_);\(0.0\)"/>
    <numFmt numFmtId="180" formatCode="&quot;$&quot;#,##0.0_);\(&quot;$&quot;#,##0.0\)"/>
    <numFmt numFmtId="181" formatCode="#,##0.0_);[Red]\(#,##0.0\)"/>
    <numFmt numFmtId="182" formatCode="0.0\X"/>
    <numFmt numFmtId="183" formatCode="_(* #,##0.0_);_(* \(#,##0.0\);_(* &quot;-&quot;?_);_(@_)"/>
    <numFmt numFmtId="184" formatCode="&quot;$&quot;#,##0.000"/>
    <numFmt numFmtId="187" formatCode="_(&quot;$&quot;* #,##0.00000_);_(&quot;$&quot;* \(#,##0.00000\);_(&quot;$&quot;* &quot;-&quot;??_);_(@_)"/>
    <numFmt numFmtId="197" formatCode="[$-409]mmm\-yy;@"/>
    <numFmt numFmtId="198" formatCode="#,##0.00&quot;&quot;;\(#,##0.00\)&quot;&quot;"/>
    <numFmt numFmtId="201" formatCode="#,##0.000"/>
    <numFmt numFmtId="202" formatCode="mm/dd/yy;@"/>
    <numFmt numFmtId="203" formatCode="_(* #,##0.0000_);_(* \(#,##0.0000\);_(* &quot;-&quot;?_);_(@_)"/>
    <numFmt numFmtId="205" formatCode="_(* #,##0.000_);_(* \(#,##0.000\);_(* &quot;-&quot;?_);_(@_)"/>
    <numFmt numFmtId="206" formatCode="&quot;$&quot;#,##0.0000"/>
    <numFmt numFmtId="207" formatCode="0.00\X"/>
    <numFmt numFmtId="208" formatCode="0.0\x"/>
    <numFmt numFmtId="209" formatCode="0&quot;bps&quot;"/>
    <numFmt numFmtId="211" formatCode="0.000_);\(0.000\)"/>
    <numFmt numFmtId="212" formatCode="&quot;$&quot;0&quot;K&quot;"/>
    <numFmt numFmtId="213" formatCode="&quot;$&quot;0.0&quot;M&quot;"/>
    <numFmt numFmtId="218" formatCode="_(* #,##0.000_);_(* \(#,##0.000\);_(* &quot;-&quot;???_);_(@_)"/>
    <numFmt numFmtId="219" formatCode="0.000%"/>
    <numFmt numFmtId="220" formatCode="#,##0.000_);\(#,##0.000\)"/>
    <numFmt numFmtId="226" formatCode="mm/dd/yy\ hh:mm"/>
  </numFmts>
  <fonts count="94">
    <font>
      <sz val="10"/>
      <name val="Arial"/>
    </font>
    <font>
      <sz val="9"/>
      <name val="Times New Roman"/>
      <family val="1"/>
    </font>
    <font>
      <sz val="8"/>
      <name val="Arial"/>
      <family val="2"/>
    </font>
    <font>
      <sz val="10"/>
      <name val="Arial"/>
      <family val="2"/>
    </font>
    <font>
      <sz val="8"/>
      <color indexed="12"/>
      <name val="Arial"/>
      <family val="2"/>
    </font>
    <font>
      <sz val="10"/>
      <name val="Arial"/>
      <family val="2"/>
    </font>
    <font>
      <u/>
      <sz val="10"/>
      <color indexed="12"/>
      <name val="Arial Narrow"/>
      <family val="2"/>
    </font>
    <font>
      <sz val="12"/>
      <color indexed="8"/>
      <name val="Times New Roman"/>
      <family val="1"/>
    </font>
    <font>
      <sz val="8"/>
      <name val="Arial"/>
      <family val="2"/>
    </font>
    <font>
      <b/>
      <sz val="8"/>
      <name val="Arial"/>
      <family val="2"/>
    </font>
    <font>
      <sz val="8"/>
      <color indexed="8"/>
      <name val="Arial"/>
      <family val="2"/>
    </font>
    <font>
      <b/>
      <sz val="8"/>
      <color indexed="8"/>
      <name val="Arial"/>
      <family val="2"/>
    </font>
    <font>
      <sz val="8"/>
      <color indexed="9"/>
      <name val="Arial"/>
      <family val="2"/>
    </font>
    <font>
      <i/>
      <sz val="8"/>
      <name val="Arial"/>
      <family val="2"/>
    </font>
    <font>
      <i/>
      <sz val="7.5"/>
      <name val="Arial"/>
      <family val="2"/>
    </font>
    <font>
      <b/>
      <sz val="8"/>
      <color indexed="9"/>
      <name val="Arial"/>
      <family val="2"/>
    </font>
    <font>
      <i/>
      <sz val="8"/>
      <color indexed="8"/>
      <name val="Arial"/>
      <family val="2"/>
    </font>
    <font>
      <b/>
      <sz val="8"/>
      <color indexed="12"/>
      <name val="Arial"/>
      <family val="2"/>
    </font>
    <font>
      <u val="singleAccounting"/>
      <sz val="8"/>
      <name val="Arial"/>
      <family val="2"/>
    </font>
    <font>
      <u val="singleAccounting"/>
      <sz val="8"/>
      <color indexed="12"/>
      <name val="Arial"/>
      <family val="2"/>
    </font>
    <font>
      <u val="singleAccounting"/>
      <sz val="8"/>
      <color indexed="8"/>
      <name val="Arial"/>
      <family val="2"/>
    </font>
    <font>
      <b/>
      <sz val="10"/>
      <name val="Arial"/>
      <family val="2"/>
    </font>
    <font>
      <b/>
      <sz val="8"/>
      <color indexed="81"/>
      <name val="Tahoma"/>
      <family val="2"/>
    </font>
    <font>
      <sz val="8"/>
      <color indexed="81"/>
      <name val="Tahoma"/>
      <family val="2"/>
    </font>
    <font>
      <b/>
      <sz val="10"/>
      <color indexed="12"/>
      <name val="Arial"/>
      <family val="2"/>
    </font>
    <font>
      <u/>
      <sz val="8"/>
      <name val="Arial"/>
      <family val="2"/>
    </font>
    <font>
      <u/>
      <sz val="8"/>
      <color indexed="12"/>
      <name val="Arial"/>
      <family val="2"/>
    </font>
    <font>
      <i/>
      <sz val="8"/>
      <color indexed="12"/>
      <name val="Arial"/>
      <family val="2"/>
    </font>
    <font>
      <i/>
      <sz val="10"/>
      <name val="Arial"/>
      <family val="2"/>
    </font>
    <font>
      <b/>
      <i/>
      <sz val="8"/>
      <name val="Arial"/>
      <family val="2"/>
    </font>
    <font>
      <b/>
      <sz val="10"/>
      <color indexed="9"/>
      <name val="Arial"/>
      <family val="2"/>
    </font>
    <font>
      <sz val="10"/>
      <color indexed="9"/>
      <name val="Arial"/>
      <family val="2"/>
    </font>
    <font>
      <u/>
      <sz val="8"/>
      <color indexed="8"/>
      <name val="Arial"/>
      <family val="2"/>
    </font>
    <font>
      <sz val="8"/>
      <color indexed="53"/>
      <name val="Arial"/>
      <family val="2"/>
    </font>
    <font>
      <b/>
      <i/>
      <sz val="8"/>
      <color indexed="8"/>
      <name val="Arial"/>
      <family val="2"/>
    </font>
    <font>
      <b/>
      <i/>
      <sz val="8"/>
      <color indexed="12"/>
      <name val="Arial"/>
      <family val="2"/>
    </font>
    <font>
      <sz val="9"/>
      <color indexed="81"/>
      <name val="Tahoma"/>
      <family val="2"/>
    </font>
    <font>
      <b/>
      <sz val="9"/>
      <color indexed="81"/>
      <name val="Tahoma"/>
      <family val="2"/>
    </font>
    <font>
      <b/>
      <sz val="14"/>
      <name val="Arial"/>
      <family val="2"/>
    </font>
    <font>
      <b/>
      <u val="singleAccounting"/>
      <sz val="8"/>
      <name val="Arial"/>
      <family val="2"/>
    </font>
    <font>
      <b/>
      <u val="singleAccounting"/>
      <sz val="8"/>
      <color indexed="12"/>
      <name val="Arial"/>
      <family val="2"/>
    </font>
    <font>
      <u/>
      <sz val="8"/>
      <color indexed="12"/>
      <name val="Arial Narrow"/>
      <family val="2"/>
    </font>
    <font>
      <b/>
      <u/>
      <sz val="10"/>
      <color indexed="12"/>
      <name val="Arial Narrow"/>
      <family val="2"/>
    </font>
    <font>
      <b/>
      <sz val="8"/>
      <color indexed="59"/>
      <name val="Arial"/>
      <family val="2"/>
    </font>
    <font>
      <sz val="8"/>
      <color indexed="59"/>
      <name val="Arial"/>
      <family val="2"/>
    </font>
    <font>
      <b/>
      <sz val="12"/>
      <name val="Arial"/>
      <family val="2"/>
    </font>
    <font>
      <b/>
      <u/>
      <sz val="8"/>
      <name val="Arial"/>
      <family val="2"/>
    </font>
    <font>
      <sz val="10"/>
      <name val="Times New Roman"/>
      <family val="1"/>
    </font>
    <font>
      <sz val="10"/>
      <name val="MS Sans Serif"/>
      <family val="2"/>
    </font>
    <font>
      <sz val="8"/>
      <name val="Times New Roman"/>
      <family val="1"/>
    </font>
    <font>
      <sz val="11"/>
      <name val="Arial"/>
      <family val="2"/>
    </font>
    <font>
      <sz val="9"/>
      <name val="Times New Roman"/>
      <family val="1"/>
    </font>
    <font>
      <sz val="8"/>
      <color indexed="12"/>
      <name val="Arial"/>
      <family val="2"/>
    </font>
    <font>
      <b/>
      <sz val="10"/>
      <color indexed="8"/>
      <name val="Times New Roman"/>
      <family val="1"/>
    </font>
    <font>
      <sz val="12"/>
      <color indexed="8"/>
      <name val="Tms Rmn"/>
    </font>
    <font>
      <sz val="10"/>
      <color indexed="8"/>
      <name val="Times New Roman"/>
      <family val="1"/>
    </font>
    <font>
      <i/>
      <sz val="8"/>
      <name val="Times New Roman"/>
      <family val="1"/>
    </font>
    <font>
      <sz val="12"/>
      <name val="Arial"/>
      <family val="2"/>
    </font>
    <font>
      <b/>
      <u/>
      <sz val="8"/>
      <color indexed="12"/>
      <name val="Arial"/>
      <family val="2"/>
    </font>
    <font>
      <sz val="12"/>
      <color indexed="9"/>
      <name val="Arial"/>
      <family val="2"/>
    </font>
    <font>
      <i/>
      <sz val="12"/>
      <name val="Arial"/>
      <family val="2"/>
    </font>
    <font>
      <i/>
      <sz val="8"/>
      <color indexed="9"/>
      <name val="Arial"/>
      <family val="2"/>
    </font>
    <font>
      <sz val="10"/>
      <name val="Tahoma"/>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b/>
      <sz val="7"/>
      <name val="Arial"/>
      <family val="2"/>
    </font>
    <font>
      <sz val="10"/>
      <name val="Arial"/>
      <family val="2"/>
    </font>
    <font>
      <i/>
      <u/>
      <sz val="8"/>
      <name val="Arial"/>
      <family val="2"/>
    </font>
    <font>
      <sz val="10"/>
      <name val="Arial"/>
      <family val="2"/>
    </font>
    <font>
      <sz val="10"/>
      <name val="Courier New"/>
      <family val="3"/>
    </font>
    <font>
      <sz val="10"/>
      <name val="Arial"/>
      <family val="2"/>
    </font>
    <font>
      <sz val="10"/>
      <name val="Inherit"/>
    </font>
    <font>
      <b/>
      <sz val="8"/>
      <color rgb="FF0000FF"/>
      <name val="Arial"/>
      <family val="2"/>
    </font>
    <font>
      <sz val="8"/>
      <color rgb="FF0000FF"/>
      <name val="Arial"/>
      <family val="2"/>
    </font>
    <font>
      <sz val="10"/>
      <name val="Arial"/>
      <family val="2"/>
    </font>
    <font>
      <b/>
      <sz val="6"/>
      <name val="Arial"/>
      <family val="2"/>
    </font>
    <font>
      <sz val="10"/>
      <name val="Courier"/>
      <family val="3"/>
    </font>
    <font>
      <sz val="10"/>
      <color rgb="FF000000"/>
      <name val="Arial"/>
      <family val="2"/>
    </font>
    <font>
      <b/>
      <sz val="12"/>
      <color rgb="FF000080"/>
      <name val="Arial"/>
      <family val="2"/>
    </font>
  </fonts>
  <fills count="23">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rgb="FFFFFF99"/>
        <bgColor indexed="64"/>
      </patternFill>
    </fill>
    <fill>
      <patternFill patternType="solid">
        <fgColor theme="0"/>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indexed="65"/>
        <bgColor indexed="64"/>
      </patternFill>
    </fill>
  </fills>
  <borders count="10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8"/>
      </top>
      <bottom style="thin">
        <color indexed="64"/>
      </bottom>
      <diagonal/>
    </border>
    <border>
      <left/>
      <right/>
      <top style="thin">
        <color indexed="8"/>
      </top>
      <bottom style="thin">
        <color indexed="64"/>
      </bottom>
      <diagonal/>
    </border>
    <border>
      <left style="thin">
        <color indexed="64"/>
      </left>
      <right/>
      <top style="thin">
        <color indexed="8"/>
      </top>
      <bottom style="thin">
        <color indexed="64"/>
      </bottom>
      <diagonal/>
    </border>
    <border>
      <left/>
      <right style="thin">
        <color indexed="64"/>
      </right>
      <top style="thin">
        <color indexed="8"/>
      </top>
      <bottom style="thin">
        <color indexed="64"/>
      </bottom>
      <diagonal/>
    </border>
    <border>
      <left style="thin">
        <color indexed="64"/>
      </left>
      <right style="thin">
        <color indexed="8"/>
      </right>
      <top style="thin">
        <color indexed="8"/>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style="thin">
        <color indexed="64"/>
      </top>
      <bottom style="thin">
        <color indexed="64"/>
      </bottom>
      <diagonal/>
    </border>
    <border>
      <left style="thin">
        <color indexed="64"/>
      </left>
      <right style="thin">
        <color indexed="8"/>
      </right>
      <top/>
      <bottom style="thin">
        <color indexed="64"/>
      </bottom>
      <diagonal/>
    </border>
    <border>
      <left/>
      <right/>
      <top style="thin">
        <color indexed="64"/>
      </top>
      <bottom style="thin">
        <color indexed="8"/>
      </bottom>
      <diagonal/>
    </border>
    <border>
      <left style="thin">
        <color indexed="64"/>
      </left>
      <right/>
      <top style="thin">
        <color indexed="64"/>
      </top>
      <bottom style="thin">
        <color indexed="8"/>
      </bottom>
      <diagonal/>
    </border>
    <border>
      <left style="thin">
        <color indexed="64"/>
      </left>
      <right style="thin">
        <color indexed="64"/>
      </right>
      <top style="thin">
        <color indexed="64"/>
      </top>
      <bottom style="thin">
        <color indexed="8"/>
      </bottom>
      <diagonal/>
    </border>
    <border>
      <left/>
      <right style="thin">
        <color indexed="64"/>
      </right>
      <top style="thin">
        <color indexed="64"/>
      </top>
      <bottom style="thin">
        <color indexed="8"/>
      </bottom>
      <diagonal/>
    </border>
    <border>
      <left style="thin">
        <color indexed="64"/>
      </left>
      <right style="thin">
        <color indexed="8"/>
      </right>
      <top style="thin">
        <color indexed="64"/>
      </top>
      <bottom style="thin">
        <color indexed="8"/>
      </bottom>
      <diagonal/>
    </border>
    <border>
      <left style="thin">
        <color indexed="8"/>
      </left>
      <right/>
      <top/>
      <bottom/>
      <diagonal/>
    </border>
    <border>
      <left style="thin">
        <color indexed="8"/>
      </left>
      <right/>
      <top style="thin">
        <color indexed="64"/>
      </top>
      <bottom/>
      <diagonal/>
    </border>
    <border>
      <left style="thin">
        <color indexed="8"/>
      </left>
      <right/>
      <top style="thin">
        <color indexed="64"/>
      </top>
      <bottom style="thin">
        <color indexed="64"/>
      </bottom>
      <diagonal/>
    </border>
    <border>
      <left style="thin">
        <color indexed="8"/>
      </left>
      <right/>
      <top style="thin">
        <color indexed="8"/>
      </top>
      <bottom style="thin">
        <color indexed="64"/>
      </bottom>
      <diagonal/>
    </border>
    <border>
      <left style="thin">
        <color indexed="8"/>
      </left>
      <right style="thin">
        <color indexed="64"/>
      </right>
      <top/>
      <bottom/>
      <diagonal/>
    </border>
    <border>
      <left style="thin">
        <color indexed="8"/>
      </left>
      <right style="thin">
        <color indexed="64"/>
      </right>
      <top style="thin">
        <color indexed="64"/>
      </top>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style="thin">
        <color indexed="8"/>
      </bottom>
      <diagonal/>
    </border>
    <border>
      <left style="thin">
        <color indexed="8"/>
      </left>
      <right style="thin">
        <color indexed="64"/>
      </right>
      <top style="thin">
        <color indexed="8"/>
      </top>
      <bottom style="thin">
        <color indexed="64"/>
      </bottom>
      <diagonal/>
    </border>
    <border>
      <left style="thin">
        <color indexed="8"/>
      </left>
      <right/>
      <top/>
      <bottom style="thin">
        <color indexed="64"/>
      </bottom>
      <diagonal/>
    </border>
    <border>
      <left/>
      <right style="thin">
        <color indexed="8"/>
      </right>
      <top/>
      <bottom style="thin">
        <color indexed="64"/>
      </bottom>
      <diagonal/>
    </border>
    <border>
      <left/>
      <right style="thin">
        <color indexed="8"/>
      </right>
      <top style="thin">
        <color indexed="64"/>
      </top>
      <bottom style="thin">
        <color indexed="64"/>
      </bottom>
      <diagonal/>
    </border>
    <border>
      <left/>
      <right style="thin">
        <color indexed="8"/>
      </right>
      <top/>
      <bottom/>
      <diagonal/>
    </border>
    <border>
      <left style="thin">
        <color indexed="8"/>
      </left>
      <right/>
      <top/>
      <bottom style="thin">
        <color indexed="8"/>
      </bottom>
      <diagonal/>
    </border>
    <border>
      <left style="thin">
        <color indexed="64"/>
      </left>
      <right style="thin">
        <color indexed="64"/>
      </right>
      <top/>
      <bottom style="thin">
        <color indexed="8"/>
      </bottom>
      <diagonal/>
    </border>
    <border>
      <left style="thin">
        <color indexed="64"/>
      </left>
      <right/>
      <top/>
      <bottom style="thin">
        <color indexed="8"/>
      </bottom>
      <diagonal/>
    </border>
    <border>
      <left/>
      <right style="thin">
        <color indexed="64"/>
      </right>
      <top/>
      <bottom style="thin">
        <color indexed="8"/>
      </bottom>
      <diagonal/>
    </border>
    <border>
      <left style="thin">
        <color indexed="64"/>
      </left>
      <right style="thin">
        <color indexed="8"/>
      </right>
      <top/>
      <bottom style="thin">
        <color indexed="8"/>
      </bottom>
      <diagonal/>
    </border>
    <border>
      <left style="thin">
        <color indexed="8"/>
      </left>
      <right/>
      <top style="medium">
        <color indexed="8"/>
      </top>
      <bottom style="thin">
        <color indexed="64"/>
      </bottom>
      <diagonal/>
    </border>
    <border>
      <left/>
      <right/>
      <top style="medium">
        <color indexed="8"/>
      </top>
      <bottom style="thin">
        <color indexed="64"/>
      </bottom>
      <diagonal/>
    </border>
    <border>
      <left/>
      <right/>
      <top/>
      <bottom style="medium">
        <color indexed="8"/>
      </bottom>
      <diagonal/>
    </border>
    <border>
      <left/>
      <right style="thin">
        <color indexed="8"/>
      </right>
      <top style="thin">
        <color indexed="8"/>
      </top>
      <bottom style="thin">
        <color indexed="64"/>
      </bottom>
      <diagonal/>
    </border>
    <border>
      <left/>
      <right style="thin">
        <color indexed="8"/>
      </right>
      <top/>
      <bottom style="thin">
        <color indexed="8"/>
      </bottom>
      <diagonal/>
    </border>
    <border>
      <left/>
      <right/>
      <top style="thin">
        <color indexed="8"/>
      </top>
      <bottom/>
      <diagonal/>
    </border>
    <border>
      <left style="thin">
        <color indexed="8"/>
      </left>
      <right style="thin">
        <color indexed="64"/>
      </right>
      <top/>
      <bottom style="thin">
        <color indexed="8"/>
      </bottom>
      <diagonal/>
    </border>
    <border>
      <left style="thin">
        <color indexed="64"/>
      </left>
      <right/>
      <top style="thin">
        <color indexed="8"/>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8"/>
      </top>
      <bottom/>
      <diagonal/>
    </border>
    <border>
      <left/>
      <right style="thin">
        <color indexed="64"/>
      </right>
      <top style="thin">
        <color indexed="8"/>
      </top>
      <bottom/>
      <diagonal/>
    </border>
    <border>
      <left/>
      <right style="medium">
        <color indexed="8"/>
      </right>
      <top style="medium">
        <color indexed="8"/>
      </top>
      <bottom style="thin">
        <color indexed="64"/>
      </bottom>
      <diagonal/>
    </border>
    <border>
      <left/>
      <right style="medium">
        <color indexed="8"/>
      </right>
      <top/>
      <bottom/>
      <diagonal/>
    </border>
    <border>
      <left/>
      <right style="medium">
        <color indexed="8"/>
      </right>
      <top/>
      <bottom style="medium">
        <color indexed="8"/>
      </bottom>
      <diagonal/>
    </border>
    <border>
      <left style="thin">
        <color indexed="8"/>
      </left>
      <right/>
      <top/>
      <bottom style="medium">
        <color indexed="8"/>
      </bottom>
      <diagonal/>
    </border>
    <border>
      <left/>
      <right/>
      <top style="medium">
        <color indexed="8"/>
      </top>
      <bottom style="thin">
        <color indexed="8"/>
      </bottom>
      <diagonal/>
    </border>
    <border>
      <left style="thin">
        <color indexed="8"/>
      </left>
      <right style="thin">
        <color indexed="64"/>
      </right>
      <top style="thin">
        <color indexed="8"/>
      </top>
      <bottom style="thin">
        <color indexed="8"/>
      </bottom>
      <diagonal/>
    </border>
    <border>
      <left style="thin">
        <color indexed="64"/>
      </left>
      <right/>
      <top style="thin">
        <color indexed="8"/>
      </top>
      <bottom style="thin">
        <color indexed="8"/>
      </bottom>
      <diagonal/>
    </border>
    <border>
      <left/>
      <right/>
      <top style="thin">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thin">
        <color indexed="8"/>
      </right>
      <top style="thin">
        <color indexed="8"/>
      </top>
      <bottom style="thin">
        <color indexed="8"/>
      </bottom>
      <diagonal/>
    </border>
    <border>
      <left style="thin">
        <color indexed="8"/>
      </left>
      <right style="thin">
        <color indexed="8"/>
      </right>
      <top/>
      <bottom/>
      <diagonal/>
    </border>
    <border>
      <left style="thin">
        <color indexed="8"/>
      </left>
      <right style="thin">
        <color indexed="8"/>
      </right>
      <top style="thin">
        <color indexed="64"/>
      </top>
      <bottom style="thin">
        <color indexed="64"/>
      </bottom>
      <diagonal/>
    </border>
    <border>
      <left style="thin">
        <color indexed="8"/>
      </left>
      <right style="thin">
        <color indexed="8"/>
      </right>
      <top/>
      <bottom style="thin">
        <color indexed="64"/>
      </bottom>
      <diagonal/>
    </border>
    <border>
      <left style="thin">
        <color indexed="8"/>
      </left>
      <right style="thin">
        <color indexed="8"/>
      </right>
      <top/>
      <bottom style="thin">
        <color indexed="8"/>
      </bottom>
      <diagonal/>
    </border>
    <border>
      <left style="thin">
        <color indexed="8"/>
      </left>
      <right style="thin">
        <color indexed="8"/>
      </right>
      <top style="thin">
        <color indexed="64"/>
      </top>
      <bottom/>
      <diagonal/>
    </border>
    <border>
      <left style="thin">
        <color indexed="8"/>
      </left>
      <right/>
      <top style="thin">
        <color indexed="8"/>
      </top>
      <bottom/>
      <diagonal/>
    </border>
    <border>
      <left style="thin">
        <color indexed="64"/>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81">
    <xf numFmtId="0" fontId="0" fillId="0" borderId="0"/>
    <xf numFmtId="0" fontId="5" fillId="0" borderId="0"/>
    <xf numFmtId="0" fontId="3"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8" fillId="0" borderId="0"/>
    <xf numFmtId="0" fontId="48" fillId="0" borderId="0"/>
    <xf numFmtId="0" fontId="63" fillId="2" borderId="0" applyNumberFormat="0" applyBorder="0" applyAlignment="0" applyProtection="0"/>
    <xf numFmtId="0" fontId="63" fillId="3" borderId="0" applyNumberFormat="0" applyBorder="0" applyAlignment="0" applyProtection="0"/>
    <xf numFmtId="0" fontId="63" fillId="4" borderId="0" applyNumberFormat="0" applyBorder="0" applyAlignment="0" applyProtection="0"/>
    <xf numFmtId="0" fontId="63" fillId="2" borderId="0" applyNumberFormat="0" applyBorder="0" applyAlignment="0" applyProtection="0"/>
    <xf numFmtId="0" fontId="63" fillId="5" borderId="0" applyNumberFormat="0" applyBorder="0" applyAlignment="0" applyProtection="0"/>
    <xf numFmtId="0" fontId="63" fillId="4" borderId="0" applyNumberFormat="0" applyBorder="0" applyAlignment="0" applyProtection="0"/>
    <xf numFmtId="0" fontId="63" fillId="6" borderId="0" applyNumberFormat="0" applyBorder="0" applyAlignment="0" applyProtection="0"/>
    <xf numFmtId="0" fontId="63" fillId="3" borderId="0" applyNumberFormat="0" applyBorder="0" applyAlignment="0" applyProtection="0"/>
    <xf numFmtId="0" fontId="63" fillId="4" borderId="0" applyNumberFormat="0" applyBorder="0" applyAlignment="0" applyProtection="0"/>
    <xf numFmtId="0" fontId="63" fillId="6" borderId="0" applyNumberFormat="0" applyBorder="0" applyAlignment="0" applyProtection="0"/>
    <xf numFmtId="0" fontId="63" fillId="7" borderId="0" applyNumberFormat="0" applyBorder="0" applyAlignment="0" applyProtection="0"/>
    <xf numFmtId="0" fontId="63" fillId="4" borderId="0" applyNumberFormat="0" applyBorder="0" applyAlignment="0" applyProtection="0"/>
    <xf numFmtId="0" fontId="64" fillId="8" borderId="0" applyNumberFormat="0" applyBorder="0" applyAlignment="0" applyProtection="0"/>
    <xf numFmtId="0" fontId="64" fillId="3" borderId="0" applyNumberFormat="0" applyBorder="0" applyAlignment="0" applyProtection="0"/>
    <xf numFmtId="0" fontId="64" fillId="9" borderId="0" applyNumberFormat="0" applyBorder="0" applyAlignment="0" applyProtection="0"/>
    <xf numFmtId="0" fontId="64" fillId="6" borderId="0" applyNumberFormat="0" applyBorder="0" applyAlignment="0" applyProtection="0"/>
    <xf numFmtId="0" fontId="64" fillId="8" borderId="0" applyNumberFormat="0" applyBorder="0" applyAlignment="0" applyProtection="0"/>
    <xf numFmtId="0" fontId="64" fillId="4" borderId="0" applyNumberFormat="0" applyBorder="0" applyAlignment="0" applyProtection="0"/>
    <xf numFmtId="0" fontId="64" fillId="8" borderId="0" applyNumberFormat="0" applyBorder="0" applyAlignment="0" applyProtection="0"/>
    <xf numFmtId="0" fontId="64" fillId="3" borderId="0" applyNumberFormat="0" applyBorder="0" applyAlignment="0" applyProtection="0"/>
    <xf numFmtId="0" fontId="64" fillId="9" borderId="0" applyNumberFormat="0" applyBorder="0" applyAlignment="0" applyProtection="0"/>
    <xf numFmtId="0" fontId="64" fillId="10" borderId="0" applyNumberFormat="0" applyBorder="0" applyAlignment="0" applyProtection="0"/>
    <xf numFmtId="0" fontId="64" fillId="8" borderId="0" applyNumberFormat="0" applyBorder="0" applyAlignment="0" applyProtection="0"/>
    <xf numFmtId="0" fontId="64" fillId="3" borderId="0" applyNumberFormat="0" applyBorder="0" applyAlignment="0" applyProtection="0"/>
    <xf numFmtId="0" fontId="65" fillId="11" borderId="0" applyNumberFormat="0" applyBorder="0" applyAlignment="0" applyProtection="0"/>
    <xf numFmtId="0" fontId="53" fillId="0" borderId="0"/>
    <xf numFmtId="0" fontId="66" fillId="12" borderId="1" applyNumberFormat="0" applyAlignment="0" applyProtection="0"/>
    <xf numFmtId="0" fontId="67" fillId="13" borderId="2" applyNumberFormat="0" applyAlignment="0" applyProtection="0"/>
    <xf numFmtId="43" fontId="5" fillId="0" borderId="0" applyFont="0" applyFill="0" applyBorder="0" applyAlignment="0" applyProtection="0"/>
    <xf numFmtId="44" fontId="5" fillId="0" borderId="0" applyFont="0" applyFill="0" applyBorder="0" applyAlignment="0" applyProtection="0"/>
    <xf numFmtId="44" fontId="81" fillId="0" borderId="0" applyFont="0" applyFill="0" applyBorder="0" applyAlignment="0" applyProtection="0"/>
    <xf numFmtId="44" fontId="3" fillId="0" borderId="0" applyFont="0" applyFill="0" applyBorder="0" applyAlignment="0" applyProtection="0"/>
    <xf numFmtId="44" fontId="85" fillId="0" borderId="0" applyFont="0" applyFill="0" applyBorder="0" applyAlignment="0" applyProtection="0"/>
    <xf numFmtId="0" fontId="68" fillId="0" borderId="0" applyNumberFormat="0" applyFill="0" applyBorder="0" applyAlignment="0" applyProtection="0"/>
    <xf numFmtId="0" fontId="69" fillId="14" borderId="0" applyNumberFormat="0" applyBorder="0" applyAlignment="0" applyProtection="0"/>
    <xf numFmtId="0" fontId="70" fillId="0" borderId="3" applyNumberFormat="0" applyFill="0" applyAlignment="0" applyProtection="0"/>
    <xf numFmtId="0" fontId="71" fillId="0" borderId="4" applyNumberFormat="0" applyFill="0" applyAlignment="0" applyProtection="0"/>
    <xf numFmtId="0" fontId="72" fillId="0" borderId="5" applyNumberFormat="0" applyFill="0" applyAlignment="0" applyProtection="0"/>
    <xf numFmtId="0" fontId="72" fillId="0" borderId="0" applyNumberFormat="0" applyFill="0" applyBorder="0" applyAlignment="0" applyProtection="0"/>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73" fillId="4" borderId="1" applyNumberFormat="0" applyAlignment="0" applyProtection="0"/>
    <xf numFmtId="0" fontId="74" fillId="0" borderId="6" applyNumberFormat="0" applyFill="0" applyAlignment="0" applyProtection="0"/>
    <xf numFmtId="0" fontId="75" fillId="4" borderId="0" applyNumberFormat="0" applyBorder="0" applyAlignment="0" applyProtection="0"/>
    <xf numFmtId="0" fontId="3" fillId="0" borderId="0"/>
    <xf numFmtId="0" fontId="5" fillId="0" borderId="0"/>
    <xf numFmtId="0" fontId="7" fillId="0" borderId="0"/>
    <xf numFmtId="0" fontId="49" fillId="0" borderId="0"/>
    <xf numFmtId="0" fontId="49" fillId="0" borderId="0"/>
    <xf numFmtId="0" fontId="7" fillId="0" borderId="0"/>
    <xf numFmtId="0" fontId="5" fillId="0" borderId="0">
      <alignment wrapText="1"/>
    </xf>
    <xf numFmtId="0" fontId="5" fillId="4" borderId="7" applyNumberFormat="0" applyFont="0" applyAlignment="0" applyProtection="0"/>
    <xf numFmtId="0" fontId="76" fillId="12" borderId="8" applyNumberFormat="0" applyAlignment="0" applyProtection="0"/>
    <xf numFmtId="0" fontId="1" fillId="0" borderId="0">
      <alignment vertical="center"/>
    </xf>
    <xf numFmtId="9" fontId="5" fillId="0" borderId="0" applyFont="0" applyFill="0" applyBorder="0" applyAlignment="0" applyProtection="0"/>
    <xf numFmtId="0" fontId="3" fillId="15" borderId="0" applyNumberFormat="0" applyFont="0" applyBorder="0" applyAlignment="0" applyProtection="0"/>
    <xf numFmtId="0" fontId="55" fillId="0" borderId="0"/>
    <xf numFmtId="0" fontId="55" fillId="0" borderId="9">
      <alignment horizontal="centerContinuous"/>
    </xf>
    <xf numFmtId="0" fontId="56" fillId="0" borderId="9"/>
    <xf numFmtId="0" fontId="5" fillId="0" borderId="0">
      <alignment vertical="top"/>
    </xf>
    <xf numFmtId="0" fontId="5" fillId="0" borderId="0">
      <alignment vertical="top"/>
    </xf>
    <xf numFmtId="164" fontId="84" fillId="0" borderId="0" applyFill="0" applyBorder="0">
      <alignment horizontal="right" wrapText="1"/>
    </xf>
    <xf numFmtId="0" fontId="77" fillId="0" borderId="0" applyNumberFormat="0" applyFill="0" applyBorder="0" applyAlignment="0" applyProtection="0"/>
    <xf numFmtId="0" fontId="78" fillId="0" borderId="10" applyNumberFormat="0" applyFill="0" applyAlignment="0" applyProtection="0"/>
    <xf numFmtId="0" fontId="79" fillId="0" borderId="0" applyNumberFormat="0" applyFill="0" applyBorder="0" applyAlignment="0" applyProtection="0"/>
    <xf numFmtId="44" fontId="89" fillId="0" borderId="0" applyFont="0" applyFill="0" applyBorder="0" applyAlignment="0" applyProtection="0"/>
    <xf numFmtId="0" fontId="91" fillId="0" borderId="0"/>
  </cellStyleXfs>
  <cellXfs count="1369">
    <xf numFmtId="0" fontId="0" fillId="0" borderId="0" xfId="0"/>
    <xf numFmtId="0" fontId="9" fillId="16" borderId="11" xfId="0" applyFont="1" applyFill="1" applyBorder="1" applyAlignment="1">
      <alignment horizontal="center"/>
    </xf>
    <xf numFmtId="0" fontId="9" fillId="0" borderId="0" xfId="0" applyFont="1" applyFill="1" applyBorder="1"/>
    <xf numFmtId="0" fontId="3" fillId="0" borderId="0" xfId="0" applyFont="1" applyFill="1" applyBorder="1"/>
    <xf numFmtId="0" fontId="21" fillId="0" borderId="0" xfId="0" applyFont="1" applyFill="1" applyBorder="1"/>
    <xf numFmtId="0" fontId="2" fillId="0" borderId="0" xfId="0" applyFont="1" applyFill="1" applyBorder="1"/>
    <xf numFmtId="0" fontId="0" fillId="0" borderId="0" xfId="0" applyFill="1" applyBorder="1"/>
    <xf numFmtId="0" fontId="3" fillId="17" borderId="0" xfId="0" applyFont="1" applyFill="1" applyBorder="1"/>
    <xf numFmtId="0" fontId="31" fillId="17" borderId="0" xfId="0" applyFont="1" applyFill="1" applyBorder="1"/>
    <xf numFmtId="49" fontId="0" fillId="0" borderId="0" xfId="0" applyNumberFormat="1"/>
    <xf numFmtId="0" fontId="2" fillId="16" borderId="17" xfId="0" applyFont="1" applyFill="1" applyBorder="1"/>
    <xf numFmtId="0" fontId="2" fillId="16" borderId="11" xfId="0" applyFont="1" applyFill="1" applyBorder="1"/>
    <xf numFmtId="166" fontId="2" fillId="16" borderId="11" xfId="68" applyNumberFormat="1" applyFont="1" applyFill="1" applyBorder="1"/>
    <xf numFmtId="166" fontId="2" fillId="16" borderId="16" xfId="68" applyNumberFormat="1" applyFont="1" applyFill="1" applyBorder="1"/>
    <xf numFmtId="166" fontId="2" fillId="16" borderId="18" xfId="68" applyNumberFormat="1" applyFont="1" applyFill="1" applyBorder="1"/>
    <xf numFmtId="166" fontId="2" fillId="16" borderId="17" xfId="68" applyNumberFormat="1" applyFont="1" applyFill="1" applyBorder="1"/>
    <xf numFmtId="166" fontId="4" fillId="16" borderId="11" xfId="68" applyNumberFormat="1" applyFont="1" applyFill="1" applyBorder="1"/>
    <xf numFmtId="166" fontId="4" fillId="16" borderId="18" xfId="68" applyNumberFormat="1" applyFont="1" applyFill="1" applyBorder="1"/>
    <xf numFmtId="166" fontId="2" fillId="16" borderId="11" xfId="68" applyNumberFormat="1" applyFont="1" applyFill="1" applyBorder="1" applyAlignment="1"/>
    <xf numFmtId="171" fontId="2" fillId="16" borderId="11" xfId="68" applyNumberFormat="1" applyFont="1" applyFill="1" applyBorder="1" applyAlignment="1"/>
    <xf numFmtId="171" fontId="2" fillId="16" borderId="16" xfId="68" applyNumberFormat="1" applyFont="1" applyFill="1" applyBorder="1" applyAlignment="1"/>
    <xf numFmtId="166" fontId="2" fillId="16" borderId="17" xfId="68" applyNumberFormat="1" applyFont="1" applyFill="1" applyBorder="1" applyAlignment="1"/>
    <xf numFmtId="171" fontId="2" fillId="16" borderId="18" xfId="68" applyNumberFormat="1" applyFont="1" applyFill="1" applyBorder="1" applyAlignment="1"/>
    <xf numFmtId="171" fontId="4" fillId="16" borderId="11" xfId="68" applyNumberFormat="1" applyFont="1" applyFill="1" applyBorder="1" applyAlignment="1"/>
    <xf numFmtId="171" fontId="4" fillId="16" borderId="18" xfId="68" applyNumberFormat="1" applyFont="1" applyFill="1" applyBorder="1" applyAlignment="1"/>
    <xf numFmtId="166" fontId="4" fillId="16" borderId="17" xfId="68" applyNumberFormat="1" applyFont="1" applyFill="1" applyBorder="1" applyAlignment="1"/>
    <xf numFmtId="166" fontId="4" fillId="16" borderId="18" xfId="68" applyNumberFormat="1" applyFont="1" applyFill="1" applyBorder="1" applyAlignment="1"/>
    <xf numFmtId="0" fontId="9" fillId="16" borderId="17" xfId="0" applyFont="1" applyFill="1" applyBorder="1"/>
    <xf numFmtId="0" fontId="2" fillId="16" borderId="18" xfId="0" applyFont="1" applyFill="1" applyBorder="1"/>
    <xf numFmtId="0" fontId="2" fillId="16" borderId="16" xfId="0" applyFont="1" applyFill="1" applyBorder="1"/>
    <xf numFmtId="0" fontId="4" fillId="16" borderId="11" xfId="0" applyFont="1" applyFill="1" applyBorder="1"/>
    <xf numFmtId="0" fontId="9" fillId="16" borderId="17" xfId="0" applyFont="1" applyFill="1" applyBorder="1" applyAlignment="1">
      <alignment horizontal="center"/>
    </xf>
    <xf numFmtId="0" fontId="30" fillId="16" borderId="11" xfId="0" applyFont="1" applyFill="1" applyBorder="1" applyAlignment="1"/>
    <xf numFmtId="0" fontId="30" fillId="16" borderId="11" xfId="0" applyFont="1" applyFill="1" applyBorder="1" applyAlignment="1">
      <alignment horizontal="centerContinuous"/>
    </xf>
    <xf numFmtId="169" fontId="30" fillId="16" borderId="11" xfId="42" applyNumberFormat="1" applyFont="1" applyFill="1" applyBorder="1" applyAlignment="1">
      <alignment horizontal="centerContinuous"/>
    </xf>
    <xf numFmtId="169" fontId="21" fillId="16" borderId="11" xfId="42" applyNumberFormat="1" applyFont="1" applyFill="1" applyBorder="1" applyAlignment="1">
      <alignment horizontal="centerContinuous"/>
    </xf>
    <xf numFmtId="169" fontId="24" fillId="16" borderId="11" xfId="42" applyNumberFormat="1" applyFont="1" applyFill="1" applyBorder="1" applyAlignment="1">
      <alignment horizontal="centerContinuous"/>
    </xf>
    <xf numFmtId="0" fontId="9" fillId="16" borderId="11" xfId="0" applyFont="1" applyFill="1" applyBorder="1"/>
    <xf numFmtId="0" fontId="15" fillId="16" borderId="11" xfId="0" applyFont="1" applyFill="1" applyBorder="1"/>
    <xf numFmtId="0" fontId="17" fillId="16" borderId="11" xfId="0" applyFont="1" applyFill="1" applyBorder="1"/>
    <xf numFmtId="0" fontId="9" fillId="16" borderId="18" xfId="0" applyFont="1" applyFill="1" applyBorder="1" applyAlignment="1">
      <alignment horizontal="center"/>
    </xf>
    <xf numFmtId="0" fontId="2" fillId="17" borderId="0" xfId="0" applyFont="1" applyFill="1"/>
    <xf numFmtId="0" fontId="2" fillId="17" borderId="0" xfId="63" applyFont="1" applyFill="1" applyBorder="1"/>
    <xf numFmtId="0" fontId="2" fillId="17" borderId="19" xfId="0" applyFont="1" applyFill="1" applyBorder="1"/>
    <xf numFmtId="0" fontId="2" fillId="17" borderId="21" xfId="0" applyFont="1" applyFill="1" applyBorder="1"/>
    <xf numFmtId="0" fontId="2" fillId="17" borderId="0" xfId="0" applyFont="1" applyFill="1" applyBorder="1"/>
    <xf numFmtId="166" fontId="2" fillId="17" borderId="0" xfId="68" applyNumberFormat="1" applyFont="1" applyFill="1" applyBorder="1"/>
    <xf numFmtId="0" fontId="2" fillId="17" borderId="22" xfId="0" applyFont="1" applyFill="1" applyBorder="1"/>
    <xf numFmtId="164" fontId="2" fillId="17" borderId="0" xfId="0" applyNumberFormat="1" applyFont="1" applyFill="1" applyBorder="1"/>
    <xf numFmtId="0" fontId="9" fillId="17" borderId="0" xfId="0" applyFont="1" applyFill="1"/>
    <xf numFmtId="2" fontId="2" fillId="17" borderId="0" xfId="0" applyNumberFormat="1" applyFont="1" applyFill="1" applyBorder="1"/>
    <xf numFmtId="0" fontId="2" fillId="17" borderId="23" xfId="0" applyFont="1" applyFill="1" applyBorder="1"/>
    <xf numFmtId="0" fontId="2" fillId="17" borderId="24" xfId="0" applyFont="1" applyFill="1" applyBorder="1"/>
    <xf numFmtId="0" fontId="2" fillId="17" borderId="11" xfId="0" applyFont="1" applyFill="1" applyBorder="1"/>
    <xf numFmtId="0" fontId="4" fillId="17" borderId="22" xfId="0" applyFont="1" applyFill="1" applyBorder="1"/>
    <xf numFmtId="166" fontId="2" fillId="17" borderId="22" xfId="0" applyNumberFormat="1" applyFont="1" applyFill="1" applyBorder="1"/>
    <xf numFmtId="0" fontId="9" fillId="17" borderId="21" xfId="0" applyFont="1" applyFill="1" applyBorder="1"/>
    <xf numFmtId="0" fontId="9" fillId="17" borderId="24" xfId="0" applyFont="1" applyFill="1" applyBorder="1"/>
    <xf numFmtId="166" fontId="9" fillId="17" borderId="0" xfId="68" applyNumberFormat="1" applyFont="1" applyFill="1" applyBorder="1" applyAlignment="1">
      <alignment horizontal="right"/>
    </xf>
    <xf numFmtId="0" fontId="21" fillId="17" borderId="0" xfId="0" applyFont="1" applyFill="1"/>
    <xf numFmtId="168" fontId="2" fillId="16" borderId="17" xfId="0" applyNumberFormat="1" applyFont="1" applyFill="1" applyBorder="1"/>
    <xf numFmtId="0" fontId="11" fillId="16" borderId="17" xfId="0" applyFont="1" applyFill="1" applyBorder="1" applyAlignment="1">
      <alignment horizontal="center"/>
    </xf>
    <xf numFmtId="0" fontId="9" fillId="16" borderId="16" xfId="0" applyFont="1" applyFill="1" applyBorder="1" applyAlignment="1">
      <alignment horizontal="center"/>
    </xf>
    <xf numFmtId="0" fontId="11" fillId="16" borderId="11" xfId="0" applyFont="1" applyFill="1" applyBorder="1" applyAlignment="1">
      <alignment horizontal="center"/>
    </xf>
    <xf numFmtId="0" fontId="17" fillId="16" borderId="11" xfId="0" applyFont="1" applyFill="1" applyBorder="1" applyAlignment="1">
      <alignment horizontal="center"/>
    </xf>
    <xf numFmtId="0" fontId="17" fillId="16" borderId="17" xfId="0" applyFont="1" applyFill="1" applyBorder="1" applyAlignment="1">
      <alignment horizontal="center"/>
    </xf>
    <xf numFmtId="0" fontId="0" fillId="17" borderId="0" xfId="0" applyFill="1"/>
    <xf numFmtId="166" fontId="2" fillId="16" borderId="18" xfId="68" applyNumberFormat="1" applyFont="1" applyFill="1" applyBorder="1" applyAlignment="1"/>
    <xf numFmtId="0" fontId="10" fillId="17" borderId="0" xfId="0" applyFont="1" applyFill="1" applyBorder="1"/>
    <xf numFmtId="0" fontId="2" fillId="17" borderId="0" xfId="0" applyFont="1" applyFill="1" applyBorder="1" applyAlignment="1">
      <alignment wrapText="1"/>
    </xf>
    <xf numFmtId="170" fontId="2" fillId="17" borderId="0" xfId="0" applyNumberFormat="1" applyFont="1" applyFill="1" applyBorder="1"/>
    <xf numFmtId="173" fontId="2" fillId="17" borderId="0" xfId="0" applyNumberFormat="1" applyFont="1" applyFill="1" applyBorder="1"/>
    <xf numFmtId="43" fontId="2" fillId="17" borderId="0" xfId="0" applyNumberFormat="1" applyFont="1" applyFill="1" applyBorder="1"/>
    <xf numFmtId="187" fontId="2" fillId="17" borderId="0" xfId="43" applyNumberFormat="1" applyFont="1" applyFill="1" applyBorder="1"/>
    <xf numFmtId="9" fontId="2" fillId="17" borderId="0" xfId="68" applyFont="1" applyFill="1" applyBorder="1"/>
    <xf numFmtId="0" fontId="2" fillId="17" borderId="0" xfId="63" applyFont="1" applyFill="1"/>
    <xf numFmtId="166" fontId="2" fillId="17" borderId="0" xfId="68" applyNumberFormat="1" applyFont="1" applyFill="1" applyBorder="1" applyAlignment="1">
      <alignment horizontal="right"/>
    </xf>
    <xf numFmtId="0" fontId="27" fillId="17" borderId="0" xfId="0" applyFont="1" applyFill="1" applyBorder="1"/>
    <xf numFmtId="176" fontId="9" fillId="17" borderId="0" xfId="43" applyNumberFormat="1" applyFont="1" applyFill="1" applyBorder="1"/>
    <xf numFmtId="0" fontId="12" fillId="17" borderId="0" xfId="0" applyFont="1" applyFill="1" applyBorder="1"/>
    <xf numFmtId="0" fontId="9" fillId="17" borderId="0" xfId="0" applyFont="1" applyFill="1" applyBorder="1"/>
    <xf numFmtId="168" fontId="9" fillId="17" borderId="19" xfId="42" applyNumberFormat="1" applyFont="1" applyFill="1" applyBorder="1"/>
    <xf numFmtId="168" fontId="9" fillId="17" borderId="20" xfId="42" applyNumberFormat="1" applyFont="1" applyFill="1" applyBorder="1"/>
    <xf numFmtId="168" fontId="11" fillId="17" borderId="11" xfId="42" applyNumberFormat="1" applyFont="1" applyFill="1" applyBorder="1"/>
    <xf numFmtId="168" fontId="9" fillId="17" borderId="11" xfId="42" applyNumberFormat="1" applyFont="1" applyFill="1" applyBorder="1"/>
    <xf numFmtId="164" fontId="9" fillId="17" borderId="25" xfId="0" applyNumberFormat="1" applyFont="1" applyFill="1" applyBorder="1"/>
    <xf numFmtId="164" fontId="9" fillId="17" borderId="0" xfId="0" applyNumberFormat="1" applyFont="1" applyFill="1" applyBorder="1"/>
    <xf numFmtId="168" fontId="2" fillId="17" borderId="21" xfId="42" applyNumberFormat="1" applyFont="1" applyFill="1" applyBorder="1"/>
    <xf numFmtId="168" fontId="2" fillId="17" borderId="0" xfId="42" applyNumberFormat="1" applyFont="1" applyFill="1" applyBorder="1"/>
    <xf numFmtId="0" fontId="2" fillId="17" borderId="25" xfId="0" applyFont="1" applyFill="1" applyBorder="1"/>
    <xf numFmtId="168" fontId="10" fillId="17" borderId="22" xfId="42" applyNumberFormat="1" applyFont="1" applyFill="1" applyBorder="1"/>
    <xf numFmtId="168" fontId="2" fillId="17" borderId="22" xfId="42" applyNumberFormat="1" applyFont="1" applyFill="1" applyBorder="1"/>
    <xf numFmtId="168" fontId="10" fillId="17" borderId="0" xfId="42" applyNumberFormat="1" applyFont="1" applyFill="1" applyBorder="1"/>
    <xf numFmtId="168" fontId="4" fillId="17" borderId="0" xfId="42" applyNumberFormat="1" applyFont="1" applyFill="1" applyBorder="1"/>
    <xf numFmtId="168" fontId="4" fillId="17" borderId="22" xfId="42" applyNumberFormat="1" applyFont="1" applyFill="1" applyBorder="1"/>
    <xf numFmtId="0" fontId="4" fillId="17" borderId="25" xfId="0" applyFont="1" applyFill="1" applyBorder="1"/>
    <xf numFmtId="168" fontId="2" fillId="17" borderId="0" xfId="0" applyNumberFormat="1" applyFont="1" applyFill="1" applyBorder="1"/>
    <xf numFmtId="166" fontId="2" fillId="17" borderId="22" xfId="68" applyNumberFormat="1" applyFont="1" applyFill="1" applyBorder="1"/>
    <xf numFmtId="164" fontId="2" fillId="17" borderId="25" xfId="0" applyNumberFormat="1" applyFont="1" applyFill="1" applyBorder="1"/>
    <xf numFmtId="168" fontId="2" fillId="17" borderId="25" xfId="0" applyNumberFormat="1" applyFont="1" applyFill="1" applyBorder="1"/>
    <xf numFmtId="168" fontId="4" fillId="17" borderId="25" xfId="0" applyNumberFormat="1" applyFont="1" applyFill="1" applyBorder="1"/>
    <xf numFmtId="168" fontId="18" fillId="17" borderId="21" xfId="42" applyNumberFormat="1" applyFont="1" applyFill="1" applyBorder="1"/>
    <xf numFmtId="168" fontId="18" fillId="17" borderId="0" xfId="42" applyNumberFormat="1" applyFont="1" applyFill="1" applyBorder="1"/>
    <xf numFmtId="168" fontId="18" fillId="17" borderId="25" xfId="0" applyNumberFormat="1" applyFont="1" applyFill="1" applyBorder="1"/>
    <xf numFmtId="168" fontId="18" fillId="17" borderId="22" xfId="42" applyNumberFormat="1" applyFont="1" applyFill="1" applyBorder="1"/>
    <xf numFmtId="168" fontId="20" fillId="17" borderId="0" xfId="42" applyNumberFormat="1" applyFont="1" applyFill="1" applyBorder="1"/>
    <xf numFmtId="168" fontId="19" fillId="17" borderId="0" xfId="42" applyNumberFormat="1" applyFont="1" applyFill="1" applyBorder="1"/>
    <xf numFmtId="168" fontId="19" fillId="17" borderId="25" xfId="0" applyNumberFormat="1" applyFont="1" applyFill="1" applyBorder="1"/>
    <xf numFmtId="168" fontId="18" fillId="17" borderId="0" xfId="0" applyNumberFormat="1" applyFont="1" applyFill="1" applyBorder="1"/>
    <xf numFmtId="168" fontId="9" fillId="17" borderId="21" xfId="42" applyNumberFormat="1" applyFont="1" applyFill="1" applyBorder="1"/>
    <xf numFmtId="168" fontId="9" fillId="17" borderId="0" xfId="42" applyNumberFormat="1" applyFont="1" applyFill="1" applyBorder="1"/>
    <xf numFmtId="168" fontId="9" fillId="17" borderId="25" xfId="0" applyNumberFormat="1" applyFont="1" applyFill="1" applyBorder="1"/>
    <xf numFmtId="168" fontId="11" fillId="17" borderId="22" xfId="42" applyNumberFormat="1" applyFont="1" applyFill="1" applyBorder="1"/>
    <xf numFmtId="168" fontId="9" fillId="17" borderId="22" xfId="42" applyNumberFormat="1" applyFont="1" applyFill="1" applyBorder="1"/>
    <xf numFmtId="168" fontId="11" fillId="17" borderId="0" xfId="42" applyNumberFormat="1" applyFont="1" applyFill="1" applyBorder="1"/>
    <xf numFmtId="168" fontId="17" fillId="17" borderId="0" xfId="42" applyNumberFormat="1" applyFont="1" applyFill="1" applyBorder="1"/>
    <xf numFmtId="168" fontId="17" fillId="17" borderId="22" xfId="42" applyNumberFormat="1" applyFont="1" applyFill="1" applyBorder="1"/>
    <xf numFmtId="0" fontId="3" fillId="17" borderId="0" xfId="0" applyFont="1" applyFill="1"/>
    <xf numFmtId="168" fontId="18" fillId="17" borderId="25" xfId="42" applyNumberFormat="1" applyFont="1" applyFill="1" applyBorder="1"/>
    <xf numFmtId="168" fontId="10" fillId="17" borderId="21" xfId="42" applyNumberFormat="1" applyFont="1" applyFill="1" applyBorder="1"/>
    <xf numFmtId="168" fontId="19" fillId="17" borderId="21" xfId="42" applyNumberFormat="1" applyFont="1" applyFill="1" applyBorder="1"/>
    <xf numFmtId="168" fontId="2" fillId="17" borderId="25" xfId="42" applyNumberFormat="1" applyFont="1" applyFill="1" applyBorder="1"/>
    <xf numFmtId="168" fontId="4" fillId="17" borderId="25" xfId="42" applyNumberFormat="1" applyFont="1" applyFill="1" applyBorder="1"/>
    <xf numFmtId="170" fontId="2" fillId="17" borderId="0" xfId="42" applyNumberFormat="1" applyFont="1" applyFill="1" applyBorder="1"/>
    <xf numFmtId="168" fontId="10" fillId="17" borderId="25" xfId="42" applyNumberFormat="1" applyFont="1" applyFill="1" applyBorder="1"/>
    <xf numFmtId="170" fontId="10" fillId="17" borderId="0" xfId="42" applyNumberFormat="1" applyFont="1" applyFill="1" applyBorder="1"/>
    <xf numFmtId="168" fontId="2" fillId="17" borderId="24" xfId="42" applyNumberFormat="1" applyFont="1" applyFill="1" applyBorder="1"/>
    <xf numFmtId="166" fontId="2" fillId="17" borderId="28" xfId="68" applyNumberFormat="1" applyFont="1" applyFill="1" applyBorder="1"/>
    <xf numFmtId="44" fontId="9" fillId="17" borderId="11" xfId="43" applyNumberFormat="1" applyFont="1" applyFill="1" applyBorder="1"/>
    <xf numFmtId="44" fontId="9" fillId="17" borderId="16" xfId="43" applyNumberFormat="1" applyFont="1" applyFill="1" applyBorder="1"/>
    <xf numFmtId="44" fontId="9" fillId="17" borderId="17" xfId="43" applyNumberFormat="1" applyFont="1" applyFill="1" applyBorder="1"/>
    <xf numFmtId="7" fontId="9" fillId="17" borderId="16" xfId="43" applyNumberFormat="1" applyFont="1" applyFill="1" applyBorder="1"/>
    <xf numFmtId="7" fontId="9" fillId="17" borderId="11" xfId="43" applyNumberFormat="1" applyFont="1" applyFill="1" applyBorder="1"/>
    <xf numFmtId="7" fontId="9" fillId="17" borderId="17" xfId="43" applyNumberFormat="1" applyFont="1" applyFill="1" applyBorder="1"/>
    <xf numFmtId="7" fontId="9" fillId="17" borderId="18" xfId="43" applyNumberFormat="1" applyFont="1" applyFill="1" applyBorder="1"/>
    <xf numFmtId="7" fontId="11" fillId="17" borderId="11" xfId="43" applyNumberFormat="1" applyFont="1" applyFill="1" applyBorder="1"/>
    <xf numFmtId="7" fontId="17" fillId="17" borderId="11" xfId="43" applyNumberFormat="1" applyFont="1" applyFill="1" applyBorder="1"/>
    <xf numFmtId="7" fontId="17" fillId="17" borderId="24" xfId="43" applyNumberFormat="1" applyFont="1" applyFill="1" applyBorder="1"/>
    <xf numFmtId="7" fontId="9" fillId="17" borderId="24" xfId="43" applyNumberFormat="1" applyFont="1" applyFill="1" applyBorder="1"/>
    <xf numFmtId="7" fontId="9" fillId="17" borderId="0" xfId="0" applyNumberFormat="1" applyFont="1" applyFill="1" applyBorder="1"/>
    <xf numFmtId="7" fontId="9" fillId="17" borderId="0" xfId="43" applyNumberFormat="1" applyFont="1" applyFill="1" applyBorder="1"/>
    <xf numFmtId="7" fontId="17" fillId="17" borderId="0" xfId="43" applyNumberFormat="1" applyFont="1" applyFill="1" applyBorder="1"/>
    <xf numFmtId="43" fontId="9" fillId="17" borderId="0" xfId="0" applyNumberFormat="1" applyFont="1" applyFill="1" applyBorder="1"/>
    <xf numFmtId="168" fontId="2" fillId="17" borderId="22" xfId="0" applyNumberFormat="1" applyFont="1" applyFill="1" applyBorder="1"/>
    <xf numFmtId="7" fontId="2" fillId="17" borderId="0" xfId="0" applyNumberFormat="1" applyFont="1" applyFill="1" applyBorder="1"/>
    <xf numFmtId="7" fontId="2" fillId="17" borderId="21" xfId="43" applyNumberFormat="1" applyFont="1" applyFill="1" applyBorder="1"/>
    <xf numFmtId="7" fontId="2" fillId="17" borderId="0" xfId="43" applyNumberFormat="1" applyFont="1" applyFill="1" applyBorder="1"/>
    <xf numFmtId="7" fontId="2" fillId="17" borderId="25" xfId="43" applyNumberFormat="1" applyFont="1" applyFill="1" applyBorder="1"/>
    <xf numFmtId="7" fontId="2" fillId="17" borderId="22" xfId="43" applyNumberFormat="1" applyFont="1" applyFill="1" applyBorder="1"/>
    <xf numFmtId="7" fontId="10" fillId="17" borderId="0" xfId="43" applyNumberFormat="1" applyFont="1" applyFill="1" applyBorder="1"/>
    <xf numFmtId="7" fontId="4" fillId="17" borderId="0" xfId="43" applyNumberFormat="1" applyFont="1" applyFill="1" applyBorder="1"/>
    <xf numFmtId="0" fontId="13" fillId="17" borderId="26" xfId="0" applyFont="1" applyFill="1" applyBorder="1"/>
    <xf numFmtId="166" fontId="2" fillId="17" borderId="21" xfId="68" applyNumberFormat="1" applyFont="1" applyFill="1" applyBorder="1"/>
    <xf numFmtId="166" fontId="2" fillId="17" borderId="25" xfId="68" applyNumberFormat="1" applyFont="1" applyFill="1" applyBorder="1"/>
    <xf numFmtId="166" fontId="10" fillId="17" borderId="0" xfId="68" applyNumberFormat="1" applyFont="1" applyFill="1" applyBorder="1"/>
    <xf numFmtId="166" fontId="2" fillId="17" borderId="0" xfId="0" applyNumberFormat="1" applyFont="1" applyFill="1" applyBorder="1"/>
    <xf numFmtId="166" fontId="2" fillId="17" borderId="21" xfId="68" applyNumberFormat="1" applyFont="1" applyFill="1" applyBorder="1" applyAlignment="1">
      <alignment horizontal="right"/>
    </xf>
    <xf numFmtId="166" fontId="2" fillId="17" borderId="25" xfId="68" applyNumberFormat="1" applyFont="1" applyFill="1" applyBorder="1" applyAlignment="1">
      <alignment horizontal="right"/>
    </xf>
    <xf numFmtId="166" fontId="2" fillId="17" borderId="22" xfId="68" applyNumberFormat="1" applyFont="1" applyFill="1" applyBorder="1" applyAlignment="1">
      <alignment horizontal="right"/>
    </xf>
    <xf numFmtId="166" fontId="10" fillId="17" borderId="0" xfId="0" applyNumberFormat="1" applyFont="1" applyFill="1" applyBorder="1"/>
    <xf numFmtId="166" fontId="2" fillId="17" borderId="21" xfId="0" applyNumberFormat="1" applyFont="1" applyFill="1" applyBorder="1"/>
    <xf numFmtId="166" fontId="2" fillId="17" borderId="25" xfId="0" applyNumberFormat="1" applyFont="1" applyFill="1" applyBorder="1"/>
    <xf numFmtId="166" fontId="4" fillId="17" borderId="0" xfId="0" applyNumberFormat="1" applyFont="1" applyFill="1" applyBorder="1"/>
    <xf numFmtId="166" fontId="11" fillId="17" borderId="0" xfId="68" applyNumberFormat="1" applyFont="1" applyFill="1" applyBorder="1"/>
    <xf numFmtId="166" fontId="9" fillId="17" borderId="21" xfId="68" applyNumberFormat="1" applyFont="1" applyFill="1" applyBorder="1"/>
    <xf numFmtId="166" fontId="9" fillId="17" borderId="0" xfId="68" applyNumberFormat="1" applyFont="1" applyFill="1" applyBorder="1"/>
    <xf numFmtId="166" fontId="9" fillId="17" borderId="22" xfId="68" applyNumberFormat="1" applyFont="1" applyFill="1" applyBorder="1"/>
    <xf numFmtId="166" fontId="9" fillId="17" borderId="25" xfId="68" applyNumberFormat="1" applyFont="1" applyFill="1" applyBorder="1"/>
    <xf numFmtId="0" fontId="11" fillId="17" borderId="0" xfId="0" applyFont="1" applyFill="1" applyBorder="1"/>
    <xf numFmtId="166" fontId="4" fillId="17" borderId="0" xfId="68" applyNumberFormat="1" applyFont="1" applyFill="1" applyBorder="1"/>
    <xf numFmtId="166" fontId="2" fillId="17" borderId="29" xfId="68" applyNumberFormat="1" applyFont="1" applyFill="1" applyBorder="1"/>
    <xf numFmtId="166" fontId="10" fillId="17" borderId="24" xfId="68" applyNumberFormat="1" applyFont="1" applyFill="1" applyBorder="1"/>
    <xf numFmtId="166" fontId="2" fillId="17" borderId="24" xfId="68" applyNumberFormat="1" applyFont="1" applyFill="1" applyBorder="1"/>
    <xf numFmtId="166" fontId="4" fillId="17" borderId="24" xfId="68" applyNumberFormat="1" applyFont="1" applyFill="1" applyBorder="1"/>
    <xf numFmtId="166" fontId="9" fillId="17" borderId="0" xfId="0" applyNumberFormat="1" applyFont="1" applyFill="1" applyBorder="1"/>
    <xf numFmtId="0" fontId="9" fillId="17" borderId="25" xfId="0" applyFont="1" applyFill="1" applyBorder="1"/>
    <xf numFmtId="166" fontId="9" fillId="17" borderId="0" xfId="68" applyNumberFormat="1" applyFont="1" applyFill="1" applyBorder="1" applyAlignment="1"/>
    <xf numFmtId="166" fontId="9" fillId="17" borderId="25" xfId="68" applyNumberFormat="1" applyFont="1" applyFill="1" applyBorder="1" applyAlignment="1"/>
    <xf numFmtId="166" fontId="9" fillId="17" borderId="21" xfId="68" applyNumberFormat="1" applyFont="1" applyFill="1" applyBorder="1" applyAlignment="1"/>
    <xf numFmtId="166" fontId="9" fillId="17" borderId="22" xfId="68" applyNumberFormat="1" applyFont="1" applyFill="1" applyBorder="1" applyAlignment="1"/>
    <xf numFmtId="166" fontId="2" fillId="17" borderId="0" xfId="68" applyNumberFormat="1" applyFont="1" applyFill="1" applyBorder="1" applyAlignment="1"/>
    <xf numFmtId="166" fontId="2" fillId="17" borderId="25" xfId="68" applyNumberFormat="1" applyFont="1" applyFill="1" applyBorder="1" applyAlignment="1"/>
    <xf numFmtId="166" fontId="2" fillId="17" borderId="21" xfId="68" applyNumberFormat="1" applyFont="1" applyFill="1" applyBorder="1" applyAlignment="1"/>
    <xf numFmtId="166" fontId="2" fillId="17" borderId="22" xfId="68" applyNumberFormat="1" applyFont="1" applyFill="1" applyBorder="1" applyAlignment="1"/>
    <xf numFmtId="0" fontId="2" fillId="17" borderId="29" xfId="0" applyFont="1" applyFill="1" applyBorder="1"/>
    <xf numFmtId="166" fontId="2" fillId="17" borderId="24" xfId="68" applyNumberFormat="1" applyFont="1" applyFill="1" applyBorder="1" applyAlignment="1"/>
    <xf numFmtId="169" fontId="2" fillId="17" borderId="0" xfId="42" applyNumberFormat="1" applyFont="1" applyFill="1" applyBorder="1"/>
    <xf numFmtId="169" fontId="2" fillId="17" borderId="21" xfId="42" applyNumberFormat="1" applyFont="1" applyFill="1" applyBorder="1"/>
    <xf numFmtId="169" fontId="2" fillId="17" borderId="22" xfId="42" applyNumberFormat="1" applyFont="1" applyFill="1" applyBorder="1"/>
    <xf numFmtId="169" fontId="2" fillId="17" borderId="25" xfId="42" applyNumberFormat="1" applyFont="1" applyFill="1" applyBorder="1"/>
    <xf numFmtId="169" fontId="2" fillId="17" borderId="26" xfId="42" applyNumberFormat="1" applyFont="1" applyFill="1" applyBorder="1"/>
    <xf numFmtId="169" fontId="10" fillId="17" borderId="0" xfId="42" applyNumberFormat="1" applyFont="1" applyFill="1" applyBorder="1"/>
    <xf numFmtId="166" fontId="13" fillId="17" borderId="0" xfId="68" applyNumberFormat="1" applyFont="1" applyFill="1" applyBorder="1"/>
    <xf numFmtId="166" fontId="13" fillId="17" borderId="25" xfId="68" applyNumberFormat="1" applyFont="1" applyFill="1" applyBorder="1"/>
    <xf numFmtId="166" fontId="13" fillId="17" borderId="21" xfId="68" applyNumberFormat="1" applyFont="1" applyFill="1" applyBorder="1"/>
    <xf numFmtId="0" fontId="13" fillId="17" borderId="0" xfId="0" applyFont="1" applyFill="1" applyBorder="1"/>
    <xf numFmtId="166" fontId="2" fillId="17" borderId="23" xfId="68" applyNumberFormat="1" applyFont="1" applyFill="1" applyBorder="1"/>
    <xf numFmtId="0" fontId="0" fillId="17" borderId="0" xfId="0" applyFill="1" applyBorder="1"/>
    <xf numFmtId="166" fontId="4" fillId="17" borderId="25" xfId="68" applyNumberFormat="1" applyFont="1" applyFill="1" applyBorder="1"/>
    <xf numFmtId="166" fontId="4" fillId="17" borderId="22" xfId="68" applyNumberFormat="1" applyFont="1" applyFill="1" applyBorder="1"/>
    <xf numFmtId="168" fontId="2" fillId="17" borderId="0" xfId="0" applyNumberFormat="1" applyFont="1" applyFill="1"/>
    <xf numFmtId="0" fontId="10" fillId="17" borderId="22" xfId="0" applyFont="1" applyFill="1" applyBorder="1"/>
    <xf numFmtId="0" fontId="2" fillId="17" borderId="0" xfId="0" applyFont="1" applyFill="1" applyBorder="1" applyAlignment="1"/>
    <xf numFmtId="0" fontId="9" fillId="17" borderId="0" xfId="0" applyFont="1" applyFill="1" applyBorder="1" applyAlignment="1">
      <alignment horizontal="center"/>
    </xf>
    <xf numFmtId="0" fontId="2" fillId="17" borderId="0" xfId="0" applyFont="1" applyFill="1" applyBorder="1" applyAlignment="1">
      <alignment horizontal="center"/>
    </xf>
    <xf numFmtId="43" fontId="2" fillId="17" borderId="0" xfId="42" applyFont="1" applyFill="1"/>
    <xf numFmtId="43" fontId="2" fillId="17" borderId="0" xfId="42" applyFont="1" applyFill="1" applyBorder="1"/>
    <xf numFmtId="166" fontId="4" fillId="17" borderId="25" xfId="0" applyNumberFormat="1" applyFont="1" applyFill="1" applyBorder="1"/>
    <xf numFmtId="0" fontId="29" fillId="17" borderId="0" xfId="0" applyFont="1" applyFill="1" applyBorder="1"/>
    <xf numFmtId="166" fontId="2" fillId="17" borderId="0" xfId="0" applyNumberFormat="1" applyFont="1" applyFill="1"/>
    <xf numFmtId="9" fontId="9" fillId="17" borderId="0" xfId="68" applyFont="1" applyFill="1" applyBorder="1"/>
    <xf numFmtId="0" fontId="4" fillId="17" borderId="0" xfId="0" applyFont="1" applyFill="1" applyBorder="1"/>
    <xf numFmtId="0" fontId="25" fillId="17" borderId="0" xfId="0" applyFont="1" applyFill="1" applyBorder="1"/>
    <xf numFmtId="3" fontId="2" fillId="17" borderId="0" xfId="0" applyNumberFormat="1" applyFont="1" applyFill="1"/>
    <xf numFmtId="3" fontId="2" fillId="17" borderId="0" xfId="0" applyNumberFormat="1" applyFont="1" applyFill="1" applyBorder="1"/>
    <xf numFmtId="3" fontId="2" fillId="17" borderId="25" xfId="0" applyNumberFormat="1" applyFont="1" applyFill="1" applyBorder="1"/>
    <xf numFmtId="168" fontId="4" fillId="17" borderId="21" xfId="42" applyNumberFormat="1" applyFont="1" applyFill="1" applyBorder="1"/>
    <xf numFmtId="166" fontId="2" fillId="17" borderId="29" xfId="0" applyNumberFormat="1" applyFont="1" applyFill="1" applyBorder="1"/>
    <xf numFmtId="1" fontId="2" fillId="17" borderId="0" xfId="0" applyNumberFormat="1" applyFont="1" applyFill="1" applyBorder="1"/>
    <xf numFmtId="1" fontId="4" fillId="17" borderId="0" xfId="0" applyNumberFormat="1" applyFont="1" applyFill="1" applyBorder="1"/>
    <xf numFmtId="166" fontId="13" fillId="17" borderId="21" xfId="0" applyNumberFormat="1" applyFont="1" applyFill="1" applyBorder="1"/>
    <xf numFmtId="166" fontId="16" fillId="17" borderId="0" xfId="68" applyNumberFormat="1" applyFont="1" applyFill="1" applyBorder="1"/>
    <xf numFmtId="166" fontId="13" fillId="17" borderId="0" xfId="0" applyNumberFormat="1" applyFont="1" applyFill="1" applyBorder="1"/>
    <xf numFmtId="166" fontId="13" fillId="17" borderId="25" xfId="0" applyNumberFormat="1" applyFont="1" applyFill="1" applyBorder="1"/>
    <xf numFmtId="9" fontId="13" fillId="17" borderId="0" xfId="68" applyFont="1" applyFill="1" applyBorder="1"/>
    <xf numFmtId="166" fontId="13" fillId="17" borderId="22" xfId="68" applyNumberFormat="1" applyFont="1" applyFill="1" applyBorder="1"/>
    <xf numFmtId="37" fontId="2" fillId="17" borderId="25" xfId="0" applyNumberFormat="1" applyFont="1" applyFill="1" applyBorder="1"/>
    <xf numFmtId="0" fontId="4" fillId="17" borderId="24" xfId="0" applyFont="1" applyFill="1" applyBorder="1"/>
    <xf numFmtId="175" fontId="2" fillId="17" borderId="25" xfId="0" applyNumberFormat="1" applyFont="1" applyFill="1" applyBorder="1"/>
    <xf numFmtId="0" fontId="28" fillId="17" borderId="0" xfId="0" applyFont="1" applyFill="1"/>
    <xf numFmtId="0" fontId="13" fillId="17" borderId="0" xfId="0" applyFont="1" applyFill="1"/>
    <xf numFmtId="0" fontId="13" fillId="17" borderId="25" xfId="0" applyFont="1" applyFill="1" applyBorder="1"/>
    <xf numFmtId="0" fontId="13" fillId="17" borderId="22" xfId="0" applyFont="1" applyFill="1" applyBorder="1"/>
    <xf numFmtId="168" fontId="25" fillId="17" borderId="0" xfId="42" applyNumberFormat="1" applyFont="1" applyFill="1" applyBorder="1"/>
    <xf numFmtId="168" fontId="25" fillId="17" borderId="25" xfId="42" applyNumberFormat="1" applyFont="1" applyFill="1" applyBorder="1"/>
    <xf numFmtId="168" fontId="26" fillId="17" borderId="0" xfId="42" applyNumberFormat="1" applyFont="1" applyFill="1" applyBorder="1"/>
    <xf numFmtId="168" fontId="9" fillId="17" borderId="25" xfId="42" applyNumberFormat="1" applyFont="1" applyFill="1" applyBorder="1"/>
    <xf numFmtId="167" fontId="2" fillId="17" borderId="0" xfId="0" applyNumberFormat="1" applyFont="1" applyFill="1" applyBorder="1"/>
    <xf numFmtId="9" fontId="4" fillId="17" borderId="0" xfId="68" applyFont="1" applyFill="1" applyBorder="1"/>
    <xf numFmtId="0" fontId="2" fillId="17" borderId="20" xfId="0" applyFont="1" applyFill="1" applyBorder="1"/>
    <xf numFmtId="0" fontId="9" fillId="17" borderId="23" xfId="0" applyFont="1" applyFill="1" applyBorder="1" applyAlignment="1">
      <alignment horizontal="right"/>
    </xf>
    <xf numFmtId="0" fontId="9" fillId="17" borderId="21" xfId="0" applyFont="1" applyFill="1" applyBorder="1" applyAlignment="1">
      <alignment horizontal="right"/>
    </xf>
    <xf numFmtId="0" fontId="9" fillId="17" borderId="0" xfId="0" applyFont="1" applyFill="1" applyBorder="1" applyAlignment="1">
      <alignment horizontal="right"/>
    </xf>
    <xf numFmtId="0" fontId="11" fillId="17" borderId="0" xfId="0" applyFont="1" applyFill="1" applyBorder="1" applyAlignment="1">
      <alignment horizontal="right"/>
    </xf>
    <xf numFmtId="0" fontId="9" fillId="17" borderId="25" xfId="0" applyFont="1" applyFill="1" applyBorder="1" applyAlignment="1">
      <alignment horizontal="right"/>
    </xf>
    <xf numFmtId="0" fontId="9" fillId="17" borderId="29" xfId="0" applyFont="1" applyFill="1" applyBorder="1" applyAlignment="1">
      <alignment horizontal="right"/>
    </xf>
    <xf numFmtId="0" fontId="9" fillId="17" borderId="22" xfId="0" applyFont="1" applyFill="1" applyBorder="1" applyAlignment="1">
      <alignment horizontal="right"/>
    </xf>
    <xf numFmtId="0" fontId="17" fillId="17" borderId="0" xfId="0" applyFont="1" applyFill="1" applyBorder="1" applyAlignment="1">
      <alignment horizontal="right"/>
    </xf>
    <xf numFmtId="0" fontId="17" fillId="17" borderId="29" xfId="0" applyFont="1" applyFill="1" applyBorder="1" applyAlignment="1">
      <alignment horizontal="right"/>
    </xf>
    <xf numFmtId="0" fontId="2" fillId="17" borderId="26" xfId="0" applyFont="1" applyFill="1" applyBorder="1"/>
    <xf numFmtId="0" fontId="2" fillId="17" borderId="27" xfId="0" applyFont="1" applyFill="1" applyBorder="1"/>
    <xf numFmtId="0" fontId="10" fillId="17" borderId="20" xfId="0" applyFont="1" applyFill="1" applyBorder="1"/>
    <xf numFmtId="0" fontId="4" fillId="17" borderId="27" xfId="0" applyFont="1" applyFill="1" applyBorder="1"/>
    <xf numFmtId="0" fontId="4" fillId="17" borderId="26" xfId="0" applyFont="1" applyFill="1" applyBorder="1"/>
    <xf numFmtId="168" fontId="2" fillId="17" borderId="21" xfId="42" quotePrefix="1" applyNumberFormat="1" applyFont="1" applyFill="1" applyBorder="1" applyAlignment="1">
      <alignment horizontal="center"/>
    </xf>
    <xf numFmtId="168" fontId="2" fillId="17" borderId="0" xfId="42" quotePrefix="1" applyNumberFormat="1" applyFont="1" applyFill="1" applyBorder="1" applyAlignment="1">
      <alignment horizontal="center"/>
    </xf>
    <xf numFmtId="168" fontId="2" fillId="17" borderId="22" xfId="42" quotePrefix="1" applyNumberFormat="1" applyFont="1" applyFill="1" applyBorder="1" applyAlignment="1">
      <alignment horizontal="center"/>
    </xf>
    <xf numFmtId="168" fontId="10" fillId="17" borderId="0" xfId="42" quotePrefix="1" applyNumberFormat="1" applyFont="1" applyFill="1" applyBorder="1" applyAlignment="1">
      <alignment horizontal="center"/>
    </xf>
    <xf numFmtId="168" fontId="25" fillId="17" borderId="21" xfId="42" quotePrefix="1" applyNumberFormat="1" applyFont="1" applyFill="1" applyBorder="1" applyAlignment="1">
      <alignment horizontal="center"/>
    </xf>
    <xf numFmtId="168" fontId="25" fillId="17" borderId="0" xfId="42" quotePrefix="1" applyNumberFormat="1" applyFont="1" applyFill="1" applyBorder="1" applyAlignment="1">
      <alignment horizontal="center"/>
    </xf>
    <xf numFmtId="168" fontId="25" fillId="17" borderId="25" xfId="42" quotePrefix="1" applyNumberFormat="1" applyFont="1" applyFill="1" applyBorder="1" applyAlignment="1">
      <alignment horizontal="center"/>
    </xf>
    <xf numFmtId="168" fontId="25" fillId="17" borderId="22" xfId="42" quotePrefix="1" applyNumberFormat="1" applyFont="1" applyFill="1" applyBorder="1" applyAlignment="1">
      <alignment horizontal="center"/>
    </xf>
    <xf numFmtId="168" fontId="25" fillId="17" borderId="25" xfId="0" applyNumberFormat="1" applyFont="1" applyFill="1" applyBorder="1"/>
    <xf numFmtId="168" fontId="25" fillId="17" borderId="22" xfId="42" applyNumberFormat="1" applyFont="1" applyFill="1" applyBorder="1"/>
    <xf numFmtId="168" fontId="25" fillId="17" borderId="21" xfId="42" applyNumberFormat="1" applyFont="1" applyFill="1" applyBorder="1"/>
    <xf numFmtId="168" fontId="32" fillId="17" borderId="22" xfId="42" applyNumberFormat="1" applyFont="1" applyFill="1" applyBorder="1"/>
    <xf numFmtId="168" fontId="9" fillId="17" borderId="17" xfId="42" applyNumberFormat="1" applyFont="1" applyFill="1" applyBorder="1"/>
    <xf numFmtId="168" fontId="9" fillId="17" borderId="16" xfId="42" applyNumberFormat="1" applyFont="1" applyFill="1" applyBorder="1"/>
    <xf numFmtId="168" fontId="9" fillId="17" borderId="18" xfId="42" applyNumberFormat="1" applyFont="1" applyFill="1" applyBorder="1"/>
    <xf numFmtId="43" fontId="9" fillId="17" borderId="11" xfId="42" applyNumberFormat="1" applyFont="1" applyFill="1" applyBorder="1"/>
    <xf numFmtId="168" fontId="9" fillId="17" borderId="21" xfId="0" applyNumberFormat="1" applyFont="1" applyFill="1" applyBorder="1"/>
    <xf numFmtId="168" fontId="9" fillId="17" borderId="22" xfId="0" applyNumberFormat="1" applyFont="1" applyFill="1" applyBorder="1"/>
    <xf numFmtId="168" fontId="2" fillId="17" borderId="21" xfId="0" applyNumberFormat="1" applyFont="1" applyFill="1" applyBorder="1"/>
    <xf numFmtId="168" fontId="10" fillId="17" borderId="0" xfId="0" applyNumberFormat="1" applyFont="1" applyFill="1" applyBorder="1"/>
    <xf numFmtId="168" fontId="4" fillId="17" borderId="0" xfId="0" applyNumberFormat="1" applyFont="1" applyFill="1" applyBorder="1"/>
    <xf numFmtId="2" fontId="2" fillId="17" borderId="25" xfId="68" applyNumberFormat="1" applyFont="1" applyFill="1" applyBorder="1"/>
    <xf numFmtId="2" fontId="2" fillId="17" borderId="21" xfId="68" applyNumberFormat="1" applyFont="1" applyFill="1" applyBorder="1"/>
    <xf numFmtId="2" fontId="2" fillId="17" borderId="0" xfId="68" applyNumberFormat="1" applyFont="1" applyFill="1" applyBorder="1"/>
    <xf numFmtId="2" fontId="2" fillId="17" borderId="22" xfId="68" applyNumberFormat="1" applyFont="1" applyFill="1" applyBorder="1"/>
    <xf numFmtId="2" fontId="4" fillId="17" borderId="0" xfId="68" applyNumberFormat="1" applyFont="1" applyFill="1" applyBorder="1"/>
    <xf numFmtId="2" fontId="4" fillId="17" borderId="22" xfId="68" applyNumberFormat="1" applyFont="1" applyFill="1" applyBorder="1"/>
    <xf numFmtId="43" fontId="2" fillId="17" borderId="22" xfId="42" applyNumberFormat="1" applyFont="1" applyFill="1" applyBorder="1"/>
    <xf numFmtId="166" fontId="4" fillId="17" borderId="28" xfId="68" applyNumberFormat="1" applyFont="1" applyFill="1" applyBorder="1"/>
    <xf numFmtId="43" fontId="4" fillId="17" borderId="0" xfId="0" applyNumberFormat="1" applyFont="1" applyFill="1" applyBorder="1"/>
    <xf numFmtId="0" fontId="10" fillId="17" borderId="0" xfId="0" applyFont="1" applyFill="1"/>
    <xf numFmtId="2" fontId="10" fillId="17" borderId="0" xfId="0" applyNumberFormat="1" applyFont="1" applyFill="1" applyBorder="1"/>
    <xf numFmtId="2" fontId="2" fillId="17" borderId="0" xfId="0" applyNumberFormat="1" applyFont="1" applyFill="1"/>
    <xf numFmtId="0" fontId="4" fillId="17" borderId="0" xfId="0" applyFont="1" applyFill="1"/>
    <xf numFmtId="0" fontId="9" fillId="17" borderId="24" xfId="0" applyFont="1" applyFill="1" applyBorder="1" applyAlignment="1">
      <alignment horizontal="right"/>
    </xf>
    <xf numFmtId="0" fontId="33" fillId="17" borderId="0" xfId="0" applyFont="1" applyFill="1" applyBorder="1"/>
    <xf numFmtId="0" fontId="15" fillId="17" borderId="0" xfId="0" applyFont="1" applyFill="1" applyBorder="1"/>
    <xf numFmtId="0" fontId="15" fillId="17" borderId="0" xfId="0" applyFont="1" applyFill="1"/>
    <xf numFmtId="171" fontId="9" fillId="17" borderId="29" xfId="0" applyNumberFormat="1" applyFont="1" applyFill="1" applyBorder="1" applyAlignment="1">
      <alignment horizontal="right"/>
    </xf>
    <xf numFmtId="0" fontId="11" fillId="17" borderId="19" xfId="60" applyFont="1" applyFill="1" applyBorder="1"/>
    <xf numFmtId="0" fontId="10" fillId="17" borderId="19" xfId="60" applyFont="1" applyFill="1" applyBorder="1"/>
    <xf numFmtId="0" fontId="10" fillId="17" borderId="20" xfId="60" applyFont="1" applyFill="1" applyBorder="1"/>
    <xf numFmtId="0" fontId="10" fillId="17" borderId="26" xfId="60" applyFont="1" applyFill="1" applyBorder="1"/>
    <xf numFmtId="0" fontId="10" fillId="17" borderId="20" xfId="60" applyFont="1" applyFill="1" applyBorder="1" applyAlignment="1">
      <alignment horizontal="right"/>
    </xf>
    <xf numFmtId="0" fontId="2" fillId="17" borderId="20" xfId="60" applyFont="1" applyFill="1" applyBorder="1"/>
    <xf numFmtId="0" fontId="2" fillId="17" borderId="26" xfId="60" applyFont="1" applyFill="1" applyBorder="1"/>
    <xf numFmtId="0" fontId="4" fillId="17" borderId="20" xfId="60" applyFont="1" applyFill="1" applyBorder="1"/>
    <xf numFmtId="0" fontId="10" fillId="17" borderId="21" xfId="60" applyFont="1" applyFill="1" applyBorder="1"/>
    <xf numFmtId="168" fontId="10" fillId="17" borderId="21" xfId="60" applyNumberFormat="1" applyFont="1" applyFill="1" applyBorder="1"/>
    <xf numFmtId="168" fontId="10" fillId="17" borderId="0" xfId="60" applyNumberFormat="1" applyFont="1" applyFill="1" applyBorder="1"/>
    <xf numFmtId="168" fontId="10" fillId="17" borderId="25" xfId="60" applyNumberFormat="1" applyFont="1" applyFill="1" applyBorder="1"/>
    <xf numFmtId="168" fontId="2" fillId="17" borderId="0" xfId="60" applyNumberFormat="1" applyFont="1" applyFill="1" applyBorder="1"/>
    <xf numFmtId="168" fontId="2" fillId="17" borderId="25" xfId="60" applyNumberFormat="1" applyFont="1" applyFill="1" applyBorder="1"/>
    <xf numFmtId="168" fontId="4" fillId="17" borderId="0" xfId="60" applyNumberFormat="1" applyFont="1" applyFill="1" applyBorder="1"/>
    <xf numFmtId="164" fontId="10" fillId="17" borderId="21" xfId="60" applyNumberFormat="1" applyFont="1" applyFill="1" applyBorder="1"/>
    <xf numFmtId="164" fontId="10" fillId="17" borderId="0" xfId="60" applyNumberFormat="1" applyFont="1" applyFill="1" applyBorder="1"/>
    <xf numFmtId="164" fontId="10" fillId="17" borderId="25" xfId="60" applyNumberFormat="1" applyFont="1" applyFill="1" applyBorder="1"/>
    <xf numFmtId="164" fontId="2" fillId="17" borderId="0" xfId="60" applyNumberFormat="1" applyFont="1" applyFill="1" applyBorder="1"/>
    <xf numFmtId="164" fontId="4" fillId="17" borderId="0" xfId="60" applyNumberFormat="1" applyFont="1" applyFill="1" applyBorder="1"/>
    <xf numFmtId="183" fontId="2" fillId="17" borderId="0" xfId="60" applyNumberFormat="1" applyFont="1" applyFill="1" applyBorder="1"/>
    <xf numFmtId="168" fontId="10" fillId="17" borderId="21" xfId="68" applyNumberFormat="1" applyFont="1" applyFill="1" applyBorder="1"/>
    <xf numFmtId="168" fontId="10" fillId="17" borderId="0" xfId="68" applyNumberFormat="1" applyFont="1" applyFill="1" applyBorder="1"/>
    <xf numFmtId="168" fontId="10" fillId="17" borderId="25" xfId="68" applyNumberFormat="1" applyFont="1" applyFill="1" applyBorder="1"/>
    <xf numFmtId="168" fontId="2" fillId="17" borderId="0" xfId="68" applyNumberFormat="1" applyFont="1" applyFill="1" applyBorder="1"/>
    <xf numFmtId="168" fontId="4" fillId="17" borderId="0" xfId="68" applyNumberFormat="1" applyFont="1" applyFill="1" applyBorder="1"/>
    <xf numFmtId="0" fontId="11" fillId="17" borderId="16" xfId="60" applyFont="1" applyFill="1" applyBorder="1"/>
    <xf numFmtId="168" fontId="11" fillId="17" borderId="11" xfId="60" applyNumberFormat="1" applyFont="1" applyFill="1" applyBorder="1"/>
    <xf numFmtId="0" fontId="10" fillId="17" borderId="0" xfId="60" applyFont="1" applyFill="1" applyBorder="1"/>
    <xf numFmtId="0" fontId="10" fillId="17" borderId="25" xfId="60" applyFont="1" applyFill="1" applyBorder="1"/>
    <xf numFmtId="180" fontId="10" fillId="17" borderId="0" xfId="60" applyNumberFormat="1" applyFont="1" applyFill="1" applyBorder="1"/>
    <xf numFmtId="0" fontId="10" fillId="17" borderId="0" xfId="60" applyFont="1" applyFill="1" applyBorder="1" applyAlignment="1">
      <alignment horizontal="right"/>
    </xf>
    <xf numFmtId="0" fontId="2" fillId="17" borderId="0" xfId="60" applyFont="1" applyFill="1" applyBorder="1"/>
    <xf numFmtId="0" fontId="2" fillId="17" borderId="25" xfId="60" applyFont="1" applyFill="1" applyBorder="1"/>
    <xf numFmtId="0" fontId="4" fillId="17" borderId="0" xfId="60" applyFont="1" applyFill="1" applyBorder="1"/>
    <xf numFmtId="0" fontId="11" fillId="17" borderId="21" xfId="60" applyFont="1" applyFill="1" applyBorder="1"/>
    <xf numFmtId="168" fontId="10" fillId="17" borderId="0" xfId="60" applyNumberFormat="1" applyFont="1" applyFill="1" applyBorder="1" applyAlignment="1">
      <alignment horizontal="right"/>
    </xf>
    <xf numFmtId="180" fontId="11" fillId="17" borderId="16" xfId="60" applyNumberFormat="1" applyFont="1" applyFill="1" applyBorder="1"/>
    <xf numFmtId="180" fontId="11" fillId="17" borderId="11" xfId="60" applyNumberFormat="1" applyFont="1" applyFill="1" applyBorder="1"/>
    <xf numFmtId="180" fontId="11" fillId="17" borderId="17" xfId="60" applyNumberFormat="1" applyFont="1" applyFill="1" applyBorder="1"/>
    <xf numFmtId="180" fontId="9" fillId="17" borderId="11" xfId="60" applyNumberFormat="1" applyFont="1" applyFill="1" applyBorder="1"/>
    <xf numFmtId="180" fontId="9" fillId="17" borderId="17" xfId="60" applyNumberFormat="1" applyFont="1" applyFill="1" applyBorder="1"/>
    <xf numFmtId="180" fontId="9" fillId="17" borderId="16" xfId="60" applyNumberFormat="1" applyFont="1" applyFill="1" applyBorder="1"/>
    <xf numFmtId="180" fontId="2" fillId="17" borderId="0" xfId="60" applyNumberFormat="1" applyFont="1" applyFill="1" applyBorder="1"/>
    <xf numFmtId="180" fontId="4" fillId="17" borderId="0" xfId="60" applyNumberFormat="1" applyFont="1" applyFill="1" applyBorder="1"/>
    <xf numFmtId="180" fontId="10" fillId="17" borderId="21" xfId="60" applyNumberFormat="1" applyFont="1" applyFill="1" applyBorder="1"/>
    <xf numFmtId="180" fontId="10" fillId="17" borderId="25" xfId="60" applyNumberFormat="1" applyFont="1" applyFill="1" applyBorder="1"/>
    <xf numFmtId="180" fontId="2" fillId="17" borderId="25" xfId="60" applyNumberFormat="1" applyFont="1" applyFill="1" applyBorder="1"/>
    <xf numFmtId="169" fontId="10" fillId="17" borderId="21" xfId="42" applyNumberFormat="1" applyFont="1" applyFill="1" applyBorder="1"/>
    <xf numFmtId="169" fontId="10" fillId="17" borderId="25" xfId="42" applyNumberFormat="1" applyFont="1" applyFill="1" applyBorder="1"/>
    <xf numFmtId="176" fontId="10" fillId="17" borderId="0" xfId="60" applyNumberFormat="1" applyFont="1" applyFill="1" applyBorder="1" applyAlignment="1">
      <alignment horizontal="right"/>
    </xf>
    <xf numFmtId="0" fontId="10" fillId="17" borderId="0" xfId="60" applyFont="1" applyFill="1" applyBorder="1" applyAlignment="1">
      <alignment horizontal="center"/>
    </xf>
    <xf numFmtId="0" fontId="10" fillId="17" borderId="25" xfId="60" applyFont="1" applyFill="1" applyBorder="1" applyAlignment="1">
      <alignment horizontal="center"/>
    </xf>
    <xf numFmtId="168" fontId="2" fillId="17" borderId="21" xfId="60" applyNumberFormat="1" applyFont="1" applyFill="1" applyBorder="1"/>
    <xf numFmtId="168" fontId="2" fillId="17" borderId="22" xfId="60" applyNumberFormat="1" applyFont="1" applyFill="1" applyBorder="1"/>
    <xf numFmtId="168" fontId="4" fillId="17" borderId="21" xfId="60" applyNumberFormat="1" applyFont="1" applyFill="1" applyBorder="1"/>
    <xf numFmtId="168" fontId="4" fillId="17" borderId="22" xfId="60" applyNumberFormat="1" applyFont="1" applyFill="1" applyBorder="1"/>
    <xf numFmtId="0" fontId="10" fillId="17" borderId="21" xfId="60" quotePrefix="1" applyFont="1" applyFill="1" applyBorder="1"/>
    <xf numFmtId="0" fontId="11" fillId="17" borderId="16" xfId="60" quotePrefix="1" applyFont="1" applyFill="1" applyBorder="1"/>
    <xf numFmtId="180" fontId="11" fillId="17" borderId="16" xfId="42" applyNumberFormat="1" applyFont="1" applyFill="1" applyBorder="1" applyAlignment="1">
      <alignment horizontal="right"/>
    </xf>
    <xf numFmtId="180" fontId="11" fillId="17" borderId="11" xfId="42" applyNumberFormat="1" applyFont="1" applyFill="1" applyBorder="1" applyAlignment="1">
      <alignment horizontal="right"/>
    </xf>
    <xf numFmtId="180" fontId="11" fillId="17" borderId="17" xfId="42" applyNumberFormat="1" applyFont="1" applyFill="1" applyBorder="1" applyAlignment="1">
      <alignment horizontal="right"/>
    </xf>
    <xf numFmtId="180" fontId="11" fillId="17" borderId="18" xfId="42" applyNumberFormat="1" applyFont="1" applyFill="1" applyBorder="1" applyAlignment="1">
      <alignment horizontal="right"/>
    </xf>
    <xf numFmtId="180" fontId="9" fillId="17" borderId="11" xfId="42" applyNumberFormat="1" applyFont="1" applyFill="1" applyBorder="1" applyAlignment="1">
      <alignment horizontal="right"/>
    </xf>
    <xf numFmtId="180" fontId="9" fillId="17" borderId="18" xfId="42" applyNumberFormat="1" applyFont="1" applyFill="1" applyBorder="1" applyAlignment="1">
      <alignment horizontal="right"/>
    </xf>
    <xf numFmtId="180" fontId="9" fillId="17" borderId="17" xfId="42" applyNumberFormat="1" applyFont="1" applyFill="1" applyBorder="1" applyAlignment="1">
      <alignment horizontal="right"/>
    </xf>
    <xf numFmtId="180" fontId="9" fillId="17" borderId="16" xfId="42" applyNumberFormat="1" applyFont="1" applyFill="1" applyBorder="1" applyAlignment="1">
      <alignment horizontal="right"/>
    </xf>
    <xf numFmtId="180" fontId="17" fillId="17" borderId="16" xfId="42" applyNumberFormat="1" applyFont="1" applyFill="1" applyBorder="1" applyAlignment="1">
      <alignment horizontal="right"/>
    </xf>
    <xf numFmtId="180" fontId="17" fillId="17" borderId="11" xfId="42" applyNumberFormat="1" applyFont="1" applyFill="1" applyBorder="1" applyAlignment="1">
      <alignment horizontal="right"/>
    </xf>
    <xf numFmtId="180" fontId="17" fillId="17" borderId="18" xfId="42" applyNumberFormat="1" applyFont="1" applyFill="1" applyBorder="1" applyAlignment="1">
      <alignment horizontal="right"/>
    </xf>
    <xf numFmtId="0" fontId="10" fillId="17" borderId="0" xfId="60" quotePrefix="1" applyFont="1" applyFill="1" applyBorder="1"/>
    <xf numFmtId="180" fontId="10" fillId="17" borderId="0" xfId="42" applyNumberFormat="1" applyFont="1" applyFill="1" applyBorder="1" applyAlignment="1">
      <alignment horizontal="right"/>
    </xf>
    <xf numFmtId="0" fontId="11" fillId="17" borderId="23" xfId="60" quotePrefix="1" applyFont="1" applyFill="1" applyBorder="1"/>
    <xf numFmtId="0" fontId="11" fillId="17" borderId="24" xfId="60" quotePrefix="1" applyFont="1" applyFill="1" applyBorder="1"/>
    <xf numFmtId="180" fontId="11" fillId="17" borderId="24" xfId="42" applyNumberFormat="1" applyFont="1" applyFill="1" applyBorder="1" applyAlignment="1">
      <alignment horizontal="right"/>
    </xf>
    <xf numFmtId="180" fontId="17" fillId="17" borderId="24" xfId="42" applyNumberFormat="1" applyFont="1" applyFill="1" applyBorder="1" applyAlignment="1">
      <alignment horizontal="right"/>
    </xf>
    <xf numFmtId="0" fontId="11" fillId="17" borderId="0" xfId="60" applyFont="1" applyFill="1" applyBorder="1"/>
    <xf numFmtId="0" fontId="11" fillId="17" borderId="0" xfId="60" quotePrefix="1" applyFont="1" applyFill="1" applyBorder="1"/>
    <xf numFmtId="180" fontId="11" fillId="17" borderId="0" xfId="42" applyNumberFormat="1" applyFont="1" applyFill="1" applyBorder="1" applyAlignment="1">
      <alignment horizontal="right"/>
    </xf>
    <xf numFmtId="180" fontId="9" fillId="17" borderId="0" xfId="42" applyNumberFormat="1" applyFont="1" applyFill="1" applyBorder="1" applyAlignment="1">
      <alignment horizontal="right"/>
    </xf>
    <xf numFmtId="180" fontId="17" fillId="17" borderId="0" xfId="42" applyNumberFormat="1" applyFont="1" applyFill="1" applyBorder="1" applyAlignment="1">
      <alignment horizontal="right"/>
    </xf>
    <xf numFmtId="0" fontId="16" fillId="17" borderId="0" xfId="0" applyFont="1" applyFill="1" applyBorder="1"/>
    <xf numFmtId="0" fontId="34" fillId="17" borderId="0" xfId="0" applyFont="1" applyFill="1" applyBorder="1"/>
    <xf numFmtId="0" fontId="11" fillId="16" borderId="16" xfId="60" applyFont="1" applyFill="1" applyBorder="1"/>
    <xf numFmtId="0" fontId="10" fillId="16" borderId="11" xfId="60" applyFont="1" applyFill="1" applyBorder="1"/>
    <xf numFmtId="0" fontId="10" fillId="16" borderId="11" xfId="60" applyFont="1" applyFill="1" applyBorder="1" applyAlignment="1">
      <alignment horizontal="center"/>
    </xf>
    <xf numFmtId="0" fontId="10" fillId="16" borderId="11" xfId="60" applyFont="1" applyFill="1" applyBorder="1" applyAlignment="1">
      <alignment horizontal="right"/>
    </xf>
    <xf numFmtId="0" fontId="2" fillId="16" borderId="11" xfId="60" applyFont="1" applyFill="1" applyBorder="1"/>
    <xf numFmtId="0" fontId="4" fillId="16" borderId="11" xfId="60" applyFont="1" applyFill="1" applyBorder="1"/>
    <xf numFmtId="0" fontId="11" fillId="16" borderId="11" xfId="60" applyFont="1" applyFill="1" applyBorder="1"/>
    <xf numFmtId="0" fontId="9" fillId="17" borderId="0" xfId="0" applyFont="1" applyFill="1" applyAlignment="1">
      <alignment horizontal="center"/>
    </xf>
    <xf numFmtId="0" fontId="8" fillId="17" borderId="0" xfId="0" applyFont="1" applyFill="1"/>
    <xf numFmtId="0" fontId="8" fillId="17" borderId="0" xfId="0" applyFont="1" applyFill="1" applyBorder="1"/>
    <xf numFmtId="2" fontId="2" fillId="17" borderId="25" xfId="0" applyNumberFormat="1" applyFont="1" applyFill="1" applyBorder="1"/>
    <xf numFmtId="168" fontId="4" fillId="17" borderId="20" xfId="42" applyNumberFormat="1" applyFont="1" applyFill="1" applyBorder="1"/>
    <xf numFmtId="166" fontId="2" fillId="17" borderId="26" xfId="68" applyNumberFormat="1" applyFont="1" applyFill="1" applyBorder="1"/>
    <xf numFmtId="166" fontId="2" fillId="16" borderId="24" xfId="68" applyNumberFormat="1" applyFont="1" applyFill="1" applyBorder="1"/>
    <xf numFmtId="166" fontId="2" fillId="17" borderId="20" xfId="68" applyNumberFormat="1" applyFont="1" applyFill="1" applyBorder="1"/>
    <xf numFmtId="43" fontId="2" fillId="17" borderId="0" xfId="42" applyNumberFormat="1" applyFont="1" applyFill="1" applyBorder="1"/>
    <xf numFmtId="168" fontId="2" fillId="17" borderId="20" xfId="42" applyNumberFormat="1" applyFont="1" applyFill="1" applyBorder="1"/>
    <xf numFmtId="0" fontId="38" fillId="17" borderId="0" xfId="0" applyFont="1" applyFill="1"/>
    <xf numFmtId="168" fontId="39" fillId="17" borderId="0" xfId="42" applyNumberFormat="1" applyFont="1" applyFill="1" applyBorder="1"/>
    <xf numFmtId="168" fontId="39" fillId="17" borderId="25" xfId="0" applyNumberFormat="1" applyFont="1" applyFill="1" applyBorder="1"/>
    <xf numFmtId="168" fontId="39" fillId="17" borderId="25" xfId="42" applyNumberFormat="1" applyFont="1" applyFill="1" applyBorder="1"/>
    <xf numFmtId="168" fontId="39" fillId="17" borderId="22" xfId="42" applyNumberFormat="1" applyFont="1" applyFill="1" applyBorder="1"/>
    <xf numFmtId="168" fontId="40" fillId="17" borderId="0" xfId="42" applyNumberFormat="1" applyFont="1" applyFill="1" applyBorder="1"/>
    <xf numFmtId="166" fontId="4" fillId="17" borderId="21" xfId="68" applyNumberFormat="1" applyFont="1" applyFill="1" applyBorder="1" applyAlignment="1">
      <alignment horizontal="right"/>
    </xf>
    <xf numFmtId="166" fontId="4" fillId="17" borderId="0" xfId="68" applyNumberFormat="1" applyFont="1" applyFill="1" applyBorder="1" applyAlignment="1">
      <alignment horizontal="right"/>
    </xf>
    <xf numFmtId="10" fontId="2" fillId="17" borderId="0" xfId="68" applyNumberFormat="1" applyFont="1" applyFill="1"/>
    <xf numFmtId="43" fontId="2" fillId="17" borderId="0" xfId="0" applyNumberFormat="1" applyFont="1" applyFill="1"/>
    <xf numFmtId="166" fontId="27" fillId="17" borderId="0" xfId="68" applyNumberFormat="1" applyFont="1" applyFill="1" applyBorder="1"/>
    <xf numFmtId="0" fontId="13" fillId="17" borderId="16" xfId="0" applyFont="1" applyFill="1" applyBorder="1"/>
    <xf numFmtId="43" fontId="18" fillId="17" borderId="0" xfId="42" applyFont="1" applyFill="1" applyBorder="1"/>
    <xf numFmtId="43" fontId="9" fillId="17" borderId="0" xfId="42" applyFont="1" applyFill="1" applyBorder="1"/>
    <xf numFmtId="168" fontId="13" fillId="17" borderId="25" xfId="0" applyNumberFormat="1" applyFont="1" applyFill="1" applyBorder="1"/>
    <xf numFmtId="168" fontId="2" fillId="17" borderId="29" xfId="0" applyNumberFormat="1" applyFont="1" applyFill="1" applyBorder="1"/>
    <xf numFmtId="168" fontId="13" fillId="17" borderId="0" xfId="42" applyNumberFormat="1" applyFont="1" applyFill="1" applyBorder="1"/>
    <xf numFmtId="0" fontId="13" fillId="17" borderId="11" xfId="0" applyFont="1" applyFill="1" applyBorder="1"/>
    <xf numFmtId="175" fontId="2" fillId="17" borderId="26" xfId="0" applyNumberFormat="1" applyFont="1" applyFill="1" applyBorder="1"/>
    <xf numFmtId="175" fontId="4" fillId="17" borderId="0" xfId="0" applyNumberFormat="1" applyFont="1" applyFill="1" applyBorder="1"/>
    <xf numFmtId="166" fontId="2" fillId="16" borderId="28" xfId="68" applyNumberFormat="1" applyFont="1" applyFill="1" applyBorder="1"/>
    <xf numFmtId="168" fontId="18" fillId="17" borderId="21" xfId="0" applyNumberFormat="1" applyFont="1" applyFill="1" applyBorder="1"/>
    <xf numFmtId="169" fontId="2" fillId="17" borderId="19" xfId="42" applyNumberFormat="1" applyFont="1" applyFill="1" applyBorder="1"/>
    <xf numFmtId="168" fontId="18" fillId="17" borderId="22" xfId="0" applyNumberFormat="1" applyFont="1" applyFill="1" applyBorder="1"/>
    <xf numFmtId="0" fontId="2" fillId="17" borderId="28" xfId="0" applyFont="1" applyFill="1" applyBorder="1"/>
    <xf numFmtId="0" fontId="0" fillId="17" borderId="0" xfId="0" applyFill="1" applyAlignment="1">
      <alignment horizontal="center"/>
    </xf>
    <xf numFmtId="0" fontId="21" fillId="17" borderId="0" xfId="0" applyFont="1" applyFill="1" applyAlignment="1">
      <alignment horizontal="center"/>
    </xf>
    <xf numFmtId="0" fontId="41" fillId="17" borderId="0" xfId="54" applyFont="1" applyFill="1" applyAlignment="1" applyProtection="1"/>
    <xf numFmtId="0" fontId="0" fillId="17" borderId="0" xfId="0" applyFill="1" applyBorder="1" applyAlignment="1">
      <alignment horizontal="center"/>
    </xf>
    <xf numFmtId="0" fontId="13" fillId="17" borderId="0" xfId="0" applyFont="1" applyFill="1" applyBorder="1" applyAlignment="1">
      <alignment horizontal="centerContinuous"/>
    </xf>
    <xf numFmtId="0" fontId="8" fillId="17" borderId="0" xfId="0" applyFont="1" applyFill="1" applyBorder="1" applyAlignment="1">
      <alignment horizontal="centerContinuous"/>
    </xf>
    <xf numFmtId="0" fontId="9" fillId="17" borderId="35" xfId="0" applyFont="1" applyFill="1" applyBorder="1" applyAlignment="1">
      <alignment horizontal="center"/>
    </xf>
    <xf numFmtId="0" fontId="13" fillId="16" borderId="36" xfId="0" applyFont="1" applyFill="1" applyBorder="1" applyAlignment="1">
      <alignment horizontal="centerContinuous"/>
    </xf>
    <xf numFmtId="0" fontId="9" fillId="16" borderId="12" xfId="0" applyFont="1" applyFill="1" applyBorder="1" applyAlignment="1">
      <alignment horizontal="center"/>
    </xf>
    <xf numFmtId="0" fontId="6" fillId="17" borderId="0" xfId="54" applyFont="1" applyFill="1" applyBorder="1" applyAlignment="1" applyProtection="1">
      <alignment horizontal="center"/>
    </xf>
    <xf numFmtId="0" fontId="8" fillId="17" borderId="32" xfId="0" applyFont="1" applyFill="1" applyBorder="1"/>
    <xf numFmtId="177" fontId="8" fillId="17" borderId="20" xfId="0" applyNumberFormat="1" applyFont="1" applyFill="1" applyBorder="1" applyAlignment="1">
      <alignment horizontal="center"/>
    </xf>
    <xf numFmtId="0" fontId="5" fillId="17" borderId="0" xfId="0" applyFont="1" applyFill="1" applyBorder="1"/>
    <xf numFmtId="0" fontId="5" fillId="0" borderId="0" xfId="0" applyFont="1" applyFill="1" applyBorder="1"/>
    <xf numFmtId="0" fontId="13" fillId="17" borderId="30" xfId="0" applyFont="1" applyFill="1" applyBorder="1" applyAlignment="1">
      <alignment horizontal="left" indent="1"/>
    </xf>
    <xf numFmtId="166" fontId="13" fillId="17" borderId="0" xfId="68" applyNumberFormat="1" applyFont="1" applyFill="1" applyBorder="1" applyAlignment="1">
      <alignment horizontal="center"/>
    </xf>
    <xf numFmtId="0" fontId="6" fillId="17" borderId="0" xfId="54" applyFill="1" applyBorder="1" applyAlignment="1" applyProtection="1">
      <alignment horizontal="center"/>
    </xf>
    <xf numFmtId="0" fontId="8" fillId="17" borderId="30" xfId="0" applyFont="1" applyFill="1" applyBorder="1"/>
    <xf numFmtId="175" fontId="2" fillId="17" borderId="0" xfId="0" applyNumberFormat="1" applyFont="1" applyFill="1" applyBorder="1" applyAlignment="1">
      <alignment horizontal="center"/>
    </xf>
    <xf numFmtId="7" fontId="2" fillId="17" borderId="0" xfId="0" applyNumberFormat="1" applyFont="1" applyFill="1" applyBorder="1" applyAlignment="1">
      <alignment horizontal="center"/>
    </xf>
    <xf numFmtId="166" fontId="2" fillId="17" borderId="0" xfId="68" applyNumberFormat="1" applyFont="1" applyFill="1" applyBorder="1" applyAlignment="1">
      <alignment horizontal="center"/>
    </xf>
    <xf numFmtId="0" fontId="8" fillId="0" borderId="0" xfId="0" applyFont="1" applyFill="1" applyBorder="1"/>
    <xf numFmtId="37" fontId="2" fillId="17" borderId="0" xfId="0" applyNumberFormat="1" applyFont="1" applyFill="1" applyBorder="1" applyAlignment="1">
      <alignment horizontal="center"/>
    </xf>
    <xf numFmtId="0" fontId="8" fillId="17" borderId="0" xfId="0" applyFont="1" applyFill="1" applyBorder="1" applyAlignment="1">
      <alignment horizontal="center"/>
    </xf>
    <xf numFmtId="0" fontId="9" fillId="17" borderId="0" xfId="0" applyFont="1" applyFill="1" applyBorder="1" applyAlignment="1">
      <alignment horizontal="left"/>
    </xf>
    <xf numFmtId="14" fontId="2" fillId="17" borderId="0" xfId="0" applyNumberFormat="1" applyFont="1" applyFill="1" applyBorder="1" applyAlignment="1">
      <alignment horizontal="left"/>
    </xf>
    <xf numFmtId="0" fontId="2" fillId="17" borderId="0" xfId="0" applyFont="1" applyFill="1" applyBorder="1" applyAlignment="1">
      <alignment horizontal="left"/>
    </xf>
    <xf numFmtId="0" fontId="0" fillId="0" borderId="0" xfId="0" applyFill="1" applyBorder="1" applyAlignment="1">
      <alignment horizontal="center"/>
    </xf>
    <xf numFmtId="0" fontId="42" fillId="17" borderId="37" xfId="53" applyFont="1" applyFill="1" applyBorder="1" applyAlignment="1" applyProtection="1">
      <alignment horizontal="center"/>
    </xf>
    <xf numFmtId="164" fontId="9" fillId="17" borderId="11" xfId="60" applyNumberFormat="1" applyFont="1" applyFill="1" applyBorder="1"/>
    <xf numFmtId="168" fontId="43" fillId="17" borderId="11" xfId="42" applyNumberFormat="1" applyFont="1" applyFill="1" applyBorder="1"/>
    <xf numFmtId="0" fontId="43" fillId="17" borderId="0" xfId="0" applyFont="1" applyFill="1" applyBorder="1" applyAlignment="1">
      <alignment horizontal="right"/>
    </xf>
    <xf numFmtId="0" fontId="43" fillId="17" borderId="29" xfId="0" applyFont="1" applyFill="1" applyBorder="1" applyAlignment="1">
      <alignment horizontal="right"/>
    </xf>
    <xf numFmtId="0" fontId="44" fillId="17" borderId="20" xfId="60" applyFont="1" applyFill="1" applyBorder="1"/>
    <xf numFmtId="0" fontId="44" fillId="17" borderId="26" xfId="60" applyFont="1" applyFill="1" applyBorder="1"/>
    <xf numFmtId="168" fontId="44" fillId="17" borderId="0" xfId="60" applyNumberFormat="1" applyFont="1" applyFill="1" applyBorder="1"/>
    <xf numFmtId="0" fontId="2" fillId="16" borderId="18" xfId="60" applyFont="1" applyFill="1" applyBorder="1"/>
    <xf numFmtId="180" fontId="10" fillId="17" borderId="26" xfId="42" applyNumberFormat="1" applyFont="1" applyFill="1" applyBorder="1" applyAlignment="1">
      <alignment horizontal="right"/>
    </xf>
    <xf numFmtId="180" fontId="2" fillId="17" borderId="26" xfId="42" applyNumberFormat="1" applyFont="1" applyFill="1" applyBorder="1" applyAlignment="1">
      <alignment horizontal="right"/>
    </xf>
    <xf numFmtId="180" fontId="10" fillId="17" borderId="25" xfId="42" applyNumberFormat="1" applyFont="1" applyFill="1" applyBorder="1" applyAlignment="1">
      <alignment horizontal="right"/>
    </xf>
    <xf numFmtId="180" fontId="2" fillId="17" borderId="25" xfId="42" applyNumberFormat="1" applyFont="1" applyFill="1" applyBorder="1" applyAlignment="1">
      <alignment horizontal="right"/>
    </xf>
    <xf numFmtId="180" fontId="11" fillId="17" borderId="29" xfId="42" applyNumberFormat="1" applyFont="1" applyFill="1" applyBorder="1" applyAlignment="1">
      <alignment horizontal="right"/>
    </xf>
    <xf numFmtId="180" fontId="9" fillId="17" borderId="29" xfId="42" applyNumberFormat="1" applyFont="1" applyFill="1" applyBorder="1" applyAlignment="1">
      <alignment horizontal="right"/>
    </xf>
    <xf numFmtId="166" fontId="17" fillId="17" borderId="0" xfId="68" applyNumberFormat="1" applyFont="1" applyFill="1" applyBorder="1"/>
    <xf numFmtId="168" fontId="2" fillId="17" borderId="20" xfId="0" applyNumberFormat="1" applyFont="1" applyFill="1" applyBorder="1"/>
    <xf numFmtId="172" fontId="2" fillId="17" borderId="0" xfId="0" applyNumberFormat="1" applyFont="1" applyFill="1" applyBorder="1"/>
    <xf numFmtId="0" fontId="45" fillId="17" borderId="0" xfId="0" applyFont="1" applyFill="1" applyBorder="1"/>
    <xf numFmtId="167" fontId="2" fillId="17" borderId="0" xfId="0" applyNumberFormat="1" applyFont="1" applyFill="1"/>
    <xf numFmtId="180" fontId="2" fillId="17" borderId="0" xfId="42" applyNumberFormat="1" applyFont="1" applyFill="1" applyBorder="1" applyAlignment="1">
      <alignment horizontal="right"/>
    </xf>
    <xf numFmtId="180" fontId="9" fillId="17" borderId="24" xfId="42" applyNumberFormat="1" applyFont="1" applyFill="1" applyBorder="1" applyAlignment="1">
      <alignment horizontal="right"/>
    </xf>
    <xf numFmtId="168" fontId="29" fillId="17" borderId="21" xfId="42" applyNumberFormat="1" applyFont="1" applyFill="1" applyBorder="1"/>
    <xf numFmtId="168" fontId="29" fillId="17" borderId="0" xfId="42" applyNumberFormat="1" applyFont="1" applyFill="1" applyBorder="1"/>
    <xf numFmtId="168" fontId="29" fillId="17" borderId="25" xfId="0" applyNumberFormat="1" applyFont="1" applyFill="1" applyBorder="1"/>
    <xf numFmtId="168" fontId="29" fillId="17" borderId="22" xfId="42" applyNumberFormat="1" applyFont="1" applyFill="1" applyBorder="1"/>
    <xf numFmtId="168" fontId="29" fillId="17" borderId="21" xfId="0" applyNumberFormat="1" applyFont="1" applyFill="1" applyBorder="1"/>
    <xf numFmtId="168" fontId="34" fillId="17" borderId="0" xfId="42" applyNumberFormat="1" applyFont="1" applyFill="1" applyBorder="1"/>
    <xf numFmtId="168" fontId="29" fillId="17" borderId="22" xfId="0" applyNumberFormat="1" applyFont="1" applyFill="1" applyBorder="1"/>
    <xf numFmtId="168" fontId="35" fillId="17" borderId="0" xfId="42" applyNumberFormat="1" applyFont="1" applyFill="1" applyBorder="1"/>
    <xf numFmtId="168" fontId="13" fillId="17" borderId="0" xfId="0" applyNumberFormat="1" applyFont="1" applyFill="1" applyBorder="1"/>
    <xf numFmtId="174" fontId="2" fillId="17" borderId="0" xfId="43" applyNumberFormat="1" applyFont="1" applyFill="1" applyBorder="1"/>
    <xf numFmtId="43" fontId="4" fillId="17" borderId="0" xfId="0" applyNumberFormat="1" applyFont="1" applyFill="1"/>
    <xf numFmtId="7" fontId="2" fillId="17" borderId="0" xfId="42" applyNumberFormat="1" applyFont="1" applyFill="1" applyBorder="1"/>
    <xf numFmtId="9" fontId="2" fillId="17" borderId="0" xfId="0" applyNumberFormat="1" applyFont="1" applyFill="1" applyBorder="1"/>
    <xf numFmtId="0" fontId="0" fillId="16" borderId="11" xfId="0" applyFill="1" applyBorder="1" applyAlignment="1">
      <alignment horizontal="right"/>
    </xf>
    <xf numFmtId="41" fontId="8" fillId="16" borderId="11" xfId="0" applyNumberFormat="1" applyFont="1" applyFill="1" applyBorder="1" applyAlignment="1">
      <alignment horizontal="right"/>
    </xf>
    <xf numFmtId="5" fontId="2" fillId="16" borderId="11" xfId="0" applyNumberFormat="1" applyFont="1" applyFill="1" applyBorder="1" applyAlignment="1">
      <alignment horizontal="right"/>
    </xf>
    <xf numFmtId="41" fontId="2" fillId="16" borderId="11" xfId="0" applyNumberFormat="1" applyFont="1" applyFill="1" applyBorder="1" applyAlignment="1">
      <alignment horizontal="right"/>
    </xf>
    <xf numFmtId="5" fontId="10" fillId="16" borderId="11" xfId="0" applyNumberFormat="1" applyFont="1" applyFill="1" applyBorder="1" applyAlignment="1">
      <alignment horizontal="right"/>
    </xf>
    <xf numFmtId="5" fontId="4" fillId="16" borderId="11" xfId="0" applyNumberFormat="1" applyFont="1" applyFill="1" applyBorder="1" applyAlignment="1">
      <alignment horizontal="right"/>
    </xf>
    <xf numFmtId="41" fontId="4" fillId="16" borderId="11" xfId="0" applyNumberFormat="1" applyFont="1" applyFill="1" applyBorder="1" applyAlignment="1">
      <alignment horizontal="right"/>
    </xf>
    <xf numFmtId="41" fontId="4" fillId="16" borderId="18" xfId="0" applyNumberFormat="1" applyFont="1" applyFill="1" applyBorder="1" applyAlignment="1">
      <alignment horizontal="right"/>
    </xf>
    <xf numFmtId="182" fontId="2" fillId="17" borderId="25" xfId="68" applyNumberFormat="1" applyFont="1" applyFill="1" applyBorder="1"/>
    <xf numFmtId="182" fontId="2" fillId="17" borderId="0" xfId="68" applyNumberFormat="1" applyFont="1" applyFill="1" applyBorder="1"/>
    <xf numFmtId="182" fontId="2" fillId="17" borderId="22" xfId="68" applyNumberFormat="1" applyFont="1" applyFill="1" applyBorder="1"/>
    <xf numFmtId="182" fontId="4" fillId="17" borderId="22" xfId="68" applyNumberFormat="1" applyFont="1" applyFill="1" applyBorder="1"/>
    <xf numFmtId="182" fontId="4" fillId="17" borderId="0" xfId="68" applyNumberFormat="1" applyFont="1" applyFill="1" applyBorder="1"/>
    <xf numFmtId="182" fontId="2" fillId="17" borderId="29" xfId="68" applyNumberFormat="1" applyFont="1" applyFill="1" applyBorder="1"/>
    <xf numFmtId="182" fontId="2" fillId="17" borderId="24" xfId="68" applyNumberFormat="1" applyFont="1" applyFill="1" applyBorder="1"/>
    <xf numFmtId="182" fontId="2" fillId="17" borderId="28" xfId="68" applyNumberFormat="1" applyFont="1" applyFill="1" applyBorder="1"/>
    <xf numFmtId="182" fontId="2" fillId="17" borderId="24" xfId="42" applyNumberFormat="1" applyFont="1" applyFill="1" applyBorder="1"/>
    <xf numFmtId="182" fontId="2" fillId="17" borderId="28" xfId="42" applyNumberFormat="1" applyFont="1" applyFill="1" applyBorder="1"/>
    <xf numFmtId="182" fontId="4" fillId="17" borderId="28" xfId="42" applyNumberFormat="1" applyFont="1" applyFill="1" applyBorder="1"/>
    <xf numFmtId="182" fontId="4" fillId="17" borderId="24" xfId="42" applyNumberFormat="1" applyFont="1" applyFill="1" applyBorder="1"/>
    <xf numFmtId="0" fontId="2" fillId="17" borderId="21" xfId="0" applyFont="1" applyFill="1" applyBorder="1" applyAlignment="1">
      <alignment horizontal="left" indent="1"/>
    </xf>
    <xf numFmtId="0" fontId="9" fillId="16" borderId="18" xfId="0" applyFont="1" applyFill="1" applyBorder="1"/>
    <xf numFmtId="168" fontId="11" fillId="17" borderId="25" xfId="42" applyNumberFormat="1" applyFont="1" applyFill="1" applyBorder="1"/>
    <xf numFmtId="168" fontId="11" fillId="17" borderId="21" xfId="42" applyNumberFormat="1" applyFont="1" applyFill="1" applyBorder="1"/>
    <xf numFmtId="1" fontId="2" fillId="17" borderId="0" xfId="0" applyNumberFormat="1" applyFont="1" applyFill="1"/>
    <xf numFmtId="168" fontId="9" fillId="17" borderId="26" xfId="42" applyNumberFormat="1" applyFont="1" applyFill="1" applyBorder="1"/>
    <xf numFmtId="164" fontId="9" fillId="17" borderId="17" xfId="60" applyNumberFormat="1" applyFont="1" applyFill="1" applyBorder="1"/>
    <xf numFmtId="181" fontId="17" fillId="17" borderId="0" xfId="0" applyNumberFormat="1" applyFont="1" applyFill="1" applyBorder="1" applyAlignment="1">
      <alignment horizontal="right"/>
    </xf>
    <xf numFmtId="181" fontId="4" fillId="17" borderId="20" xfId="0" applyNumberFormat="1" applyFont="1" applyFill="1" applyBorder="1"/>
    <xf numFmtId="181" fontId="4" fillId="17" borderId="27" xfId="0" applyNumberFormat="1" applyFont="1" applyFill="1" applyBorder="1"/>
    <xf numFmtId="169" fontId="21" fillId="16" borderId="18" xfId="42" applyNumberFormat="1" applyFont="1" applyFill="1" applyBorder="1" applyAlignment="1">
      <alignment horizontal="centerContinuous"/>
    </xf>
    <xf numFmtId="181" fontId="9" fillId="17" borderId="29" xfId="0" applyNumberFormat="1" applyFont="1" applyFill="1" applyBorder="1" applyAlignment="1">
      <alignment horizontal="right"/>
    </xf>
    <xf numFmtId="181" fontId="2" fillId="17" borderId="26" xfId="0" applyNumberFormat="1" applyFont="1" applyFill="1" applyBorder="1"/>
    <xf numFmtId="183" fontId="2" fillId="17" borderId="0" xfId="42" applyNumberFormat="1" applyFont="1" applyFill="1" applyBorder="1"/>
    <xf numFmtId="183" fontId="9" fillId="17" borderId="0" xfId="42" applyNumberFormat="1" applyFont="1" applyFill="1" applyBorder="1"/>
    <xf numFmtId="183" fontId="9" fillId="17" borderId="0" xfId="0" applyNumberFormat="1" applyFont="1" applyFill="1" applyBorder="1"/>
    <xf numFmtId="183" fontId="2" fillId="17" borderId="22" xfId="0" applyNumberFormat="1" applyFont="1" applyFill="1" applyBorder="1"/>
    <xf numFmtId="183" fontId="2" fillId="17" borderId="0" xfId="0" applyNumberFormat="1" applyFont="1" applyFill="1" applyBorder="1"/>
    <xf numFmtId="183" fontId="2" fillId="17" borderId="25" xfId="0" applyNumberFormat="1" applyFont="1" applyFill="1" applyBorder="1"/>
    <xf numFmtId="164" fontId="9" fillId="17" borderId="21" xfId="61" applyNumberFormat="1" applyFont="1" applyFill="1" applyBorder="1" applyAlignment="1">
      <alignment horizontal="left"/>
    </xf>
    <xf numFmtId="164" fontId="2" fillId="17" borderId="19" xfId="61" applyNumberFormat="1" applyFont="1" applyFill="1" applyBorder="1" applyAlignment="1">
      <alignment horizontal="left"/>
    </xf>
    <xf numFmtId="164" fontId="2" fillId="17" borderId="21" xfId="61" applyNumberFormat="1" applyFont="1" applyFill="1" applyBorder="1" applyAlignment="1">
      <alignment horizontal="left"/>
    </xf>
    <xf numFmtId="164" fontId="2" fillId="17" borderId="23" xfId="61" applyNumberFormat="1" applyFont="1" applyFill="1" applyBorder="1" applyAlignment="1">
      <alignment horizontal="left"/>
    </xf>
    <xf numFmtId="168" fontId="2" fillId="17" borderId="26" xfId="0" applyNumberFormat="1" applyFont="1" applyFill="1" applyBorder="1"/>
    <xf numFmtId="183" fontId="2" fillId="17" borderId="0" xfId="0" applyNumberFormat="1" applyFont="1" applyFill="1"/>
    <xf numFmtId="182" fontId="2" fillId="17" borderId="21" xfId="68" applyNumberFormat="1" applyFont="1" applyFill="1" applyBorder="1"/>
    <xf numFmtId="166" fontId="9" fillId="16" borderId="17" xfId="0" applyNumberFormat="1" applyFont="1" applyFill="1" applyBorder="1"/>
    <xf numFmtId="169" fontId="2" fillId="17" borderId="0" xfId="0" applyNumberFormat="1" applyFont="1" applyFill="1" applyBorder="1"/>
    <xf numFmtId="172" fontId="2" fillId="17" borderId="25" xfId="0" applyNumberFormat="1" applyFont="1" applyFill="1" applyBorder="1"/>
    <xf numFmtId="0" fontId="9" fillId="16" borderId="39" xfId="0" applyFont="1" applyFill="1" applyBorder="1" applyAlignment="1">
      <alignment horizontal="right"/>
    </xf>
    <xf numFmtId="171" fontId="9" fillId="16" borderId="39" xfId="0" applyNumberFormat="1" applyFont="1" applyFill="1" applyBorder="1" applyAlignment="1">
      <alignment horizontal="right"/>
    </xf>
    <xf numFmtId="171" fontId="11" fillId="16" borderId="39" xfId="0" applyNumberFormat="1" applyFont="1" applyFill="1" applyBorder="1" applyAlignment="1">
      <alignment horizontal="right"/>
    </xf>
    <xf numFmtId="171" fontId="9" fillId="16" borderId="38" xfId="0" applyNumberFormat="1" applyFont="1" applyFill="1" applyBorder="1" applyAlignment="1">
      <alignment horizontal="center"/>
    </xf>
    <xf numFmtId="171" fontId="9" fillId="16" borderId="40" xfId="0" applyNumberFormat="1" applyFont="1" applyFill="1" applyBorder="1" applyAlignment="1">
      <alignment horizontal="center"/>
    </xf>
    <xf numFmtId="171" fontId="9" fillId="16" borderId="39" xfId="0" applyNumberFormat="1" applyFont="1" applyFill="1" applyBorder="1" applyAlignment="1">
      <alignment horizontal="center"/>
    </xf>
    <xf numFmtId="171" fontId="9" fillId="16" borderId="41" xfId="0" applyNumberFormat="1" applyFont="1" applyFill="1" applyBorder="1" applyAlignment="1">
      <alignment horizontal="center"/>
    </xf>
    <xf numFmtId="171" fontId="17" fillId="16" borderId="39" xfId="0" applyNumberFormat="1" applyFont="1" applyFill="1" applyBorder="1" applyAlignment="1">
      <alignment horizontal="center"/>
    </xf>
    <xf numFmtId="171" fontId="17" fillId="16" borderId="41" xfId="0" applyNumberFormat="1" applyFont="1" applyFill="1" applyBorder="1" applyAlignment="1">
      <alignment horizontal="center"/>
    </xf>
    <xf numFmtId="171" fontId="9" fillId="16" borderId="42" xfId="0" applyNumberFormat="1" applyFont="1" applyFill="1" applyBorder="1" applyAlignment="1">
      <alignment horizontal="center"/>
    </xf>
    <xf numFmtId="0" fontId="2" fillId="17" borderId="44" xfId="0" applyFont="1" applyFill="1" applyBorder="1"/>
    <xf numFmtId="168" fontId="2" fillId="17" borderId="44" xfId="0" applyNumberFormat="1" applyFont="1" applyFill="1" applyBorder="1"/>
    <xf numFmtId="168" fontId="18" fillId="17" borderId="44" xfId="0" applyNumberFormat="1" applyFont="1" applyFill="1" applyBorder="1"/>
    <xf numFmtId="168" fontId="9" fillId="17" borderId="44" xfId="0" applyNumberFormat="1" applyFont="1" applyFill="1" applyBorder="1"/>
    <xf numFmtId="168" fontId="29" fillId="17" borderId="44" xfId="0" applyNumberFormat="1" applyFont="1" applyFill="1" applyBorder="1"/>
    <xf numFmtId="168" fontId="2" fillId="17" borderId="44" xfId="42" applyNumberFormat="1" applyFont="1" applyFill="1" applyBorder="1"/>
    <xf numFmtId="168" fontId="39" fillId="17" borderId="44" xfId="0" applyNumberFormat="1" applyFont="1" applyFill="1" applyBorder="1"/>
    <xf numFmtId="168" fontId="9" fillId="17" borderId="44" xfId="42" applyNumberFormat="1" applyFont="1" applyFill="1" applyBorder="1"/>
    <xf numFmtId="7" fontId="9" fillId="17" borderId="45" xfId="43" applyNumberFormat="1" applyFont="1" applyFill="1" applyBorder="1"/>
    <xf numFmtId="7" fontId="2" fillId="17" borderId="44" xfId="43" applyNumberFormat="1" applyFont="1" applyFill="1" applyBorder="1"/>
    <xf numFmtId="168" fontId="2" fillId="17" borderId="48" xfId="42" applyNumberFormat="1" applyFont="1" applyFill="1" applyBorder="1"/>
    <xf numFmtId="168" fontId="2" fillId="17" borderId="47" xfId="42" applyNumberFormat="1" applyFont="1" applyFill="1" applyBorder="1"/>
    <xf numFmtId="168" fontId="10" fillId="17" borderId="47" xfId="42" applyNumberFormat="1" applyFont="1" applyFill="1" applyBorder="1"/>
    <xf numFmtId="168" fontId="2" fillId="17" borderId="50" xfId="42" applyNumberFormat="1" applyFont="1" applyFill="1" applyBorder="1"/>
    <xf numFmtId="168" fontId="2" fillId="17" borderId="49" xfId="42" applyNumberFormat="1" applyFont="1" applyFill="1" applyBorder="1"/>
    <xf numFmtId="168" fontId="4" fillId="17" borderId="47" xfId="42" applyNumberFormat="1" applyFont="1" applyFill="1" applyBorder="1"/>
    <xf numFmtId="168" fontId="2" fillId="17" borderId="51" xfId="42" applyNumberFormat="1" applyFont="1" applyFill="1" applyBorder="1"/>
    <xf numFmtId="0" fontId="2" fillId="17" borderId="47" xfId="0" applyFont="1" applyFill="1" applyBorder="1"/>
    <xf numFmtId="0" fontId="9" fillId="17" borderId="52" xfId="0" applyFont="1" applyFill="1" applyBorder="1"/>
    <xf numFmtId="0" fontId="11" fillId="17" borderId="53" xfId="60" applyFont="1" applyFill="1" applyBorder="1"/>
    <xf numFmtId="0" fontId="11" fillId="16" borderId="55" xfId="63" applyFont="1" applyFill="1" applyBorder="1"/>
    <xf numFmtId="0" fontId="11" fillId="16" borderId="39" xfId="63" applyFont="1" applyFill="1" applyBorder="1"/>
    <xf numFmtId="0" fontId="11" fillId="16" borderId="39" xfId="0" applyFont="1" applyFill="1" applyBorder="1" applyAlignment="1">
      <alignment horizontal="center"/>
    </xf>
    <xf numFmtId="0" fontId="9" fillId="16" borderId="39" xfId="0" applyFont="1" applyFill="1" applyBorder="1" applyAlignment="1">
      <alignment horizontal="center"/>
    </xf>
    <xf numFmtId="0" fontId="9" fillId="16" borderId="38" xfId="0" applyFont="1" applyFill="1" applyBorder="1" applyAlignment="1">
      <alignment horizontal="center"/>
    </xf>
    <xf numFmtId="0" fontId="43" fillId="16" borderId="39" xfId="0" applyFont="1" applyFill="1" applyBorder="1" applyAlignment="1">
      <alignment horizontal="center"/>
    </xf>
    <xf numFmtId="0" fontId="17" fillId="16" borderId="39" xfId="0" applyFont="1" applyFill="1" applyBorder="1" applyAlignment="1">
      <alignment horizontal="center"/>
    </xf>
    <xf numFmtId="0" fontId="11" fillId="17" borderId="48" xfId="60" applyFont="1" applyFill="1" applyBorder="1"/>
    <xf numFmtId="180" fontId="11" fillId="17" borderId="48" xfId="60" applyNumberFormat="1" applyFont="1" applyFill="1" applyBorder="1"/>
    <xf numFmtId="180" fontId="11" fillId="17" borderId="47" xfId="60" applyNumberFormat="1" applyFont="1" applyFill="1" applyBorder="1"/>
    <xf numFmtId="180" fontId="11" fillId="17" borderId="49" xfId="60" applyNumberFormat="1" applyFont="1" applyFill="1" applyBorder="1"/>
    <xf numFmtId="180" fontId="9" fillId="17" borderId="48" xfId="60" applyNumberFormat="1" applyFont="1" applyFill="1" applyBorder="1"/>
    <xf numFmtId="180" fontId="9" fillId="17" borderId="47" xfId="60" applyNumberFormat="1" applyFont="1" applyFill="1" applyBorder="1"/>
    <xf numFmtId="180" fontId="9" fillId="17" borderId="49" xfId="60" applyNumberFormat="1" applyFont="1" applyFill="1" applyBorder="1"/>
    <xf numFmtId="0" fontId="9" fillId="17" borderId="22" xfId="0" applyFont="1" applyFill="1" applyBorder="1"/>
    <xf numFmtId="0" fontId="9" fillId="17" borderId="56" xfId="0" applyFont="1" applyFill="1" applyBorder="1"/>
    <xf numFmtId="0" fontId="9" fillId="17" borderId="57" xfId="0" applyFont="1" applyFill="1" applyBorder="1"/>
    <xf numFmtId="164" fontId="2" fillId="17" borderId="56" xfId="0" applyNumberFormat="1" applyFont="1" applyFill="1" applyBorder="1"/>
    <xf numFmtId="164" fontId="9" fillId="17" borderId="56" xfId="0" applyNumberFormat="1" applyFont="1" applyFill="1" applyBorder="1"/>
    <xf numFmtId="2" fontId="2" fillId="17" borderId="25" xfId="63" applyNumberFormat="1" applyFont="1" applyFill="1" applyBorder="1"/>
    <xf numFmtId="0" fontId="2" fillId="17" borderId="25" xfId="63" applyFont="1" applyFill="1" applyBorder="1"/>
    <xf numFmtId="0" fontId="2" fillId="17" borderId="22" xfId="64" applyFont="1" applyFill="1" applyBorder="1">
      <alignment wrapText="1"/>
    </xf>
    <xf numFmtId="43" fontId="10" fillId="17" borderId="21" xfId="42" applyFont="1" applyFill="1" applyBorder="1"/>
    <xf numFmtId="43" fontId="10" fillId="17" borderId="0" xfId="42" applyFont="1" applyFill="1" applyBorder="1"/>
    <xf numFmtId="43" fontId="10" fillId="17" borderId="25" xfId="42" applyFont="1" applyFill="1" applyBorder="1"/>
    <xf numFmtId="43" fontId="2" fillId="17" borderId="25" xfId="42" applyFont="1" applyFill="1" applyBorder="1"/>
    <xf numFmtId="167" fontId="2" fillId="17" borderId="24" xfId="0" applyNumberFormat="1" applyFont="1" applyFill="1" applyBorder="1"/>
    <xf numFmtId="0" fontId="2" fillId="17" borderId="52" xfId="0" applyFont="1" applyFill="1" applyBorder="1"/>
    <xf numFmtId="0" fontId="11" fillId="16" borderId="60" xfId="63" applyFont="1" applyFill="1" applyBorder="1"/>
    <xf numFmtId="181" fontId="17" fillId="16" borderId="39" xfId="0" applyNumberFormat="1" applyFont="1" applyFill="1" applyBorder="1" applyAlignment="1">
      <alignment horizontal="center"/>
    </xf>
    <xf numFmtId="181" fontId="9" fillId="16" borderId="39" xfId="0" applyNumberFormat="1" applyFont="1" applyFill="1" applyBorder="1" applyAlignment="1">
      <alignment horizontal="center"/>
    </xf>
    <xf numFmtId="181" fontId="9" fillId="16" borderId="11" xfId="0" applyNumberFormat="1" applyFont="1" applyFill="1" applyBorder="1" applyAlignment="1">
      <alignment horizontal="center"/>
    </xf>
    <xf numFmtId="168" fontId="39" fillId="17" borderId="22" xfId="0" applyNumberFormat="1" applyFont="1" applyFill="1" applyBorder="1"/>
    <xf numFmtId="0" fontId="5" fillId="17" borderId="0" xfId="0" applyFont="1" applyFill="1"/>
    <xf numFmtId="164" fontId="29" fillId="17" borderId="56" xfId="0" applyNumberFormat="1" applyFont="1" applyFill="1" applyBorder="1"/>
    <xf numFmtId="164" fontId="2" fillId="17" borderId="56" xfId="0" applyNumberFormat="1" applyFont="1" applyFill="1" applyBorder="1" applyAlignment="1">
      <alignment horizontal="left" indent="1"/>
    </xf>
    <xf numFmtId="7" fontId="9" fillId="17" borderId="58" xfId="0" applyNumberFormat="1" applyFont="1" applyFill="1" applyBorder="1"/>
    <xf numFmtId="7" fontId="9" fillId="17" borderId="56" xfId="0" applyNumberFormat="1" applyFont="1" applyFill="1" applyBorder="1"/>
    <xf numFmtId="7" fontId="2" fillId="17" borderId="56" xfId="0" applyNumberFormat="1" applyFont="1" applyFill="1" applyBorder="1"/>
    <xf numFmtId="7" fontId="2" fillId="17" borderId="59" xfId="0" applyNumberFormat="1" applyFont="1" applyFill="1" applyBorder="1"/>
    <xf numFmtId="164" fontId="2" fillId="17" borderId="56" xfId="0" applyNumberFormat="1" applyFont="1" applyFill="1" applyBorder="1" applyAlignment="1">
      <alignment horizontal="left"/>
    </xf>
    <xf numFmtId="166" fontId="10" fillId="17" borderId="56" xfId="0" applyNumberFormat="1" applyFont="1" applyFill="1" applyBorder="1"/>
    <xf numFmtId="166" fontId="11" fillId="17" borderId="56" xfId="0" applyNumberFormat="1" applyFont="1" applyFill="1" applyBorder="1"/>
    <xf numFmtId="166" fontId="2" fillId="17" borderId="56" xfId="0" applyNumberFormat="1" applyFont="1" applyFill="1" applyBorder="1"/>
    <xf numFmtId="166" fontId="9" fillId="16" borderId="58" xfId="0" applyNumberFormat="1" applyFont="1" applyFill="1" applyBorder="1"/>
    <xf numFmtId="166" fontId="2" fillId="17" borderId="43" xfId="68" applyNumberFormat="1" applyFont="1" applyFill="1" applyBorder="1"/>
    <xf numFmtId="166" fontId="2" fillId="17" borderId="44" xfId="68" applyNumberFormat="1" applyFont="1" applyFill="1" applyBorder="1"/>
    <xf numFmtId="166" fontId="9" fillId="17" borderId="44" xfId="68" applyNumberFormat="1" applyFont="1" applyFill="1" applyBorder="1"/>
    <xf numFmtId="166" fontId="2" fillId="17" borderId="44" xfId="68" applyNumberFormat="1" applyFont="1" applyFill="1" applyBorder="1" applyAlignment="1">
      <alignment horizontal="right"/>
    </xf>
    <xf numFmtId="166" fontId="2" fillId="17" borderId="44" xfId="0" applyNumberFormat="1" applyFont="1" applyFill="1" applyBorder="1"/>
    <xf numFmtId="166" fontId="2" fillId="17" borderId="46" xfId="68" applyNumberFormat="1" applyFont="1" applyFill="1" applyBorder="1"/>
    <xf numFmtId="166" fontId="2" fillId="16" borderId="63" xfId="68" applyNumberFormat="1" applyFont="1" applyFill="1" applyBorder="1"/>
    <xf numFmtId="166" fontId="2" fillId="17" borderId="44" xfId="68" applyNumberFormat="1" applyFont="1" applyFill="1" applyBorder="1" applyAlignment="1"/>
    <xf numFmtId="166" fontId="9" fillId="17" borderId="44" xfId="68" applyNumberFormat="1" applyFont="1" applyFill="1" applyBorder="1" applyAlignment="1"/>
    <xf numFmtId="166" fontId="2" fillId="16" borderId="63" xfId="68" applyNumberFormat="1" applyFont="1" applyFill="1" applyBorder="1" applyAlignment="1"/>
    <xf numFmtId="169" fontId="2" fillId="17" borderId="43" xfId="42" applyNumberFormat="1" applyFont="1" applyFill="1" applyBorder="1"/>
    <xf numFmtId="169" fontId="2" fillId="17" borderId="44" xfId="42" applyNumberFormat="1" applyFont="1" applyFill="1" applyBorder="1"/>
    <xf numFmtId="0" fontId="2" fillId="17" borderId="66" xfId="0" applyFont="1" applyFill="1" applyBorder="1"/>
    <xf numFmtId="0" fontId="2" fillId="17" borderId="9" xfId="0" applyFont="1" applyFill="1" applyBorder="1"/>
    <xf numFmtId="166" fontId="2" fillId="17" borderId="9" xfId="68" applyNumberFormat="1" applyFont="1" applyFill="1" applyBorder="1"/>
    <xf numFmtId="166" fontId="2" fillId="17" borderId="66" xfId="68" applyNumberFormat="1" applyFont="1" applyFill="1" applyBorder="1"/>
    <xf numFmtId="166" fontId="2" fillId="17" borderId="67" xfId="68" applyNumberFormat="1" applyFont="1" applyFill="1" applyBorder="1"/>
    <xf numFmtId="166" fontId="2" fillId="17" borderId="68" xfId="68" applyNumberFormat="1" applyFont="1" applyFill="1" applyBorder="1"/>
    <xf numFmtId="166" fontId="2" fillId="17" borderId="62" xfId="68" applyNumberFormat="1" applyFont="1" applyFill="1" applyBorder="1"/>
    <xf numFmtId="164" fontId="2" fillId="17" borderId="56" xfId="0" applyNumberFormat="1" applyFont="1" applyFill="1" applyBorder="1" applyAlignment="1">
      <alignment vertical="center"/>
    </xf>
    <xf numFmtId="168" fontId="18" fillId="17" borderId="21" xfId="42" applyNumberFormat="1" applyFont="1" applyFill="1" applyBorder="1" applyAlignment="1">
      <alignment vertical="center"/>
    </xf>
    <xf numFmtId="168" fontId="18" fillId="17" borderId="0" xfId="42" applyNumberFormat="1" applyFont="1" applyFill="1" applyBorder="1" applyAlignment="1">
      <alignment vertical="center"/>
    </xf>
    <xf numFmtId="168" fontId="18" fillId="17" borderId="25" xfId="0" applyNumberFormat="1" applyFont="1" applyFill="1" applyBorder="1" applyAlignment="1">
      <alignment vertical="center"/>
    </xf>
    <xf numFmtId="168" fontId="20" fillId="17" borderId="0" xfId="42" applyNumberFormat="1" applyFont="1" applyFill="1" applyBorder="1" applyAlignment="1">
      <alignment vertical="center"/>
    </xf>
    <xf numFmtId="168" fontId="18" fillId="17" borderId="22" xfId="42" applyNumberFormat="1" applyFont="1" applyFill="1" applyBorder="1" applyAlignment="1">
      <alignment vertical="center"/>
    </xf>
    <xf numFmtId="168" fontId="18" fillId="17" borderId="25" xfId="42" applyNumberFormat="1" applyFont="1" applyFill="1" applyBorder="1" applyAlignment="1">
      <alignment vertical="center"/>
    </xf>
    <xf numFmtId="168" fontId="18" fillId="17" borderId="21" xfId="0" applyNumberFormat="1" applyFont="1" applyFill="1" applyBorder="1" applyAlignment="1">
      <alignment vertical="center"/>
    </xf>
    <xf numFmtId="168" fontId="18" fillId="17" borderId="22" xfId="0" applyNumberFormat="1" applyFont="1" applyFill="1" applyBorder="1" applyAlignment="1">
      <alignment vertical="center"/>
    </xf>
    <xf numFmtId="168" fontId="19" fillId="17" borderId="0" xfId="42" applyNumberFormat="1" applyFont="1" applyFill="1" applyBorder="1" applyAlignment="1">
      <alignment vertical="center"/>
    </xf>
    <xf numFmtId="168" fontId="18" fillId="17" borderId="44" xfId="0" applyNumberFormat="1" applyFont="1" applyFill="1" applyBorder="1" applyAlignment="1">
      <alignment vertical="center"/>
    </xf>
    <xf numFmtId="0" fontId="2" fillId="17" borderId="0" xfId="0" applyFont="1" applyFill="1" applyBorder="1" applyAlignment="1">
      <alignment vertical="center"/>
    </xf>
    <xf numFmtId="0" fontId="5" fillId="17" borderId="0" xfId="0" applyFont="1" applyFill="1" applyAlignment="1">
      <alignment vertical="center"/>
    </xf>
    <xf numFmtId="0" fontId="0" fillId="17" borderId="0" xfId="0" applyFill="1" applyAlignment="1">
      <alignment vertical="center"/>
    </xf>
    <xf numFmtId="0" fontId="4" fillId="17" borderId="20" xfId="0" applyFont="1" applyFill="1" applyBorder="1"/>
    <xf numFmtId="43" fontId="4" fillId="17" borderId="0" xfId="42" applyNumberFormat="1" applyFont="1" applyFill="1" applyBorder="1"/>
    <xf numFmtId="43" fontId="17" fillId="17" borderId="11" xfId="43" applyNumberFormat="1" applyFont="1" applyFill="1" applyBorder="1"/>
    <xf numFmtId="181" fontId="9" fillId="17" borderId="0" xfId="0" applyNumberFormat="1" applyFont="1" applyFill="1" applyBorder="1" applyAlignment="1">
      <alignment horizontal="right"/>
    </xf>
    <xf numFmtId="181" fontId="2" fillId="17" borderId="20" xfId="0" applyNumberFormat="1" applyFont="1" applyFill="1" applyBorder="1"/>
    <xf numFmtId="168" fontId="2" fillId="17" borderId="26" xfId="42" applyNumberFormat="1" applyFont="1" applyFill="1" applyBorder="1"/>
    <xf numFmtId="166" fontId="4" fillId="17" borderId="44" xfId="68" applyNumberFormat="1" applyFont="1" applyFill="1" applyBorder="1"/>
    <xf numFmtId="166" fontId="4" fillId="17" borderId="44" xfId="0" applyNumberFormat="1" applyFont="1" applyFill="1" applyBorder="1"/>
    <xf numFmtId="171" fontId="9" fillId="16" borderId="18" xfId="0" applyNumberFormat="1" applyFont="1" applyFill="1" applyBorder="1" applyAlignment="1">
      <alignment horizontal="center"/>
    </xf>
    <xf numFmtId="171" fontId="9" fillId="16" borderId="17" xfId="0" applyNumberFormat="1" applyFont="1" applyFill="1" applyBorder="1" applyAlignment="1">
      <alignment horizontal="center"/>
    </xf>
    <xf numFmtId="172" fontId="2" fillId="17" borderId="24" xfId="0" applyNumberFormat="1" applyFont="1" applyFill="1" applyBorder="1"/>
    <xf numFmtId="172" fontId="2" fillId="17" borderId="29" xfId="0" applyNumberFormat="1" applyFont="1" applyFill="1" applyBorder="1"/>
    <xf numFmtId="182" fontId="8" fillId="17" borderId="0" xfId="0" applyNumberFormat="1" applyFont="1" applyFill="1" applyBorder="1" applyAlignment="1">
      <alignment horizontal="center"/>
    </xf>
    <xf numFmtId="182" fontId="9" fillId="17" borderId="0" xfId="0" applyNumberFormat="1" applyFont="1" applyFill="1" applyBorder="1" applyAlignment="1">
      <alignment horizontal="center"/>
    </xf>
    <xf numFmtId="0" fontId="9" fillId="16" borderId="55" xfId="0" applyFont="1" applyFill="1" applyBorder="1"/>
    <xf numFmtId="171" fontId="9" fillId="16" borderId="73" xfId="0" applyNumberFormat="1" applyFont="1" applyFill="1" applyBorder="1" applyAlignment="1">
      <alignment horizontal="center"/>
    </xf>
    <xf numFmtId="168" fontId="2" fillId="17" borderId="43" xfId="42" applyNumberFormat="1" applyFont="1" applyFill="1" applyBorder="1"/>
    <xf numFmtId="7" fontId="2" fillId="17" borderId="76" xfId="0" applyNumberFormat="1" applyFont="1" applyFill="1" applyBorder="1"/>
    <xf numFmtId="166" fontId="2" fillId="17" borderId="9" xfId="68" applyNumberFormat="1" applyFont="1" applyFill="1" applyBorder="1" applyAlignment="1"/>
    <xf numFmtId="178" fontId="2" fillId="17" borderId="0" xfId="0" applyNumberFormat="1" applyFont="1" applyFill="1" applyBorder="1"/>
    <xf numFmtId="178" fontId="2" fillId="17" borderId="25" xfId="0" applyNumberFormat="1" applyFont="1" applyFill="1" applyBorder="1"/>
    <xf numFmtId="7" fontId="9" fillId="16" borderId="55" xfId="0" applyNumberFormat="1" applyFont="1" applyFill="1" applyBorder="1"/>
    <xf numFmtId="171" fontId="2" fillId="16" borderId="39" xfId="0" applyNumberFormat="1" applyFont="1" applyFill="1" applyBorder="1"/>
    <xf numFmtId="171" fontId="2" fillId="16" borderId="40" xfId="0" applyNumberFormat="1" applyFont="1" applyFill="1" applyBorder="1"/>
    <xf numFmtId="171" fontId="4" fillId="16" borderId="39" xfId="0" applyNumberFormat="1" applyFont="1" applyFill="1" applyBorder="1"/>
    <xf numFmtId="171" fontId="10" fillId="16" borderId="39" xfId="0" applyNumberFormat="1" applyFont="1" applyFill="1" applyBorder="1"/>
    <xf numFmtId="171" fontId="2" fillId="16" borderId="41" xfId="0" applyNumberFormat="1" applyFont="1" applyFill="1" applyBorder="1"/>
    <xf numFmtId="171" fontId="2" fillId="16" borderId="73" xfId="0" applyNumberFormat="1" applyFont="1" applyFill="1" applyBorder="1"/>
    <xf numFmtId="169" fontId="2" fillId="17" borderId="9" xfId="42" applyNumberFormat="1" applyFont="1" applyFill="1" applyBorder="1"/>
    <xf numFmtId="169" fontId="2" fillId="17" borderId="67" xfId="42" applyNumberFormat="1" applyFont="1" applyFill="1" applyBorder="1"/>
    <xf numFmtId="169" fontId="2" fillId="17" borderId="66" xfId="42" applyNumberFormat="1" applyFont="1" applyFill="1" applyBorder="1"/>
    <xf numFmtId="169" fontId="2" fillId="17" borderId="69" xfId="42" applyNumberFormat="1" applyFont="1" applyFill="1" applyBorder="1"/>
    <xf numFmtId="0" fontId="2" fillId="17" borderId="0" xfId="0" applyFont="1" applyFill="1" applyAlignment="1">
      <alignment horizontal="left" indent="2"/>
    </xf>
    <xf numFmtId="169" fontId="8" fillId="17" borderId="0" xfId="0" applyNumberFormat="1" applyFont="1" applyFill="1" applyBorder="1" applyAlignment="1">
      <alignment horizontal="center"/>
    </xf>
    <xf numFmtId="169" fontId="2" fillId="17" borderId="0" xfId="0" applyNumberFormat="1" applyFont="1" applyFill="1" applyBorder="1" applyAlignment="1">
      <alignment horizontal="center"/>
    </xf>
    <xf numFmtId="169" fontId="9" fillId="17" borderId="0" xfId="0" applyNumberFormat="1" applyFont="1" applyFill="1" applyBorder="1" applyAlignment="1">
      <alignment horizontal="center"/>
    </xf>
    <xf numFmtId="169" fontId="2" fillId="17" borderId="0" xfId="0" applyNumberFormat="1" applyFont="1" applyFill="1" applyBorder="1" applyAlignment="1"/>
    <xf numFmtId="169" fontId="9" fillId="17" borderId="0" xfId="0" applyNumberFormat="1" applyFont="1" applyFill="1" applyBorder="1" applyAlignment="1"/>
    <xf numFmtId="171" fontId="9" fillId="16" borderId="11" xfId="0" applyNumberFormat="1" applyFont="1" applyFill="1" applyBorder="1" applyAlignment="1">
      <alignment horizontal="center"/>
    </xf>
    <xf numFmtId="43" fontId="9" fillId="17" borderId="11" xfId="43" applyNumberFormat="1" applyFont="1" applyFill="1" applyBorder="1"/>
    <xf numFmtId="14" fontId="2" fillId="17" borderId="0" xfId="0" applyNumberFormat="1" applyFont="1" applyFill="1"/>
    <xf numFmtId="169" fontId="9" fillId="17" borderId="0" xfId="42" applyNumberFormat="1" applyFont="1" applyFill="1" applyBorder="1"/>
    <xf numFmtId="0" fontId="59" fillId="17" borderId="0" xfId="0" applyFont="1" applyFill="1" applyBorder="1"/>
    <xf numFmtId="0" fontId="59" fillId="16" borderId="11" xfId="63" applyFont="1" applyFill="1" applyBorder="1" applyAlignment="1">
      <alignment horizontal="centerContinuous"/>
    </xf>
    <xf numFmtId="166" fontId="9" fillId="17" borderId="24" xfId="68" applyNumberFormat="1" applyFont="1" applyFill="1" applyBorder="1"/>
    <xf numFmtId="0" fontId="45" fillId="16" borderId="16" xfId="0" applyFont="1" applyFill="1" applyBorder="1"/>
    <xf numFmtId="0" fontId="45" fillId="17" borderId="0" xfId="0" applyFont="1" applyFill="1"/>
    <xf numFmtId="3" fontId="2" fillId="17" borderId="0" xfId="68" applyNumberFormat="1" applyFont="1" applyFill="1" applyBorder="1"/>
    <xf numFmtId="3" fontId="2" fillId="17" borderId="25" xfId="68" applyNumberFormat="1" applyFont="1" applyFill="1" applyBorder="1"/>
    <xf numFmtId="44" fontId="9" fillId="17" borderId="18" xfId="43" applyNumberFormat="1" applyFont="1" applyFill="1" applyBorder="1"/>
    <xf numFmtId="0" fontId="38" fillId="16" borderId="17" xfId="0" applyFont="1" applyFill="1" applyBorder="1"/>
    <xf numFmtId="164" fontId="9" fillId="17" borderId="0" xfId="61" applyNumberFormat="1" applyFont="1" applyFill="1" applyBorder="1" applyAlignment="1">
      <alignment horizontal="left"/>
    </xf>
    <xf numFmtId="175" fontId="2" fillId="17" borderId="20" xfId="0" applyNumberFormat="1" applyFont="1" applyFill="1" applyBorder="1" applyAlignment="1">
      <alignment horizontal="center"/>
    </xf>
    <xf numFmtId="164" fontId="2" fillId="17" borderId="0" xfId="62" applyNumberFormat="1" applyFont="1" applyFill="1" applyBorder="1" applyAlignment="1">
      <alignment horizontal="center"/>
    </xf>
    <xf numFmtId="164" fontId="4" fillId="17" borderId="0" xfId="62" applyNumberFormat="1" applyFont="1" applyFill="1" applyBorder="1" applyAlignment="1">
      <alignment horizontal="center"/>
    </xf>
    <xf numFmtId="44" fontId="2" fillId="17" borderId="25" xfId="43" applyFont="1" applyFill="1" applyBorder="1" applyAlignment="1">
      <alignment horizontal="center"/>
    </xf>
    <xf numFmtId="44" fontId="2" fillId="17" borderId="0" xfId="43" applyFont="1" applyFill="1" applyBorder="1" applyAlignment="1">
      <alignment horizontal="center"/>
    </xf>
    <xf numFmtId="44" fontId="4" fillId="17" borderId="0" xfId="43" applyFont="1" applyFill="1" applyBorder="1" applyAlignment="1">
      <alignment horizontal="center"/>
    </xf>
    <xf numFmtId="175" fontId="2" fillId="17" borderId="0" xfId="62" applyNumberFormat="1" applyFont="1" applyFill="1" applyBorder="1" applyAlignment="1">
      <alignment horizontal="center"/>
    </xf>
    <xf numFmtId="164" fontId="9" fillId="17" borderId="23" xfId="61" applyNumberFormat="1" applyFont="1" applyFill="1" applyBorder="1" applyAlignment="1">
      <alignment horizontal="left"/>
    </xf>
    <xf numFmtId="175" fontId="9" fillId="17" borderId="24" xfId="0" applyNumberFormat="1" applyFont="1" applyFill="1" applyBorder="1" applyAlignment="1">
      <alignment horizontal="center"/>
    </xf>
    <xf numFmtId="168" fontId="9" fillId="17" borderId="29" xfId="0" applyNumberFormat="1" applyFont="1" applyFill="1" applyBorder="1"/>
    <xf numFmtId="0" fontId="9" fillId="16" borderId="42" xfId="0" applyFont="1" applyFill="1" applyBorder="1" applyAlignment="1">
      <alignment horizontal="center"/>
    </xf>
    <xf numFmtId="0" fontId="9" fillId="17" borderId="46" xfId="0" applyFont="1" applyFill="1" applyBorder="1" applyAlignment="1">
      <alignment horizontal="right"/>
    </xf>
    <xf numFmtId="0" fontId="2" fillId="17" borderId="43" xfId="60" applyFont="1" applyFill="1" applyBorder="1"/>
    <xf numFmtId="167" fontId="8" fillId="17" borderId="0" xfId="0" applyNumberFormat="1" applyFont="1" applyFill="1" applyBorder="1"/>
    <xf numFmtId="166" fontId="8" fillId="17" borderId="26" xfId="68" applyNumberFormat="1" applyFont="1" applyFill="1" applyBorder="1"/>
    <xf numFmtId="166" fontId="8" fillId="17" borderId="20" xfId="68" applyNumberFormat="1" applyFont="1" applyFill="1" applyBorder="1"/>
    <xf numFmtId="166" fontId="8" fillId="17" borderId="25" xfId="68" applyNumberFormat="1" applyFont="1" applyFill="1" applyBorder="1"/>
    <xf numFmtId="166" fontId="8" fillId="17" borderId="0" xfId="68" applyNumberFormat="1" applyFont="1" applyFill="1" applyBorder="1"/>
    <xf numFmtId="166" fontId="8" fillId="17" borderId="29" xfId="68" applyNumberFormat="1" applyFont="1" applyFill="1" applyBorder="1"/>
    <xf numFmtId="167" fontId="8" fillId="17" borderId="24" xfId="0" applyNumberFormat="1" applyFont="1" applyFill="1" applyBorder="1"/>
    <xf numFmtId="164" fontId="4" fillId="17" borderId="0" xfId="42" applyNumberFormat="1" applyFont="1" applyFill="1" applyBorder="1" applyAlignment="1">
      <alignment horizontal="right"/>
    </xf>
    <xf numFmtId="164" fontId="2" fillId="17" borderId="26" xfId="42" applyNumberFormat="1" applyFont="1" applyFill="1" applyBorder="1" applyAlignment="1">
      <alignment horizontal="right"/>
    </xf>
    <xf numFmtId="164" fontId="2" fillId="17" borderId="25" xfId="42" applyNumberFormat="1" applyFont="1" applyFill="1" applyBorder="1" applyAlignment="1">
      <alignment horizontal="right"/>
    </xf>
    <xf numFmtId="169" fontId="2" fillId="17" borderId="20" xfId="42" applyNumberFormat="1" applyFont="1" applyFill="1" applyBorder="1"/>
    <xf numFmtId="169" fontId="2" fillId="17" borderId="29" xfId="42" applyNumberFormat="1" applyFont="1" applyFill="1" applyBorder="1"/>
    <xf numFmtId="169" fontId="2" fillId="17" borderId="23" xfId="42" applyNumberFormat="1" applyFont="1" applyFill="1" applyBorder="1"/>
    <xf numFmtId="169" fontId="2" fillId="17" borderId="24" xfId="42" applyNumberFormat="1" applyFont="1" applyFill="1" applyBorder="1"/>
    <xf numFmtId="0" fontId="2" fillId="17" borderId="26" xfId="0" applyFont="1" applyFill="1" applyBorder="1" applyAlignment="1">
      <alignment horizontal="left" indent="1"/>
    </xf>
    <xf numFmtId="0" fontId="2" fillId="17" borderId="25" xfId="0" applyFont="1" applyFill="1" applyBorder="1" applyAlignment="1">
      <alignment horizontal="left" indent="1"/>
    </xf>
    <xf numFmtId="0" fontId="2" fillId="17" borderId="29" xfId="0" applyFont="1" applyFill="1" applyBorder="1" applyAlignment="1">
      <alignment horizontal="left" indent="1"/>
    </xf>
    <xf numFmtId="0" fontId="42" fillId="17" borderId="78" xfId="54" applyFont="1" applyFill="1" applyBorder="1" applyAlignment="1" applyProtection="1">
      <alignment horizontal="center"/>
    </xf>
    <xf numFmtId="0" fontId="5" fillId="17" borderId="0" xfId="59" applyFill="1" applyBorder="1"/>
    <xf numFmtId="3" fontId="2" fillId="17" borderId="0" xfId="59" applyNumberFormat="1" applyFont="1" applyFill="1" applyBorder="1" applyAlignment="1">
      <alignment horizontal="center"/>
    </xf>
    <xf numFmtId="0" fontId="8" fillId="17" borderId="0" xfId="59" applyFont="1" applyFill="1" applyBorder="1"/>
    <xf numFmtId="37" fontId="2" fillId="17" borderId="0" xfId="59" applyNumberFormat="1" applyFont="1" applyFill="1" applyBorder="1" applyAlignment="1">
      <alignment horizontal="center"/>
    </xf>
    <xf numFmtId="0" fontId="21" fillId="17" borderId="0" xfId="59" applyFont="1" applyFill="1" applyBorder="1"/>
    <xf numFmtId="182" fontId="9" fillId="17" borderId="0" xfId="59" applyNumberFormat="1" applyFont="1" applyFill="1" applyBorder="1"/>
    <xf numFmtId="14" fontId="9" fillId="17" borderId="0" xfId="0" applyNumberFormat="1" applyFont="1" applyFill="1" applyBorder="1" applyAlignment="1">
      <alignment horizontal="left"/>
    </xf>
    <xf numFmtId="166" fontId="4" fillId="16" borderId="11" xfId="68" applyNumberFormat="1" applyFont="1" applyFill="1" applyBorder="1" applyAlignment="1"/>
    <xf numFmtId="0" fontId="61" fillId="17" borderId="0" xfId="0" applyFont="1" applyFill="1" applyBorder="1" applyAlignment="1"/>
    <xf numFmtId="0" fontId="61" fillId="17" borderId="0" xfId="0" applyFont="1" applyFill="1" applyBorder="1" applyAlignment="1">
      <alignment horizontal="centerContinuous"/>
    </xf>
    <xf numFmtId="169" fontId="61" fillId="17" borderId="0" xfId="42" applyNumberFormat="1" applyFont="1" applyFill="1" applyBorder="1" applyAlignment="1">
      <alignment horizontal="centerContinuous"/>
    </xf>
    <xf numFmtId="169" fontId="13" fillId="17" borderId="0" xfId="42" applyNumberFormat="1" applyFont="1" applyFill="1" applyBorder="1" applyAlignment="1">
      <alignment horizontal="centerContinuous"/>
    </xf>
    <xf numFmtId="169" fontId="16" fillId="17" borderId="0" xfId="42" applyNumberFormat="1" applyFont="1" applyFill="1" applyBorder="1" applyAlignment="1">
      <alignment horizontal="centerContinuous"/>
    </xf>
    <xf numFmtId="169" fontId="27" fillId="17" borderId="0" xfId="42" applyNumberFormat="1" applyFont="1" applyFill="1" applyBorder="1" applyAlignment="1">
      <alignment horizontal="centerContinuous"/>
    </xf>
    <xf numFmtId="202" fontId="27" fillId="17" borderId="0" xfId="42" applyNumberFormat="1" applyFont="1" applyFill="1" applyBorder="1" applyAlignment="1"/>
    <xf numFmtId="202" fontId="13" fillId="17" borderId="0" xfId="42" applyNumberFormat="1" applyFont="1" applyFill="1" applyBorder="1" applyAlignment="1"/>
    <xf numFmtId="0" fontId="29" fillId="17" borderId="29" xfId="0" applyFont="1" applyFill="1" applyBorder="1" applyAlignment="1">
      <alignment horizontal="right"/>
    </xf>
    <xf numFmtId="168" fontId="29" fillId="17" borderId="0" xfId="0" applyNumberFormat="1" applyFont="1" applyFill="1" applyBorder="1"/>
    <xf numFmtId="183" fontId="9" fillId="17" borderId="25" xfId="68" applyNumberFormat="1" applyFont="1" applyFill="1" applyBorder="1" applyAlignment="1"/>
    <xf numFmtId="183" fontId="9" fillId="17" borderId="0" xfId="68" applyNumberFormat="1" applyFont="1" applyFill="1" applyBorder="1" applyAlignment="1"/>
    <xf numFmtId="183" fontId="9" fillId="17" borderId="22" xfId="68" applyNumberFormat="1" applyFont="1" applyFill="1" applyBorder="1" applyAlignment="1"/>
    <xf numFmtId="183" fontId="9" fillId="17" borderId="44" xfId="68" applyNumberFormat="1" applyFont="1" applyFill="1" applyBorder="1" applyAlignment="1"/>
    <xf numFmtId="7" fontId="2" fillId="17" borderId="56" xfId="0" applyNumberFormat="1" applyFont="1" applyFill="1" applyBorder="1" applyAlignment="1">
      <alignment horizontal="left" indent="1"/>
    </xf>
    <xf numFmtId="183" fontId="2" fillId="17" borderId="25" xfId="68" applyNumberFormat="1" applyFont="1" applyFill="1" applyBorder="1" applyAlignment="1"/>
    <xf numFmtId="183" fontId="2" fillId="17" borderId="0" xfId="68" applyNumberFormat="1" applyFont="1" applyFill="1" applyBorder="1" applyAlignment="1"/>
    <xf numFmtId="183" fontId="2" fillId="17" borderId="44" xfId="68" applyNumberFormat="1" applyFont="1" applyFill="1" applyBorder="1" applyAlignment="1"/>
    <xf numFmtId="183" fontId="2" fillId="17" borderId="22" xfId="68" applyNumberFormat="1" applyFont="1" applyFill="1" applyBorder="1" applyAlignment="1"/>
    <xf numFmtId="7" fontId="2" fillId="17" borderId="56" xfId="0" applyNumberFormat="1" applyFont="1" applyFill="1" applyBorder="1" applyAlignment="1">
      <alignment horizontal="left" indent="2"/>
    </xf>
    <xf numFmtId="7" fontId="9" fillId="17" borderId="56" xfId="0" applyNumberFormat="1" applyFont="1" applyFill="1" applyBorder="1" applyAlignment="1">
      <alignment horizontal="left" indent="2"/>
    </xf>
    <xf numFmtId="14" fontId="2" fillId="17" borderId="0" xfId="0" applyNumberFormat="1" applyFont="1" applyFill="1" applyBorder="1"/>
    <xf numFmtId="183" fontId="2" fillId="17" borderId="66" xfId="68" applyNumberFormat="1" applyFont="1" applyFill="1" applyBorder="1" applyAlignment="1"/>
    <xf numFmtId="183" fontId="2" fillId="17" borderId="9" xfId="68" applyNumberFormat="1" applyFont="1" applyFill="1" applyBorder="1" applyAlignment="1"/>
    <xf numFmtId="183" fontId="2" fillId="17" borderId="69" xfId="68" applyNumberFormat="1" applyFont="1" applyFill="1" applyBorder="1" applyAlignment="1"/>
    <xf numFmtId="7" fontId="2" fillId="17" borderId="56" xfId="0" applyNumberFormat="1" applyFont="1" applyFill="1" applyBorder="1" applyAlignment="1">
      <alignment horizontal="left"/>
    </xf>
    <xf numFmtId="7" fontId="2" fillId="17" borderId="56" xfId="0" applyNumberFormat="1" applyFont="1" applyFill="1" applyBorder="1" applyAlignment="1">
      <alignment horizontal="left" indent="3"/>
    </xf>
    <xf numFmtId="7" fontId="9" fillId="17" borderId="56" xfId="0" applyNumberFormat="1" applyFont="1" applyFill="1" applyBorder="1" applyAlignment="1">
      <alignment horizontal="left" indent="4"/>
    </xf>
    <xf numFmtId="7" fontId="13" fillId="17" borderId="76" xfId="0" applyNumberFormat="1" applyFont="1" applyFill="1" applyBorder="1" applyAlignment="1">
      <alignment horizontal="left" indent="1"/>
    </xf>
    <xf numFmtId="175" fontId="9" fillId="17" borderId="0" xfId="68" applyNumberFormat="1" applyFont="1" applyFill="1" applyBorder="1" applyAlignment="1"/>
    <xf numFmtId="175" fontId="9" fillId="17" borderId="25" xfId="68" applyNumberFormat="1" applyFont="1" applyFill="1" applyBorder="1" applyAlignment="1"/>
    <xf numFmtId="175" fontId="2" fillId="17" borderId="0" xfId="68" applyNumberFormat="1" applyFont="1" applyFill="1" applyBorder="1" applyAlignment="1"/>
    <xf numFmtId="175" fontId="2" fillId="17" borderId="25" xfId="68" applyNumberFormat="1" applyFont="1" applyFill="1" applyBorder="1" applyAlignment="1"/>
    <xf numFmtId="203" fontId="13" fillId="17" borderId="9" xfId="68" applyNumberFormat="1" applyFont="1" applyFill="1" applyBorder="1" applyAlignment="1"/>
    <xf numFmtId="7" fontId="2" fillId="17" borderId="0" xfId="0" applyNumberFormat="1" applyFont="1" applyFill="1" applyBorder="1" applyAlignment="1">
      <alignment horizontal="left" indent="1"/>
    </xf>
    <xf numFmtId="183" fontId="13" fillId="17" borderId="9" xfId="68" applyNumberFormat="1" applyFont="1" applyFill="1" applyBorder="1" applyAlignment="1"/>
    <xf numFmtId="183" fontId="13" fillId="17" borderId="66" xfId="68" applyNumberFormat="1" applyFont="1" applyFill="1" applyBorder="1" applyAlignment="1"/>
    <xf numFmtId="0" fontId="61" fillId="17" borderId="50" xfId="0" applyFont="1" applyFill="1" applyBorder="1"/>
    <xf numFmtId="181" fontId="9" fillId="16" borderId="73" xfId="0" applyNumberFormat="1" applyFont="1" applyFill="1" applyBorder="1" applyAlignment="1">
      <alignment horizontal="center"/>
    </xf>
    <xf numFmtId="181" fontId="9" fillId="17" borderId="46" xfId="0" applyNumberFormat="1" applyFont="1" applyFill="1" applyBorder="1" applyAlignment="1">
      <alignment horizontal="right"/>
    </xf>
    <xf numFmtId="202" fontId="13" fillId="17" borderId="47" xfId="42" applyNumberFormat="1" applyFont="1" applyFill="1" applyBorder="1" applyAlignment="1"/>
    <xf numFmtId="203" fontId="2" fillId="17" borderId="66" xfId="68" applyNumberFormat="1" applyFont="1" applyFill="1" applyBorder="1" applyAlignment="1"/>
    <xf numFmtId="0" fontId="45" fillId="17" borderId="9" xfId="0" applyFont="1" applyFill="1" applyBorder="1"/>
    <xf numFmtId="206" fontId="2" fillId="17" borderId="0" xfId="0" applyNumberFormat="1" applyFont="1" applyFill="1" applyBorder="1"/>
    <xf numFmtId="0" fontId="11" fillId="16" borderId="17" xfId="63" applyFont="1" applyFill="1" applyBorder="1"/>
    <xf numFmtId="168" fontId="19" fillId="17" borderId="22" xfId="42" applyNumberFormat="1" applyFont="1" applyFill="1" applyBorder="1"/>
    <xf numFmtId="164" fontId="9" fillId="17" borderId="56" xfId="0" applyNumberFormat="1" applyFont="1" applyFill="1" applyBorder="1" applyAlignment="1">
      <alignment horizontal="left"/>
    </xf>
    <xf numFmtId="164" fontId="2" fillId="17" borderId="0" xfId="42" applyNumberFormat="1" applyFont="1" applyFill="1" applyBorder="1"/>
    <xf numFmtId="164" fontId="4" fillId="17" borderId="0" xfId="42" applyNumberFormat="1" applyFont="1" applyFill="1" applyBorder="1"/>
    <xf numFmtId="164" fontId="2" fillId="17" borderId="44" xfId="0" applyNumberFormat="1" applyFont="1" applyFill="1" applyBorder="1"/>
    <xf numFmtId="164" fontId="9" fillId="17" borderId="0" xfId="42" applyNumberFormat="1" applyFont="1" applyFill="1" applyBorder="1"/>
    <xf numFmtId="164" fontId="17" fillId="17" borderId="0" xfId="42" applyNumberFormat="1" applyFont="1" applyFill="1" applyBorder="1"/>
    <xf numFmtId="164" fontId="9" fillId="17" borderId="44" xfId="0" applyNumberFormat="1" applyFont="1" applyFill="1" applyBorder="1"/>
    <xf numFmtId="166" fontId="29" fillId="17" borderId="25" xfId="68" applyNumberFormat="1" applyFont="1" applyFill="1" applyBorder="1"/>
    <xf numFmtId="0" fontId="9" fillId="16" borderId="13" xfId="0" applyFont="1" applyFill="1" applyBorder="1" applyAlignment="1">
      <alignment horizontal="center"/>
    </xf>
    <xf numFmtId="177" fontId="8" fillId="17" borderId="33" xfId="0" applyNumberFormat="1" applyFont="1" applyFill="1" applyBorder="1" applyAlignment="1">
      <alignment horizontal="center"/>
    </xf>
    <xf numFmtId="166" fontId="13" fillId="17" borderId="31" xfId="68" applyNumberFormat="1" applyFont="1" applyFill="1" applyBorder="1" applyAlignment="1">
      <alignment horizontal="center"/>
    </xf>
    <xf numFmtId="175" fontId="2" fillId="17" borderId="31" xfId="0" applyNumberFormat="1" applyFont="1" applyFill="1" applyBorder="1" applyAlignment="1">
      <alignment horizontal="center"/>
    </xf>
    <xf numFmtId="7" fontId="2" fillId="17" borderId="31" xfId="0" applyNumberFormat="1" applyFont="1" applyFill="1" applyBorder="1" applyAlignment="1">
      <alignment horizontal="center"/>
    </xf>
    <xf numFmtId="166" fontId="2" fillId="17" borderId="31" xfId="68" applyNumberFormat="1" applyFont="1" applyFill="1" applyBorder="1" applyAlignment="1">
      <alignment horizontal="center"/>
    </xf>
    <xf numFmtId="37" fontId="2" fillId="17" borderId="31" xfId="0" applyNumberFormat="1" applyFont="1" applyFill="1" applyBorder="1" applyAlignment="1">
      <alignment horizontal="center"/>
    </xf>
    <xf numFmtId="0" fontId="13" fillId="17" borderId="57" xfId="0" applyFont="1" applyFill="1" applyBorder="1"/>
    <xf numFmtId="168" fontId="13" fillId="17" borderId="26" xfId="0" applyNumberFormat="1" applyFont="1" applyFill="1" applyBorder="1"/>
    <xf numFmtId="168" fontId="13" fillId="17" borderId="19" xfId="42" applyNumberFormat="1" applyFont="1" applyFill="1" applyBorder="1"/>
    <xf numFmtId="168" fontId="13" fillId="17" borderId="20" xfId="42" applyNumberFormat="1" applyFont="1" applyFill="1" applyBorder="1"/>
    <xf numFmtId="168" fontId="13" fillId="17" borderId="20" xfId="42" applyNumberFormat="1" applyFont="1" applyFill="1" applyBorder="1" applyAlignment="1">
      <alignment horizontal="right"/>
    </xf>
    <xf numFmtId="168" fontId="13" fillId="17" borderId="27" xfId="42" applyNumberFormat="1" applyFont="1" applyFill="1" applyBorder="1"/>
    <xf numFmtId="168" fontId="13" fillId="17" borderId="19" xfId="0" applyNumberFormat="1" applyFont="1" applyFill="1" applyBorder="1"/>
    <xf numFmtId="168" fontId="16" fillId="17" borderId="20" xfId="42" applyNumberFormat="1" applyFont="1" applyFill="1" applyBorder="1"/>
    <xf numFmtId="168" fontId="13" fillId="17" borderId="27" xfId="0" applyNumberFormat="1" applyFont="1" applyFill="1" applyBorder="1"/>
    <xf numFmtId="1" fontId="13" fillId="17" borderId="26" xfId="0" applyNumberFormat="1" applyFont="1" applyFill="1" applyBorder="1" applyAlignment="1">
      <alignment horizontal="center"/>
    </xf>
    <xf numFmtId="1" fontId="13" fillId="17" borderId="20" xfId="42" applyNumberFormat="1" applyFont="1" applyFill="1" applyBorder="1" applyAlignment="1">
      <alignment horizontal="center"/>
    </xf>
    <xf numFmtId="1" fontId="27" fillId="17" borderId="20" xfId="42" applyNumberFormat="1" applyFont="1" applyFill="1" applyBorder="1" applyAlignment="1">
      <alignment horizontal="center"/>
    </xf>
    <xf numFmtId="1" fontId="13" fillId="17" borderId="43" xfId="0" applyNumberFormat="1" applyFont="1" applyFill="1" applyBorder="1" applyAlignment="1">
      <alignment horizontal="center"/>
    </xf>
    <xf numFmtId="168" fontId="2" fillId="17" borderId="25" xfId="0" applyNumberFormat="1" applyFont="1" applyFill="1" applyBorder="1" applyAlignment="1">
      <alignment vertical="center"/>
    </xf>
    <xf numFmtId="168" fontId="2" fillId="17" borderId="0" xfId="42" applyNumberFormat="1" applyFont="1" applyFill="1" applyBorder="1" applyAlignment="1">
      <alignment vertical="center"/>
    </xf>
    <xf numFmtId="168" fontId="4" fillId="17" borderId="0" xfId="42" applyNumberFormat="1" applyFont="1" applyFill="1" applyBorder="1" applyAlignment="1">
      <alignment vertical="center"/>
    </xf>
    <xf numFmtId="168" fontId="27" fillId="17" borderId="0" xfId="42" applyNumberFormat="1" applyFont="1" applyFill="1" applyBorder="1"/>
    <xf numFmtId="168" fontId="26" fillId="17" borderId="22" xfId="42" applyNumberFormat="1" applyFont="1" applyFill="1" applyBorder="1"/>
    <xf numFmtId="166" fontId="10" fillId="17" borderId="76" xfId="0" applyNumberFormat="1" applyFont="1" applyFill="1" applyBorder="1"/>
    <xf numFmtId="166" fontId="10" fillId="17" borderId="9" xfId="68" applyNumberFormat="1" applyFont="1" applyFill="1" applyBorder="1"/>
    <xf numFmtId="179" fontId="9" fillId="17" borderId="25" xfId="68" applyNumberFormat="1" applyFont="1" applyFill="1" applyBorder="1" applyAlignment="1"/>
    <xf numFmtId="179" fontId="9" fillId="17" borderId="0" xfId="68" applyNumberFormat="1" applyFont="1" applyFill="1" applyBorder="1" applyAlignment="1"/>
    <xf numFmtId="173" fontId="2" fillId="17" borderId="0" xfId="68" applyNumberFormat="1" applyFont="1" applyFill="1" applyBorder="1" applyAlignment="1"/>
    <xf numFmtId="0" fontId="10" fillId="16" borderId="11" xfId="0" applyFont="1" applyFill="1" applyBorder="1"/>
    <xf numFmtId="171" fontId="9" fillId="16" borderId="16" xfId="0" applyNumberFormat="1" applyFont="1" applyFill="1" applyBorder="1" applyAlignment="1">
      <alignment horizontal="center"/>
    </xf>
    <xf numFmtId="0" fontId="4" fillId="17" borderId="29" xfId="0" applyFont="1" applyFill="1" applyBorder="1"/>
    <xf numFmtId="205" fontId="13" fillId="17" borderId="9" xfId="68" applyNumberFormat="1" applyFont="1" applyFill="1" applyBorder="1" applyAlignment="1"/>
    <xf numFmtId="205" fontId="2" fillId="17" borderId="0" xfId="68" applyNumberFormat="1" applyFont="1" applyFill="1" applyBorder="1" applyAlignment="1"/>
    <xf numFmtId="203" fontId="2" fillId="17" borderId="25" xfId="68" applyNumberFormat="1" applyFont="1" applyFill="1" applyBorder="1" applyAlignment="1"/>
    <xf numFmtId="203" fontId="13" fillId="17" borderId="66" xfId="68" applyNumberFormat="1" applyFont="1" applyFill="1" applyBorder="1" applyAlignment="1"/>
    <xf numFmtId="184" fontId="2" fillId="17" borderId="0" xfId="0" applyNumberFormat="1" applyFont="1" applyFill="1" applyBorder="1"/>
    <xf numFmtId="169" fontId="2" fillId="17" borderId="25" xfId="0" applyNumberFormat="1" applyFont="1" applyFill="1" applyBorder="1" applyAlignment="1">
      <alignment horizontal="center"/>
    </xf>
    <xf numFmtId="169" fontId="9" fillId="17" borderId="25" xfId="0" applyNumberFormat="1" applyFont="1" applyFill="1" applyBorder="1" applyAlignment="1">
      <alignment horizontal="center"/>
    </xf>
    <xf numFmtId="206" fontId="2" fillId="17" borderId="25" xfId="0" applyNumberFormat="1" applyFont="1" applyFill="1" applyBorder="1"/>
    <xf numFmtId="184" fontId="2" fillId="17" borderId="25" xfId="0" applyNumberFormat="1" applyFont="1" applyFill="1" applyBorder="1"/>
    <xf numFmtId="169" fontId="2" fillId="17" borderId="26" xfId="0" applyNumberFormat="1" applyFont="1" applyFill="1" applyBorder="1" applyAlignment="1">
      <alignment horizontal="center"/>
    </xf>
    <xf numFmtId="184" fontId="8" fillId="17" borderId="25" xfId="0" applyNumberFormat="1" applyFont="1" applyFill="1" applyBorder="1"/>
    <xf numFmtId="183" fontId="4" fillId="17" borderId="0" xfId="68" applyNumberFormat="1" applyFont="1" applyFill="1" applyBorder="1" applyAlignment="1"/>
    <xf numFmtId="1" fontId="9" fillId="17" borderId="16" xfId="0" applyNumberFormat="1" applyFont="1" applyFill="1" applyBorder="1"/>
    <xf numFmtId="1" fontId="2" fillId="17" borderId="21" xfId="0" applyNumberFormat="1" applyFont="1" applyFill="1" applyBorder="1"/>
    <xf numFmtId="1" fontId="9" fillId="17" borderId="17" xfId="0" applyNumberFormat="1" applyFont="1" applyFill="1" applyBorder="1"/>
    <xf numFmtId="164" fontId="2" fillId="17" borderId="0" xfId="42" applyNumberFormat="1" applyFont="1" applyFill="1" applyBorder="1" applyAlignment="1">
      <alignment horizontal="right"/>
    </xf>
    <xf numFmtId="172" fontId="2" fillId="17" borderId="25" xfId="0" applyNumberFormat="1" applyFont="1" applyFill="1" applyBorder="1" applyAlignment="1"/>
    <xf numFmtId="164" fontId="2" fillId="17" borderId="17" xfId="0" applyNumberFormat="1" applyFont="1" applyFill="1" applyBorder="1"/>
    <xf numFmtId="164" fontId="2" fillId="17" borderId="11" xfId="0" applyNumberFormat="1" applyFont="1" applyFill="1" applyBorder="1"/>
    <xf numFmtId="164" fontId="4" fillId="17" borderId="11" xfId="0" applyNumberFormat="1" applyFont="1" applyFill="1" applyBorder="1"/>
    <xf numFmtId="164" fontId="2" fillId="17" borderId="0" xfId="0" applyNumberFormat="1" applyFont="1" applyFill="1"/>
    <xf numFmtId="164" fontId="4" fillId="17" borderId="0" xfId="0" applyNumberFormat="1" applyFont="1" applyFill="1"/>
    <xf numFmtId="0" fontId="3" fillId="17" borderId="0" xfId="59" applyFont="1" applyFill="1" applyBorder="1"/>
    <xf numFmtId="182" fontId="2" fillId="17" borderId="0" xfId="59" applyNumberFormat="1" applyFont="1" applyFill="1" applyBorder="1"/>
    <xf numFmtId="9" fontId="13" fillId="17" borderId="0" xfId="0" applyNumberFormat="1" applyFont="1" applyFill="1" applyBorder="1" applyAlignment="1">
      <alignment horizontal="center"/>
    </xf>
    <xf numFmtId="9" fontId="13" fillId="17" borderId="31" xfId="0" applyNumberFormat="1" applyFont="1" applyFill="1" applyBorder="1" applyAlignment="1">
      <alignment horizontal="center"/>
    </xf>
    <xf numFmtId="0" fontId="8" fillId="17" borderId="34" xfId="0" applyFont="1" applyFill="1" applyBorder="1"/>
    <xf numFmtId="175" fontId="2" fillId="17" borderId="14" xfId="0" applyNumberFormat="1" applyFont="1" applyFill="1" applyBorder="1" applyAlignment="1">
      <alignment horizontal="center"/>
    </xf>
    <xf numFmtId="175" fontId="2" fillId="17" borderId="15" xfId="0" applyNumberFormat="1" applyFont="1" applyFill="1" applyBorder="1" applyAlignment="1">
      <alignment horizontal="center"/>
    </xf>
    <xf numFmtId="0" fontId="38" fillId="16" borderId="16" xfId="63" applyFont="1" applyFill="1" applyBorder="1" applyAlignment="1">
      <alignment horizontal="left"/>
    </xf>
    <xf numFmtId="0" fontId="57" fillId="16" borderId="11" xfId="63" applyFont="1" applyFill="1" applyBorder="1" applyAlignment="1">
      <alignment horizontal="centerContinuous"/>
    </xf>
    <xf numFmtId="0" fontId="60" fillId="16" borderId="11" xfId="0" applyFont="1" applyFill="1" applyBorder="1"/>
    <xf numFmtId="168" fontId="12" fillId="16" borderId="11" xfId="63" applyNumberFormat="1" applyFont="1" applyFill="1" applyBorder="1" applyAlignment="1">
      <alignment horizontal="centerContinuous"/>
    </xf>
    <xf numFmtId="168" fontId="12" fillId="16" borderId="18" xfId="63" applyNumberFormat="1" applyFont="1" applyFill="1" applyBorder="1" applyAlignment="1">
      <alignment horizontal="centerContinuous"/>
    </xf>
    <xf numFmtId="0" fontId="59" fillId="16" borderId="11" xfId="0" applyFont="1" applyFill="1" applyBorder="1"/>
    <xf numFmtId="14" fontId="0" fillId="17" borderId="0" xfId="0" applyNumberFormat="1" applyFill="1" applyBorder="1"/>
    <xf numFmtId="14" fontId="9" fillId="16" borderId="12" xfId="0" applyNumberFormat="1" applyFont="1" applyFill="1" applyBorder="1" applyAlignment="1">
      <alignment horizontal="center"/>
    </xf>
    <xf numFmtId="14" fontId="0" fillId="0" borderId="0" xfId="0" applyNumberFormat="1" applyFill="1" applyBorder="1"/>
    <xf numFmtId="164" fontId="2" fillId="17" borderId="52" xfId="0" applyNumberFormat="1" applyFont="1" applyFill="1" applyBorder="1"/>
    <xf numFmtId="164" fontId="2" fillId="17" borderId="65" xfId="0" applyNumberFormat="1" applyFont="1" applyFill="1" applyBorder="1"/>
    <xf numFmtId="166" fontId="9" fillId="17" borderId="29" xfId="68" applyNumberFormat="1" applyFont="1" applyFill="1" applyBorder="1"/>
    <xf numFmtId="167" fontId="2" fillId="17" borderId="44" xfId="0" applyNumberFormat="1" applyFont="1" applyFill="1" applyBorder="1"/>
    <xf numFmtId="166" fontId="13" fillId="17" borderId="44" xfId="0" applyNumberFormat="1" applyFont="1" applyFill="1" applyBorder="1"/>
    <xf numFmtId="164" fontId="2" fillId="17" borderId="25" xfId="0" applyNumberFormat="1" applyFont="1" applyFill="1" applyBorder="1" applyAlignment="1">
      <alignment horizontal="left" indent="3"/>
    </xf>
    <xf numFmtId="10" fontId="2" fillId="17" borderId="0" xfId="68" applyNumberFormat="1" applyFont="1" applyFill="1" applyBorder="1"/>
    <xf numFmtId="203" fontId="2" fillId="17" borderId="44" xfId="68" applyNumberFormat="1" applyFont="1" applyFill="1" applyBorder="1" applyAlignment="1"/>
    <xf numFmtId="181" fontId="2" fillId="17" borderId="43" xfId="0" applyNumberFormat="1" applyFont="1" applyFill="1" applyBorder="1"/>
    <xf numFmtId="0" fontId="8" fillId="17" borderId="12" xfId="0" applyFont="1" applyFill="1" applyBorder="1"/>
    <xf numFmtId="9" fontId="2" fillId="17" borderId="0" xfId="68" applyFont="1" applyFill="1" applyBorder="1" applyAlignment="1">
      <alignment horizontal="center"/>
    </xf>
    <xf numFmtId="0" fontId="59" fillId="0" borderId="0" xfId="0" applyFont="1" applyFill="1" applyBorder="1"/>
    <xf numFmtId="0" fontId="0" fillId="0" borderId="0" xfId="0" applyFill="1" applyBorder="1" applyAlignment="1">
      <alignment vertical="center"/>
    </xf>
    <xf numFmtId="0" fontId="28" fillId="0" borderId="0" xfId="0" applyFont="1" applyFill="1" applyBorder="1"/>
    <xf numFmtId="169" fontId="9" fillId="17" borderId="21" xfId="42" applyNumberFormat="1" applyFont="1" applyFill="1" applyBorder="1"/>
    <xf numFmtId="169" fontId="9" fillId="17" borderId="22" xfId="42" applyNumberFormat="1" applyFont="1" applyFill="1" applyBorder="1"/>
    <xf numFmtId="169" fontId="9" fillId="17" borderId="25" xfId="42" applyNumberFormat="1" applyFont="1" applyFill="1" applyBorder="1"/>
    <xf numFmtId="10" fontId="2" fillId="17" borderId="25" xfId="68" applyNumberFormat="1" applyFont="1" applyFill="1" applyBorder="1"/>
    <xf numFmtId="197" fontId="14" fillId="17" borderId="0" xfId="0" applyNumberFormat="1" applyFont="1" applyFill="1" applyBorder="1"/>
    <xf numFmtId="197" fontId="13" fillId="17" borderId="0" xfId="0" applyNumberFormat="1" applyFont="1" applyFill="1" applyBorder="1"/>
    <xf numFmtId="197" fontId="13" fillId="17" borderId="0" xfId="68" applyNumberFormat="1" applyFont="1" applyFill="1" applyBorder="1"/>
    <xf numFmtId="197" fontId="13" fillId="17" borderId="0" xfId="42" applyNumberFormat="1" applyFont="1" applyFill="1" applyBorder="1"/>
    <xf numFmtId="197" fontId="61" fillId="17" borderId="0" xfId="0" applyNumberFormat="1" applyFont="1" applyFill="1" applyBorder="1"/>
    <xf numFmtId="197" fontId="13" fillId="17" borderId="20" xfId="0" applyNumberFormat="1" applyFont="1" applyFill="1" applyBorder="1"/>
    <xf numFmtId="197" fontId="61" fillId="0" borderId="0" xfId="0" applyNumberFormat="1" applyFont="1" applyFill="1" applyBorder="1"/>
    <xf numFmtId="166" fontId="9" fillId="17" borderId="0" xfId="68" applyNumberFormat="1" applyFont="1" applyFill="1" applyBorder="1" applyAlignment="1">
      <alignment horizontal="center"/>
    </xf>
    <xf numFmtId="166" fontId="13" fillId="16" borderId="71" xfId="68" applyNumberFormat="1" applyFont="1" applyFill="1" applyBorder="1" applyAlignment="1">
      <alignment horizontal="center"/>
    </xf>
    <xf numFmtId="0" fontId="9" fillId="16" borderId="71" xfId="59" applyFont="1" applyFill="1" applyBorder="1" applyAlignment="1">
      <alignment horizontal="center"/>
    </xf>
    <xf numFmtId="14" fontId="9" fillId="16" borderId="71" xfId="59" applyNumberFormat="1" applyFont="1" applyFill="1" applyBorder="1" applyAlignment="1">
      <alignment horizontal="center"/>
    </xf>
    <xf numFmtId="0" fontId="9" fillId="16" borderId="81" xfId="59" applyFont="1" applyFill="1" applyBorder="1" applyAlignment="1">
      <alignment horizontal="center"/>
    </xf>
    <xf numFmtId="0" fontId="3" fillId="17" borderId="72" xfId="59" applyFont="1" applyFill="1" applyBorder="1"/>
    <xf numFmtId="182" fontId="2" fillId="17" borderId="72" xfId="59" applyNumberFormat="1" applyFont="1" applyFill="1" applyBorder="1"/>
    <xf numFmtId="0" fontId="5" fillId="17" borderId="0" xfId="59" applyFill="1" applyBorder="1" applyAlignment="1">
      <alignment horizontal="center"/>
    </xf>
    <xf numFmtId="14" fontId="5" fillId="17" borderId="0" xfId="59" applyNumberFormat="1" applyFill="1" applyBorder="1" applyAlignment="1">
      <alignment horizontal="center"/>
    </xf>
    <xf numFmtId="0" fontId="5" fillId="17" borderId="82" xfId="59" applyFill="1" applyBorder="1" applyAlignment="1">
      <alignment horizontal="center"/>
    </xf>
    <xf numFmtId="0" fontId="8" fillId="17" borderId="0" xfId="59" applyFont="1" applyFill="1" applyBorder="1" applyAlignment="1">
      <alignment horizontal="center"/>
    </xf>
    <xf numFmtId="14" fontId="8" fillId="17" borderId="0" xfId="59" applyNumberFormat="1" applyFont="1" applyFill="1" applyBorder="1" applyAlignment="1">
      <alignment horizontal="center"/>
    </xf>
    <xf numFmtId="0" fontId="8" fillId="17" borderId="82" xfId="59" applyFont="1" applyFill="1" applyBorder="1" applyAlignment="1">
      <alignment horizontal="center"/>
    </xf>
    <xf numFmtId="182" fontId="9" fillId="17" borderId="0" xfId="59" applyNumberFormat="1" applyFont="1" applyFill="1" applyBorder="1" applyAlignment="1">
      <alignment horizontal="center"/>
    </xf>
    <xf numFmtId="182" fontId="9" fillId="17" borderId="82" xfId="59" applyNumberFormat="1" applyFont="1" applyFill="1" applyBorder="1" applyAlignment="1">
      <alignment horizontal="center"/>
    </xf>
    <xf numFmtId="182" fontId="2" fillId="17" borderId="0" xfId="59" applyNumberFormat="1" applyFont="1" applyFill="1" applyBorder="1" applyAlignment="1">
      <alignment horizontal="center"/>
    </xf>
    <xf numFmtId="182" fontId="2" fillId="17" borderId="82" xfId="59" applyNumberFormat="1" applyFont="1" applyFill="1" applyBorder="1" applyAlignment="1">
      <alignment horizontal="center"/>
    </xf>
    <xf numFmtId="207" fontId="2" fillId="17" borderId="0" xfId="59" applyNumberFormat="1" applyFont="1" applyFill="1" applyBorder="1" applyAlignment="1">
      <alignment horizontal="center"/>
    </xf>
    <xf numFmtId="207" fontId="2" fillId="17" borderId="82" xfId="59" applyNumberFormat="1" applyFont="1" applyFill="1" applyBorder="1" applyAlignment="1">
      <alignment horizontal="center"/>
    </xf>
    <xf numFmtId="166" fontId="9" fillId="17" borderId="82" xfId="68" applyNumberFormat="1" applyFont="1" applyFill="1" applyBorder="1" applyAlignment="1">
      <alignment horizontal="center"/>
    </xf>
    <xf numFmtId="9" fontId="2" fillId="17" borderId="82" xfId="68" applyFont="1" applyFill="1" applyBorder="1" applyAlignment="1">
      <alignment horizontal="center"/>
    </xf>
    <xf numFmtId="166" fontId="2" fillId="17" borderId="82" xfId="68" applyNumberFormat="1" applyFont="1" applyFill="1" applyBorder="1" applyAlignment="1">
      <alignment horizontal="center"/>
    </xf>
    <xf numFmtId="207" fontId="2" fillId="17" borderId="72" xfId="59" applyNumberFormat="1" applyFont="1" applyFill="1" applyBorder="1" applyAlignment="1">
      <alignment horizontal="center"/>
    </xf>
    <xf numFmtId="207" fontId="2" fillId="17" borderId="83" xfId="59" applyNumberFormat="1" applyFont="1" applyFill="1" applyBorder="1" applyAlignment="1">
      <alignment horizontal="center"/>
    </xf>
    <xf numFmtId="202" fontId="13" fillId="17" borderId="20" xfId="42" applyNumberFormat="1" applyFont="1" applyFill="1" applyBorder="1" applyAlignment="1"/>
    <xf numFmtId="0" fontId="2" fillId="17" borderId="84" xfId="59" applyFont="1" applyFill="1" applyBorder="1" applyAlignment="1">
      <alignment horizontal="left"/>
    </xf>
    <xf numFmtId="0" fontId="8" fillId="17" borderId="52" xfId="59" applyFont="1" applyFill="1" applyBorder="1"/>
    <xf numFmtId="0" fontId="9" fillId="17" borderId="52" xfId="59" applyFont="1" applyFill="1" applyBorder="1" applyAlignment="1">
      <alignment horizontal="left"/>
    </xf>
    <xf numFmtId="0" fontId="2" fillId="17" borderId="52" xfId="59" applyFont="1" applyFill="1" applyBorder="1" applyAlignment="1">
      <alignment horizontal="left"/>
    </xf>
    <xf numFmtId="0" fontId="9" fillId="16" borderId="70" xfId="59" applyFont="1" applyFill="1" applyBorder="1"/>
    <xf numFmtId="202" fontId="2" fillId="17" borderId="0" xfId="42" applyNumberFormat="1" applyFont="1" applyFill="1" applyBorder="1" applyAlignment="1"/>
    <xf numFmtId="179" fontId="2" fillId="17" borderId="0" xfId="68" applyNumberFormat="1" applyFont="1" applyFill="1" applyBorder="1" applyAlignment="1"/>
    <xf numFmtId="166" fontId="13" fillId="17" borderId="72" xfId="68" applyNumberFormat="1" applyFont="1" applyFill="1" applyBorder="1" applyAlignment="1">
      <alignment horizontal="center"/>
    </xf>
    <xf numFmtId="167" fontId="2" fillId="17" borderId="72" xfId="59" applyNumberFormat="1" applyFont="1" applyFill="1" applyBorder="1" applyAlignment="1">
      <alignment horizontal="center"/>
    </xf>
    <xf numFmtId="168" fontId="2" fillId="16" borderId="11" xfId="63" applyNumberFormat="1" applyFont="1" applyFill="1" applyBorder="1" applyAlignment="1">
      <alignment horizontal="centerContinuous"/>
    </xf>
    <xf numFmtId="0" fontId="9" fillId="17" borderId="72" xfId="59" applyFont="1" applyFill="1" applyBorder="1"/>
    <xf numFmtId="14" fontId="2" fillId="17" borderId="72" xfId="59" applyNumberFormat="1" applyFont="1" applyFill="1" applyBorder="1" applyAlignment="1">
      <alignment horizontal="center"/>
    </xf>
    <xf numFmtId="167" fontId="2" fillId="17" borderId="12" xfId="0" applyNumberFormat="1" applyFont="1" applyFill="1" applyBorder="1" applyAlignment="1">
      <alignment horizontal="center"/>
    </xf>
    <xf numFmtId="14" fontId="2" fillId="17" borderId="12" xfId="0" applyNumberFormat="1" applyFont="1" applyFill="1" applyBorder="1" applyAlignment="1">
      <alignment horizontal="center"/>
    </xf>
    <xf numFmtId="166" fontId="17" fillId="17" borderId="24" xfId="68" applyNumberFormat="1" applyFont="1" applyFill="1" applyBorder="1"/>
    <xf numFmtId="43" fontId="2" fillId="17" borderId="25" xfId="42" applyNumberFormat="1" applyFont="1" applyFill="1" applyBorder="1"/>
    <xf numFmtId="181" fontId="2" fillId="17" borderId="27" xfId="0" applyNumberFormat="1" applyFont="1" applyFill="1" applyBorder="1"/>
    <xf numFmtId="168" fontId="29" fillId="17" borderId="25" xfId="42" applyNumberFormat="1" applyFont="1" applyFill="1" applyBorder="1"/>
    <xf numFmtId="171" fontId="2" fillId="16" borderId="38" xfId="0" applyNumberFormat="1" applyFont="1" applyFill="1" applyBorder="1"/>
    <xf numFmtId="171" fontId="2" fillId="16" borderId="17" xfId="68" applyNumberFormat="1" applyFont="1" applyFill="1" applyBorder="1" applyAlignment="1"/>
    <xf numFmtId="197" fontId="61" fillId="17" borderId="11" xfId="0" applyNumberFormat="1" applyFont="1" applyFill="1" applyBorder="1"/>
    <xf numFmtId="0" fontId="2" fillId="17" borderId="68" xfId="0" applyFont="1" applyFill="1" applyBorder="1"/>
    <xf numFmtId="168" fontId="2" fillId="17" borderId="67" xfId="0" applyNumberFormat="1" applyFont="1" applyFill="1" applyBorder="1"/>
    <xf numFmtId="168" fontId="2" fillId="17" borderId="9" xfId="0" applyNumberFormat="1" applyFont="1" applyFill="1" applyBorder="1"/>
    <xf numFmtId="168" fontId="2" fillId="17" borderId="68" xfId="0" applyNumberFormat="1" applyFont="1" applyFill="1" applyBorder="1"/>
    <xf numFmtId="168" fontId="2" fillId="17" borderId="66" xfId="0" applyNumberFormat="1" applyFont="1" applyFill="1" applyBorder="1"/>
    <xf numFmtId="168" fontId="10" fillId="17" borderId="9" xfId="0" applyNumberFormat="1" applyFont="1" applyFill="1" applyBorder="1"/>
    <xf numFmtId="183" fontId="2" fillId="17" borderId="67" xfId="0" applyNumberFormat="1" applyFont="1" applyFill="1" applyBorder="1"/>
    <xf numFmtId="183" fontId="4" fillId="17" borderId="9" xfId="0" applyNumberFormat="1" applyFont="1" applyFill="1" applyBorder="1"/>
    <xf numFmtId="183" fontId="2" fillId="17" borderId="9" xfId="0" applyNumberFormat="1" applyFont="1" applyFill="1" applyBorder="1"/>
    <xf numFmtId="183" fontId="4" fillId="17" borderId="68" xfId="0" applyNumberFormat="1" applyFont="1" applyFill="1" applyBorder="1"/>
    <xf numFmtId="183" fontId="2" fillId="17" borderId="68" xfId="0" applyNumberFormat="1" applyFont="1" applyFill="1" applyBorder="1"/>
    <xf numFmtId="183" fontId="4" fillId="17" borderId="67" xfId="0" applyNumberFormat="1" applyFont="1" applyFill="1" applyBorder="1"/>
    <xf numFmtId="201" fontId="4" fillId="17" borderId="0" xfId="0" applyNumberFormat="1" applyFont="1" applyFill="1" applyBorder="1"/>
    <xf numFmtId="7" fontId="2" fillId="17" borderId="25" xfId="0" applyNumberFormat="1" applyFont="1" applyFill="1" applyBorder="1" applyAlignment="1">
      <alignment horizontal="left" indent="1"/>
    </xf>
    <xf numFmtId="183" fontId="21" fillId="16" borderId="11" xfId="42" applyNumberFormat="1" applyFont="1" applyFill="1" applyBorder="1" applyAlignment="1">
      <alignment horizontal="centerContinuous"/>
    </xf>
    <xf numFmtId="183" fontId="9" fillId="16" borderId="39" xfId="0" applyNumberFormat="1" applyFont="1" applyFill="1" applyBorder="1" applyAlignment="1">
      <alignment horizontal="center"/>
    </xf>
    <xf numFmtId="183" fontId="2" fillId="17" borderId="20" xfId="0" applyNumberFormat="1" applyFont="1" applyFill="1" applyBorder="1"/>
    <xf numFmtId="183" fontId="17" fillId="16" borderId="11" xfId="0" applyNumberFormat="1" applyFont="1" applyFill="1" applyBorder="1" applyAlignment="1">
      <alignment horizontal="center"/>
    </xf>
    <xf numFmtId="183" fontId="2" fillId="17" borderId="0" xfId="68" applyNumberFormat="1" applyFont="1" applyFill="1" applyBorder="1"/>
    <xf numFmtId="183" fontId="2" fillId="17" borderId="24" xfId="68" applyNumberFormat="1" applyFont="1" applyFill="1" applyBorder="1"/>
    <xf numFmtId="183" fontId="2" fillId="17" borderId="24" xfId="42" applyNumberFormat="1" applyFont="1" applyFill="1" applyBorder="1"/>
    <xf numFmtId="183" fontId="9" fillId="16" borderId="11" xfId="0" applyNumberFormat="1" applyFont="1" applyFill="1" applyBorder="1" applyAlignment="1">
      <alignment horizontal="center"/>
    </xf>
    <xf numFmtId="183" fontId="2" fillId="16" borderId="11" xfId="0" applyNumberFormat="1" applyFont="1" applyFill="1" applyBorder="1"/>
    <xf numFmtId="166" fontId="52" fillId="17" borderId="20" xfId="68" applyNumberFormat="1" applyFont="1" applyFill="1" applyBorder="1"/>
    <xf numFmtId="0" fontId="11" fillId="17" borderId="25" xfId="60" applyFont="1" applyFill="1" applyBorder="1"/>
    <xf numFmtId="0" fontId="11" fillId="17" borderId="0" xfId="60" applyFont="1" applyFill="1" applyBorder="1" applyAlignment="1">
      <alignment horizontal="right"/>
    </xf>
    <xf numFmtId="0" fontId="9" fillId="17" borderId="0" xfId="60" applyFont="1" applyFill="1" applyBorder="1"/>
    <xf numFmtId="0" fontId="9" fillId="17" borderId="25" xfId="60" applyFont="1" applyFill="1" applyBorder="1"/>
    <xf numFmtId="0" fontId="17" fillId="17" borderId="0" xfId="60" applyFont="1" applyFill="1" applyBorder="1"/>
    <xf numFmtId="180" fontId="9" fillId="17" borderId="0" xfId="60" applyNumberFormat="1" applyFont="1" applyFill="1" applyBorder="1"/>
    <xf numFmtId="180" fontId="17" fillId="17" borderId="0" xfId="60" applyNumberFormat="1" applyFont="1" applyFill="1" applyBorder="1"/>
    <xf numFmtId="43" fontId="9" fillId="17" borderId="25" xfId="60" applyNumberFormat="1" applyFont="1" applyFill="1" applyBorder="1"/>
    <xf numFmtId="183" fontId="9" fillId="17" borderId="0" xfId="0" applyNumberFormat="1" applyFont="1" applyFill="1" applyBorder="1" applyAlignment="1">
      <alignment horizontal="right"/>
    </xf>
    <xf numFmtId="183" fontId="2" fillId="17" borderId="11" xfId="0" applyNumberFormat="1" applyFont="1" applyFill="1" applyBorder="1"/>
    <xf numFmtId="14" fontId="2" fillId="17" borderId="20" xfId="0" applyNumberFormat="1" applyFont="1" applyFill="1" applyBorder="1"/>
    <xf numFmtId="7" fontId="9" fillId="17" borderId="25" xfId="0" applyNumberFormat="1" applyFont="1" applyFill="1" applyBorder="1" applyAlignment="1">
      <alignment horizontal="left"/>
    </xf>
    <xf numFmtId="167" fontId="2" fillId="17" borderId="0" xfId="42" applyNumberFormat="1" applyFont="1" applyFill="1" applyBorder="1"/>
    <xf numFmtId="0" fontId="9" fillId="17" borderId="61" xfId="0" applyFont="1" applyFill="1" applyBorder="1"/>
    <xf numFmtId="166" fontId="9" fillId="17" borderId="23" xfId="68" applyNumberFormat="1" applyFont="1" applyFill="1" applyBorder="1"/>
    <xf numFmtId="166" fontId="9" fillId="17" borderId="28" xfId="68" applyNumberFormat="1" applyFont="1" applyFill="1" applyBorder="1"/>
    <xf numFmtId="166" fontId="9" fillId="17" borderId="46" xfId="68" applyNumberFormat="1" applyFont="1" applyFill="1" applyBorder="1"/>
    <xf numFmtId="177" fontId="2" fillId="17" borderId="20" xfId="0" applyNumberFormat="1" applyFont="1" applyFill="1" applyBorder="1" applyAlignment="1">
      <alignment horizontal="center"/>
    </xf>
    <xf numFmtId="0" fontId="9" fillId="16" borderId="85" xfId="0" applyFont="1" applyFill="1" applyBorder="1" applyAlignment="1">
      <alignment horizontal="center"/>
    </xf>
    <xf numFmtId="0" fontId="57" fillId="16" borderId="11" xfId="0" applyFont="1" applyFill="1" applyBorder="1"/>
    <xf numFmtId="171" fontId="17" fillId="16" borderId="11" xfId="0" quotePrefix="1" applyNumberFormat="1" applyFont="1" applyFill="1" applyBorder="1" applyAlignment="1">
      <alignment horizontal="center"/>
    </xf>
    <xf numFmtId="171" fontId="9" fillId="16" borderId="39" xfId="0" quotePrefix="1" applyNumberFormat="1" applyFont="1" applyFill="1" applyBorder="1" applyAlignment="1">
      <alignment horizontal="center"/>
    </xf>
    <xf numFmtId="183" fontId="2" fillId="17" borderId="21" xfId="68" applyNumberFormat="1" applyFont="1" applyFill="1" applyBorder="1" applyAlignment="1"/>
    <xf numFmtId="183" fontId="9" fillId="17" borderId="21" xfId="68" applyNumberFormat="1" applyFont="1" applyFill="1" applyBorder="1" applyAlignment="1"/>
    <xf numFmtId="181" fontId="9" fillId="16" borderId="39" xfId="0" quotePrefix="1" applyNumberFormat="1" applyFont="1" applyFill="1" applyBorder="1" applyAlignment="1">
      <alignment horizontal="center"/>
    </xf>
    <xf numFmtId="0" fontId="9" fillId="16" borderId="39" xfId="0" quotePrefix="1" applyFont="1" applyFill="1" applyBorder="1" applyAlignment="1">
      <alignment horizontal="center"/>
    </xf>
    <xf numFmtId="183" fontId="2" fillId="0" borderId="0" xfId="68" applyNumberFormat="1" applyFont="1" applyFill="1" applyBorder="1" applyAlignment="1"/>
    <xf numFmtId="0" fontId="2" fillId="17" borderId="64" xfId="0" applyFont="1" applyFill="1" applyBorder="1"/>
    <xf numFmtId="168" fontId="2" fillId="17" borderId="46" xfId="0" applyNumberFormat="1" applyFont="1" applyFill="1" applyBorder="1"/>
    <xf numFmtId="166" fontId="8" fillId="17" borderId="43" xfId="68" applyNumberFormat="1" applyFont="1" applyFill="1" applyBorder="1"/>
    <xf numFmtId="166" fontId="8" fillId="17" borderId="44" xfId="68" applyNumberFormat="1" applyFont="1" applyFill="1" applyBorder="1"/>
    <xf numFmtId="166" fontId="8" fillId="17" borderId="46" xfId="68" applyNumberFormat="1" applyFont="1" applyFill="1" applyBorder="1"/>
    <xf numFmtId="168" fontId="2" fillId="17" borderId="43" xfId="0" applyNumberFormat="1" applyFont="1" applyFill="1" applyBorder="1"/>
    <xf numFmtId="184" fontId="2" fillId="17" borderId="44" xfId="0" applyNumberFormat="1" applyFont="1" applyFill="1" applyBorder="1"/>
    <xf numFmtId="169" fontId="2" fillId="17" borderId="64" xfId="0" applyNumberFormat="1" applyFont="1" applyFill="1" applyBorder="1" applyAlignment="1">
      <alignment horizontal="center"/>
    </xf>
    <xf numFmtId="169" fontId="2" fillId="17" borderId="46" xfId="42" applyNumberFormat="1" applyFont="1" applyFill="1" applyBorder="1"/>
    <xf numFmtId="0" fontId="2" fillId="17" borderId="75" xfId="0" applyFont="1" applyFill="1" applyBorder="1"/>
    <xf numFmtId="0" fontId="11" fillId="17" borderId="23" xfId="60" applyFont="1" applyFill="1" applyBorder="1"/>
    <xf numFmtId="168" fontId="9" fillId="17" borderId="23" xfId="42" applyNumberFormat="1" applyFont="1" applyFill="1" applyBorder="1"/>
    <xf numFmtId="168" fontId="9" fillId="17" borderId="24" xfId="42" applyNumberFormat="1" applyFont="1" applyFill="1" applyBorder="1"/>
    <xf numFmtId="168" fontId="9" fillId="17" borderId="29" xfId="42" applyNumberFormat="1" applyFont="1" applyFill="1" applyBorder="1"/>
    <xf numFmtId="7" fontId="9" fillId="17" borderId="86" xfId="0" applyNumberFormat="1" applyFont="1" applyFill="1" applyBorder="1" applyAlignment="1">
      <alignment horizontal="left" indent="4"/>
    </xf>
    <xf numFmtId="0" fontId="10" fillId="17" borderId="87" xfId="60" applyFont="1" applyFill="1" applyBorder="1"/>
    <xf numFmtId="168" fontId="2" fillId="17" borderId="87" xfId="42" applyNumberFormat="1" applyFont="1" applyFill="1" applyBorder="1"/>
    <xf numFmtId="168" fontId="2" fillId="17" borderId="88" xfId="42" applyNumberFormat="1" applyFont="1" applyFill="1" applyBorder="1"/>
    <xf numFmtId="168" fontId="2" fillId="17" borderId="89" xfId="42" applyNumberFormat="1" applyFont="1" applyFill="1" applyBorder="1"/>
    <xf numFmtId="168" fontId="10" fillId="17" borderId="88" xfId="42" applyNumberFormat="1" applyFont="1" applyFill="1" applyBorder="1"/>
    <xf numFmtId="175" fontId="9" fillId="17" borderId="89" xfId="68" applyNumberFormat="1" applyFont="1" applyFill="1" applyBorder="1" applyAlignment="1"/>
    <xf numFmtId="175" fontId="9" fillId="17" borderId="88" xfId="68" applyNumberFormat="1" applyFont="1" applyFill="1" applyBorder="1" applyAlignment="1"/>
    <xf numFmtId="183" fontId="9" fillId="17" borderId="88" xfId="68" applyNumberFormat="1" applyFont="1" applyFill="1" applyBorder="1" applyAlignment="1"/>
    <xf numFmtId="183" fontId="9" fillId="17" borderId="89" xfId="68" applyNumberFormat="1" applyFont="1" applyFill="1" applyBorder="1" applyAlignment="1"/>
    <xf numFmtId="205" fontId="9" fillId="17" borderId="89" xfId="68" applyNumberFormat="1" applyFont="1" applyFill="1" applyBorder="1" applyAlignment="1"/>
    <xf numFmtId="168" fontId="9" fillId="17" borderId="88" xfId="42" applyNumberFormat="1" applyFont="1" applyFill="1" applyBorder="1" applyAlignment="1"/>
    <xf numFmtId="183" fontId="9" fillId="17" borderId="90" xfId="68" applyNumberFormat="1" applyFont="1" applyFill="1" applyBorder="1" applyAlignment="1"/>
    <xf numFmtId="179" fontId="9" fillId="17" borderId="88" xfId="68" applyNumberFormat="1" applyFont="1" applyFill="1" applyBorder="1" applyAlignment="1"/>
    <xf numFmtId="183" fontId="17" fillId="17" borderId="0" xfId="68" applyNumberFormat="1" applyFont="1" applyFill="1" applyBorder="1" applyAlignment="1"/>
    <xf numFmtId="183" fontId="17" fillId="17" borderId="22" xfId="68" applyNumberFormat="1" applyFont="1" applyFill="1" applyBorder="1" applyAlignment="1"/>
    <xf numFmtId="183" fontId="4" fillId="17" borderId="22" xfId="68" applyNumberFormat="1" applyFont="1" applyFill="1" applyBorder="1" applyAlignment="1"/>
    <xf numFmtId="0" fontId="58" fillId="17" borderId="0" xfId="53" applyFont="1" applyFill="1" applyBorder="1" applyAlignment="1" applyProtection="1"/>
    <xf numFmtId="0" fontId="57" fillId="16" borderId="18" xfId="0" applyFont="1" applyFill="1" applyBorder="1"/>
    <xf numFmtId="197" fontId="13" fillId="17" borderId="11" xfId="0" applyNumberFormat="1" applyFont="1" applyFill="1" applyBorder="1"/>
    <xf numFmtId="164" fontId="13" fillId="17" borderId="76" xfId="0" applyNumberFormat="1" applyFont="1" applyFill="1" applyBorder="1"/>
    <xf numFmtId="166" fontId="2" fillId="17" borderId="74" xfId="68" applyNumberFormat="1" applyFont="1" applyFill="1" applyBorder="1"/>
    <xf numFmtId="0" fontId="9" fillId="16" borderId="52" xfId="0" applyFont="1" applyFill="1" applyBorder="1"/>
    <xf numFmtId="166" fontId="2" fillId="16" borderId="25" xfId="68" applyNumberFormat="1" applyFont="1" applyFill="1" applyBorder="1"/>
    <xf numFmtId="166" fontId="2" fillId="16" borderId="21" xfId="68" applyNumberFormat="1" applyFont="1" applyFill="1" applyBorder="1"/>
    <xf numFmtId="166" fontId="2" fillId="16" borderId="0" xfId="68" applyNumberFormat="1" applyFont="1" applyFill="1" applyBorder="1"/>
    <xf numFmtId="166" fontId="2" fillId="16" borderId="22" xfId="68" applyNumberFormat="1" applyFont="1" applyFill="1" applyBorder="1"/>
    <xf numFmtId="166" fontId="4" fillId="16" borderId="0" xfId="68" applyNumberFormat="1" applyFont="1" applyFill="1" applyBorder="1"/>
    <xf numFmtId="166" fontId="4" fillId="16" borderId="22" xfId="68" applyNumberFormat="1" applyFont="1" applyFill="1" applyBorder="1"/>
    <xf numFmtId="166" fontId="12" fillId="16" borderId="25" xfId="68" applyNumberFormat="1" applyFont="1" applyFill="1" applyBorder="1"/>
    <xf numFmtId="166" fontId="2" fillId="16" borderId="44" xfId="68" applyNumberFormat="1" applyFont="1" applyFill="1" applyBorder="1"/>
    <xf numFmtId="166" fontId="2" fillId="17" borderId="91" xfId="0" applyNumberFormat="1" applyFont="1" applyFill="1" applyBorder="1"/>
    <xf numFmtId="7" fontId="2" fillId="17" borderId="91" xfId="0" applyNumberFormat="1" applyFont="1" applyFill="1" applyBorder="1"/>
    <xf numFmtId="166" fontId="9" fillId="16" borderId="92" xfId="0" applyNumberFormat="1" applyFont="1" applyFill="1" applyBorder="1"/>
    <xf numFmtId="164" fontId="2" fillId="17" borderId="91" xfId="0" applyNumberFormat="1" applyFont="1" applyFill="1" applyBorder="1" applyAlignment="1">
      <alignment horizontal="left" indent="1"/>
    </xf>
    <xf numFmtId="164" fontId="2" fillId="17" borderId="91" xfId="0" applyNumberFormat="1" applyFont="1" applyFill="1" applyBorder="1"/>
    <xf numFmtId="164" fontId="13" fillId="17" borderId="93" xfId="0" applyNumberFormat="1" applyFont="1" applyFill="1" applyBorder="1"/>
    <xf numFmtId="0" fontId="9" fillId="16" borderId="92" xfId="0" applyFont="1" applyFill="1" applyBorder="1"/>
    <xf numFmtId="0" fontId="2" fillId="17" borderId="91" xfId="0" applyFont="1" applyFill="1" applyBorder="1"/>
    <xf numFmtId="0" fontId="9" fillId="17" borderId="91" xfId="0" applyFont="1" applyFill="1" applyBorder="1"/>
    <xf numFmtId="166" fontId="9" fillId="16" borderId="45" xfId="0" applyNumberFormat="1" applyFont="1" applyFill="1" applyBorder="1"/>
    <xf numFmtId="164" fontId="2" fillId="17" borderId="94" xfId="0" applyNumberFormat="1" applyFont="1" applyFill="1" applyBorder="1"/>
    <xf numFmtId="171" fontId="2" fillId="16" borderId="55" xfId="68" applyNumberFormat="1" applyFont="1" applyFill="1" applyBorder="1" applyAlignment="1"/>
    <xf numFmtId="171" fontId="4" fillId="16" borderId="39" xfId="68" applyNumberFormat="1" applyFont="1" applyFill="1" applyBorder="1" applyAlignment="1"/>
    <xf numFmtId="171" fontId="2" fillId="16" borderId="38" xfId="68" applyNumberFormat="1" applyFont="1" applyFill="1" applyBorder="1" applyAlignment="1"/>
    <xf numFmtId="171" fontId="2" fillId="16" borderId="39" xfId="68" applyNumberFormat="1" applyFont="1" applyFill="1" applyBorder="1" applyAlignment="1"/>
    <xf numFmtId="166" fontId="18" fillId="17" borderId="25" xfId="68" applyNumberFormat="1" applyFont="1" applyFill="1" applyBorder="1"/>
    <xf numFmtId="166" fontId="18" fillId="17" borderId="25" xfId="68" applyNumberFormat="1" applyFont="1" applyFill="1" applyBorder="1" applyAlignment="1">
      <alignment vertical="center"/>
    </xf>
    <xf numFmtId="166" fontId="39" fillId="17" borderId="25" xfId="68" applyNumberFormat="1" applyFont="1" applyFill="1" applyBorder="1"/>
    <xf numFmtId="166" fontId="9" fillId="17" borderId="17" xfId="68" applyNumberFormat="1" applyFont="1" applyFill="1" applyBorder="1"/>
    <xf numFmtId="166" fontId="2" fillId="17" borderId="49" xfId="68" applyNumberFormat="1" applyFont="1" applyFill="1" applyBorder="1"/>
    <xf numFmtId="0" fontId="2" fillId="17" borderId="95" xfId="0" applyFont="1" applyFill="1" applyBorder="1"/>
    <xf numFmtId="169" fontId="11" fillId="17" borderId="0" xfId="42" applyNumberFormat="1" applyFont="1" applyFill="1" applyBorder="1"/>
    <xf numFmtId="169" fontId="9" fillId="17" borderId="44" xfId="42" applyNumberFormat="1" applyFont="1" applyFill="1" applyBorder="1"/>
    <xf numFmtId="164" fontId="9" fillId="17" borderId="91" xfId="0" applyNumberFormat="1" applyFont="1" applyFill="1" applyBorder="1"/>
    <xf numFmtId="170" fontId="9" fillId="17" borderId="0" xfId="0" applyNumberFormat="1" applyFont="1" applyFill="1"/>
    <xf numFmtId="205" fontId="2" fillId="17" borderId="0" xfId="0" applyNumberFormat="1" applyFont="1" applyFill="1"/>
    <xf numFmtId="184" fontId="4" fillId="17" borderId="0" xfId="0" applyNumberFormat="1" applyFont="1" applyFill="1" applyBorder="1"/>
    <xf numFmtId="1" fontId="2" fillId="17" borderId="25" xfId="63" applyNumberFormat="1" applyFont="1" applyFill="1" applyBorder="1"/>
    <xf numFmtId="1" fontId="10" fillId="17" borderId="0" xfId="0" applyNumberFormat="1" applyFont="1" applyFill="1" applyBorder="1"/>
    <xf numFmtId="0" fontId="2" fillId="17" borderId="0" xfId="0" applyFont="1" applyFill="1" applyAlignment="1">
      <alignment horizontal="right"/>
    </xf>
    <xf numFmtId="0" fontId="2" fillId="17" borderId="96" xfId="0" applyFont="1" applyFill="1" applyBorder="1"/>
    <xf numFmtId="166" fontId="2" fillId="17" borderId="79" xfId="68" applyNumberFormat="1" applyFont="1" applyFill="1" applyBorder="1"/>
    <xf numFmtId="166" fontId="2" fillId="17" borderId="77" xfId="68" applyNumberFormat="1" applyFont="1" applyFill="1" applyBorder="1"/>
    <xf numFmtId="166" fontId="2" fillId="17" borderId="75" xfId="68" applyNumberFormat="1" applyFont="1" applyFill="1" applyBorder="1"/>
    <xf numFmtId="166" fontId="2" fillId="17" borderId="80" xfId="68" applyNumberFormat="1" applyFont="1" applyFill="1" applyBorder="1"/>
    <xf numFmtId="166" fontId="2" fillId="17" borderId="97" xfId="68" applyNumberFormat="1" applyFont="1" applyFill="1" applyBorder="1"/>
    <xf numFmtId="0" fontId="2" fillId="17" borderId="0" xfId="0" quotePrefix="1" applyFont="1" applyFill="1"/>
    <xf numFmtId="180" fontId="9" fillId="17" borderId="0" xfId="0" applyNumberFormat="1" applyFont="1" applyFill="1"/>
    <xf numFmtId="180" fontId="17" fillId="17" borderId="0" xfId="0" applyNumberFormat="1" applyFont="1" applyFill="1"/>
    <xf numFmtId="164" fontId="2" fillId="17" borderId="56" xfId="0" applyNumberFormat="1" applyFont="1" applyFill="1" applyBorder="1" applyAlignment="1"/>
    <xf numFmtId="208" fontId="2" fillId="17" borderId="52" xfId="0" applyNumberFormat="1" applyFont="1" applyFill="1" applyBorder="1"/>
    <xf numFmtId="208" fontId="2" fillId="17" borderId="0" xfId="68" applyNumberFormat="1" applyFont="1" applyFill="1" applyBorder="1"/>
    <xf numFmtId="208" fontId="2" fillId="17" borderId="21" xfId="42" applyNumberFormat="1" applyFont="1" applyFill="1" applyBorder="1"/>
    <xf numFmtId="208" fontId="2" fillId="17" borderId="0" xfId="42" applyNumberFormat="1" applyFont="1" applyFill="1" applyBorder="1"/>
    <xf numFmtId="208" fontId="2" fillId="17" borderId="0" xfId="0" applyNumberFormat="1" applyFont="1" applyFill="1" applyBorder="1"/>
    <xf numFmtId="208" fontId="3" fillId="17" borderId="0" xfId="0" applyNumberFormat="1" applyFont="1" applyFill="1"/>
    <xf numFmtId="208" fontId="2" fillId="17" borderId="91" xfId="0" applyNumberFormat="1" applyFont="1" applyFill="1" applyBorder="1"/>
    <xf numFmtId="208" fontId="2" fillId="17" borderId="25" xfId="42" applyNumberFormat="1" applyFont="1" applyFill="1" applyBorder="1"/>
    <xf numFmtId="208" fontId="3" fillId="0" borderId="0" xfId="0" applyNumberFormat="1" applyFont="1" applyFill="1" applyBorder="1"/>
    <xf numFmtId="208" fontId="2" fillId="17" borderId="44" xfId="42" applyNumberFormat="1" applyFont="1" applyFill="1" applyBorder="1"/>
    <xf numFmtId="166" fontId="4" fillId="17" borderId="0" xfId="0" applyNumberFormat="1" applyFont="1" applyFill="1"/>
    <xf numFmtId="167" fontId="9" fillId="17" borderId="44" xfId="0" applyNumberFormat="1" applyFont="1" applyFill="1" applyBorder="1"/>
    <xf numFmtId="10" fontId="9" fillId="17" borderId="25" xfId="68" applyNumberFormat="1" applyFont="1" applyFill="1" applyBorder="1"/>
    <xf numFmtId="167" fontId="2" fillId="17" borderId="0" xfId="0" applyNumberFormat="1" applyFont="1" applyFill="1" applyBorder="1" applyAlignment="1">
      <alignment horizontal="right"/>
    </xf>
    <xf numFmtId="171" fontId="9" fillId="16" borderId="55" xfId="0" applyNumberFormat="1" applyFont="1" applyFill="1" applyBorder="1" applyAlignment="1">
      <alignment horizontal="center"/>
    </xf>
    <xf numFmtId="167" fontId="9" fillId="17" borderId="0" xfId="42" applyNumberFormat="1" applyFont="1" applyFill="1" applyBorder="1"/>
    <xf numFmtId="167" fontId="5" fillId="17" borderId="0" xfId="0" applyNumberFormat="1" applyFont="1" applyFill="1"/>
    <xf numFmtId="9" fontId="8" fillId="17" borderId="0" xfId="68" applyFont="1" applyFill="1"/>
    <xf numFmtId="168" fontId="4" fillId="16" borderId="18" xfId="42" applyNumberFormat="1" applyFont="1" applyFill="1" applyBorder="1"/>
    <xf numFmtId="168" fontId="4" fillId="16" borderId="11" xfId="42" applyNumberFormat="1" applyFont="1" applyFill="1" applyBorder="1"/>
    <xf numFmtId="168" fontId="2" fillId="16" borderId="63" xfId="42" applyNumberFormat="1" applyFont="1" applyFill="1" applyBorder="1"/>
    <xf numFmtId="168" fontId="2" fillId="16" borderId="45" xfId="42" applyNumberFormat="1" applyFont="1" applyFill="1" applyBorder="1"/>
    <xf numFmtId="7" fontId="9" fillId="17" borderId="25" xfId="0" applyNumberFormat="1" applyFont="1" applyFill="1" applyBorder="1" applyAlignment="1">
      <alignment horizontal="left" indent="1"/>
    </xf>
    <xf numFmtId="0" fontId="9" fillId="17" borderId="44" xfId="0" applyFont="1" applyFill="1" applyBorder="1"/>
    <xf numFmtId="1" fontId="2" fillId="17" borderId="25" xfId="0" applyNumberFormat="1" applyFont="1" applyFill="1" applyBorder="1"/>
    <xf numFmtId="1" fontId="2" fillId="17" borderId="29" xfId="0" applyNumberFormat="1" applyFont="1" applyFill="1" applyBorder="1"/>
    <xf numFmtId="183" fontId="2" fillId="17" borderId="23" xfId="0" applyNumberFormat="1" applyFont="1" applyFill="1" applyBorder="1"/>
    <xf numFmtId="183" fontId="4" fillId="17" borderId="24" xfId="0" applyNumberFormat="1" applyFont="1" applyFill="1" applyBorder="1"/>
    <xf numFmtId="183" fontId="4" fillId="17" borderId="28" xfId="0" applyNumberFormat="1" applyFont="1" applyFill="1" applyBorder="1"/>
    <xf numFmtId="183" fontId="2" fillId="17" borderId="62" xfId="0" applyNumberFormat="1" applyFont="1" applyFill="1" applyBorder="1"/>
    <xf numFmtId="183" fontId="4" fillId="17" borderId="23" xfId="0" applyNumberFormat="1" applyFont="1" applyFill="1" applyBorder="1"/>
    <xf numFmtId="168" fontId="9" fillId="17" borderId="0" xfId="60" applyNumberFormat="1" applyFont="1" applyFill="1" applyBorder="1"/>
    <xf numFmtId="205" fontId="9" fillId="17" borderId="0" xfId="0" applyNumberFormat="1" applyFont="1" applyFill="1"/>
    <xf numFmtId="183" fontId="18" fillId="17" borderId="0" xfId="0" applyNumberFormat="1" applyFont="1" applyFill="1" applyBorder="1"/>
    <xf numFmtId="183" fontId="18" fillId="17" borderId="25" xfId="0" applyNumberFormat="1" applyFont="1" applyFill="1" applyBorder="1"/>
    <xf numFmtId="168" fontId="2" fillId="17" borderId="25" xfId="42" applyNumberFormat="1" applyFont="1" applyFill="1" applyBorder="1" applyAlignment="1">
      <alignment horizontal="right"/>
    </xf>
    <xf numFmtId="168" fontId="8" fillId="17" borderId="0" xfId="42" applyNumberFormat="1" applyFont="1" applyFill="1" applyBorder="1" applyAlignment="1">
      <alignment horizontal="right"/>
    </xf>
    <xf numFmtId="168" fontId="2" fillId="17" borderId="44" xfId="42" applyNumberFormat="1" applyFont="1" applyFill="1" applyBorder="1" applyAlignment="1">
      <alignment horizontal="right"/>
    </xf>
    <xf numFmtId="168" fontId="2" fillId="17" borderId="29" xfId="42" applyNumberFormat="1" applyFont="1" applyFill="1" applyBorder="1" applyAlignment="1">
      <alignment horizontal="right"/>
    </xf>
    <xf numFmtId="168" fontId="8" fillId="17" borderId="24" xfId="42" applyNumberFormat="1" applyFont="1" applyFill="1" applyBorder="1" applyAlignment="1">
      <alignment horizontal="right"/>
    </xf>
    <xf numFmtId="168" fontId="9" fillId="17" borderId="29" xfId="42" applyNumberFormat="1" applyFont="1" applyFill="1" applyBorder="1" applyAlignment="1">
      <alignment horizontal="right"/>
    </xf>
    <xf numFmtId="168" fontId="9" fillId="17" borderId="24" xfId="42" applyNumberFormat="1" applyFont="1" applyFill="1" applyBorder="1" applyAlignment="1">
      <alignment horizontal="right"/>
    </xf>
    <xf numFmtId="168" fontId="9" fillId="17" borderId="46" xfId="42" applyNumberFormat="1" applyFont="1" applyFill="1" applyBorder="1" applyAlignment="1">
      <alignment horizontal="right"/>
    </xf>
    <xf numFmtId="7" fontId="13" fillId="17" borderId="56" xfId="0" applyNumberFormat="1" applyFont="1" applyFill="1" applyBorder="1"/>
    <xf numFmtId="166" fontId="13" fillId="17" borderId="44" xfId="68" applyNumberFormat="1" applyFont="1" applyFill="1" applyBorder="1"/>
    <xf numFmtId="209" fontId="13" fillId="17" borderId="0" xfId="68" applyNumberFormat="1" applyFont="1" applyFill="1" applyBorder="1"/>
    <xf numFmtId="209" fontId="2" fillId="17" borderId="44" xfId="68" applyNumberFormat="1" applyFont="1" applyFill="1" applyBorder="1"/>
    <xf numFmtId="209" fontId="2" fillId="17" borderId="0" xfId="68" applyNumberFormat="1" applyFont="1" applyFill="1" applyBorder="1"/>
    <xf numFmtId="175" fontId="2" fillId="17" borderId="26" xfId="0" applyNumberFormat="1" applyFont="1" applyFill="1" applyBorder="1" applyAlignment="1">
      <alignment horizontal="right"/>
    </xf>
    <xf numFmtId="175" fontId="2" fillId="17" borderId="20" xfId="0" applyNumberFormat="1" applyFont="1" applyFill="1" applyBorder="1" applyAlignment="1">
      <alignment horizontal="right"/>
    </xf>
    <xf numFmtId="175" fontId="2" fillId="17" borderId="43" xfId="0" applyNumberFormat="1" applyFont="1" applyFill="1" applyBorder="1" applyAlignment="1">
      <alignment horizontal="right"/>
    </xf>
    <xf numFmtId="164" fontId="2" fillId="17" borderId="25" xfId="0" applyNumberFormat="1" applyFont="1" applyFill="1" applyBorder="1" applyAlignment="1">
      <alignment horizontal="right"/>
    </xf>
    <xf numFmtId="164" fontId="2" fillId="17" borderId="0" xfId="62" applyNumberFormat="1" applyFont="1" applyFill="1" applyBorder="1" applyAlignment="1">
      <alignment horizontal="right"/>
    </xf>
    <xf numFmtId="164" fontId="4" fillId="17" borderId="0" xfId="62" applyNumberFormat="1" applyFont="1" applyFill="1" applyBorder="1" applyAlignment="1">
      <alignment horizontal="right"/>
    </xf>
    <xf numFmtId="164" fontId="2" fillId="17" borderId="44" xfId="0" applyNumberFormat="1" applyFont="1" applyFill="1" applyBorder="1" applyAlignment="1">
      <alignment horizontal="right"/>
    </xf>
    <xf numFmtId="44" fontId="2" fillId="17" borderId="25" xfId="43" applyFont="1" applyFill="1" applyBorder="1" applyAlignment="1">
      <alignment horizontal="right"/>
    </xf>
    <xf numFmtId="44" fontId="2" fillId="17" borderId="0" xfId="43" applyFont="1" applyFill="1" applyBorder="1" applyAlignment="1">
      <alignment horizontal="right"/>
    </xf>
    <xf numFmtId="44" fontId="4" fillId="17" borderId="0" xfId="43" applyFont="1" applyFill="1" applyBorder="1" applyAlignment="1">
      <alignment horizontal="right"/>
    </xf>
    <xf numFmtId="44" fontId="2" fillId="17" borderId="44" xfId="43" applyFont="1" applyFill="1" applyBorder="1" applyAlignment="1">
      <alignment horizontal="right"/>
    </xf>
    <xf numFmtId="175" fontId="2" fillId="17" borderId="25" xfId="0" applyNumberFormat="1" applyFont="1" applyFill="1" applyBorder="1" applyAlignment="1">
      <alignment horizontal="right"/>
    </xf>
    <xf numFmtId="175" fontId="2" fillId="17" borderId="0" xfId="62" applyNumberFormat="1" applyFont="1" applyFill="1" applyBorder="1" applyAlignment="1">
      <alignment horizontal="right"/>
    </xf>
    <xf numFmtId="175" fontId="2" fillId="17" borderId="44" xfId="0" applyNumberFormat="1" applyFont="1" applyFill="1" applyBorder="1" applyAlignment="1">
      <alignment horizontal="right"/>
    </xf>
    <xf numFmtId="175" fontId="2" fillId="17" borderId="0" xfId="0" applyNumberFormat="1" applyFont="1" applyFill="1" applyBorder="1" applyAlignment="1">
      <alignment horizontal="right"/>
    </xf>
    <xf numFmtId="175" fontId="4" fillId="17" borderId="0" xfId="0" applyNumberFormat="1" applyFont="1" applyFill="1" applyBorder="1" applyAlignment="1">
      <alignment horizontal="right"/>
    </xf>
    <xf numFmtId="168" fontId="52" fillId="17" borderId="24" xfId="42" applyNumberFormat="1" applyFont="1" applyFill="1" applyBorder="1" applyAlignment="1">
      <alignment horizontal="right"/>
    </xf>
    <xf numFmtId="43" fontId="4" fillId="16" borderId="39" xfId="42" applyFont="1" applyFill="1" applyBorder="1"/>
    <xf numFmtId="0" fontId="3" fillId="0" borderId="0" xfId="0" applyFont="1"/>
    <xf numFmtId="211" fontId="4" fillId="16" borderId="11" xfId="60" applyNumberFormat="1" applyFont="1" applyFill="1" applyBorder="1"/>
    <xf numFmtId="183" fontId="2" fillId="17" borderId="24" xfId="0" applyNumberFormat="1" applyFont="1" applyFill="1" applyBorder="1"/>
    <xf numFmtId="170" fontId="13" fillId="17" borderId="0" xfId="42" applyNumberFormat="1" applyFont="1" applyFill="1" applyBorder="1"/>
    <xf numFmtId="209" fontId="4" fillId="17" borderId="0" xfId="68" applyNumberFormat="1" applyFont="1" applyFill="1" applyBorder="1"/>
    <xf numFmtId="209" fontId="9" fillId="17" borderId="44" xfId="68" applyNumberFormat="1" applyFont="1" applyFill="1" applyBorder="1"/>
    <xf numFmtId="209" fontId="9" fillId="17" borderId="0" xfId="68" applyNumberFormat="1" applyFont="1" applyFill="1" applyBorder="1"/>
    <xf numFmtId="0" fontId="25" fillId="17" borderId="21" xfId="0" applyFont="1" applyFill="1" applyBorder="1"/>
    <xf numFmtId="209" fontId="2" fillId="17" borderId="0" xfId="0" applyNumberFormat="1" applyFont="1" applyFill="1" applyBorder="1"/>
    <xf numFmtId="202" fontId="13" fillId="17" borderId="9" xfId="42" applyNumberFormat="1" applyFont="1" applyFill="1" applyBorder="1" applyAlignment="1"/>
    <xf numFmtId="164" fontId="13" fillId="17" borderId="21" xfId="61" applyNumberFormat="1" applyFont="1" applyFill="1" applyBorder="1" applyAlignment="1">
      <alignment horizontal="left"/>
    </xf>
    <xf numFmtId="0" fontId="13" fillId="0" borderId="0" xfId="0" applyFont="1" applyFill="1" applyBorder="1"/>
    <xf numFmtId="168" fontId="2" fillId="17" borderId="24" xfId="0" applyNumberFormat="1" applyFont="1" applyFill="1" applyBorder="1"/>
    <xf numFmtId="169" fontId="2" fillId="17" borderId="29" xfId="0" applyNumberFormat="1" applyFont="1" applyFill="1" applyBorder="1"/>
    <xf numFmtId="169" fontId="4" fillId="17" borderId="29" xfId="0" applyNumberFormat="1" applyFont="1" applyFill="1" applyBorder="1"/>
    <xf numFmtId="212" fontId="4" fillId="17" borderId="24" xfId="0" applyNumberFormat="1" applyFont="1" applyFill="1" applyBorder="1"/>
    <xf numFmtId="9" fontId="2" fillId="17" borderId="25" xfId="0" applyNumberFormat="1" applyFont="1" applyFill="1" applyBorder="1"/>
    <xf numFmtId="166" fontId="4" fillId="17" borderId="20" xfId="68" applyNumberFormat="1" applyFont="1" applyFill="1" applyBorder="1"/>
    <xf numFmtId="212" fontId="4" fillId="17" borderId="0" xfId="0" applyNumberFormat="1" applyFont="1" applyFill="1" applyBorder="1"/>
    <xf numFmtId="213" fontId="4" fillId="17" borderId="0" xfId="0" applyNumberFormat="1" applyFont="1" applyFill="1" applyBorder="1"/>
    <xf numFmtId="9" fontId="2" fillId="17" borderId="29" xfId="0" applyNumberFormat="1" applyFont="1" applyFill="1" applyBorder="1"/>
    <xf numFmtId="9" fontId="4" fillId="17" borderId="25" xfId="0" applyNumberFormat="1" applyFont="1" applyFill="1" applyBorder="1"/>
    <xf numFmtId="168" fontId="9" fillId="17" borderId="54" xfId="42" applyNumberFormat="1" applyFont="1" applyFill="1" applyBorder="1" applyAlignment="1">
      <alignment horizontal="right"/>
    </xf>
    <xf numFmtId="168" fontId="9" fillId="17" borderId="11" xfId="42" applyNumberFormat="1" applyFont="1" applyFill="1" applyBorder="1" applyAlignment="1">
      <alignment horizontal="right"/>
    </xf>
    <xf numFmtId="168" fontId="9" fillId="17" borderId="18" xfId="42" applyNumberFormat="1" applyFont="1" applyFill="1" applyBorder="1" applyAlignment="1">
      <alignment horizontal="right"/>
    </xf>
    <xf numFmtId="170" fontId="9" fillId="17" borderId="0" xfId="0" applyNumberFormat="1" applyFont="1" applyFill="1" applyBorder="1"/>
    <xf numFmtId="183" fontId="2" fillId="17" borderId="28" xfId="0" applyNumberFormat="1" applyFont="1" applyFill="1" applyBorder="1"/>
    <xf numFmtId="43" fontId="4" fillId="16" borderId="41" xfId="42" applyFont="1" applyFill="1" applyBorder="1"/>
    <xf numFmtId="43" fontId="18" fillId="17" borderId="25" xfId="0" applyNumberFormat="1" applyFont="1" applyFill="1" applyBorder="1"/>
    <xf numFmtId="166" fontId="17" fillId="17" borderId="0" xfId="43" applyNumberFormat="1" applyFont="1" applyFill="1" applyBorder="1"/>
    <xf numFmtId="10" fontId="17" fillId="17" borderId="24" xfId="43" applyNumberFormat="1" applyFont="1" applyFill="1" applyBorder="1"/>
    <xf numFmtId="209" fontId="13" fillId="17" borderId="44" xfId="68" applyNumberFormat="1" applyFont="1" applyFill="1" applyBorder="1"/>
    <xf numFmtId="168" fontId="17" fillId="17" borderId="0" xfId="43" applyNumberFormat="1" applyFont="1" applyFill="1" applyBorder="1"/>
    <xf numFmtId="168" fontId="0" fillId="17" borderId="0" xfId="0" applyNumberFormat="1" applyFill="1" applyBorder="1"/>
    <xf numFmtId="180" fontId="2" fillId="17" borderId="0" xfId="68" applyNumberFormat="1" applyFont="1" applyFill="1" applyBorder="1"/>
    <xf numFmtId="180" fontId="2" fillId="17" borderId="25" xfId="68" applyNumberFormat="1" applyFont="1" applyFill="1" applyBorder="1"/>
    <xf numFmtId="43" fontId="29" fillId="17" borderId="0" xfId="0" applyNumberFormat="1" applyFont="1" applyFill="1" applyBorder="1"/>
    <xf numFmtId="211" fontId="2" fillId="17" borderId="0" xfId="0" applyNumberFormat="1" applyFont="1" applyFill="1"/>
    <xf numFmtId="7" fontId="87" fillId="17" borderId="0" xfId="43" applyNumberFormat="1" applyFont="1" applyFill="1" applyBorder="1"/>
    <xf numFmtId="169" fontId="2" fillId="17" borderId="25" xfId="0" applyNumberFormat="1" applyFont="1" applyFill="1" applyBorder="1"/>
    <xf numFmtId="0" fontId="2" fillId="17" borderId="0" xfId="0" applyNumberFormat="1" applyFont="1" applyFill="1" applyBorder="1"/>
    <xf numFmtId="168" fontId="87" fillId="17" borderId="0" xfId="42" applyNumberFormat="1" applyFont="1" applyFill="1" applyBorder="1"/>
    <xf numFmtId="168" fontId="9" fillId="17" borderId="0" xfId="43" applyNumberFormat="1" applyFont="1" applyFill="1" applyBorder="1"/>
    <xf numFmtId="212" fontId="2" fillId="17" borderId="0" xfId="0" applyNumberFormat="1" applyFont="1" applyFill="1" applyBorder="1"/>
    <xf numFmtId="213" fontId="2" fillId="17" borderId="0" xfId="0" applyNumberFormat="1" applyFont="1" applyFill="1" applyBorder="1"/>
    <xf numFmtId="212" fontId="2" fillId="17" borderId="24" xfId="0" applyNumberFormat="1" applyFont="1" applyFill="1" applyBorder="1"/>
    <xf numFmtId="0" fontId="2" fillId="20" borderId="11" xfId="0" applyFont="1" applyFill="1" applyBorder="1"/>
    <xf numFmtId="183" fontId="2" fillId="20" borderId="11" xfId="0" applyNumberFormat="1" applyFont="1" applyFill="1" applyBorder="1"/>
    <xf numFmtId="10" fontId="18" fillId="17" borderId="0" xfId="68" applyNumberFormat="1" applyFont="1" applyFill="1" applyBorder="1"/>
    <xf numFmtId="43" fontId="18" fillId="17" borderId="0" xfId="42" applyNumberFormat="1" applyFont="1" applyFill="1" applyBorder="1"/>
    <xf numFmtId="43" fontId="2" fillId="17" borderId="0" xfId="42" applyNumberFormat="1" applyFont="1" applyFill="1"/>
    <xf numFmtId="175" fontId="18" fillId="17" borderId="0" xfId="68" applyNumberFormat="1" applyFont="1" applyFill="1" applyBorder="1"/>
    <xf numFmtId="175" fontId="2" fillId="17" borderId="0" xfId="68" applyNumberFormat="1" applyFont="1" applyFill="1" applyBorder="1"/>
    <xf numFmtId="10" fontId="39" fillId="17" borderId="0" xfId="68" applyNumberFormat="1" applyFont="1" applyFill="1" applyBorder="1"/>
    <xf numFmtId="175" fontId="9" fillId="17" borderId="0" xfId="68" applyNumberFormat="1" applyFont="1" applyFill="1" applyBorder="1"/>
    <xf numFmtId="7" fontId="2" fillId="17" borderId="25" xfId="0" applyNumberFormat="1" applyFont="1" applyFill="1" applyBorder="1" applyAlignment="1">
      <alignment horizontal="left"/>
    </xf>
    <xf numFmtId="168" fontId="18" fillId="17" borderId="44" xfId="42" applyNumberFormat="1" applyFont="1" applyFill="1" applyBorder="1"/>
    <xf numFmtId="0" fontId="2" fillId="21" borderId="16" xfId="0" applyFont="1" applyFill="1" applyBorder="1"/>
    <xf numFmtId="0" fontId="2" fillId="21" borderId="11" xfId="0" applyFont="1" applyFill="1" applyBorder="1"/>
    <xf numFmtId="0" fontId="2" fillId="21" borderId="18" xfId="0" applyFont="1" applyFill="1" applyBorder="1"/>
    <xf numFmtId="43" fontId="2" fillId="16" borderId="39" xfId="42" applyFont="1" applyFill="1" applyBorder="1"/>
    <xf numFmtId="168" fontId="2" fillId="16" borderId="11" xfId="42" applyNumberFormat="1" applyFont="1" applyFill="1" applyBorder="1"/>
    <xf numFmtId="43" fontId="5" fillId="17" borderId="0" xfId="0" applyNumberFormat="1" applyFont="1" applyFill="1"/>
    <xf numFmtId="7" fontId="9" fillId="21" borderId="58" xfId="0" applyNumberFormat="1" applyFont="1" applyFill="1" applyBorder="1"/>
    <xf numFmtId="7" fontId="9" fillId="21" borderId="17" xfId="43" applyNumberFormat="1" applyFont="1" applyFill="1" applyBorder="1"/>
    <xf numFmtId="7" fontId="9" fillId="21" borderId="16" xfId="43" applyNumberFormat="1" applyFont="1" applyFill="1" applyBorder="1"/>
    <xf numFmtId="7" fontId="9" fillId="21" borderId="11" xfId="43" applyNumberFormat="1" applyFont="1" applyFill="1" applyBorder="1"/>
    <xf numFmtId="7" fontId="9" fillId="21" borderId="18" xfId="43" applyNumberFormat="1" applyFont="1" applyFill="1" applyBorder="1"/>
    <xf numFmtId="43" fontId="9" fillId="21" borderId="11" xfId="43" applyNumberFormat="1" applyFont="1" applyFill="1" applyBorder="1"/>
    <xf numFmtId="7" fontId="9" fillId="21" borderId="45" xfId="43" applyNumberFormat="1" applyFont="1" applyFill="1" applyBorder="1"/>
    <xf numFmtId="7" fontId="9" fillId="21" borderId="0" xfId="0" applyNumberFormat="1" applyFont="1" applyFill="1" applyBorder="1"/>
    <xf numFmtId="0" fontId="3" fillId="21" borderId="0" xfId="0" applyFont="1" applyFill="1"/>
    <xf numFmtId="166" fontId="9" fillId="21" borderId="17" xfId="68" applyNumberFormat="1" applyFont="1" applyFill="1" applyBorder="1"/>
    <xf numFmtId="0" fontId="3" fillId="21" borderId="0" xfId="0" applyFont="1" applyFill="1" applyBorder="1"/>
    <xf numFmtId="43" fontId="13" fillId="17" borderId="0" xfId="42" applyFont="1" applyFill="1" applyBorder="1"/>
    <xf numFmtId="168" fontId="2" fillId="17" borderId="0" xfId="42" applyNumberFormat="1" applyFont="1" applyFill="1" applyBorder="1" applyAlignment="1">
      <alignment horizontal="right"/>
    </xf>
    <xf numFmtId="168" fontId="2" fillId="17" borderId="24" xfId="42" applyNumberFormat="1" applyFont="1" applyFill="1" applyBorder="1" applyAlignment="1">
      <alignment horizontal="right"/>
    </xf>
    <xf numFmtId="0" fontId="2" fillId="19" borderId="0" xfId="0" applyFont="1" applyFill="1" applyBorder="1"/>
    <xf numFmtId="169" fontId="4" fillId="17" borderId="0" xfId="0" applyNumberFormat="1" applyFont="1" applyFill="1" applyBorder="1"/>
    <xf numFmtId="0" fontId="86" fillId="0" borderId="0" xfId="0" applyFont="1" applyAlignment="1">
      <alignment horizontal="left" vertical="center"/>
    </xf>
    <xf numFmtId="168" fontId="2" fillId="19" borderId="0" xfId="42" applyNumberFormat="1" applyFont="1" applyFill="1" applyBorder="1"/>
    <xf numFmtId="168" fontId="18" fillId="19" borderId="0" xfId="42" applyNumberFormat="1" applyFont="1" applyFill="1" applyBorder="1" applyAlignment="1">
      <alignment vertical="center"/>
    </xf>
    <xf numFmtId="168" fontId="2" fillId="19" borderId="44" xfId="0" applyNumberFormat="1" applyFont="1" applyFill="1" applyBorder="1"/>
    <xf numFmtId="170" fontId="2" fillId="19" borderId="0" xfId="42" applyNumberFormat="1" applyFont="1" applyFill="1" applyBorder="1"/>
    <xf numFmtId="170" fontId="2" fillId="19" borderId="44" xfId="0" applyNumberFormat="1" applyFont="1" applyFill="1" applyBorder="1"/>
    <xf numFmtId="43" fontId="88" fillId="17" borderId="0" xfId="0" applyNumberFormat="1" applyFont="1" applyFill="1" applyBorder="1"/>
    <xf numFmtId="0" fontId="57" fillId="17" borderId="0" xfId="0" applyFont="1" applyFill="1" applyBorder="1"/>
    <xf numFmtId="170" fontId="4" fillId="16" borderId="39" xfId="42" applyNumberFormat="1" applyFont="1" applyFill="1" applyBorder="1"/>
    <xf numFmtId="1" fontId="13" fillId="18" borderId="20" xfId="42" applyNumberFormat="1" applyFont="1" applyFill="1" applyBorder="1" applyAlignment="1">
      <alignment horizontal="center"/>
    </xf>
    <xf numFmtId="7" fontId="13" fillId="17" borderId="52" xfId="0" applyNumberFormat="1" applyFont="1" applyFill="1" applyBorder="1"/>
    <xf numFmtId="168" fontId="13" fillId="17" borderId="21" xfId="42" applyNumberFormat="1" applyFont="1" applyFill="1" applyBorder="1"/>
    <xf numFmtId="168" fontId="13" fillId="17" borderId="22" xfId="42" applyNumberFormat="1" applyFont="1" applyFill="1" applyBorder="1"/>
    <xf numFmtId="168" fontId="13" fillId="17" borderId="64" xfId="42" applyNumberFormat="1" applyFont="1" applyFill="1" applyBorder="1"/>
    <xf numFmtId="168" fontId="13" fillId="17" borderId="25" xfId="42" applyNumberFormat="1" applyFont="1" applyFill="1" applyBorder="1"/>
    <xf numFmtId="218" fontId="2" fillId="17" borderId="0" xfId="0" applyNumberFormat="1" applyFont="1" applyFill="1" applyBorder="1"/>
    <xf numFmtId="183" fontId="2" fillId="0" borderId="44" xfId="68" applyNumberFormat="1" applyFont="1" applyFill="1" applyBorder="1" applyAlignment="1"/>
    <xf numFmtId="183" fontId="9" fillId="0" borderId="90" xfId="68" applyNumberFormat="1" applyFont="1" applyFill="1" applyBorder="1" applyAlignment="1"/>
    <xf numFmtId="205" fontId="9" fillId="17" borderId="44" xfId="68" applyNumberFormat="1" applyFont="1" applyFill="1" applyBorder="1" applyAlignment="1"/>
    <xf numFmtId="205" fontId="9" fillId="17" borderId="0" xfId="68" applyNumberFormat="1" applyFont="1" applyFill="1" applyBorder="1" applyAlignment="1"/>
    <xf numFmtId="198" fontId="21" fillId="17" borderId="0" xfId="0" applyNumberFormat="1" applyFont="1" applyFill="1" applyBorder="1"/>
    <xf numFmtId="168" fontId="29" fillId="19" borderId="0" xfId="42" applyNumberFormat="1" applyFont="1" applyFill="1" applyBorder="1"/>
    <xf numFmtId="168" fontId="29" fillId="19" borderId="25" xfId="42" applyNumberFormat="1" applyFont="1" applyFill="1" applyBorder="1"/>
    <xf numFmtId="7" fontId="9" fillId="19" borderId="11" xfId="43" applyNumberFormat="1" applyFont="1" applyFill="1" applyBorder="1"/>
    <xf numFmtId="7" fontId="9" fillId="19" borderId="45" xfId="43" applyNumberFormat="1" applyFont="1" applyFill="1" applyBorder="1"/>
    <xf numFmtId="7" fontId="2" fillId="19" borderId="0" xfId="43" applyNumberFormat="1" applyFont="1" applyFill="1" applyBorder="1"/>
    <xf numFmtId="7" fontId="2" fillId="19" borderId="44" xfId="43" applyNumberFormat="1" applyFont="1" applyFill="1" applyBorder="1"/>
    <xf numFmtId="169" fontId="13" fillId="17" borderId="0" xfId="0" applyNumberFormat="1" applyFont="1" applyFill="1" applyBorder="1"/>
    <xf numFmtId="183" fontId="29" fillId="17" borderId="0" xfId="0" applyNumberFormat="1" applyFont="1" applyFill="1" applyBorder="1"/>
    <xf numFmtId="164" fontId="29" fillId="17" borderId="21" xfId="61" applyNumberFormat="1" applyFont="1" applyFill="1" applyBorder="1" applyAlignment="1">
      <alignment horizontal="left"/>
    </xf>
    <xf numFmtId="164" fontId="13" fillId="17" borderId="23" xfId="61" applyNumberFormat="1" applyFont="1" applyFill="1" applyBorder="1" applyAlignment="1">
      <alignment horizontal="left"/>
    </xf>
    <xf numFmtId="9" fontId="2" fillId="17" borderId="24" xfId="0" applyNumberFormat="1" applyFont="1" applyFill="1" applyBorder="1"/>
    <xf numFmtId="9" fontId="13" fillId="17" borderId="24" xfId="68" applyNumberFormat="1" applyFont="1" applyFill="1" applyBorder="1"/>
    <xf numFmtId="9" fontId="27" fillId="17" borderId="24" xfId="68" applyNumberFormat="1" applyFont="1" applyFill="1" applyBorder="1"/>
    <xf numFmtId="183" fontId="29" fillId="17" borderId="25" xfId="0" applyNumberFormat="1" applyFont="1" applyFill="1" applyBorder="1"/>
    <xf numFmtId="9" fontId="2" fillId="17" borderId="29" xfId="68" applyNumberFormat="1" applyFont="1" applyFill="1" applyBorder="1"/>
    <xf numFmtId="9" fontId="13" fillId="17" borderId="29" xfId="68" applyNumberFormat="1" applyFont="1" applyFill="1" applyBorder="1"/>
    <xf numFmtId="164" fontId="82" fillId="17" borderId="21" xfId="61" applyNumberFormat="1" applyFont="1" applyFill="1" applyBorder="1" applyAlignment="1">
      <alignment horizontal="left"/>
    </xf>
    <xf numFmtId="168" fontId="19" fillId="17" borderId="0" xfId="0" applyNumberFormat="1" applyFont="1" applyFill="1" applyBorder="1"/>
    <xf numFmtId="168" fontId="88" fillId="17" borderId="20" xfId="0" applyNumberFormat="1" applyFont="1" applyFill="1" applyBorder="1"/>
    <xf numFmtId="203" fontId="2" fillId="17" borderId="0" xfId="0" applyNumberFormat="1" applyFont="1" applyFill="1"/>
    <xf numFmtId="183" fontId="9" fillId="17" borderId="0" xfId="60" applyNumberFormat="1" applyFont="1" applyFill="1" applyBorder="1"/>
    <xf numFmtId="9" fontId="13" fillId="17" borderId="98" xfId="68" applyFont="1" applyFill="1" applyBorder="1"/>
    <xf numFmtId="43" fontId="9" fillId="17" borderId="0" xfId="68" applyNumberFormat="1" applyFont="1" applyFill="1" applyBorder="1"/>
    <xf numFmtId="7" fontId="9" fillId="17" borderId="17" xfId="0" applyNumberFormat="1" applyFont="1" applyFill="1" applyBorder="1" applyAlignment="1">
      <alignment horizontal="left" indent="4"/>
    </xf>
    <xf numFmtId="0" fontId="10" fillId="17" borderId="16" xfId="60" applyFont="1" applyFill="1" applyBorder="1"/>
    <xf numFmtId="168" fontId="10" fillId="17" borderId="16" xfId="60" applyNumberFormat="1" applyFont="1" applyFill="1" applyBorder="1"/>
    <xf numFmtId="168" fontId="10" fillId="17" borderId="11" xfId="60" applyNumberFormat="1" applyFont="1" applyFill="1" applyBorder="1"/>
    <xf numFmtId="168" fontId="10" fillId="17" borderId="17" xfId="60" applyNumberFormat="1" applyFont="1" applyFill="1" applyBorder="1"/>
    <xf numFmtId="168" fontId="10" fillId="17" borderId="11" xfId="42" applyNumberFormat="1" applyFont="1" applyFill="1" applyBorder="1"/>
    <xf numFmtId="168" fontId="10" fillId="17" borderId="11" xfId="60" applyNumberFormat="1" applyFont="1" applyFill="1" applyBorder="1" applyAlignment="1">
      <alignment horizontal="right"/>
    </xf>
    <xf numFmtId="168" fontId="2" fillId="17" borderId="17" xfId="42" applyNumberFormat="1" applyFont="1" applyFill="1" applyBorder="1"/>
    <xf numFmtId="168" fontId="2" fillId="17" borderId="11" xfId="60" applyNumberFormat="1" applyFont="1" applyFill="1" applyBorder="1"/>
    <xf numFmtId="168" fontId="2" fillId="17" borderId="11" xfId="42" applyNumberFormat="1" applyFont="1" applyFill="1" applyBorder="1"/>
    <xf numFmtId="183" fontId="9" fillId="17" borderId="17" xfId="68" applyNumberFormat="1" applyFont="1" applyFill="1" applyBorder="1" applyAlignment="1"/>
    <xf numFmtId="175" fontId="9" fillId="17" borderId="11" xfId="68" applyNumberFormat="1" applyFont="1" applyFill="1" applyBorder="1" applyAlignment="1"/>
    <xf numFmtId="175" fontId="9" fillId="17" borderId="17" xfId="68" applyNumberFormat="1" applyFont="1" applyFill="1" applyBorder="1" applyAlignment="1"/>
    <xf numFmtId="183" fontId="9" fillId="17" borderId="11" xfId="68" applyNumberFormat="1" applyFont="1" applyFill="1" applyBorder="1" applyAlignment="1"/>
    <xf numFmtId="179" fontId="9" fillId="17" borderId="11" xfId="68" applyNumberFormat="1" applyFont="1" applyFill="1" applyBorder="1" applyAlignment="1"/>
    <xf numFmtId="179" fontId="9" fillId="17" borderId="17" xfId="68" applyNumberFormat="1" applyFont="1" applyFill="1" applyBorder="1" applyAlignment="1"/>
    <xf numFmtId="179" fontId="9" fillId="17" borderId="45" xfId="68" applyNumberFormat="1" applyFont="1" applyFill="1" applyBorder="1" applyAlignment="1"/>
    <xf numFmtId="183" fontId="9" fillId="17" borderId="45" xfId="68" applyNumberFormat="1" applyFont="1" applyFill="1" applyBorder="1" applyAlignment="1"/>
    <xf numFmtId="183" fontId="2" fillId="19" borderId="0" xfId="68" applyNumberFormat="1" applyFont="1" applyFill="1" applyBorder="1" applyAlignment="1"/>
    <xf numFmtId="170" fontId="2" fillId="17" borderId="44" xfId="42" applyNumberFormat="1" applyFont="1" applyFill="1" applyBorder="1"/>
    <xf numFmtId="170" fontId="2" fillId="16" borderId="39" xfId="42" applyNumberFormat="1" applyFont="1" applyFill="1" applyBorder="1"/>
    <xf numFmtId="0" fontId="9" fillId="16" borderId="11" xfId="0" applyFont="1" applyFill="1" applyBorder="1" applyAlignment="1">
      <alignment horizontal="center"/>
    </xf>
    <xf numFmtId="164" fontId="13" fillId="17" borderId="56" xfId="0" applyNumberFormat="1" applyFont="1" applyFill="1" applyBorder="1" applyAlignment="1">
      <alignment vertical="center"/>
    </xf>
    <xf numFmtId="166" fontId="13" fillId="17" borderId="22" xfId="0" applyNumberFormat="1" applyFont="1" applyFill="1" applyBorder="1"/>
    <xf numFmtId="0" fontId="9" fillId="16" borderId="11" xfId="0" applyFont="1" applyFill="1" applyBorder="1" applyAlignment="1">
      <alignment horizontal="center"/>
    </xf>
    <xf numFmtId="168" fontId="2" fillId="17" borderId="21" xfId="42" applyNumberFormat="1" applyFont="1" applyFill="1" applyBorder="1" applyAlignment="1">
      <alignment horizontal="right"/>
    </xf>
    <xf numFmtId="219" fontId="13" fillId="17" borderId="0" xfId="68" applyNumberFormat="1" applyFont="1" applyFill="1" applyBorder="1"/>
    <xf numFmtId="2" fontId="13" fillId="17" borderId="19" xfId="63" applyNumberFormat="1" applyFont="1" applyFill="1" applyBorder="1" applyAlignment="1">
      <alignment horizontal="left"/>
    </xf>
    <xf numFmtId="0" fontId="9" fillId="16" borderId="11" xfId="0" applyFont="1" applyFill="1" applyBorder="1" applyAlignment="1">
      <alignment horizontal="center"/>
    </xf>
    <xf numFmtId="1" fontId="2" fillId="17" borderId="29" xfId="63" applyNumberFormat="1" applyFont="1" applyFill="1" applyBorder="1"/>
    <xf numFmtId="1" fontId="2" fillId="17" borderId="24" xfId="0" applyNumberFormat="1" applyFont="1" applyFill="1" applyBorder="1"/>
    <xf numFmtId="1" fontId="10" fillId="17" borderId="24" xfId="0" applyNumberFormat="1" applyFont="1" applyFill="1" applyBorder="1"/>
    <xf numFmtId="1" fontId="4" fillId="17" borderId="24" xfId="0" applyNumberFormat="1" applyFont="1" applyFill="1" applyBorder="1"/>
    <xf numFmtId="0" fontId="46" fillId="20" borderId="16" xfId="0" applyFont="1" applyFill="1" applyBorder="1"/>
    <xf numFmtId="183" fontId="2" fillId="20" borderId="18" xfId="0" applyNumberFormat="1" applyFont="1" applyFill="1" applyBorder="1"/>
    <xf numFmtId="10" fontId="2" fillId="17" borderId="24" xfId="68" applyNumberFormat="1" applyFont="1" applyFill="1" applyBorder="1"/>
    <xf numFmtId="10" fontId="2" fillId="17" borderId="29" xfId="68" applyNumberFormat="1" applyFont="1" applyFill="1" applyBorder="1"/>
    <xf numFmtId="183" fontId="2" fillId="17" borderId="29" xfId="0" applyNumberFormat="1" applyFont="1" applyFill="1" applyBorder="1"/>
    <xf numFmtId="0" fontId="25" fillId="17" borderId="25" xfId="0" applyFont="1" applyFill="1" applyBorder="1"/>
    <xf numFmtId="183" fontId="25" fillId="17" borderId="0" xfId="0" applyNumberFormat="1" applyFont="1" applyFill="1" applyBorder="1"/>
    <xf numFmtId="10" fontId="18" fillId="17" borderId="24" xfId="68" applyNumberFormat="1" applyFont="1" applyFill="1" applyBorder="1"/>
    <xf numFmtId="0" fontId="9" fillId="16" borderId="11" xfId="0" applyFont="1" applyFill="1" applyBorder="1" applyAlignment="1">
      <alignment horizontal="center"/>
    </xf>
    <xf numFmtId="208" fontId="2" fillId="17" borderId="22" xfId="68" applyNumberFormat="1" applyFont="1" applyFill="1" applyBorder="1"/>
    <xf numFmtId="208" fontId="2" fillId="17" borderId="21" xfId="68" applyNumberFormat="1" applyFont="1" applyFill="1" applyBorder="1"/>
    <xf numFmtId="208" fontId="4" fillId="17" borderId="0" xfId="68" applyNumberFormat="1" applyFont="1" applyFill="1" applyBorder="1"/>
    <xf numFmtId="208" fontId="4" fillId="17" borderId="22" xfId="68" applyNumberFormat="1" applyFont="1" applyFill="1" applyBorder="1"/>
    <xf numFmtId="208" fontId="4" fillId="17" borderId="21" xfId="68" applyNumberFormat="1" applyFont="1" applyFill="1" applyBorder="1"/>
    <xf numFmtId="208" fontId="2" fillId="17" borderId="28" xfId="68" applyNumberFormat="1" applyFont="1" applyFill="1" applyBorder="1"/>
    <xf numFmtId="208" fontId="2" fillId="17" borderId="24" xfId="42" applyNumberFormat="1" applyFont="1" applyFill="1" applyBorder="1"/>
    <xf numFmtId="208" fontId="2" fillId="17" borderId="28" xfId="42" applyNumberFormat="1" applyFont="1" applyFill="1" applyBorder="1"/>
    <xf numFmtId="208" fontId="4" fillId="17" borderId="24" xfId="42" applyNumberFormat="1" applyFont="1" applyFill="1" applyBorder="1"/>
    <xf numFmtId="208" fontId="4" fillId="17" borderId="28" xfId="42" applyNumberFormat="1" applyFont="1" applyFill="1" applyBorder="1"/>
    <xf numFmtId="0" fontId="3" fillId="0" borderId="0" xfId="58"/>
    <xf numFmtId="168" fontId="13" fillId="17" borderId="0" xfId="42" applyNumberFormat="1" applyFont="1" applyFill="1" applyBorder="1" applyAlignment="1">
      <alignment horizontal="right"/>
    </xf>
    <xf numFmtId="168" fontId="13" fillId="17" borderId="21" xfId="0" applyNumberFormat="1" applyFont="1" applyFill="1" applyBorder="1"/>
    <xf numFmtId="168" fontId="16" fillId="17" borderId="0" xfId="42" applyNumberFormat="1" applyFont="1" applyFill="1" applyBorder="1"/>
    <xf numFmtId="168" fontId="13" fillId="17" borderId="22" xfId="0" applyNumberFormat="1" applyFont="1" applyFill="1" applyBorder="1"/>
    <xf numFmtId="1" fontId="13" fillId="17" borderId="25" xfId="0" applyNumberFormat="1" applyFont="1" applyFill="1" applyBorder="1" applyAlignment="1">
      <alignment horizontal="center"/>
    </xf>
    <xf numFmtId="1" fontId="13" fillId="17" borderId="0" xfId="42" applyNumberFormat="1" applyFont="1" applyFill="1" applyBorder="1" applyAlignment="1">
      <alignment horizontal="center"/>
    </xf>
    <xf numFmtId="1" fontId="13" fillId="17" borderId="21" xfId="0" applyNumberFormat="1" applyFont="1" applyFill="1" applyBorder="1" applyAlignment="1">
      <alignment horizontal="center"/>
    </xf>
    <xf numFmtId="1" fontId="13" fillId="17" borderId="44" xfId="0" applyNumberFormat="1" applyFont="1" applyFill="1" applyBorder="1" applyAlignment="1">
      <alignment horizontal="center"/>
    </xf>
    <xf numFmtId="1" fontId="13" fillId="18" borderId="0" xfId="42" applyNumberFormat="1" applyFont="1" applyFill="1" applyBorder="1" applyAlignment="1">
      <alignment horizontal="center"/>
    </xf>
    <xf numFmtId="169" fontId="9" fillId="17" borderId="44" xfId="42" applyNumberFormat="1" applyFont="1" applyFill="1" applyBorder="1" applyAlignment="1">
      <alignment horizontal="center"/>
    </xf>
    <xf numFmtId="169" fontId="9" fillId="17" borderId="0" xfId="42" applyNumberFormat="1" applyFont="1" applyFill="1" applyBorder="1" applyAlignment="1">
      <alignment horizontal="center"/>
    </xf>
    <xf numFmtId="166" fontId="9" fillId="16" borderId="56" xfId="0" applyNumberFormat="1" applyFont="1" applyFill="1" applyBorder="1"/>
    <xf numFmtId="166" fontId="9" fillId="19" borderId="56" xfId="0" applyNumberFormat="1" applyFont="1" applyFill="1" applyBorder="1"/>
    <xf numFmtId="166" fontId="2" fillId="19" borderId="25" xfId="68" applyNumberFormat="1" applyFont="1" applyFill="1" applyBorder="1"/>
    <xf numFmtId="166" fontId="2" fillId="19" borderId="21" xfId="68" applyNumberFormat="1" applyFont="1" applyFill="1" applyBorder="1"/>
    <xf numFmtId="166" fontId="2" fillId="19" borderId="0" xfId="68" applyNumberFormat="1" applyFont="1" applyFill="1" applyBorder="1"/>
    <xf numFmtId="166" fontId="2" fillId="19" borderId="22" xfId="68" applyNumberFormat="1" applyFont="1" applyFill="1" applyBorder="1"/>
    <xf numFmtId="166" fontId="4" fillId="19" borderId="0" xfId="68" applyNumberFormat="1" applyFont="1" applyFill="1" applyBorder="1"/>
    <xf numFmtId="166" fontId="4" fillId="19" borderId="22" xfId="68" applyNumberFormat="1" applyFont="1" applyFill="1" applyBorder="1"/>
    <xf numFmtId="166" fontId="2" fillId="19" borderId="64" xfId="68" applyNumberFormat="1" applyFont="1" applyFill="1" applyBorder="1"/>
    <xf numFmtId="168" fontId="4" fillId="19" borderId="0" xfId="42" applyNumberFormat="1" applyFont="1" applyFill="1" applyBorder="1"/>
    <xf numFmtId="168" fontId="2" fillId="19" borderId="64" xfId="42" applyNumberFormat="1" applyFont="1" applyFill="1" applyBorder="1"/>
    <xf numFmtId="168" fontId="2" fillId="19" borderId="44" xfId="42" applyNumberFormat="1" applyFont="1" applyFill="1" applyBorder="1"/>
    <xf numFmtId="166" fontId="2" fillId="19" borderId="44" xfId="68" applyNumberFormat="1" applyFont="1" applyFill="1" applyBorder="1"/>
    <xf numFmtId="7" fontId="17" fillId="17" borderId="0" xfId="43" applyNumberFormat="1" applyFont="1" applyFill="1" applyBorder="1" applyAlignment="1">
      <alignment horizontal="center"/>
    </xf>
    <xf numFmtId="0" fontId="9" fillId="16" borderId="11" xfId="0" applyFont="1" applyFill="1" applyBorder="1" applyAlignment="1">
      <alignment horizontal="center"/>
    </xf>
    <xf numFmtId="7" fontId="9" fillId="21" borderId="17" xfId="0" applyNumberFormat="1" applyFont="1" applyFill="1" applyBorder="1"/>
    <xf numFmtId="0" fontId="9" fillId="17" borderId="29" xfId="0" applyFont="1" applyFill="1" applyBorder="1"/>
    <xf numFmtId="0" fontId="9" fillId="17" borderId="28" xfId="0" applyFont="1" applyFill="1" applyBorder="1"/>
    <xf numFmtId="164" fontId="9" fillId="17" borderId="24" xfId="0" applyNumberFormat="1" applyFont="1" applyFill="1" applyBorder="1"/>
    <xf numFmtId="164" fontId="9" fillId="17" borderId="29" xfId="0" applyNumberFormat="1" applyFont="1" applyFill="1" applyBorder="1"/>
    <xf numFmtId="164" fontId="2" fillId="0" borderId="0" xfId="0" applyNumberFormat="1" applyFont="1" applyFill="1" applyBorder="1"/>
    <xf numFmtId="166" fontId="2" fillId="0" borderId="0" xfId="68" applyNumberFormat="1" applyFont="1" applyFill="1" applyBorder="1"/>
    <xf numFmtId="220" fontId="2" fillId="17" borderId="0" xfId="0" applyNumberFormat="1" applyFont="1" applyFill="1" applyBorder="1"/>
    <xf numFmtId="0" fontId="27" fillId="17" borderId="11" xfId="0" applyFont="1" applyFill="1" applyBorder="1"/>
    <xf numFmtId="180" fontId="29" fillId="17" borderId="11" xfId="42" applyNumberFormat="1" applyFont="1" applyFill="1" applyBorder="1" applyAlignment="1">
      <alignment horizontal="right"/>
    </xf>
    <xf numFmtId="180" fontId="35" fillId="17" borderId="11" xfId="42" applyNumberFormat="1" applyFont="1" applyFill="1" applyBorder="1" applyAlignment="1">
      <alignment horizontal="right"/>
    </xf>
    <xf numFmtId="7" fontId="29" fillId="17" borderId="11" xfId="42" applyNumberFormat="1" applyFont="1" applyFill="1" applyBorder="1" applyAlignment="1">
      <alignment horizontal="right"/>
    </xf>
    <xf numFmtId="180" fontId="29" fillId="17" borderId="17" xfId="42" applyNumberFormat="1" applyFont="1" applyFill="1" applyBorder="1" applyAlignment="1">
      <alignment horizontal="right"/>
    </xf>
    <xf numFmtId="7" fontId="29" fillId="17" borderId="17" xfId="42" applyNumberFormat="1" applyFont="1" applyFill="1" applyBorder="1" applyAlignment="1">
      <alignment horizontal="right"/>
    </xf>
    <xf numFmtId="0" fontId="3" fillId="22" borderId="0" xfId="80" applyFont="1" applyFill="1" applyAlignment="1">
      <alignment vertical="top"/>
    </xf>
    <xf numFmtId="0" fontId="3" fillId="22" borderId="0" xfId="58" applyFill="1" applyAlignment="1">
      <alignment vertical="top"/>
    </xf>
    <xf numFmtId="0" fontId="3" fillId="22" borderId="0" xfId="58" applyFill="1"/>
    <xf numFmtId="0" fontId="50" fillId="22" borderId="0" xfId="80" applyFont="1" applyFill="1" applyAlignment="1">
      <alignment horizontal="left" vertical="top"/>
    </xf>
    <xf numFmtId="0" fontId="3" fillId="22" borderId="0" xfId="58" applyFont="1" applyFill="1" applyAlignment="1">
      <alignment vertical="top"/>
    </xf>
    <xf numFmtId="0" fontId="28" fillId="22" borderId="0" xfId="80" applyFont="1" applyFill="1" applyAlignment="1">
      <alignment vertical="top"/>
    </xf>
    <xf numFmtId="0" fontId="0" fillId="22" borderId="0" xfId="0" applyFill="1" applyAlignment="1">
      <alignment vertical="top"/>
    </xf>
    <xf numFmtId="0" fontId="92" fillId="22" borderId="0" xfId="0" applyFont="1" applyFill="1" applyAlignment="1">
      <alignment vertical="top"/>
    </xf>
    <xf numFmtId="0" fontId="93" fillId="22" borderId="0" xfId="0" applyFont="1" applyFill="1" applyAlignment="1">
      <alignment vertical="top"/>
    </xf>
    <xf numFmtId="0" fontId="93" fillId="22" borderId="0" xfId="0" applyFont="1" applyFill="1" applyAlignment="1">
      <alignment vertical="top"/>
    </xf>
    <xf numFmtId="0" fontId="92" fillId="22" borderId="0" xfId="0" applyFont="1" applyFill="1" applyAlignment="1">
      <alignment vertical="top"/>
    </xf>
    <xf numFmtId="0" fontId="0" fillId="22" borderId="0" xfId="0" applyFill="1" applyAlignment="1">
      <alignment vertical="top"/>
    </xf>
    <xf numFmtId="0" fontId="0" fillId="22" borderId="103" xfId="0" applyFill="1" applyBorder="1" applyAlignment="1">
      <alignment vertical="top"/>
    </xf>
    <xf numFmtId="0" fontId="92" fillId="22" borderId="99" xfId="0" applyFont="1" applyFill="1" applyBorder="1" applyAlignment="1">
      <alignment vertical="top"/>
    </xf>
    <xf numFmtId="0" fontId="92" fillId="22" borderId="100" xfId="0" applyFont="1" applyFill="1" applyBorder="1" applyAlignment="1">
      <alignment vertical="top"/>
    </xf>
    <xf numFmtId="0" fontId="92" fillId="22" borderId="101" xfId="0" applyFont="1" applyFill="1" applyBorder="1" applyAlignment="1">
      <alignment vertical="top"/>
    </xf>
    <xf numFmtId="0" fontId="92" fillId="22" borderId="102" xfId="0" applyFont="1" applyFill="1" applyBorder="1" applyAlignment="1">
      <alignment vertical="top"/>
    </xf>
    <xf numFmtId="9" fontId="92" fillId="22" borderId="99" xfId="0" applyNumberFormat="1" applyFont="1" applyFill="1" applyBorder="1" applyAlignment="1">
      <alignment vertical="top"/>
    </xf>
    <xf numFmtId="3" fontId="92" fillId="22" borderId="99" xfId="0" applyNumberFormat="1" applyFont="1" applyFill="1" applyBorder="1" applyAlignment="1">
      <alignment vertical="top"/>
    </xf>
    <xf numFmtId="0" fontId="0" fillId="22" borderId="104" xfId="0" applyFill="1" applyBorder="1" applyAlignment="1">
      <alignment vertical="top"/>
    </xf>
    <xf numFmtId="2" fontId="3" fillId="0" borderId="0" xfId="58" applyNumberFormat="1" applyAlignment="1">
      <alignment horizontal="left"/>
    </xf>
    <xf numFmtId="0" fontId="3" fillId="0" borderId="0" xfId="58" applyNumberFormat="1" applyAlignment="1">
      <alignment horizontal="left"/>
    </xf>
    <xf numFmtId="1" fontId="3" fillId="0" borderId="0" xfId="58" applyNumberFormat="1" applyAlignment="1">
      <alignment horizontal="left"/>
    </xf>
    <xf numFmtId="0" fontId="3" fillId="0" borderId="0" xfId="58" applyFont="1"/>
    <xf numFmtId="226" fontId="3" fillId="0" borderId="0" xfId="58" applyNumberFormat="1" applyAlignment="1">
      <alignment horizontal="left"/>
    </xf>
    <xf numFmtId="49" fontId="3" fillId="0" borderId="0" xfId="58" applyNumberFormat="1"/>
  </cellXfs>
  <cellStyles count="81">
    <cellStyle name=" 1" xfId="1"/>
    <cellStyle name="_x000a_386grabber=M" xfId="2"/>
    <cellStyle name="%" xfId="3"/>
    <cellStyle name="_RRS1" xfId="4"/>
    <cellStyle name="_RRS14" xfId="5"/>
    <cellStyle name="_RRS3" xfId="6"/>
    <cellStyle name="_RRS6" xfId="7"/>
    <cellStyle name="_RRS7" xfId="8"/>
    <cellStyle name="_RRS8" xfId="9"/>
    <cellStyle name="_SUMMARY " xfId="10"/>
    <cellStyle name="=C:\WINNT35\SYSTEM32\COMMAND.COM" xfId="11"/>
    <cellStyle name="0_Capex &amp; Depreciation " xfId="12"/>
    <cellStyle name="0_Valuing BP " xfId="13"/>
    <cellStyle name="20% - Accent1" xfId="14" builtinId="30" customBuiltin="1"/>
    <cellStyle name="20% - Accent2" xfId="15" builtinId="34" customBuiltin="1"/>
    <cellStyle name="20% - Accent3" xfId="16" builtinId="38" customBuiltin="1"/>
    <cellStyle name="20% - Accent4" xfId="17" builtinId="42" customBuiltin="1"/>
    <cellStyle name="20% - Accent5" xfId="18" builtinId="46" customBuiltin="1"/>
    <cellStyle name="20% - Accent6" xfId="19" builtinId="50" customBuiltin="1"/>
    <cellStyle name="40% - Accent1" xfId="20" builtinId="31" customBuiltin="1"/>
    <cellStyle name="40% - Accent2" xfId="21" builtinId="35" customBuiltin="1"/>
    <cellStyle name="40% - Accent3" xfId="22" builtinId="39" customBuiltin="1"/>
    <cellStyle name="40% - Accent4" xfId="23" builtinId="43" customBuiltin="1"/>
    <cellStyle name="40% - Accent5" xfId="24" builtinId="47" customBuiltin="1"/>
    <cellStyle name="40% - Accent6" xfId="25" builtinId="51" customBuiltin="1"/>
    <cellStyle name="60% - Accent1" xfId="26" builtinId="32" customBuiltin="1"/>
    <cellStyle name="60% - Accent2" xfId="27" builtinId="36" customBuiltin="1"/>
    <cellStyle name="60% - Accent3" xfId="28" builtinId="40" customBuiltin="1"/>
    <cellStyle name="60% - Accent4" xfId="29" builtinId="44" customBuiltin="1"/>
    <cellStyle name="60% - Accent5" xfId="30" builtinId="48" customBuiltin="1"/>
    <cellStyle name="60% - Accent6" xfId="31" builtinId="52" customBuiltin="1"/>
    <cellStyle name="Accent1" xfId="32" builtinId="29" customBuiltin="1"/>
    <cellStyle name="Accent2" xfId="33" builtinId="33" customBuiltin="1"/>
    <cellStyle name="Accent3" xfId="34" builtinId="37" customBuiltin="1"/>
    <cellStyle name="Accent4" xfId="35" builtinId="41" customBuiltin="1"/>
    <cellStyle name="Accent5" xfId="36" builtinId="45" customBuiltin="1"/>
    <cellStyle name="Accent6" xfId="37" builtinId="49" customBuiltin="1"/>
    <cellStyle name="Bad" xfId="38" builtinId="27" customBuiltin="1"/>
    <cellStyle name="c_HardInc " xfId="39"/>
    <cellStyle name="Calculation" xfId="40" builtinId="22" customBuiltin="1"/>
    <cellStyle name="Check Cell" xfId="41" builtinId="23" customBuiltin="1"/>
    <cellStyle name="Comma" xfId="42" builtinId="3"/>
    <cellStyle name="Currency" xfId="43" builtinId="4"/>
    <cellStyle name="Currency 2" xfId="44"/>
    <cellStyle name="Currency 3" xfId="45"/>
    <cellStyle name="Currency 4" xfId="46"/>
    <cellStyle name="Currency 5" xfId="79"/>
    <cellStyle name="Explanatory Text" xfId="47" builtinId="53" customBuiltin="1"/>
    <cellStyle name="Good" xfId="48" builtinId="26" customBuiltin="1"/>
    <cellStyle name="Heading 1" xfId="49" builtinId="16" customBuiltin="1"/>
    <cellStyle name="Heading 2" xfId="50" builtinId="17" customBuiltin="1"/>
    <cellStyle name="Heading 3" xfId="51" builtinId="18" customBuiltin="1"/>
    <cellStyle name="Heading 4" xfId="52" builtinId="19" customBuiltin="1"/>
    <cellStyle name="Hyperlink" xfId="53" builtinId="8"/>
    <cellStyle name="Hyperlink_DPZ" xfId="54"/>
    <cellStyle name="Input" xfId="55" builtinId="20" customBuiltin="1"/>
    <cellStyle name="Linked Cell" xfId="56" builtinId="24" customBuiltin="1"/>
    <cellStyle name="Neutral" xfId="57" builtinId="28" customBuiltin="1"/>
    <cellStyle name="Normal" xfId="0" builtinId="0"/>
    <cellStyle name="Normal 2" xfId="58"/>
    <cellStyle name="Normal_BKC modelware upgrade" xfId="59"/>
    <cellStyle name="Normal_CF_1" xfId="60"/>
    <cellStyle name="Normal_DisclaimerSheet Samples" xfId="80"/>
    <cellStyle name="Normal_MCD_CF" xfId="61"/>
    <cellStyle name="Normal_MCD_QI" xfId="62"/>
    <cellStyle name="Normal_SBUX" xfId="63"/>
    <cellStyle name="Normal_YUM-10-K-03-06-2000" xfId="64"/>
    <cellStyle name="Note" xfId="65" builtinId="10" customBuiltin="1"/>
    <cellStyle name="Output" xfId="66" builtinId="21" customBuiltin="1"/>
    <cellStyle name="p " xfId="67"/>
    <cellStyle name="Percent" xfId="68" builtinId="5"/>
    <cellStyle name="RRSInstruction" xfId="69"/>
    <cellStyle name="s_HardInc " xfId="70"/>
    <cellStyle name="s_Valuation " xfId="71"/>
    <cellStyle name="ssp " xfId="72"/>
    <cellStyle name="Style 1" xfId="73"/>
    <cellStyle name="Style 2" xfId="74"/>
    <cellStyle name="TableData" xfId="75"/>
    <cellStyle name="Title" xfId="76" builtinId="15" customBuiltin="1"/>
    <cellStyle name="Total" xfId="77" builtinId="25" customBuiltin="1"/>
    <cellStyle name="Warning Text" xfId="78" builtinId="11"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customXml/item1.xml" Type="http://schemas.openxmlformats.org/officeDocument/2006/relationships/customXml"/>
<Relationship Id="rId15" Target="../customXml/item2.xml" Type="http://schemas.openxmlformats.org/officeDocument/2006/relationships/customXml"/>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3.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4.xml.rels><?xml version="1.0" encoding="UTF-8" standalone="yes"?>
<Relationships xmlns="http://schemas.openxmlformats.org/package/2006/relationships">
<Relationship Id="rId1" Target="../media/image6.png" Type="http://schemas.openxmlformats.org/officeDocument/2006/relationships/image"/>
</Relationships>

</file>

<file path=xl/drawings/_rels/drawing5.xml.rels><?xml version="1.0" encoding="UTF-8" standalone="yes"?>
<Relationships xmlns="http://schemas.openxmlformats.org/package/2006/relationships">
<Relationship Id="rId1" Target="../media/image6.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7</xdr:col>
      <xdr:colOff>390525</xdr:colOff>
      <xdr:row>197</xdr:row>
      <xdr:rowOff>104775</xdr:rowOff>
    </xdr:to>
    <xdr:pic>
      <xdr:nvPicPr>
        <xdr:cNvPr id="6162433" name="Picture 1" descr="C:\Users\carrichr\AppData\Local\Temp\MercuryPriceRatingHistoryChart\WEN.O_2018_04_15_18_37_0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803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47625</xdr:colOff>
      <xdr:row>0</xdr:row>
      <xdr:rowOff>66675</xdr:rowOff>
    </xdr:from>
    <xdr:to>
      <xdr:col>0</xdr:col>
      <xdr:colOff>1857375</xdr:colOff>
      <xdr:row>2</xdr:row>
      <xdr:rowOff>57150</xdr:rowOff>
    </xdr:to>
    <xdr:pic>
      <xdr:nvPicPr>
        <xdr:cNvPr id="5719111" name="Picture 1" descr="Larg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 y="66675"/>
          <a:ext cx="18097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9525</xdr:colOff>
      <xdr:row>21</xdr:row>
      <xdr:rowOff>133350</xdr:rowOff>
    </xdr:from>
    <xdr:to>
      <xdr:col>0</xdr:col>
      <xdr:colOff>2562225</xdr:colOff>
      <xdr:row>35</xdr:row>
      <xdr:rowOff>66675</xdr:rowOff>
    </xdr:to>
    <xdr:sp macro="" textlink="">
      <xdr:nvSpPr>
        <xdr:cNvPr id="77826" name="Text Box 2"/>
        <xdr:cNvSpPr txBox="1">
          <a:spLocks noChangeArrowheads="1"/>
        </xdr:cNvSpPr>
      </xdr:nvSpPr>
      <xdr:spPr bwMode="auto">
        <a:xfrm>
          <a:off x="9525" y="3914775"/>
          <a:ext cx="2552700" cy="21717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en-US" sz="800" b="1" i="1" u="none" strike="noStrike" baseline="0">
              <a:solidFill>
                <a:srgbClr val="000000"/>
              </a:solidFill>
              <a:latin typeface="Arial"/>
              <a:cs typeface="Arial"/>
            </a:rPr>
            <a:t>HOW TO USE THIS MODEL:</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The </a:t>
          </a:r>
          <a:r>
            <a:rPr lang="en-US" sz="800" b="0" i="0" u="none" strike="noStrike" baseline="0">
              <a:solidFill>
                <a:srgbClr val="0000FF"/>
              </a:solidFill>
              <a:latin typeface="Arial"/>
              <a:cs typeface="Arial"/>
            </a:rPr>
            <a:t>WEN</a:t>
          </a:r>
          <a:r>
            <a:rPr lang="en-US" sz="800" b="0" i="0" u="none" strike="noStrike" baseline="0">
              <a:solidFill>
                <a:srgbClr val="000000"/>
              </a:solidFill>
              <a:latin typeface="Arial"/>
              <a:cs typeface="Arial"/>
            </a:rPr>
            <a:t> earnings model is driven by unit growth, same-store sales (SSS) growth &amp; margin expansion. Hence, the most important inputs to this model are found on the 'Units-WENARBYS', 'Revenues', 'SSS WENARBY's' and 'Proforma IS' tabs.</a:t>
          </a:r>
        </a:p>
        <a:p>
          <a:pPr algn="l" rtl="0">
            <a:defRPr sz="1000"/>
          </a:pPr>
          <a:r>
            <a:rPr lang="en-US" sz="800" b="0" i="0" u="none" strike="noStrike" baseline="0">
              <a:solidFill>
                <a:srgbClr val="000000"/>
              </a:solidFill>
              <a:latin typeface="Arial"/>
              <a:cs typeface="Arial"/>
            </a:rPr>
            <a:t>The numbers in blue are our assumptions. Anything not in blue is driven by another part of the model. </a:t>
          </a:r>
          <a:r>
            <a:rPr lang="en-US" sz="800" b="0" i="0" u="none" strike="noStrike" baseline="0">
              <a:solidFill>
                <a:srgbClr val="0000FF"/>
              </a:solidFill>
              <a:latin typeface="Arial"/>
              <a:cs typeface="Arial"/>
            </a:rPr>
            <a:t>Therefore, to have this model function properly, only adjust the numbers coded in blue.</a:t>
          </a:r>
          <a:endParaRPr lang="en-US" sz="800" b="0" i="0" u="none" strike="noStrike" baseline="0">
            <a:solidFill>
              <a:srgbClr val="000000"/>
            </a:solidFill>
            <a:latin typeface="Arial"/>
            <a:cs typeface="Arial"/>
          </a:endParaRP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Should you have any questions, please feel free to call us at any of the numbers above.</a:t>
          </a:r>
        </a:p>
        <a:p>
          <a:pPr algn="l" rtl="0">
            <a:defRPr sz="1000"/>
          </a:pPr>
          <a:endParaRPr lang="en-US" sz="800" b="0" i="0" u="none" strike="noStrike" baseline="0">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0</xdr:row>
      <xdr:rowOff>123825</xdr:rowOff>
    </xdr:from>
    <xdr:to>
      <xdr:col>0</xdr:col>
      <xdr:colOff>1724025</xdr:colOff>
      <xdr:row>0</xdr:row>
      <xdr:rowOff>457200</xdr:rowOff>
    </xdr:to>
    <xdr:pic>
      <xdr:nvPicPr>
        <xdr:cNvPr id="3217787" name="Picture 1" descr="Larg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6192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57150</xdr:colOff>
      <xdr:row>0</xdr:row>
      <xdr:rowOff>85726</xdr:rowOff>
    </xdr:from>
    <xdr:to>
      <xdr:col>73</xdr:col>
      <xdr:colOff>190499</xdr:colOff>
      <xdr:row>4</xdr:row>
      <xdr:rowOff>19051</xdr:rowOff>
    </xdr:to>
    <xdr:sp macro="" textlink="">
      <xdr:nvSpPr>
        <xdr:cNvPr id="3" name="TextBox 2"/>
        <xdr:cNvSpPr txBox="1"/>
      </xdr:nvSpPr>
      <xdr:spPr>
        <a:xfrm>
          <a:off x="57150" y="85726"/>
          <a:ext cx="6724649" cy="800100"/>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900" b="1"/>
            <a:t>2020 goals</a:t>
          </a:r>
          <a:r>
            <a:rPr lang="en-US" sz="900" b="1" baseline="0"/>
            <a:t> (provided 2017):</a:t>
          </a:r>
          <a:r>
            <a:rPr lang="en-US" sz="900" baseline="0"/>
            <a:t>		</a:t>
          </a:r>
          <a:r>
            <a:rPr lang="en-US" sz="900" b="1">
              <a:solidFill>
                <a:schemeClr val="dk1"/>
              </a:solidFill>
              <a:effectLst/>
              <a:latin typeface="+mn-lt"/>
              <a:ea typeface="+mn-ea"/>
              <a:cs typeface="+mn-cs"/>
            </a:rPr>
            <a:t>2020 Goals</a:t>
          </a:r>
          <a:r>
            <a:rPr lang="en-US" sz="900" b="1" baseline="0">
              <a:solidFill>
                <a:schemeClr val="dk1"/>
              </a:solidFill>
              <a:effectLst/>
              <a:latin typeface="+mn-lt"/>
              <a:ea typeface="+mn-ea"/>
              <a:cs typeface="+mn-cs"/>
            </a:rPr>
            <a:t> (provided 2016);</a:t>
          </a:r>
          <a:endParaRPr lang="en-US" sz="900" b="1" baseline="0"/>
        </a:p>
        <a:p>
          <a:pPr marL="0" marR="0" indent="0" defTabSz="914400" eaLnBrk="1" fontAlgn="auto" latinLnBrk="0" hangingPunct="1">
            <a:lnSpc>
              <a:spcPct val="100000"/>
            </a:lnSpc>
            <a:spcBef>
              <a:spcPts val="0"/>
            </a:spcBef>
            <a:spcAft>
              <a:spcPts val="0"/>
            </a:spcAft>
            <a:buClrTx/>
            <a:buSzTx/>
            <a:buFontTx/>
            <a:buNone/>
            <a:tabLst/>
            <a:defRPr/>
          </a:pPr>
          <a:r>
            <a:rPr lang="en-US" sz="900">
              <a:effectLst/>
            </a:rPr>
            <a:t>Systemwide  sales (const ccy) of ~$12 billion. 	</a:t>
          </a:r>
          <a:r>
            <a:rPr lang="en-US" sz="900">
              <a:solidFill>
                <a:schemeClr val="dk1"/>
              </a:solidFill>
              <a:effectLst/>
              <a:latin typeface="+mn-lt"/>
              <a:ea typeface="+mn-ea"/>
              <a:cs typeface="+mn-cs"/>
            </a:rPr>
            <a:t>AUVs of $2M		Sale:</a:t>
          </a:r>
          <a:r>
            <a:rPr lang="en-US" sz="900" baseline="0">
              <a:solidFill>
                <a:schemeClr val="dk1"/>
              </a:solidFill>
              <a:effectLst/>
              <a:latin typeface="+mn-lt"/>
              <a:ea typeface="+mn-ea"/>
              <a:cs typeface="+mn-cs"/>
            </a:rPr>
            <a:t> Investment = 1.3x</a:t>
          </a: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900">
              <a:effectLst/>
            </a:rPr>
            <a:t>Global units = ~7,500. 		</a:t>
          </a:r>
          <a:r>
            <a:rPr lang="en-US" sz="900">
              <a:solidFill>
                <a:schemeClr val="dk1"/>
              </a:solidFill>
              <a:effectLst/>
              <a:latin typeface="+mn-lt"/>
              <a:ea typeface="+mn-ea"/>
              <a:cs typeface="+mn-cs"/>
            </a:rPr>
            <a:t>RLM = 20%		</a:t>
          </a:r>
          <a:r>
            <a:rPr lang="en-US" sz="900" baseline="0">
              <a:solidFill>
                <a:schemeClr val="dk1"/>
              </a:solidFill>
              <a:effectLst/>
              <a:latin typeface="+mn-lt"/>
              <a:ea typeface="+mn-ea"/>
              <a:cs typeface="+mn-cs"/>
            </a:rPr>
            <a:t>Restaurant development of 1k (500 net); </a:t>
          </a: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900">
              <a:effectLst/>
            </a:rPr>
            <a:t>Global Image Activation of at least 70 %. 	</a:t>
          </a:r>
          <a:r>
            <a:rPr lang="en-US" sz="900" baseline="0">
              <a:solidFill>
                <a:schemeClr val="dk1"/>
              </a:solidFill>
              <a:effectLst/>
              <a:latin typeface="+mn-lt"/>
              <a:ea typeface="+mn-ea"/>
              <a:cs typeface="+mn-cs"/>
            </a:rPr>
            <a:t>EBITDA margin of 38-40%	re-imaging 60% of NA system restaurants</a:t>
          </a:r>
          <a:endParaRPr lang="en-US" sz="900">
            <a:effectLst/>
          </a:endParaRPr>
        </a:p>
        <a:p>
          <a:r>
            <a:rPr lang="en-US" sz="900">
              <a:effectLst/>
            </a:rPr>
            <a:t>Adj EBITDA Margin of 38 to 40 %. </a:t>
          </a:r>
        </a:p>
        <a:p>
          <a:r>
            <a:rPr lang="en-US" sz="900">
              <a:effectLst/>
            </a:rPr>
            <a:t>FCF</a:t>
          </a:r>
          <a:r>
            <a:rPr lang="en-US" sz="900" baseline="0">
              <a:effectLst/>
            </a:rPr>
            <a:t> </a:t>
          </a:r>
          <a:r>
            <a:rPr lang="en-US" sz="900">
              <a:effectLst/>
            </a:rPr>
            <a:t>of ~$275 million (capex</a:t>
          </a:r>
          <a:r>
            <a:rPr lang="en-US" sz="900" baseline="0">
              <a:effectLst/>
            </a:rPr>
            <a:t> </a:t>
          </a:r>
          <a:r>
            <a:rPr lang="en-US" sz="900">
              <a:effectLst/>
            </a:rPr>
            <a:t>of ~$65 million).</a:t>
          </a:r>
        </a:p>
        <a:p>
          <a:r>
            <a:rPr lang="en-US" sz="900">
              <a:effectLst/>
            </a:rPr>
            <a:t>G&amp;A:</a:t>
          </a:r>
          <a:r>
            <a:rPr lang="en-US" sz="900" baseline="0">
              <a:effectLst/>
            </a:rPr>
            <a:t> </a:t>
          </a: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p>
        <a:p>
          <a:pPr marL="0" marR="0" indent="0" defTabSz="914400" eaLnBrk="1" fontAlgn="auto" latinLnBrk="0" hangingPunct="1">
            <a:lnSpc>
              <a:spcPct val="100000"/>
            </a:lnSpc>
            <a:spcBef>
              <a:spcPts val="0"/>
            </a:spcBef>
            <a:spcAft>
              <a:spcPts val="0"/>
            </a:spcAft>
            <a:buClrTx/>
            <a:buSzTx/>
            <a:buFontTx/>
            <a:buNone/>
            <a:tabLst/>
            <a:defRPr/>
          </a:pPr>
          <a:endParaRPr lang="en-US" sz="900"/>
        </a:p>
        <a:p>
          <a:pPr marL="0" marR="0" indent="0" defTabSz="914400" eaLnBrk="1" fontAlgn="auto" latinLnBrk="0" hangingPunct="1">
            <a:lnSpc>
              <a:spcPct val="100000"/>
            </a:lnSpc>
            <a:spcBef>
              <a:spcPts val="0"/>
            </a:spcBef>
            <a:spcAft>
              <a:spcPts val="0"/>
            </a:spcAft>
            <a:buClrTx/>
            <a:buSzTx/>
            <a:buFontTx/>
            <a:buNone/>
            <a:tabLst/>
            <a:defRPr/>
          </a:pPr>
          <a:endParaRPr lang="en-US" sz="900"/>
        </a:p>
        <a:p>
          <a:pPr marL="0" marR="0" indent="0" defTabSz="914400" eaLnBrk="1" fontAlgn="auto" latinLnBrk="0" hangingPunct="1">
            <a:lnSpc>
              <a:spcPct val="100000"/>
            </a:lnSpc>
            <a:spcBef>
              <a:spcPts val="0"/>
            </a:spcBef>
            <a:spcAft>
              <a:spcPts val="0"/>
            </a:spcAft>
            <a:buClrTx/>
            <a:buSzTx/>
            <a:buFontTx/>
            <a:buNone/>
            <a:tabLst/>
            <a:defRPr/>
          </a:pPr>
          <a:endParaRPr lang="en-US" sz="9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endParaRPr lang="en-US" sz="9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104775</xdr:colOff>
      <xdr:row>0</xdr:row>
      <xdr:rowOff>123825</xdr:rowOff>
    </xdr:from>
    <xdr:to>
      <xdr:col>0</xdr:col>
      <xdr:colOff>1847850</xdr:colOff>
      <xdr:row>0</xdr:row>
      <xdr:rowOff>457200</xdr:rowOff>
    </xdr:to>
    <xdr:pic>
      <xdr:nvPicPr>
        <xdr:cNvPr id="371552" name="Picture 12" descr="Larg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7430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104775</xdr:colOff>
      <xdr:row>0</xdr:row>
      <xdr:rowOff>123825</xdr:rowOff>
    </xdr:from>
    <xdr:to>
      <xdr:col>0</xdr:col>
      <xdr:colOff>1847850</xdr:colOff>
      <xdr:row>0</xdr:row>
      <xdr:rowOff>457200</xdr:rowOff>
    </xdr:to>
    <xdr:pic>
      <xdr:nvPicPr>
        <xdr:cNvPr id="5089382" name="Picture 23" descr="Larg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7430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1.xml" Type="http://schemas.openxmlformats.org/officeDocument/2006/relationships/drawing"/>
</Relationships>

</file>

<file path=xl/worksheets/_rels/sheet4.xml.rels><?xml version="1.0" encoding="UTF-8" standalone="yes"?>
<Relationships xmlns="http://schemas.openxmlformats.org/package/2006/relationships">
<Relationship Id="rId1" Target="mailto:John.glass@morganstanley.com" TargetMode="External" Type="http://schemas.openxmlformats.org/officeDocument/2006/relationships/hyperlink"/>
<Relationship Id="rId2" Target="file:////msad/ROOT/NA/sergiol/AppData/Local/Microsoft/Windows/Temporary%20Internet%20Files/Content.IE5/Unit%20Count%20Data/Unit%20Count%20Data/Unit%20Count%20Data/Unit%20Count%20Data/Unit%20Count%20Data/COMPANIES%20(company%20specific,%20filings,%20transcripts,%20ROIC,%20ULEs,MODELS)/Companies/COMPANIES%20(company%20specific,%20filings,%20transcripts,%20ROIC,%20ULEs,MODELS)/Companies/WEN/~snapshot/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WEN/&#24304;&#12508;&#64972;&#12502;" TargetMode="External" Type="http://schemas.openxmlformats.org/officeDocument/2006/relationships/hyperlink"/>
<Relationship Id="rId3" Target="file:////msad/ROOT/NA/sergiol/AppData/Local/Microsoft/Windows/Temporary%20Internet%20Files/Content.IE5/Unit%20Count%20Data/Unit%20Count%20Data/Unit%20Count%20Data/Unit%20Count%20Data/Unit%20Count%20Data/COMPANIES%20(company%20specific,%20filings,%20transcripts,%20ROIC,%20ULEs,MODELS)/Companies/COMPANIES%20(company%20specific,%20filings,%20transcripts,%20ROIC,%20ULEs,MODELS)/Companies/WEN/anley.com" TargetMode="External" Type="http://schemas.openxmlformats.org/officeDocument/2006/relationships/hyperlink"/>
<Relationship Id="rId4" Target="file://///MSAD.MS.COM/ROOT/ROOT/NA/NY/LIB/ER/RESTAURANTS/Restaurant/MARKETING%20(monthly%20books,%20requests,%20management%20meetings,%20conferences)/Marketing%20books/n.xls" TargetMode="External" Type="http://schemas.openxmlformats.org/officeDocument/2006/relationships/hyperlink"/>
<Relationship Id="rId5" Target="file:////msad/ROOT/NA/sergiol/AppData/Local/Microsoft/Windows/Temporary%20Internet%20Files/Content.IE5/Unit%20Count%20Data/Unit%20Count%20Data/Unit%20Count%20Data/Unit%20Count%20Data/Unit%20Count%20Data/COMPANIES%20(company%20specific,%20filings,%20transcripts,%20ROIC,%20ULEs,MODELS)/Companies/COMPANIES%20(company%20specific,%20filings,%20transcripts,%20ROIC,%20ULEs,MODELS)/Companies/WEN/~snapshot/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WEN/''s'!A1" TargetMode="External" Type="http://schemas.openxmlformats.org/officeDocument/2006/relationships/hyperlink"/>
<Relationship Id="rId6" Target="file:////msad/ROOT/NA/sergiol/AppData/Local/Microsoft/Windows/Temporary%20Internet%20Files/Content.IE5/Unit%20Count%20Data/Unit%20Count%20Data/Unit%20Count%20Data/Unit%20Count%20Data/Unit%20Count%20Data/COMPANIES%20(company%20specific,%20filings,%20transcripts,%20ROIC,%20ULEs,MODELS)/Companies/COMPANIES%20(company%20specific,%20filings,%20transcripts,%20ROIC,%20ULEs,MODELS)/Companies/WEN/~snapshot/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WEN/venues!A1" TargetMode="External" Type="http://schemas.openxmlformats.org/officeDocument/2006/relationships/hyperlink"/>
<Relationship Id="rId7" Target="file:////msad/ROOT/NA/sergiol/AppData/Local/Microsoft/Windows/Temporary%20Internet%20Files/Content.IE5/Unit%20Count%20Data/Unit%20Count%20Data/Unit%20Count%20Data/Unit%20Count%20Data/Unit%20Count%20Data/COMPANIES%20(company%20specific,%20filings,%20transcripts,%20ROIC,%20ULEs,MODELS)/Companies/COMPANIES%20(company%20specific,%20filings,%20transcripts,%20ROIC,%20ULEs,MODELS)/Companies/WEN/~snapshot/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COMPANIES%20(company%20specific,%20filings,%20transcripts,%20ROIC,%20ULEs,MODELS)/Companies/WEN/forma%20Balance%20Sheet'!A1" TargetMode="External" Type="http://schemas.openxmlformats.org/officeDocument/2006/relationships/hyperlink"/>
<Relationship Id="rId8" Target="../printerSettings/printerSettings4.bin" Type="http://schemas.openxmlformats.org/officeDocument/2006/relationships/printerSettings"/>
<Relationship Id="rId9" Target="../drawings/drawing2.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3.xml" Type="http://schemas.openxmlformats.org/officeDocument/2006/relationships/drawing"/>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5.xml" Type="http://schemas.openxmlformats.org/officeDocument/2006/relationships/drawing"/>
<Relationship Id="rId3" Target="../drawings/vmlDrawing4.vml" Type="http://schemas.openxmlformats.org/officeDocument/2006/relationships/vmlDrawing"/>
<Relationship Id="rId4"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2"/>
  <sheetViews>
    <sheetView workbookViewId="0"/>
  </sheetViews>
  <sheetFormatPr defaultRowHeight="12.75"/>
  <sheetData>
    <row r="1" spans="1:20">
      <c r="A1" t="s">
        <v>480</v>
      </c>
    </row>
    <row r="2" spans="1:20">
      <c r="A2" s="9" t="s">
        <v>474</v>
      </c>
      <c r="B2" s="9" t="s">
        <v>644</v>
      </c>
      <c r="C2" s="9" t="s">
        <v>289</v>
      </c>
      <c r="D2" s="9" t="s">
        <v>11</v>
      </c>
      <c r="E2" s="9" t="s">
        <v>477</v>
      </c>
      <c r="F2" s="9" t="s">
        <v>11</v>
      </c>
      <c r="G2" s="9" t="s">
        <v>473</v>
      </c>
      <c r="H2" s="9" t="s">
        <v>596</v>
      </c>
      <c r="I2" s="9" t="s">
        <v>290</v>
      </c>
      <c r="J2" s="9" t="s">
        <v>319</v>
      </c>
      <c r="K2" s="9" t="s">
        <v>475</v>
      </c>
      <c r="L2" s="9" t="s">
        <v>431</v>
      </c>
      <c r="M2" s="9" t="s">
        <v>478</v>
      </c>
      <c r="N2" s="9" t="s">
        <v>11</v>
      </c>
      <c r="O2" s="9" t="s">
        <v>476</v>
      </c>
      <c r="P2" s="9" t="s">
        <v>319</v>
      </c>
      <c r="Q2" s="9" t="s">
        <v>288</v>
      </c>
      <c r="R2" s="9" t="s">
        <v>431</v>
      </c>
      <c r="S2" s="9" t="s">
        <v>479</v>
      </c>
      <c r="T2" s="9" t="s">
        <v>11</v>
      </c>
    </row>
  </sheetData>
  <phoneticPr fontId="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1"/>
  <sheetViews>
    <sheetView workbookViewId="0"/>
  </sheetViews>
  <sheetFormatPr defaultRowHeight="12.75"/>
  <sheetData>
    <row r="1" spans="1:2">
      <c r="B1" t="s">
        <v>22</v>
      </c>
    </row>
  </sheetData>
  <phoneticPr fontId="8" type="noConversion"/>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1"/>
  <sheetViews>
    <sheetView showGridLines="0" tabSelected="1" workbookViewId="0">
      <selection activeCell="Z1" sqref="Z1"/>
    </sheetView>
  </sheetViews>
  <sheetFormatPr defaultRowHeight="12.75"/>
  <cols>
    <col min="1" max="1" width="25.7109375" style="1345" customWidth="1"/>
    <col min="2" max="5" width="9.140625" style="1345"/>
    <col min="6" max="6" width="18.7109375" style="1345" customWidth="1"/>
    <col min="7" max="256" width="9.140625" style="1345"/>
    <col min="257" max="257" width="100.7109375" style="1345" customWidth="1"/>
    <col min="258" max="512" width="9.140625" style="1345"/>
    <col min="513" max="513" width="100.7109375" style="1345" customWidth="1"/>
    <col min="514" max="768" width="9.140625" style="1345"/>
    <col min="769" max="769" width="100.7109375" style="1345" customWidth="1"/>
    <col min="770" max="1024" width="9.140625" style="1345"/>
    <col min="1025" max="1025" width="100.7109375" style="1345" customWidth="1"/>
    <col min="1026" max="1280" width="9.140625" style="1345"/>
    <col min="1281" max="1281" width="100.7109375" style="1345" customWidth="1"/>
    <col min="1282" max="1536" width="9.140625" style="1345"/>
    <col min="1537" max="1537" width="100.7109375" style="1345" customWidth="1"/>
    <col min="1538" max="1792" width="9.140625" style="1345"/>
    <col min="1793" max="1793" width="100.7109375" style="1345" customWidth="1"/>
    <col min="1794" max="2048" width="9.140625" style="1345"/>
    <col min="2049" max="2049" width="100.7109375" style="1345" customWidth="1"/>
    <col min="2050" max="2304" width="9.140625" style="1345"/>
    <col min="2305" max="2305" width="100.7109375" style="1345" customWidth="1"/>
    <col min="2306" max="2560" width="9.140625" style="1345"/>
    <col min="2561" max="2561" width="100.7109375" style="1345" customWidth="1"/>
    <col min="2562" max="2816" width="9.140625" style="1345"/>
    <col min="2817" max="2817" width="100.7109375" style="1345" customWidth="1"/>
    <col min="2818" max="3072" width="9.140625" style="1345"/>
    <col min="3073" max="3073" width="100.7109375" style="1345" customWidth="1"/>
    <col min="3074" max="3328" width="9.140625" style="1345"/>
    <col min="3329" max="3329" width="100.7109375" style="1345" customWidth="1"/>
    <col min="3330" max="3584" width="9.140625" style="1345"/>
    <col min="3585" max="3585" width="100.7109375" style="1345" customWidth="1"/>
    <col min="3586" max="3840" width="9.140625" style="1345"/>
    <col min="3841" max="3841" width="100.7109375" style="1345" customWidth="1"/>
    <col min="3842" max="4096" width="9.140625" style="1345"/>
    <col min="4097" max="4097" width="100.7109375" style="1345" customWidth="1"/>
    <col min="4098" max="4352" width="9.140625" style="1345"/>
    <col min="4353" max="4353" width="100.7109375" style="1345" customWidth="1"/>
    <col min="4354" max="4608" width="9.140625" style="1345"/>
    <col min="4609" max="4609" width="100.7109375" style="1345" customWidth="1"/>
    <col min="4610" max="4864" width="9.140625" style="1345"/>
    <col min="4865" max="4865" width="100.7109375" style="1345" customWidth="1"/>
    <col min="4866" max="5120" width="9.140625" style="1345"/>
    <col min="5121" max="5121" width="100.7109375" style="1345" customWidth="1"/>
    <col min="5122" max="5376" width="9.140625" style="1345"/>
    <col min="5377" max="5377" width="100.7109375" style="1345" customWidth="1"/>
    <col min="5378" max="5632" width="9.140625" style="1345"/>
    <col min="5633" max="5633" width="100.7109375" style="1345" customWidth="1"/>
    <col min="5634" max="5888" width="9.140625" style="1345"/>
    <col min="5889" max="5889" width="100.7109375" style="1345" customWidth="1"/>
    <col min="5890" max="6144" width="9.140625" style="1345"/>
    <col min="6145" max="6145" width="100.7109375" style="1345" customWidth="1"/>
    <col min="6146" max="6400" width="9.140625" style="1345"/>
    <col min="6401" max="6401" width="100.7109375" style="1345" customWidth="1"/>
    <col min="6402" max="6656" width="9.140625" style="1345"/>
    <col min="6657" max="6657" width="100.7109375" style="1345" customWidth="1"/>
    <col min="6658" max="6912" width="9.140625" style="1345"/>
    <col min="6913" max="6913" width="100.7109375" style="1345" customWidth="1"/>
    <col min="6914" max="7168" width="9.140625" style="1345"/>
    <col min="7169" max="7169" width="100.7109375" style="1345" customWidth="1"/>
    <col min="7170" max="7424" width="9.140625" style="1345"/>
    <col min="7425" max="7425" width="100.7109375" style="1345" customWidth="1"/>
    <col min="7426" max="7680" width="9.140625" style="1345"/>
    <col min="7681" max="7681" width="100.7109375" style="1345" customWidth="1"/>
    <col min="7682" max="7936" width="9.140625" style="1345"/>
    <col min="7937" max="7937" width="100.7109375" style="1345" customWidth="1"/>
    <col min="7938" max="8192" width="9.140625" style="1345"/>
    <col min="8193" max="8193" width="100.7109375" style="1345" customWidth="1"/>
    <col min="8194" max="8448" width="9.140625" style="1345"/>
    <col min="8449" max="8449" width="100.7109375" style="1345" customWidth="1"/>
    <col min="8450" max="8704" width="9.140625" style="1345"/>
    <col min="8705" max="8705" width="100.7109375" style="1345" customWidth="1"/>
    <col min="8706" max="8960" width="9.140625" style="1345"/>
    <col min="8961" max="8961" width="100.7109375" style="1345" customWidth="1"/>
    <col min="8962" max="9216" width="9.140625" style="1345"/>
    <col min="9217" max="9217" width="100.7109375" style="1345" customWidth="1"/>
    <col min="9218" max="9472" width="9.140625" style="1345"/>
    <col min="9473" max="9473" width="100.7109375" style="1345" customWidth="1"/>
    <col min="9474" max="9728" width="9.140625" style="1345"/>
    <col min="9729" max="9729" width="100.7109375" style="1345" customWidth="1"/>
    <col min="9730" max="9984" width="9.140625" style="1345"/>
    <col min="9985" max="9985" width="100.7109375" style="1345" customWidth="1"/>
    <col min="9986" max="10240" width="9.140625" style="1345"/>
    <col min="10241" max="10241" width="100.7109375" style="1345" customWidth="1"/>
    <col min="10242" max="10496" width="9.140625" style="1345"/>
    <col min="10497" max="10497" width="100.7109375" style="1345" customWidth="1"/>
    <col min="10498" max="10752" width="9.140625" style="1345"/>
    <col min="10753" max="10753" width="100.7109375" style="1345" customWidth="1"/>
    <col min="10754" max="11008" width="9.140625" style="1345"/>
    <col min="11009" max="11009" width="100.7109375" style="1345" customWidth="1"/>
    <col min="11010" max="11264" width="9.140625" style="1345"/>
    <col min="11265" max="11265" width="100.7109375" style="1345" customWidth="1"/>
    <col min="11266" max="11520" width="9.140625" style="1345"/>
    <col min="11521" max="11521" width="100.7109375" style="1345" customWidth="1"/>
    <col min="11522" max="11776" width="9.140625" style="1345"/>
    <col min="11777" max="11777" width="100.7109375" style="1345" customWidth="1"/>
    <col min="11778" max="12032" width="9.140625" style="1345"/>
    <col min="12033" max="12033" width="100.7109375" style="1345" customWidth="1"/>
    <col min="12034" max="12288" width="9.140625" style="1345"/>
    <col min="12289" max="12289" width="100.7109375" style="1345" customWidth="1"/>
    <col min="12290" max="12544" width="9.140625" style="1345"/>
    <col min="12545" max="12545" width="100.7109375" style="1345" customWidth="1"/>
    <col min="12546" max="12800" width="9.140625" style="1345"/>
    <col min="12801" max="12801" width="100.7109375" style="1345" customWidth="1"/>
    <col min="12802" max="13056" width="9.140625" style="1345"/>
    <col min="13057" max="13057" width="100.7109375" style="1345" customWidth="1"/>
    <col min="13058" max="13312" width="9.140625" style="1345"/>
    <col min="13313" max="13313" width="100.7109375" style="1345" customWidth="1"/>
    <col min="13314" max="13568" width="9.140625" style="1345"/>
    <col min="13569" max="13569" width="100.7109375" style="1345" customWidth="1"/>
    <col min="13570" max="13824" width="9.140625" style="1345"/>
    <col min="13825" max="13825" width="100.7109375" style="1345" customWidth="1"/>
    <col min="13826" max="14080" width="9.140625" style="1345"/>
    <col min="14081" max="14081" width="100.7109375" style="1345" customWidth="1"/>
    <col min="14082" max="14336" width="9.140625" style="1345"/>
    <col min="14337" max="14337" width="100.7109375" style="1345" customWidth="1"/>
    <col min="14338" max="14592" width="9.140625" style="1345"/>
    <col min="14593" max="14593" width="100.7109375" style="1345" customWidth="1"/>
    <col min="14594" max="14848" width="9.140625" style="1345"/>
    <col min="14849" max="14849" width="100.7109375" style="1345" customWidth="1"/>
    <col min="14850" max="15104" width="9.140625" style="1345"/>
    <col min="15105" max="15105" width="100.7109375" style="1345" customWidth="1"/>
    <col min="15106" max="15360" width="9.140625" style="1345"/>
    <col min="15361" max="15361" width="100.7109375" style="1345" customWidth="1"/>
    <col min="15362" max="15616" width="9.140625" style="1345"/>
    <col min="15617" max="15617" width="100.7109375" style="1345" customWidth="1"/>
    <col min="15618" max="15872" width="9.140625" style="1345"/>
    <col min="15873" max="15873" width="100.7109375" style="1345" customWidth="1"/>
    <col min="15874" max="16128" width="9.140625" style="1345"/>
    <col min="16129" max="16129" width="100.7109375" style="1345" customWidth="1"/>
    <col min="16130" max="16384" width="9.140625" style="1345"/>
  </cols>
  <sheetData>
    <row r="1" spans="1:8" ht="30" customHeight="1">
      <c r="A1" s="1343"/>
      <c r="B1" s="1344"/>
      <c r="C1" s="1344"/>
      <c r="D1" s="1344"/>
      <c r="E1" s="1344"/>
      <c r="F1" s="1344"/>
      <c r="G1" s="1344"/>
      <c r="H1" s="1344"/>
    </row>
    <row r="2" spans="1:8" ht="14.25">
      <c r="A2" s="1346" t="s">
        <v>651</v>
      </c>
      <c r="B2" s="1344"/>
      <c r="C2" s="1344"/>
      <c r="D2" s="1344"/>
      <c r="E2" s="1344"/>
      <c r="F2" s="1344"/>
      <c r="G2" s="1344"/>
      <c r="H2" s="1344"/>
    </row>
    <row r="3" spans="1:8" ht="14.25">
      <c r="A3" s="1346" t="s">
        <v>652</v>
      </c>
      <c r="B3" s="1344"/>
      <c r="C3" s="1344"/>
      <c r="D3" s="1344"/>
      <c r="E3" s="1344"/>
      <c r="F3" s="1344"/>
      <c r="G3" s="1344"/>
      <c r="H3" s="1344"/>
    </row>
    <row r="4" spans="1:8" ht="14.25">
      <c r="A4" s="1346" t="s">
        <v>509</v>
      </c>
      <c r="B4" s="1344"/>
      <c r="C4" s="1344"/>
      <c r="D4" s="1344"/>
      <c r="E4" s="1344"/>
      <c r="F4" s="1344"/>
      <c r="G4" s="1344"/>
      <c r="H4" s="1344"/>
    </row>
    <row r="5" spans="1:8" ht="14.25">
      <c r="A5" s="1346" t="s">
        <v>653</v>
      </c>
      <c r="B5" s="1344"/>
      <c r="C5" s="1344"/>
      <c r="D5" s="1344"/>
      <c r="E5" s="1344"/>
      <c r="F5" s="1344"/>
      <c r="G5" s="1344"/>
      <c r="H5" s="1344"/>
    </row>
    <row r="6" spans="1:8" ht="14.25">
      <c r="A6" s="1346"/>
      <c r="B6" s="1344"/>
      <c r="C6" s="1344"/>
      <c r="D6" s="1344"/>
      <c r="E6" s="1344"/>
      <c r="F6" s="1344"/>
      <c r="G6" s="1344"/>
      <c r="H6" s="1344"/>
    </row>
    <row r="7" spans="1:8">
      <c r="A7" s="1343" t="s">
        <v>654</v>
      </c>
      <c r="B7" s="1344"/>
      <c r="C7" s="1344"/>
      <c r="D7" s="1344"/>
      <c r="E7" s="1344"/>
      <c r="F7" s="1344"/>
      <c r="G7" s="1344"/>
      <c r="H7" s="1344"/>
    </row>
    <row r="8" spans="1:8">
      <c r="A8" s="1343" t="s">
        <v>655</v>
      </c>
      <c r="B8" s="1344"/>
      <c r="C8" s="1344"/>
      <c r="D8" s="1344"/>
      <c r="E8" s="1344"/>
      <c r="F8" s="1344"/>
      <c r="G8" s="1344"/>
      <c r="H8" s="1344"/>
    </row>
    <row r="9" spans="1:8">
      <c r="A9" s="1343"/>
      <c r="B9" s="1344"/>
      <c r="C9" s="1344"/>
      <c r="D9" s="1344"/>
      <c r="E9" s="1344"/>
      <c r="F9" s="1344"/>
      <c r="G9" s="1344"/>
      <c r="H9" s="1344"/>
    </row>
    <row r="10" spans="1:8">
      <c r="A10" s="1347" t="s">
        <v>656</v>
      </c>
      <c r="B10" s="1344"/>
      <c r="C10" s="1344"/>
      <c r="D10" s="1344"/>
      <c r="E10" s="1344"/>
      <c r="F10" s="1344"/>
      <c r="G10" s="1344"/>
      <c r="H10" s="1344"/>
    </row>
    <row r="11" spans="1:8">
      <c r="A11" s="1347" t="s">
        <v>657</v>
      </c>
      <c r="B11" s="1344"/>
      <c r="C11" s="1344"/>
      <c r="D11" s="1344"/>
      <c r="E11" s="1344"/>
      <c r="F11" s="1344"/>
      <c r="G11" s="1344"/>
      <c r="H11" s="1344"/>
    </row>
    <row r="12" spans="1:8">
      <c r="A12" s="1347" t="s">
        <v>658</v>
      </c>
      <c r="B12" s="1344"/>
      <c r="C12" s="1344"/>
      <c r="D12" s="1344"/>
      <c r="E12" s="1344"/>
      <c r="F12" s="1344"/>
      <c r="G12" s="1344"/>
      <c r="H12" s="1344"/>
    </row>
    <row r="13" spans="1:8">
      <c r="A13" s="1347" t="s">
        <v>659</v>
      </c>
      <c r="B13" s="1344"/>
      <c r="C13" s="1344"/>
      <c r="D13" s="1344"/>
      <c r="E13" s="1344"/>
      <c r="F13" s="1344"/>
      <c r="G13" s="1344"/>
      <c r="H13" s="1344"/>
    </row>
    <row r="14" spans="1:8">
      <c r="A14" s="1347" t="s">
        <v>660</v>
      </c>
      <c r="B14" s="1344"/>
      <c r="C14" s="1344"/>
      <c r="D14" s="1344"/>
      <c r="E14" s="1344"/>
      <c r="F14" s="1344"/>
      <c r="G14" s="1344"/>
      <c r="H14" s="1344"/>
    </row>
    <row r="15" spans="1:8">
      <c r="A15" s="1347" t="s">
        <v>661</v>
      </c>
      <c r="B15" s="1344"/>
      <c r="C15" s="1344"/>
      <c r="D15" s="1344"/>
      <c r="E15" s="1344"/>
      <c r="F15" s="1344"/>
      <c r="G15" s="1344"/>
      <c r="H15" s="1344"/>
    </row>
    <row r="16" spans="1:8">
      <c r="A16" s="1347"/>
      <c r="B16" s="1344"/>
      <c r="C16" s="1344"/>
      <c r="D16" s="1344"/>
      <c r="E16" s="1344"/>
      <c r="F16" s="1344"/>
      <c r="G16" s="1344"/>
      <c r="H16" s="1344"/>
    </row>
    <row r="17" spans="1:8">
      <c r="A17" s="1347" t="s">
        <v>648</v>
      </c>
      <c r="B17" s="1344"/>
      <c r="C17" s="1344"/>
      <c r="D17" s="1344"/>
      <c r="E17" s="1344"/>
      <c r="F17" s="1344"/>
      <c r="G17" s="1344"/>
      <c r="H17" s="1344"/>
    </row>
    <row r="18" spans="1:8">
      <c r="A18" s="1347"/>
      <c r="B18" s="1344"/>
      <c r="C18" s="1344"/>
      <c r="D18" s="1344"/>
      <c r="E18" s="1344"/>
      <c r="F18" s="1344"/>
      <c r="G18" s="1344"/>
      <c r="H18" s="1344"/>
    </row>
    <row r="19" spans="1:8">
      <c r="A19" s="1347" t="s">
        <v>649</v>
      </c>
      <c r="B19" s="1344"/>
      <c r="C19" s="1344"/>
      <c r="D19" s="1344"/>
      <c r="E19" s="1344"/>
      <c r="F19" s="1344"/>
      <c r="G19" s="1344"/>
      <c r="H19" s="1344"/>
    </row>
    <row r="20" spans="1:8">
      <c r="A20" s="1343"/>
      <c r="B20" s="1344"/>
      <c r="C20" s="1344"/>
      <c r="D20" s="1344"/>
      <c r="E20" s="1344"/>
      <c r="F20" s="1344"/>
      <c r="G20" s="1344"/>
      <c r="H20" s="1344"/>
    </row>
    <row r="21" spans="1:8">
      <c r="A21" s="1348" t="s">
        <v>650</v>
      </c>
      <c r="B21" s="1344"/>
      <c r="C21" s="1344"/>
      <c r="D21" s="1344"/>
      <c r="E21" s="1344"/>
      <c r="F21" s="1344"/>
      <c r="G21" s="1344"/>
      <c r="H21" s="1344"/>
    </row>
    <row r="22" spans="1:8">
      <c r="A22" s="1349"/>
      <c r="B22" s="1349"/>
      <c r="C22" s="1349"/>
      <c r="D22" s="1349"/>
      <c r="E22" s="1349"/>
      <c r="F22" s="1349"/>
      <c r="G22" s="1349"/>
      <c r="H22" s="1349"/>
    </row>
    <row r="23" spans="1:8">
      <c r="A23" s="1350" t="s">
        <v>940</v>
      </c>
      <c r="B23" s="1349"/>
      <c r="C23" s="1349"/>
      <c r="D23" s="1349"/>
      <c r="E23" s="1349"/>
      <c r="F23" s="1349"/>
      <c r="G23" s="1349"/>
      <c r="H23" s="1349"/>
    </row>
    <row r="24" spans="1:8">
      <c r="A24" s="1350" t="s">
        <v>941</v>
      </c>
      <c r="B24" s="1349"/>
      <c r="C24" s="1349"/>
      <c r="D24" s="1349"/>
      <c r="E24" s="1349"/>
      <c r="F24" s="1349"/>
      <c r="G24" s="1349"/>
      <c r="H24" s="1349"/>
    </row>
    <row r="25" spans="1:8">
      <c r="A25" s="1350" t="s">
        <v>942</v>
      </c>
      <c r="B25" s="1349"/>
      <c r="C25" s="1349"/>
      <c r="D25" s="1349"/>
      <c r="E25" s="1349"/>
      <c r="F25" s="1349"/>
      <c r="G25" s="1349"/>
      <c r="H25" s="1349"/>
    </row>
    <row r="26" spans="1:8">
      <c r="A26" s="1350" t="s">
        <v>943</v>
      </c>
      <c r="B26" s="1349"/>
      <c r="C26" s="1349"/>
      <c r="D26" s="1349"/>
      <c r="E26" s="1349"/>
      <c r="F26" s="1349"/>
      <c r="G26" s="1349"/>
      <c r="H26" s="1349"/>
    </row>
    <row r="27" spans="1:8">
      <c r="A27" s="1349"/>
      <c r="B27" s="1349"/>
      <c r="C27" s="1349"/>
      <c r="D27" s="1349"/>
      <c r="E27" s="1349"/>
      <c r="F27" s="1349"/>
      <c r="G27" s="1349"/>
      <c r="H27" s="1349"/>
    </row>
    <row r="28" spans="1:8">
      <c r="A28" s="1349"/>
      <c r="B28" s="1349"/>
      <c r="C28" s="1349"/>
      <c r="D28" s="1349"/>
      <c r="E28" s="1349"/>
      <c r="F28" s="1349"/>
      <c r="G28" s="1349"/>
      <c r="H28" s="1349"/>
    </row>
    <row r="29" spans="1:8">
      <c r="A29" s="1350" t="s">
        <v>935</v>
      </c>
      <c r="B29" s="1349"/>
      <c r="C29" s="1349"/>
      <c r="D29" s="1349"/>
      <c r="E29" s="1349"/>
      <c r="F29" s="1349"/>
      <c r="G29" s="1349"/>
      <c r="H29" s="1349"/>
    </row>
    <row r="30" spans="1:8">
      <c r="A30" s="1350" t="s">
        <v>936</v>
      </c>
      <c r="B30" s="1349"/>
      <c r="C30" s="1349"/>
      <c r="D30" s="1349"/>
      <c r="E30" s="1349"/>
      <c r="F30" s="1349"/>
      <c r="G30" s="1349"/>
      <c r="H30" s="1349"/>
    </row>
    <row r="31" spans="1:8">
      <c r="A31" s="1350" t="s">
        <v>937</v>
      </c>
      <c r="B31" s="1349"/>
      <c r="C31" s="1349"/>
      <c r="D31" s="1349"/>
      <c r="E31" s="1349"/>
      <c r="F31" s="1349"/>
      <c r="G31" s="1349"/>
      <c r="H31" s="1349"/>
    </row>
    <row r="32" spans="1:8">
      <c r="A32" s="1350" t="s">
        <v>938</v>
      </c>
      <c r="B32" s="1349"/>
      <c r="C32" s="1349"/>
      <c r="D32" s="1349"/>
      <c r="E32" s="1349"/>
      <c r="F32" s="1349"/>
      <c r="G32" s="1349"/>
      <c r="H32" s="1349"/>
    </row>
    <row r="33" spans="1:8">
      <c r="A33" s="1350" t="s">
        <v>939</v>
      </c>
      <c r="B33" s="1349"/>
      <c r="C33" s="1349"/>
      <c r="D33" s="1349"/>
      <c r="E33" s="1349"/>
      <c r="F33" s="1349"/>
      <c r="G33" s="1349"/>
      <c r="H33" s="1349"/>
    </row>
    <row r="34" spans="1:8">
      <c r="A34" s="1349"/>
      <c r="B34" s="1349"/>
      <c r="C34" s="1349"/>
      <c r="D34" s="1349"/>
      <c r="E34" s="1349"/>
      <c r="F34" s="1349"/>
      <c r="G34" s="1349"/>
      <c r="H34" s="1349"/>
    </row>
    <row r="35" spans="1:8">
      <c r="A35" s="1350" t="s">
        <v>931</v>
      </c>
      <c r="B35" s="1349"/>
      <c r="C35" s="1349"/>
      <c r="D35" s="1349"/>
      <c r="E35" s="1349"/>
      <c r="F35" s="1349"/>
      <c r="G35" s="1349"/>
      <c r="H35" s="1349"/>
    </row>
    <row r="36" spans="1:8">
      <c r="A36" s="1350" t="s">
        <v>932</v>
      </c>
      <c r="B36" s="1349"/>
      <c r="C36" s="1349"/>
      <c r="D36" s="1349"/>
      <c r="E36" s="1349"/>
      <c r="F36" s="1349"/>
      <c r="G36" s="1349"/>
      <c r="H36" s="1349"/>
    </row>
    <row r="37" spans="1:8">
      <c r="A37" s="1350" t="s">
        <v>933</v>
      </c>
      <c r="B37" s="1349"/>
      <c r="C37" s="1349"/>
      <c r="D37" s="1349"/>
      <c r="E37" s="1349"/>
      <c r="F37" s="1349"/>
      <c r="G37" s="1349"/>
      <c r="H37" s="1349"/>
    </row>
    <row r="38" spans="1:8">
      <c r="A38" s="1350" t="s">
        <v>934</v>
      </c>
      <c r="B38" s="1349"/>
      <c r="C38" s="1349"/>
      <c r="D38" s="1349"/>
      <c r="E38" s="1349"/>
      <c r="F38" s="1349"/>
      <c r="G38" s="1349"/>
      <c r="H38" s="1349"/>
    </row>
    <row r="39" spans="1:8">
      <c r="A39" s="1349"/>
      <c r="B39" s="1349"/>
      <c r="C39" s="1349"/>
      <c r="D39" s="1349"/>
      <c r="E39" s="1349"/>
      <c r="F39" s="1349"/>
      <c r="G39" s="1349"/>
      <c r="H39" s="1349"/>
    </row>
    <row r="40" spans="1:8">
      <c r="A40" s="1350" t="s">
        <v>925</v>
      </c>
      <c r="B40" s="1349"/>
      <c r="C40" s="1349"/>
      <c r="D40" s="1349"/>
      <c r="E40" s="1349"/>
      <c r="F40" s="1349"/>
      <c r="G40" s="1349"/>
      <c r="H40" s="1349"/>
    </row>
    <row r="41" spans="1:8">
      <c r="A41" s="1350" t="s">
        <v>926</v>
      </c>
      <c r="B41" s="1349"/>
      <c r="C41" s="1349"/>
      <c r="D41" s="1349"/>
      <c r="E41" s="1349"/>
      <c r="F41" s="1349"/>
      <c r="G41" s="1349"/>
      <c r="H41" s="1349"/>
    </row>
    <row r="42" spans="1:8">
      <c r="A42" s="1350" t="s">
        <v>927</v>
      </c>
      <c r="B42" s="1349"/>
      <c r="C42" s="1349"/>
      <c r="D42" s="1349"/>
      <c r="E42" s="1349"/>
      <c r="F42" s="1349"/>
      <c r="G42" s="1349"/>
      <c r="H42" s="1349"/>
    </row>
    <row r="43" spans="1:8">
      <c r="A43" s="1350" t="s">
        <v>928</v>
      </c>
      <c r="B43" s="1349"/>
      <c r="C43" s="1349"/>
      <c r="D43" s="1349"/>
      <c r="E43" s="1349"/>
      <c r="F43" s="1349"/>
      <c r="G43" s="1349"/>
      <c r="H43" s="1349"/>
    </row>
    <row r="44" spans="1:8">
      <c r="A44" s="1350" t="s">
        <v>929</v>
      </c>
      <c r="B44" s="1349"/>
      <c r="C44" s="1349"/>
      <c r="D44" s="1349"/>
      <c r="E44" s="1349"/>
      <c r="F44" s="1349"/>
      <c r="G44" s="1349"/>
      <c r="H44" s="1349"/>
    </row>
    <row r="45" spans="1:8">
      <c r="A45" s="1350" t="s">
        <v>930</v>
      </c>
      <c r="B45" s="1349"/>
      <c r="C45" s="1349"/>
      <c r="D45" s="1349"/>
      <c r="E45" s="1349"/>
      <c r="F45" s="1349"/>
      <c r="G45" s="1349"/>
      <c r="H45" s="1349"/>
    </row>
    <row r="46" spans="1:8">
      <c r="A46" s="1349"/>
      <c r="B46" s="1349"/>
      <c r="C46" s="1349"/>
      <c r="D46" s="1349"/>
      <c r="E46" s="1349"/>
      <c r="F46" s="1349"/>
      <c r="G46" s="1349"/>
      <c r="H46" s="1349"/>
    </row>
    <row r="47" spans="1:8" ht="15.75">
      <c r="A47" s="1351" t="s">
        <v>662</v>
      </c>
      <c r="B47" s="1349"/>
      <c r="C47" s="1349"/>
      <c r="D47" s="1349"/>
      <c r="E47" s="1349"/>
      <c r="F47" s="1349"/>
      <c r="G47" s="1349"/>
      <c r="H47" s="1349"/>
    </row>
    <row r="48" spans="1:8">
      <c r="A48" s="1349"/>
      <c r="B48" s="1349"/>
      <c r="C48" s="1349"/>
      <c r="D48" s="1349"/>
      <c r="E48" s="1349"/>
      <c r="F48" s="1349"/>
      <c r="G48" s="1349"/>
      <c r="H48" s="1349"/>
    </row>
    <row r="49" spans="1:8">
      <c r="A49" s="1350" t="s">
        <v>921</v>
      </c>
      <c r="B49" s="1349"/>
      <c r="C49" s="1349"/>
      <c r="D49" s="1349"/>
      <c r="E49" s="1349"/>
      <c r="F49" s="1349"/>
      <c r="G49" s="1349"/>
      <c r="H49" s="1349"/>
    </row>
    <row r="50" spans="1:8">
      <c r="A50" s="1350" t="s">
        <v>922</v>
      </c>
      <c r="B50" s="1349"/>
      <c r="C50" s="1349"/>
      <c r="D50" s="1349"/>
      <c r="E50" s="1349"/>
      <c r="F50" s="1349"/>
      <c r="G50" s="1349"/>
      <c r="H50" s="1349"/>
    </row>
    <row r="51" spans="1:8">
      <c r="A51" s="1350" t="s">
        <v>923</v>
      </c>
      <c r="B51" s="1349"/>
      <c r="C51" s="1349"/>
      <c r="D51" s="1349"/>
      <c r="E51" s="1349"/>
      <c r="F51" s="1349"/>
      <c r="G51" s="1349"/>
      <c r="H51" s="1349"/>
    </row>
    <row r="52" spans="1:8">
      <c r="A52" s="1350" t="s">
        <v>924</v>
      </c>
      <c r="B52" s="1349"/>
      <c r="C52" s="1349"/>
      <c r="D52" s="1349"/>
      <c r="E52" s="1349"/>
      <c r="F52" s="1349"/>
      <c r="G52" s="1349"/>
      <c r="H52" s="1349"/>
    </row>
    <row r="53" spans="1:8">
      <c r="A53" s="1349"/>
      <c r="B53" s="1349"/>
      <c r="C53" s="1349"/>
      <c r="D53" s="1349"/>
      <c r="E53" s="1349"/>
      <c r="F53" s="1349"/>
      <c r="G53" s="1349"/>
      <c r="H53" s="1349"/>
    </row>
    <row r="54" spans="1:8">
      <c r="A54" s="1350" t="s">
        <v>663</v>
      </c>
      <c r="B54" s="1349"/>
      <c r="C54" s="1349"/>
      <c r="D54" s="1349"/>
      <c r="E54" s="1349"/>
      <c r="F54" s="1349"/>
      <c r="G54" s="1349"/>
      <c r="H54" s="1349"/>
    </row>
    <row r="55" spans="1:8">
      <c r="A55" s="1349"/>
      <c r="B55" s="1349"/>
      <c r="C55" s="1349"/>
      <c r="D55" s="1349"/>
      <c r="E55" s="1349"/>
      <c r="F55" s="1349"/>
      <c r="G55" s="1349"/>
      <c r="H55" s="1349"/>
    </row>
    <row r="56" spans="1:8" ht="15.75">
      <c r="A56" s="1351" t="s">
        <v>664</v>
      </c>
      <c r="B56" s="1349"/>
      <c r="C56" s="1349"/>
      <c r="D56" s="1349"/>
      <c r="E56" s="1349"/>
      <c r="F56" s="1349"/>
      <c r="G56" s="1349"/>
      <c r="H56" s="1349"/>
    </row>
    <row r="57" spans="1:8">
      <c r="A57" s="1349"/>
      <c r="B57" s="1349"/>
      <c r="C57" s="1349"/>
      <c r="D57" s="1349"/>
      <c r="E57" s="1349"/>
      <c r="F57" s="1349"/>
      <c r="G57" s="1349"/>
      <c r="H57" s="1349"/>
    </row>
    <row r="58" spans="1:8">
      <c r="A58" s="1350" t="s">
        <v>919</v>
      </c>
      <c r="B58" s="1349"/>
      <c r="C58" s="1349"/>
      <c r="D58" s="1349"/>
      <c r="E58" s="1349"/>
      <c r="F58" s="1349"/>
      <c r="G58" s="1349"/>
      <c r="H58" s="1349"/>
    </row>
    <row r="59" spans="1:8">
      <c r="A59" s="1350" t="s">
        <v>920</v>
      </c>
      <c r="B59" s="1349"/>
      <c r="C59" s="1349"/>
      <c r="D59" s="1349"/>
      <c r="E59" s="1349"/>
      <c r="F59" s="1349"/>
      <c r="G59" s="1349"/>
      <c r="H59" s="1349"/>
    </row>
    <row r="60" spans="1:8">
      <c r="A60" s="1349"/>
      <c r="B60" s="1349"/>
      <c r="C60" s="1349"/>
      <c r="D60" s="1349"/>
      <c r="E60" s="1349"/>
      <c r="F60" s="1349"/>
      <c r="G60" s="1349"/>
      <c r="H60" s="1349"/>
    </row>
    <row r="61" spans="1:8" ht="15.75">
      <c r="A61" s="1351" t="s">
        <v>665</v>
      </c>
      <c r="B61" s="1349"/>
      <c r="C61" s="1349"/>
      <c r="D61" s="1349"/>
      <c r="E61" s="1349"/>
      <c r="F61" s="1349"/>
      <c r="G61" s="1349"/>
      <c r="H61" s="1349"/>
    </row>
    <row r="62" spans="1:8">
      <c r="A62" s="1349"/>
      <c r="B62" s="1349"/>
      <c r="C62" s="1349"/>
      <c r="D62" s="1349"/>
      <c r="E62" s="1349"/>
      <c r="F62" s="1349"/>
      <c r="G62" s="1349"/>
      <c r="H62" s="1349"/>
    </row>
    <row r="63" spans="1:8">
      <c r="A63" s="1350" t="s">
        <v>917</v>
      </c>
      <c r="B63" s="1349"/>
      <c r="C63" s="1349"/>
      <c r="D63" s="1349"/>
      <c r="E63" s="1349"/>
      <c r="F63" s="1349"/>
      <c r="G63" s="1349"/>
      <c r="H63" s="1349"/>
    </row>
    <row r="64" spans="1:8">
      <c r="A64" s="1350" t="s">
        <v>918</v>
      </c>
      <c r="B64" s="1349"/>
      <c r="C64" s="1349"/>
      <c r="D64" s="1349"/>
      <c r="E64" s="1349"/>
      <c r="F64" s="1349"/>
      <c r="G64" s="1349"/>
      <c r="H64" s="1349"/>
    </row>
    <row r="65" spans="1:8">
      <c r="A65" s="1349"/>
      <c r="B65" s="1349"/>
      <c r="C65" s="1349"/>
      <c r="D65" s="1349"/>
      <c r="E65" s="1349"/>
      <c r="F65" s="1349"/>
      <c r="G65" s="1349"/>
      <c r="H65" s="1349"/>
    </row>
    <row r="66" spans="1:8">
      <c r="A66" s="1350" t="s">
        <v>915</v>
      </c>
      <c r="B66" s="1349"/>
      <c r="C66" s="1349"/>
      <c r="D66" s="1349"/>
      <c r="E66" s="1349"/>
      <c r="F66" s="1349"/>
      <c r="G66" s="1349"/>
      <c r="H66" s="1349"/>
    </row>
    <row r="67" spans="1:8">
      <c r="A67" s="1350" t="s">
        <v>916</v>
      </c>
      <c r="B67" s="1349"/>
      <c r="C67" s="1349"/>
      <c r="D67" s="1349"/>
      <c r="E67" s="1349"/>
      <c r="F67" s="1349"/>
      <c r="G67" s="1349"/>
      <c r="H67" s="1349"/>
    </row>
    <row r="68" spans="1:8">
      <c r="A68" s="1349"/>
      <c r="B68" s="1349"/>
      <c r="C68" s="1349"/>
      <c r="D68" s="1349"/>
      <c r="E68" s="1349"/>
      <c r="F68" s="1349"/>
      <c r="G68" s="1349"/>
      <c r="H68" s="1349"/>
    </row>
    <row r="69" spans="1:8">
      <c r="A69" s="1350" t="s">
        <v>913</v>
      </c>
      <c r="B69" s="1349"/>
      <c r="C69" s="1349"/>
      <c r="D69" s="1349"/>
      <c r="E69" s="1349"/>
      <c r="F69" s="1349"/>
      <c r="G69" s="1349"/>
      <c r="H69" s="1349"/>
    </row>
    <row r="70" spans="1:8">
      <c r="A70" s="1350" t="s">
        <v>914</v>
      </c>
      <c r="B70" s="1349"/>
      <c r="C70" s="1349"/>
      <c r="D70" s="1349"/>
      <c r="E70" s="1349"/>
      <c r="F70" s="1349"/>
      <c r="G70" s="1349"/>
      <c r="H70" s="1349"/>
    </row>
    <row r="71" spans="1:8">
      <c r="A71" s="1349"/>
      <c r="B71" s="1349"/>
      <c r="C71" s="1349"/>
      <c r="D71" s="1349"/>
      <c r="E71" s="1349"/>
      <c r="F71" s="1349"/>
      <c r="G71" s="1349"/>
      <c r="H71" s="1349"/>
    </row>
    <row r="72" spans="1:8">
      <c r="A72" s="1350" t="s">
        <v>910</v>
      </c>
      <c r="B72" s="1349"/>
      <c r="C72" s="1349"/>
      <c r="D72" s="1349"/>
      <c r="E72" s="1349"/>
      <c r="F72" s="1349"/>
      <c r="G72" s="1349"/>
      <c r="H72" s="1349"/>
    </row>
    <row r="73" spans="1:8">
      <c r="A73" s="1350" t="s">
        <v>911</v>
      </c>
      <c r="B73" s="1349"/>
      <c r="C73" s="1349"/>
      <c r="D73" s="1349"/>
      <c r="E73" s="1349"/>
      <c r="F73" s="1349"/>
      <c r="G73" s="1349"/>
      <c r="H73" s="1349"/>
    </row>
    <row r="74" spans="1:8">
      <c r="A74" s="1350" t="s">
        <v>912</v>
      </c>
      <c r="B74" s="1349"/>
      <c r="C74" s="1349"/>
      <c r="D74" s="1349"/>
      <c r="E74" s="1349"/>
      <c r="F74" s="1349"/>
      <c r="G74" s="1349"/>
      <c r="H74" s="1349"/>
    </row>
    <row r="75" spans="1:8">
      <c r="A75" s="1349"/>
      <c r="B75" s="1349"/>
      <c r="C75" s="1349"/>
      <c r="D75" s="1349"/>
      <c r="E75" s="1349"/>
      <c r="F75" s="1349"/>
      <c r="G75" s="1349"/>
      <c r="H75" s="1349"/>
    </row>
    <row r="76" spans="1:8">
      <c r="A76" s="1350" t="s">
        <v>666</v>
      </c>
      <c r="B76" s="1349"/>
      <c r="C76" s="1349"/>
      <c r="D76" s="1349"/>
      <c r="E76" s="1349"/>
      <c r="F76" s="1349"/>
      <c r="G76" s="1349"/>
      <c r="H76" s="1349"/>
    </row>
    <row r="77" spans="1:8">
      <c r="A77" s="1349"/>
      <c r="B77" s="1349"/>
      <c r="C77" s="1349"/>
      <c r="D77" s="1349"/>
      <c r="E77" s="1349"/>
      <c r="F77" s="1349"/>
      <c r="G77" s="1349"/>
      <c r="H77" s="1349"/>
    </row>
    <row r="78" spans="1:8">
      <c r="A78" s="1350" t="s">
        <v>905</v>
      </c>
      <c r="B78" s="1349"/>
      <c r="C78" s="1349"/>
      <c r="D78" s="1349"/>
      <c r="E78" s="1349"/>
      <c r="F78" s="1349"/>
      <c r="G78" s="1349"/>
      <c r="H78" s="1349"/>
    </row>
    <row r="79" spans="1:8">
      <c r="A79" s="1350" t="s">
        <v>906</v>
      </c>
      <c r="B79" s="1349"/>
      <c r="C79" s="1349"/>
      <c r="D79" s="1349"/>
      <c r="E79" s="1349"/>
      <c r="F79" s="1349"/>
      <c r="G79" s="1349"/>
      <c r="H79" s="1349"/>
    </row>
    <row r="80" spans="1:8">
      <c r="A80" s="1350" t="s">
        <v>907</v>
      </c>
      <c r="B80" s="1349"/>
      <c r="C80" s="1349"/>
      <c r="D80" s="1349"/>
      <c r="E80" s="1349"/>
      <c r="F80" s="1349"/>
      <c r="G80" s="1349"/>
      <c r="H80" s="1349"/>
    </row>
    <row r="81" spans="1:8">
      <c r="A81" s="1350" t="s">
        <v>908</v>
      </c>
      <c r="B81" s="1349"/>
      <c r="C81" s="1349"/>
      <c r="D81" s="1349"/>
      <c r="E81" s="1349"/>
      <c r="F81" s="1349"/>
      <c r="G81" s="1349"/>
      <c r="H81" s="1349"/>
    </row>
    <row r="82" spans="1:8">
      <c r="A82" s="1350" t="s">
        <v>909</v>
      </c>
      <c r="B82" s="1349"/>
      <c r="C82" s="1349"/>
      <c r="D82" s="1349"/>
      <c r="E82" s="1349"/>
      <c r="F82" s="1349"/>
      <c r="G82" s="1349"/>
      <c r="H82" s="1349"/>
    </row>
    <row r="83" spans="1:8">
      <c r="A83" s="1350" t="s">
        <v>792</v>
      </c>
      <c r="B83" s="1349"/>
      <c r="C83" s="1349"/>
      <c r="D83" s="1349"/>
      <c r="E83" s="1349"/>
      <c r="F83" s="1349"/>
      <c r="G83" s="1349"/>
      <c r="H83" s="1349"/>
    </row>
    <row r="84" spans="1:8">
      <c r="A84" s="1349"/>
      <c r="B84" s="1349"/>
      <c r="C84" s="1349"/>
      <c r="D84" s="1349"/>
      <c r="E84" s="1349"/>
      <c r="F84" s="1349"/>
      <c r="G84" s="1349"/>
      <c r="H84" s="1349"/>
    </row>
    <row r="85" spans="1:8">
      <c r="A85" s="1350" t="s">
        <v>898</v>
      </c>
      <c r="B85" s="1349"/>
      <c r="C85" s="1349"/>
      <c r="D85" s="1349"/>
      <c r="E85" s="1349"/>
      <c r="F85" s="1349"/>
      <c r="G85" s="1349"/>
      <c r="H85" s="1349"/>
    </row>
    <row r="86" spans="1:8">
      <c r="A86" s="1350" t="s">
        <v>899</v>
      </c>
      <c r="B86" s="1349"/>
      <c r="C86" s="1349"/>
      <c r="D86" s="1349"/>
      <c r="E86" s="1349"/>
      <c r="F86" s="1349"/>
      <c r="G86" s="1349"/>
      <c r="H86" s="1349"/>
    </row>
    <row r="87" spans="1:8">
      <c r="A87" s="1350" t="s">
        <v>900</v>
      </c>
      <c r="B87" s="1349"/>
      <c r="C87" s="1349"/>
      <c r="D87" s="1349"/>
      <c r="E87" s="1349"/>
      <c r="F87" s="1349"/>
      <c r="G87" s="1349"/>
      <c r="H87" s="1349"/>
    </row>
    <row r="88" spans="1:8">
      <c r="A88" s="1350" t="s">
        <v>901</v>
      </c>
      <c r="B88" s="1349"/>
      <c r="C88" s="1349"/>
      <c r="D88" s="1349"/>
      <c r="E88" s="1349"/>
      <c r="F88" s="1349"/>
      <c r="G88" s="1349"/>
      <c r="H88" s="1349"/>
    </row>
    <row r="89" spans="1:8">
      <c r="A89" s="1350" t="s">
        <v>902</v>
      </c>
      <c r="B89" s="1349"/>
      <c r="C89" s="1349"/>
      <c r="D89" s="1349"/>
      <c r="E89" s="1349"/>
      <c r="F89" s="1349"/>
      <c r="G89" s="1349"/>
      <c r="H89" s="1349"/>
    </row>
    <row r="90" spans="1:8">
      <c r="A90" s="1350" t="s">
        <v>903</v>
      </c>
      <c r="B90" s="1349"/>
      <c r="C90" s="1349"/>
      <c r="D90" s="1349"/>
      <c r="E90" s="1349"/>
      <c r="F90" s="1349"/>
      <c r="G90" s="1349"/>
      <c r="H90" s="1349"/>
    </row>
    <row r="91" spans="1:8">
      <c r="A91" s="1350" t="s">
        <v>904</v>
      </c>
      <c r="B91" s="1349"/>
      <c r="C91" s="1349"/>
      <c r="D91" s="1349"/>
      <c r="E91" s="1349"/>
      <c r="F91" s="1349"/>
      <c r="G91" s="1349"/>
      <c r="H91" s="1349"/>
    </row>
    <row r="92" spans="1:8">
      <c r="A92" s="1349"/>
      <c r="B92" s="1349"/>
      <c r="C92" s="1349"/>
      <c r="D92" s="1349"/>
      <c r="E92" s="1349"/>
      <c r="F92" s="1349"/>
      <c r="G92" s="1349"/>
      <c r="H92" s="1349"/>
    </row>
    <row r="93" spans="1:8">
      <c r="A93" s="1350" t="s">
        <v>896</v>
      </c>
      <c r="B93" s="1349"/>
      <c r="C93" s="1349"/>
      <c r="D93" s="1349"/>
      <c r="E93" s="1349"/>
      <c r="F93" s="1349"/>
      <c r="G93" s="1349"/>
      <c r="H93" s="1349"/>
    </row>
    <row r="94" spans="1:8">
      <c r="A94" s="1350" t="s">
        <v>897</v>
      </c>
      <c r="B94" s="1349"/>
      <c r="C94" s="1349"/>
      <c r="D94" s="1349"/>
      <c r="E94" s="1349"/>
      <c r="F94" s="1349"/>
      <c r="G94" s="1349"/>
      <c r="H94" s="1349"/>
    </row>
    <row r="95" spans="1:8">
      <c r="A95" s="1349"/>
      <c r="B95" s="1349"/>
      <c r="C95" s="1349"/>
      <c r="D95" s="1349"/>
      <c r="E95" s="1349"/>
      <c r="F95" s="1349"/>
      <c r="G95" s="1349"/>
      <c r="H95" s="1349"/>
    </row>
    <row r="96" spans="1:8" ht="15.75">
      <c r="A96" s="1351" t="s">
        <v>667</v>
      </c>
      <c r="B96" s="1349"/>
      <c r="C96" s="1349"/>
      <c r="D96" s="1349"/>
      <c r="E96" s="1349"/>
      <c r="F96" s="1349"/>
      <c r="G96" s="1349"/>
      <c r="H96" s="1349"/>
    </row>
    <row r="97" spans="1:8">
      <c r="A97" s="1349"/>
      <c r="B97" s="1349"/>
      <c r="C97" s="1349"/>
      <c r="D97" s="1349"/>
      <c r="E97" s="1349"/>
      <c r="F97" s="1349"/>
      <c r="G97" s="1349"/>
      <c r="H97" s="1349"/>
    </row>
    <row r="98" spans="1:8">
      <c r="A98" s="1350" t="s">
        <v>887</v>
      </c>
      <c r="B98" s="1349"/>
      <c r="C98" s="1349"/>
      <c r="D98" s="1349"/>
      <c r="E98" s="1349"/>
      <c r="F98" s="1349"/>
      <c r="G98" s="1349"/>
      <c r="H98" s="1349"/>
    </row>
    <row r="99" spans="1:8">
      <c r="A99" s="1350" t="s">
        <v>888</v>
      </c>
      <c r="B99" s="1349"/>
      <c r="C99" s="1349"/>
      <c r="D99" s="1349"/>
      <c r="E99" s="1349"/>
      <c r="F99" s="1349"/>
      <c r="G99" s="1349"/>
      <c r="H99" s="1349"/>
    </row>
    <row r="100" spans="1:8">
      <c r="A100" s="1350" t="s">
        <v>889</v>
      </c>
      <c r="B100" s="1349"/>
      <c r="C100" s="1349"/>
      <c r="D100" s="1349"/>
      <c r="E100" s="1349"/>
      <c r="F100" s="1349"/>
      <c r="G100" s="1349"/>
      <c r="H100" s="1349"/>
    </row>
    <row r="101" spans="1:8">
      <c r="A101" s="1350" t="s">
        <v>890</v>
      </c>
      <c r="B101" s="1349"/>
      <c r="C101" s="1349"/>
      <c r="D101" s="1349"/>
      <c r="E101" s="1349"/>
      <c r="F101" s="1349"/>
      <c r="G101" s="1349"/>
      <c r="H101" s="1349"/>
    </row>
    <row r="102" spans="1:8">
      <c r="A102" s="1350" t="s">
        <v>891</v>
      </c>
      <c r="B102" s="1349"/>
      <c r="C102" s="1349"/>
      <c r="D102" s="1349"/>
      <c r="E102" s="1349"/>
      <c r="F102" s="1349"/>
      <c r="G102" s="1349"/>
      <c r="H102" s="1349"/>
    </row>
    <row r="103" spans="1:8">
      <c r="A103" s="1350" t="s">
        <v>892</v>
      </c>
      <c r="B103" s="1349"/>
      <c r="C103" s="1349"/>
      <c r="D103" s="1349"/>
      <c r="E103" s="1349"/>
      <c r="F103" s="1349"/>
      <c r="G103" s="1349"/>
      <c r="H103" s="1349"/>
    </row>
    <row r="104" spans="1:8">
      <c r="A104" s="1350" t="s">
        <v>893</v>
      </c>
      <c r="B104" s="1349"/>
      <c r="C104" s="1349"/>
      <c r="D104" s="1349"/>
      <c r="E104" s="1349"/>
      <c r="F104" s="1349"/>
      <c r="G104" s="1349"/>
      <c r="H104" s="1349"/>
    </row>
    <row r="105" spans="1:8">
      <c r="A105" s="1350" t="s">
        <v>894</v>
      </c>
      <c r="B105" s="1349"/>
      <c r="C105" s="1349"/>
      <c r="D105" s="1349"/>
      <c r="E105" s="1349"/>
      <c r="F105" s="1349"/>
      <c r="G105" s="1349"/>
      <c r="H105" s="1349"/>
    </row>
    <row r="106" spans="1:8">
      <c r="A106" s="1350" t="s">
        <v>895</v>
      </c>
      <c r="B106" s="1349"/>
      <c r="C106" s="1349"/>
      <c r="D106" s="1349"/>
      <c r="E106" s="1349"/>
      <c r="F106" s="1349"/>
      <c r="G106" s="1349"/>
      <c r="H106" s="1349"/>
    </row>
    <row r="107" spans="1:8">
      <c r="A107" s="1349"/>
      <c r="B107" s="1349"/>
      <c r="C107" s="1349"/>
      <c r="D107" s="1349"/>
      <c r="E107" s="1349"/>
      <c r="F107" s="1349"/>
      <c r="G107" s="1349"/>
      <c r="H107" s="1349"/>
    </row>
    <row r="108" spans="1:8" ht="15.75">
      <c r="A108" s="1352" t="s">
        <v>668</v>
      </c>
      <c r="B108" s="1352"/>
      <c r="C108" s="1352"/>
      <c r="D108" s="1352"/>
      <c r="E108" s="1352"/>
      <c r="F108" s="1352"/>
      <c r="G108" s="1352"/>
      <c r="H108" s="1352"/>
    </row>
    <row r="109" spans="1:8">
      <c r="A109" s="1353" t="s">
        <v>669</v>
      </c>
      <c r="B109" s="1353"/>
      <c r="C109" s="1353"/>
      <c r="D109" s="1353"/>
      <c r="E109" s="1353"/>
      <c r="F109" s="1353"/>
      <c r="G109" s="1353"/>
      <c r="H109" s="1353"/>
    </row>
    <row r="110" spans="1:8">
      <c r="A110" s="1354"/>
      <c r="B110" s="1354"/>
      <c r="C110" s="1354"/>
      <c r="D110" s="1354"/>
      <c r="E110" s="1354"/>
      <c r="F110" s="1354"/>
      <c r="G110" s="1354"/>
      <c r="H110" s="1354"/>
    </row>
    <row r="111" spans="1:8">
      <c r="A111" s="1353" t="s">
        <v>885</v>
      </c>
      <c r="B111" s="1353"/>
      <c r="C111" s="1353"/>
      <c r="D111" s="1353"/>
      <c r="E111" s="1353"/>
      <c r="F111" s="1353"/>
      <c r="G111" s="1353"/>
      <c r="H111" s="1353"/>
    </row>
    <row r="112" spans="1:8">
      <c r="A112" s="1350" t="s">
        <v>886</v>
      </c>
      <c r="B112" s="1350"/>
      <c r="C112" s="1350"/>
      <c r="D112" s="1350"/>
      <c r="E112" s="1350"/>
      <c r="F112" s="1350"/>
      <c r="G112" s="1350"/>
      <c r="H112" s="1350"/>
    </row>
    <row r="113" spans="1:8">
      <c r="A113" s="1354"/>
      <c r="B113" s="1354"/>
      <c r="C113" s="1354"/>
      <c r="D113" s="1354"/>
      <c r="E113" s="1354"/>
      <c r="F113" s="1354"/>
      <c r="G113" s="1354"/>
      <c r="H113" s="1354"/>
    </row>
    <row r="114" spans="1:8">
      <c r="A114" s="1353" t="s">
        <v>878</v>
      </c>
      <c r="B114" s="1353"/>
      <c r="C114" s="1353"/>
      <c r="D114" s="1353"/>
      <c r="E114" s="1353"/>
      <c r="F114" s="1353"/>
      <c r="G114" s="1353"/>
      <c r="H114" s="1353"/>
    </row>
    <row r="115" spans="1:8">
      <c r="A115" s="1350" t="s">
        <v>879</v>
      </c>
      <c r="B115" s="1350"/>
      <c r="C115" s="1350"/>
      <c r="D115" s="1350"/>
      <c r="E115" s="1350"/>
      <c r="F115" s="1350"/>
      <c r="G115" s="1350"/>
      <c r="H115" s="1350"/>
    </row>
    <row r="116" spans="1:8">
      <c r="A116" s="1350" t="s">
        <v>880</v>
      </c>
      <c r="B116" s="1350"/>
      <c r="C116" s="1350"/>
      <c r="D116" s="1350"/>
      <c r="E116" s="1350"/>
      <c r="F116" s="1350"/>
      <c r="G116" s="1350"/>
      <c r="H116" s="1350"/>
    </row>
    <row r="117" spans="1:8">
      <c r="A117" s="1350" t="s">
        <v>881</v>
      </c>
      <c r="B117" s="1350"/>
      <c r="C117" s="1350"/>
      <c r="D117" s="1350"/>
      <c r="E117" s="1350"/>
      <c r="F117" s="1350"/>
      <c r="G117" s="1350"/>
      <c r="H117" s="1350"/>
    </row>
    <row r="118" spans="1:8">
      <c r="A118" s="1350" t="s">
        <v>882</v>
      </c>
      <c r="B118" s="1350"/>
      <c r="C118" s="1350"/>
      <c r="D118" s="1350"/>
      <c r="E118" s="1350"/>
      <c r="F118" s="1350"/>
      <c r="G118" s="1350"/>
      <c r="H118" s="1350"/>
    </row>
    <row r="119" spans="1:8">
      <c r="A119" s="1350" t="s">
        <v>883</v>
      </c>
      <c r="B119" s="1350"/>
      <c r="C119" s="1350"/>
      <c r="D119" s="1350"/>
      <c r="E119" s="1350"/>
      <c r="F119" s="1350"/>
      <c r="G119" s="1350"/>
      <c r="H119" s="1350"/>
    </row>
    <row r="120" spans="1:8">
      <c r="A120" s="1350" t="s">
        <v>884</v>
      </c>
      <c r="B120" s="1350"/>
      <c r="C120" s="1350"/>
      <c r="D120" s="1350"/>
      <c r="E120" s="1350"/>
      <c r="F120" s="1350"/>
      <c r="G120" s="1350"/>
      <c r="H120" s="1350"/>
    </row>
    <row r="121" spans="1:8">
      <c r="A121" s="1355"/>
      <c r="B121" s="1355"/>
      <c r="C121" s="1355"/>
      <c r="D121" s="1355"/>
      <c r="E121" s="1355"/>
      <c r="F121" s="1355"/>
      <c r="G121" s="1355"/>
      <c r="H121" s="1355"/>
    </row>
    <row r="122" spans="1:8">
      <c r="A122" s="1356"/>
      <c r="B122" s="1357" t="s">
        <v>670</v>
      </c>
      <c r="C122" s="1358"/>
      <c r="D122" s="1357" t="s">
        <v>671</v>
      </c>
      <c r="E122" s="1359"/>
      <c r="F122" s="1358"/>
      <c r="G122" s="1357" t="s">
        <v>672</v>
      </c>
      <c r="H122" s="1358"/>
    </row>
    <row r="123" spans="1:8">
      <c r="A123" s="1356" t="s">
        <v>673</v>
      </c>
      <c r="B123" s="1356" t="s">
        <v>141</v>
      </c>
      <c r="C123" s="1356" t="s">
        <v>674</v>
      </c>
      <c r="D123" s="1356" t="s">
        <v>141</v>
      </c>
      <c r="E123" s="1356" t="s">
        <v>675</v>
      </c>
      <c r="F123" s="1356" t="s">
        <v>676</v>
      </c>
      <c r="G123" s="1356" t="s">
        <v>141</v>
      </c>
      <c r="H123" s="1356" t="s">
        <v>677</v>
      </c>
    </row>
    <row r="124" spans="1:8">
      <c r="A124" s="1356" t="s">
        <v>678</v>
      </c>
      <c r="B124" s="1356">
        <v>1189</v>
      </c>
      <c r="C124" s="1360">
        <v>0.38</v>
      </c>
      <c r="D124" s="1356">
        <v>315</v>
      </c>
      <c r="E124" s="1360">
        <v>0.41</v>
      </c>
      <c r="F124" s="1360">
        <v>0.26</v>
      </c>
      <c r="G124" s="1356">
        <v>555</v>
      </c>
      <c r="H124" s="1360">
        <v>0.39</v>
      </c>
    </row>
    <row r="125" spans="1:8">
      <c r="A125" s="1356" t="s">
        <v>679</v>
      </c>
      <c r="B125" s="1356">
        <v>1355</v>
      </c>
      <c r="C125" s="1360">
        <v>0.43</v>
      </c>
      <c r="D125" s="1356">
        <v>364</v>
      </c>
      <c r="E125" s="1360">
        <v>0.47</v>
      </c>
      <c r="F125" s="1360">
        <v>0.27</v>
      </c>
      <c r="G125" s="1356">
        <v>644</v>
      </c>
      <c r="H125" s="1360">
        <v>0.45</v>
      </c>
    </row>
    <row r="126" spans="1:8">
      <c r="A126" s="1356" t="s">
        <v>680</v>
      </c>
      <c r="B126" s="1356">
        <v>53</v>
      </c>
      <c r="C126" s="1360">
        <v>0.02</v>
      </c>
      <c r="D126" s="1356">
        <v>4</v>
      </c>
      <c r="E126" s="1360">
        <v>0.01</v>
      </c>
      <c r="F126" s="1360">
        <v>0.08</v>
      </c>
      <c r="G126" s="1356">
        <v>7</v>
      </c>
      <c r="H126" s="1360">
        <v>0</v>
      </c>
    </row>
    <row r="127" spans="1:8">
      <c r="A127" s="1356" t="s">
        <v>681</v>
      </c>
      <c r="B127" s="1356">
        <v>545</v>
      </c>
      <c r="C127" s="1360">
        <v>0.17</v>
      </c>
      <c r="D127" s="1356">
        <v>84</v>
      </c>
      <c r="E127" s="1360">
        <v>0.11</v>
      </c>
      <c r="F127" s="1360">
        <v>0.15</v>
      </c>
      <c r="G127" s="1356">
        <v>214</v>
      </c>
      <c r="H127" s="1360">
        <v>0.15</v>
      </c>
    </row>
    <row r="128" spans="1:8">
      <c r="A128" s="1356" t="s">
        <v>84</v>
      </c>
      <c r="B128" s="1361">
        <v>3142</v>
      </c>
      <c r="C128" s="1356"/>
      <c r="D128" s="1356">
        <v>767</v>
      </c>
      <c r="E128" s="1356"/>
      <c r="F128" s="1356"/>
      <c r="G128" s="1356">
        <v>1420</v>
      </c>
      <c r="H128" s="1356"/>
    </row>
    <row r="129" spans="1:8">
      <c r="A129" s="1362"/>
      <c r="B129" s="1362"/>
      <c r="C129" s="1362"/>
      <c r="D129" s="1362"/>
      <c r="E129" s="1362"/>
      <c r="F129" s="1362"/>
      <c r="G129" s="1362"/>
      <c r="H129" s="1362"/>
    </row>
    <row r="130" spans="1:8">
      <c r="A130" s="1353" t="s">
        <v>874</v>
      </c>
      <c r="B130" s="1353"/>
      <c r="C130" s="1353"/>
      <c r="D130" s="1353"/>
      <c r="E130" s="1353"/>
      <c r="F130" s="1353"/>
      <c r="G130" s="1353"/>
      <c r="H130" s="1353"/>
    </row>
    <row r="131" spans="1:8">
      <c r="A131" s="1350" t="s">
        <v>875</v>
      </c>
      <c r="B131" s="1350"/>
      <c r="C131" s="1350"/>
      <c r="D131" s="1350"/>
      <c r="E131" s="1350"/>
      <c r="F131" s="1350"/>
      <c r="G131" s="1350"/>
      <c r="H131" s="1350"/>
    </row>
    <row r="132" spans="1:8">
      <c r="A132" s="1350" t="s">
        <v>876</v>
      </c>
      <c r="B132" s="1350"/>
      <c r="C132" s="1350"/>
      <c r="D132" s="1350"/>
      <c r="E132" s="1350"/>
      <c r="F132" s="1350"/>
      <c r="G132" s="1350"/>
      <c r="H132" s="1350"/>
    </row>
    <row r="133" spans="1:8">
      <c r="A133" s="1350" t="s">
        <v>877</v>
      </c>
      <c r="B133" s="1350"/>
      <c r="C133" s="1350"/>
      <c r="D133" s="1350"/>
      <c r="E133" s="1350"/>
      <c r="F133" s="1350"/>
      <c r="G133" s="1350"/>
      <c r="H133" s="1350"/>
    </row>
    <row r="134" spans="1:8">
      <c r="A134" s="1349"/>
      <c r="B134" s="1349"/>
      <c r="C134" s="1349"/>
      <c r="D134" s="1349"/>
      <c r="E134" s="1349"/>
      <c r="F134" s="1349"/>
      <c r="G134" s="1349"/>
      <c r="H134" s="1349"/>
    </row>
    <row r="135" spans="1:8" ht="15.75">
      <c r="A135" s="1351" t="s">
        <v>682</v>
      </c>
      <c r="B135" s="1349"/>
      <c r="C135" s="1349"/>
      <c r="D135" s="1349"/>
      <c r="E135" s="1349"/>
      <c r="F135" s="1349"/>
      <c r="G135" s="1349"/>
      <c r="H135" s="1349"/>
    </row>
    <row r="136" spans="1:8">
      <c r="A136" s="1349"/>
      <c r="B136" s="1349"/>
      <c r="C136" s="1349"/>
      <c r="D136" s="1349"/>
      <c r="E136" s="1349"/>
      <c r="F136" s="1349"/>
      <c r="G136" s="1349"/>
      <c r="H136" s="1349"/>
    </row>
    <row r="137" spans="1:8">
      <c r="A137" s="1350" t="s">
        <v>872</v>
      </c>
      <c r="B137" s="1349"/>
      <c r="C137" s="1349"/>
      <c r="D137" s="1349"/>
      <c r="E137" s="1349"/>
      <c r="F137" s="1349"/>
      <c r="G137" s="1349"/>
      <c r="H137" s="1349"/>
    </row>
    <row r="138" spans="1:8">
      <c r="A138" s="1350" t="s">
        <v>873</v>
      </c>
      <c r="B138" s="1349"/>
      <c r="C138" s="1349"/>
      <c r="D138" s="1349"/>
      <c r="E138" s="1349"/>
      <c r="F138" s="1349"/>
      <c r="G138" s="1349"/>
      <c r="H138" s="1349"/>
    </row>
    <row r="139" spans="1:8">
      <c r="A139" s="1349"/>
      <c r="B139" s="1349"/>
      <c r="C139" s="1349"/>
      <c r="D139" s="1349"/>
      <c r="E139" s="1349"/>
      <c r="F139" s="1349"/>
      <c r="G139" s="1349"/>
      <c r="H139" s="1349"/>
    </row>
    <row r="140" spans="1:8">
      <c r="A140" s="1350" t="s">
        <v>869</v>
      </c>
      <c r="B140" s="1349"/>
      <c r="C140" s="1349"/>
      <c r="D140" s="1349"/>
      <c r="E140" s="1349"/>
      <c r="F140" s="1349"/>
      <c r="G140" s="1349"/>
      <c r="H140" s="1349"/>
    </row>
    <row r="141" spans="1:8">
      <c r="A141" s="1350" t="s">
        <v>870</v>
      </c>
      <c r="B141" s="1349"/>
      <c r="C141" s="1349"/>
      <c r="D141" s="1349"/>
      <c r="E141" s="1349"/>
      <c r="F141" s="1349"/>
      <c r="G141" s="1349"/>
      <c r="H141" s="1349"/>
    </row>
    <row r="142" spans="1:8">
      <c r="A142" s="1350" t="s">
        <v>871</v>
      </c>
      <c r="B142" s="1349"/>
      <c r="C142" s="1349"/>
      <c r="D142" s="1349"/>
      <c r="E142" s="1349"/>
      <c r="F142" s="1349"/>
      <c r="G142" s="1349"/>
      <c r="H142" s="1349"/>
    </row>
    <row r="143" spans="1:8">
      <c r="A143" s="1349"/>
      <c r="B143" s="1349"/>
      <c r="C143" s="1349"/>
      <c r="D143" s="1349"/>
      <c r="E143" s="1349"/>
      <c r="F143" s="1349"/>
      <c r="G143" s="1349"/>
      <c r="H143" s="1349"/>
    </row>
    <row r="144" spans="1:8">
      <c r="A144" s="1350" t="s">
        <v>866</v>
      </c>
      <c r="B144" s="1349"/>
      <c r="C144" s="1349"/>
      <c r="D144" s="1349"/>
      <c r="E144" s="1349"/>
      <c r="F144" s="1349"/>
      <c r="G144" s="1349"/>
      <c r="H144" s="1349"/>
    </row>
    <row r="145" spans="1:8">
      <c r="A145" s="1350" t="s">
        <v>867</v>
      </c>
      <c r="B145" s="1349"/>
      <c r="C145" s="1349"/>
      <c r="D145" s="1349"/>
      <c r="E145" s="1349"/>
      <c r="F145" s="1349"/>
      <c r="G145" s="1349"/>
      <c r="H145" s="1349"/>
    </row>
    <row r="146" spans="1:8">
      <c r="A146" s="1350" t="s">
        <v>868</v>
      </c>
      <c r="B146" s="1349"/>
      <c r="C146" s="1349"/>
      <c r="D146" s="1349"/>
      <c r="E146" s="1349"/>
      <c r="F146" s="1349"/>
      <c r="G146" s="1349"/>
      <c r="H146" s="1349"/>
    </row>
    <row r="147" spans="1:8">
      <c r="A147" s="1349"/>
      <c r="B147" s="1349"/>
      <c r="C147" s="1349"/>
      <c r="D147" s="1349"/>
      <c r="E147" s="1349"/>
      <c r="F147" s="1349"/>
      <c r="G147" s="1349"/>
      <c r="H147" s="1349"/>
    </row>
    <row r="148" spans="1:8">
      <c r="A148" s="1350" t="s">
        <v>863</v>
      </c>
      <c r="B148" s="1349"/>
      <c r="C148" s="1349"/>
      <c r="D148" s="1349"/>
      <c r="E148" s="1349"/>
      <c r="F148" s="1349"/>
      <c r="G148" s="1349"/>
      <c r="H148" s="1349"/>
    </row>
    <row r="149" spans="1:8">
      <c r="A149" s="1350" t="s">
        <v>864</v>
      </c>
      <c r="B149" s="1349"/>
      <c r="C149" s="1349"/>
      <c r="D149" s="1349"/>
      <c r="E149" s="1349"/>
      <c r="F149" s="1349"/>
      <c r="G149" s="1349"/>
      <c r="H149" s="1349"/>
    </row>
    <row r="150" spans="1:8">
      <c r="A150" s="1350" t="s">
        <v>865</v>
      </c>
      <c r="B150" s="1349"/>
      <c r="C150" s="1349"/>
      <c r="D150" s="1349"/>
      <c r="E150" s="1349"/>
      <c r="F150" s="1349"/>
      <c r="G150" s="1349"/>
      <c r="H150" s="1349"/>
    </row>
    <row r="151" spans="1:8">
      <c r="A151" s="1349"/>
      <c r="B151" s="1349"/>
      <c r="C151" s="1349"/>
      <c r="D151" s="1349"/>
      <c r="E151" s="1349"/>
      <c r="F151" s="1349"/>
      <c r="G151" s="1349"/>
      <c r="H151" s="1349"/>
    </row>
    <row r="152" spans="1:8">
      <c r="A152" s="1350" t="s">
        <v>861</v>
      </c>
      <c r="B152" s="1349"/>
      <c r="C152" s="1349"/>
      <c r="D152" s="1349"/>
      <c r="E152" s="1349"/>
      <c r="F152" s="1349"/>
      <c r="G152" s="1349"/>
      <c r="H152" s="1349"/>
    </row>
    <row r="153" spans="1:8">
      <c r="A153" s="1350" t="s">
        <v>862</v>
      </c>
      <c r="B153" s="1349"/>
      <c r="C153" s="1349"/>
      <c r="D153" s="1349"/>
      <c r="E153" s="1349"/>
      <c r="F153" s="1349"/>
      <c r="G153" s="1349"/>
      <c r="H153" s="1349"/>
    </row>
    <row r="154" spans="1:8">
      <c r="A154" s="1349"/>
      <c r="B154" s="1349"/>
      <c r="C154" s="1349"/>
      <c r="D154" s="1349"/>
      <c r="E154" s="1349"/>
      <c r="F154" s="1349"/>
      <c r="G154" s="1349"/>
      <c r="H154" s="1349"/>
    </row>
    <row r="155" spans="1:8" ht="15.75">
      <c r="A155" s="1351" t="s">
        <v>683</v>
      </c>
      <c r="B155" s="1349"/>
      <c r="C155" s="1349"/>
      <c r="D155" s="1349"/>
      <c r="E155" s="1349"/>
      <c r="F155" s="1349"/>
      <c r="G155" s="1349"/>
      <c r="H155" s="1349"/>
    </row>
    <row r="156" spans="1:8">
      <c r="A156" s="1349"/>
      <c r="B156" s="1349"/>
      <c r="C156" s="1349"/>
      <c r="D156" s="1349"/>
      <c r="E156" s="1349"/>
      <c r="F156" s="1349"/>
      <c r="G156" s="1349"/>
      <c r="H156" s="1349"/>
    </row>
    <row r="157" spans="1:8">
      <c r="A157" s="1350" t="s">
        <v>859</v>
      </c>
      <c r="B157" s="1349"/>
      <c r="C157" s="1349"/>
      <c r="D157" s="1349"/>
      <c r="E157" s="1349"/>
      <c r="F157" s="1349"/>
      <c r="G157" s="1349"/>
      <c r="H157" s="1349"/>
    </row>
    <row r="158" spans="1:8">
      <c r="A158" s="1350" t="s">
        <v>860</v>
      </c>
      <c r="B158" s="1349"/>
      <c r="C158" s="1349"/>
      <c r="D158" s="1349"/>
      <c r="E158" s="1349"/>
      <c r="F158" s="1349"/>
      <c r="G158" s="1349"/>
      <c r="H158" s="1349"/>
    </row>
    <row r="159" spans="1:8">
      <c r="A159" s="1349"/>
      <c r="B159" s="1349"/>
      <c r="C159" s="1349"/>
      <c r="D159" s="1349"/>
      <c r="E159" s="1349"/>
      <c r="F159" s="1349"/>
      <c r="G159" s="1349"/>
      <c r="H159" s="1349"/>
    </row>
    <row r="160" spans="1:8">
      <c r="A160" s="1350" t="s">
        <v>857</v>
      </c>
      <c r="B160" s="1349"/>
      <c r="C160" s="1349"/>
      <c r="D160" s="1349"/>
      <c r="E160" s="1349"/>
      <c r="F160" s="1349"/>
      <c r="G160" s="1349"/>
      <c r="H160" s="1349"/>
    </row>
    <row r="161" spans="1:8">
      <c r="A161" s="1350" t="s">
        <v>858</v>
      </c>
      <c r="B161" s="1349"/>
      <c r="C161" s="1349"/>
      <c r="D161" s="1349"/>
      <c r="E161" s="1349"/>
      <c r="F161" s="1349"/>
      <c r="G161" s="1349"/>
      <c r="H161" s="1349"/>
    </row>
    <row r="162" spans="1:8">
      <c r="A162" s="1349"/>
      <c r="B162" s="1349"/>
      <c r="C162" s="1349"/>
      <c r="D162" s="1349"/>
      <c r="E162" s="1349"/>
      <c r="F162" s="1349"/>
      <c r="G162" s="1349"/>
      <c r="H162" s="1349"/>
    </row>
    <row r="163" spans="1:8">
      <c r="A163" s="1350" t="s">
        <v>855</v>
      </c>
      <c r="B163" s="1349"/>
      <c r="C163" s="1349"/>
      <c r="D163" s="1349"/>
      <c r="E163" s="1349"/>
      <c r="F163" s="1349"/>
      <c r="G163" s="1349"/>
      <c r="H163" s="1349"/>
    </row>
    <row r="164" spans="1:8">
      <c r="A164" s="1350" t="s">
        <v>856</v>
      </c>
      <c r="B164" s="1349"/>
      <c r="C164" s="1349"/>
      <c r="D164" s="1349"/>
      <c r="E164" s="1349"/>
      <c r="F164" s="1349"/>
      <c r="G164" s="1349"/>
      <c r="H164" s="1349"/>
    </row>
    <row r="165" spans="1:8">
      <c r="A165" s="1349"/>
      <c r="B165" s="1349"/>
      <c r="C165" s="1349"/>
      <c r="D165" s="1349"/>
      <c r="E165" s="1349"/>
      <c r="F165" s="1349"/>
      <c r="G165" s="1349"/>
      <c r="H165" s="1349"/>
    </row>
    <row r="166" spans="1:8">
      <c r="A166" s="1350" t="s">
        <v>852</v>
      </c>
      <c r="B166" s="1349"/>
      <c r="C166" s="1349"/>
      <c r="D166" s="1349"/>
      <c r="E166" s="1349"/>
      <c r="F166" s="1349"/>
      <c r="G166" s="1349"/>
      <c r="H166" s="1349"/>
    </row>
    <row r="167" spans="1:8">
      <c r="A167" s="1350" t="s">
        <v>853</v>
      </c>
      <c r="B167" s="1349"/>
      <c r="C167" s="1349"/>
      <c r="D167" s="1349"/>
      <c r="E167" s="1349"/>
      <c r="F167" s="1349"/>
      <c r="G167" s="1349"/>
      <c r="H167" s="1349"/>
    </row>
    <row r="168" spans="1:8">
      <c r="A168" s="1350" t="s">
        <v>854</v>
      </c>
      <c r="B168" s="1349"/>
      <c r="C168" s="1349"/>
      <c r="D168" s="1349"/>
      <c r="E168" s="1349"/>
      <c r="F168" s="1349"/>
      <c r="G168" s="1349"/>
      <c r="H168" s="1349"/>
    </row>
    <row r="169" spans="1:8">
      <c r="A169" s="1349"/>
      <c r="B169" s="1349"/>
      <c r="C169" s="1349"/>
      <c r="D169" s="1349"/>
      <c r="E169" s="1349"/>
      <c r="F169" s="1349"/>
      <c r="G169" s="1349"/>
      <c r="H169" s="1349"/>
    </row>
    <row r="170" spans="1:8">
      <c r="A170" s="1349"/>
      <c r="B170" s="1349"/>
      <c r="C170" s="1349"/>
      <c r="D170" s="1349"/>
      <c r="E170" s="1349"/>
      <c r="F170" s="1349"/>
      <c r="G170" s="1349"/>
      <c r="H170" s="1349"/>
    </row>
    <row r="171" spans="1:8">
      <c r="A171" s="1350" t="s">
        <v>684</v>
      </c>
      <c r="B171" s="1349"/>
      <c r="C171" s="1349"/>
      <c r="D171" s="1349"/>
      <c r="E171" s="1349"/>
      <c r="F171" s="1349"/>
      <c r="G171" s="1349"/>
      <c r="H171" s="1349"/>
    </row>
    <row r="172" spans="1:8">
      <c r="A172" s="1349"/>
      <c r="B172" s="1349"/>
      <c r="C172" s="1349"/>
      <c r="D172" s="1349"/>
      <c r="E172" s="1349"/>
      <c r="F172" s="1349"/>
      <c r="G172" s="1349"/>
      <c r="H172" s="1349"/>
    </row>
    <row r="173" spans="1:8" ht="15.75">
      <c r="A173" s="1351" t="s">
        <v>685</v>
      </c>
      <c r="B173" s="1349"/>
      <c r="C173" s="1349"/>
      <c r="D173" s="1349"/>
      <c r="E173" s="1349"/>
      <c r="F173" s="1349"/>
      <c r="G173" s="1349"/>
      <c r="H173" s="1349"/>
    </row>
    <row r="174" spans="1:8">
      <c r="A174" s="1349"/>
      <c r="B174" s="1349"/>
      <c r="C174" s="1349"/>
      <c r="D174" s="1349"/>
      <c r="E174" s="1349"/>
      <c r="F174" s="1349"/>
      <c r="G174" s="1349"/>
      <c r="H174" s="1349"/>
    </row>
    <row r="175" spans="1:8">
      <c r="A175" s="1349"/>
      <c r="B175" s="1349"/>
      <c r="C175" s="1349"/>
      <c r="D175" s="1349"/>
      <c r="E175" s="1349"/>
      <c r="F175" s="1349"/>
      <c r="G175" s="1349"/>
      <c r="H175" s="1349"/>
    </row>
    <row r="176" spans="1:8">
      <c r="A176" s="1349"/>
      <c r="B176" s="1349"/>
      <c r="C176" s="1349"/>
      <c r="D176" s="1349"/>
      <c r="E176" s="1349"/>
      <c r="F176" s="1349"/>
      <c r="G176" s="1349"/>
      <c r="H176" s="1349"/>
    </row>
    <row r="177" spans="1:8">
      <c r="A177" s="1349"/>
      <c r="B177" s="1349"/>
      <c r="C177" s="1349"/>
      <c r="D177" s="1349"/>
      <c r="E177" s="1349"/>
      <c r="F177" s="1349"/>
      <c r="G177" s="1349"/>
      <c r="H177" s="1349"/>
    </row>
    <row r="178" spans="1:8">
      <c r="A178" s="1349"/>
      <c r="B178" s="1349"/>
      <c r="C178" s="1349"/>
      <c r="D178" s="1349"/>
      <c r="E178" s="1349"/>
      <c r="F178" s="1349"/>
      <c r="G178" s="1349"/>
      <c r="H178" s="1349"/>
    </row>
    <row r="179" spans="1:8">
      <c r="A179" s="1349"/>
      <c r="B179" s="1349"/>
      <c r="C179" s="1349"/>
      <c r="D179" s="1349"/>
      <c r="E179" s="1349"/>
      <c r="F179" s="1349"/>
      <c r="G179" s="1349"/>
      <c r="H179" s="1349"/>
    </row>
    <row r="180" spans="1:8">
      <c r="A180" s="1349"/>
      <c r="B180" s="1349"/>
      <c r="C180" s="1349"/>
      <c r="D180" s="1349"/>
      <c r="E180" s="1349"/>
      <c r="F180" s="1349"/>
      <c r="G180" s="1349"/>
      <c r="H180" s="1349"/>
    </row>
    <row r="181" spans="1:8">
      <c r="A181" s="1349"/>
      <c r="B181" s="1349"/>
      <c r="C181" s="1349"/>
      <c r="D181" s="1349"/>
      <c r="E181" s="1349"/>
      <c r="F181" s="1349"/>
      <c r="G181" s="1349"/>
      <c r="H181" s="1349"/>
    </row>
    <row r="182" spans="1:8">
      <c r="A182" s="1349"/>
      <c r="B182" s="1349"/>
      <c r="C182" s="1349"/>
      <c r="D182" s="1349"/>
      <c r="E182" s="1349"/>
      <c r="F182" s="1349"/>
      <c r="G182" s="1349"/>
      <c r="H182" s="1349"/>
    </row>
    <row r="183" spans="1:8">
      <c r="A183" s="1349"/>
      <c r="B183" s="1349"/>
      <c r="C183" s="1349"/>
      <c r="D183" s="1349"/>
      <c r="E183" s="1349"/>
      <c r="F183" s="1349"/>
      <c r="G183" s="1349"/>
      <c r="H183" s="1349"/>
    </row>
    <row r="184" spans="1:8">
      <c r="A184" s="1349"/>
      <c r="B184" s="1349"/>
      <c r="C184" s="1349"/>
      <c r="D184" s="1349"/>
      <c r="E184" s="1349"/>
      <c r="F184" s="1349"/>
      <c r="G184" s="1349"/>
      <c r="H184" s="1349"/>
    </row>
    <row r="185" spans="1:8">
      <c r="A185" s="1349"/>
      <c r="B185" s="1349"/>
      <c r="C185" s="1349"/>
      <c r="D185" s="1349"/>
      <c r="E185" s="1349"/>
      <c r="F185" s="1349"/>
      <c r="G185" s="1349"/>
      <c r="H185" s="1349"/>
    </row>
    <row r="186" spans="1:8">
      <c r="A186" s="1349"/>
      <c r="B186" s="1349"/>
      <c r="C186" s="1349"/>
      <c r="D186" s="1349"/>
      <c r="E186" s="1349"/>
      <c r="F186" s="1349"/>
      <c r="G186" s="1349"/>
      <c r="H186" s="1349"/>
    </row>
    <row r="187" spans="1:8">
      <c r="A187" s="1349"/>
      <c r="B187" s="1349"/>
      <c r="C187" s="1349"/>
      <c r="D187" s="1349"/>
      <c r="E187" s="1349"/>
      <c r="F187" s="1349"/>
      <c r="G187" s="1349"/>
      <c r="H187" s="1349"/>
    </row>
    <row r="188" spans="1:8">
      <c r="A188" s="1349"/>
      <c r="B188" s="1349"/>
      <c r="C188" s="1349"/>
      <c r="D188" s="1349"/>
      <c r="E188" s="1349"/>
      <c r="F188" s="1349"/>
      <c r="G188" s="1349"/>
      <c r="H188" s="1349"/>
    </row>
    <row r="189" spans="1:8">
      <c r="A189" s="1349"/>
      <c r="B189" s="1349"/>
      <c r="C189" s="1349"/>
      <c r="D189" s="1349"/>
      <c r="E189" s="1349"/>
      <c r="F189" s="1349"/>
      <c r="G189" s="1349"/>
      <c r="H189" s="1349"/>
    </row>
    <row r="190" spans="1:8">
      <c r="A190" s="1349"/>
      <c r="B190" s="1349"/>
      <c r="C190" s="1349"/>
      <c r="D190" s="1349"/>
      <c r="E190" s="1349"/>
      <c r="F190" s="1349"/>
      <c r="G190" s="1349"/>
      <c r="H190" s="1349"/>
    </row>
    <row r="191" spans="1:8">
      <c r="A191" s="1349"/>
      <c r="B191" s="1349"/>
      <c r="C191" s="1349"/>
      <c r="D191" s="1349"/>
      <c r="E191" s="1349"/>
      <c r="F191" s="1349"/>
      <c r="G191" s="1349"/>
      <c r="H191" s="1349"/>
    </row>
    <row r="192" spans="1:8">
      <c r="A192" s="1349"/>
      <c r="B192" s="1349"/>
      <c r="C192" s="1349"/>
      <c r="D192" s="1349"/>
      <c r="E192" s="1349"/>
      <c r="F192" s="1349"/>
      <c r="G192" s="1349"/>
      <c r="H192" s="1349"/>
    </row>
    <row r="193" spans="1:8">
      <c r="A193" s="1349"/>
      <c r="B193" s="1349"/>
      <c r="C193" s="1349"/>
      <c r="D193" s="1349"/>
      <c r="E193" s="1349"/>
      <c r="F193" s="1349"/>
      <c r="G193" s="1349"/>
      <c r="H193" s="1349"/>
    </row>
    <row r="194" spans="1:8">
      <c r="A194" s="1349"/>
      <c r="B194" s="1349"/>
      <c r="C194" s="1349"/>
      <c r="D194" s="1349"/>
      <c r="E194" s="1349"/>
      <c r="F194" s="1349"/>
      <c r="G194" s="1349"/>
      <c r="H194" s="1349"/>
    </row>
    <row r="195" spans="1:8">
      <c r="A195" s="1349"/>
      <c r="B195" s="1349"/>
      <c r="C195" s="1349"/>
      <c r="D195" s="1349"/>
      <c r="E195" s="1349"/>
      <c r="F195" s="1349"/>
      <c r="G195" s="1349"/>
      <c r="H195" s="1349"/>
    </row>
    <row r="196" spans="1:8">
      <c r="A196" s="1349"/>
      <c r="B196" s="1349"/>
      <c r="C196" s="1349"/>
      <c r="D196" s="1349"/>
      <c r="E196" s="1349"/>
      <c r="F196" s="1349"/>
      <c r="G196" s="1349"/>
      <c r="H196" s="1349"/>
    </row>
    <row r="197" spans="1:8">
      <c r="A197" s="1349"/>
      <c r="B197" s="1349"/>
      <c r="C197" s="1349"/>
      <c r="D197" s="1349"/>
      <c r="E197" s="1349"/>
      <c r="F197" s="1349"/>
      <c r="G197" s="1349"/>
      <c r="H197" s="1349"/>
    </row>
    <row r="198" spans="1:8">
      <c r="A198" s="1349"/>
      <c r="B198" s="1349"/>
      <c r="C198" s="1349"/>
      <c r="D198" s="1349"/>
      <c r="E198" s="1349"/>
      <c r="F198" s="1349"/>
      <c r="G198" s="1349"/>
      <c r="H198" s="1349"/>
    </row>
    <row r="199" spans="1:8">
      <c r="A199" s="1349"/>
      <c r="B199" s="1349"/>
      <c r="C199" s="1349"/>
      <c r="D199" s="1349"/>
      <c r="E199" s="1349"/>
      <c r="F199" s="1349"/>
      <c r="G199" s="1349"/>
      <c r="H199" s="1349"/>
    </row>
    <row r="200" spans="1:8" ht="15.75">
      <c r="A200" s="1351" t="s">
        <v>686</v>
      </c>
      <c r="B200" s="1349"/>
      <c r="C200" s="1349"/>
      <c r="D200" s="1349"/>
      <c r="E200" s="1349"/>
      <c r="F200" s="1349"/>
      <c r="G200" s="1349"/>
      <c r="H200" s="1349"/>
    </row>
    <row r="201" spans="1:8">
      <c r="A201" s="1349"/>
      <c r="B201" s="1349"/>
      <c r="C201" s="1349"/>
      <c r="D201" s="1349"/>
      <c r="E201" s="1349"/>
      <c r="F201" s="1349"/>
      <c r="G201" s="1349"/>
      <c r="H201" s="1349"/>
    </row>
    <row r="202" spans="1:8">
      <c r="A202" s="1350" t="s">
        <v>847</v>
      </c>
      <c r="B202" s="1349"/>
      <c r="C202" s="1349"/>
      <c r="D202" s="1349"/>
      <c r="E202" s="1349"/>
      <c r="F202" s="1349"/>
      <c r="G202" s="1349"/>
      <c r="H202" s="1349"/>
    </row>
    <row r="203" spans="1:8">
      <c r="A203" s="1350" t="s">
        <v>848</v>
      </c>
      <c r="B203" s="1349"/>
      <c r="C203" s="1349"/>
      <c r="D203" s="1349"/>
      <c r="E203" s="1349"/>
      <c r="F203" s="1349"/>
      <c r="G203" s="1349"/>
      <c r="H203" s="1349"/>
    </row>
    <row r="204" spans="1:8">
      <c r="A204" s="1350" t="s">
        <v>849</v>
      </c>
      <c r="B204" s="1349"/>
      <c r="C204" s="1349"/>
      <c r="D204" s="1349"/>
      <c r="E204" s="1349"/>
      <c r="F204" s="1349"/>
      <c r="G204" s="1349"/>
      <c r="H204" s="1349"/>
    </row>
    <row r="205" spans="1:8">
      <c r="A205" s="1350" t="s">
        <v>850</v>
      </c>
      <c r="B205" s="1349"/>
      <c r="C205" s="1349"/>
      <c r="D205" s="1349"/>
      <c r="E205" s="1349"/>
      <c r="F205" s="1349"/>
      <c r="G205" s="1349"/>
      <c r="H205" s="1349"/>
    </row>
    <row r="206" spans="1:8">
      <c r="A206" s="1350" t="s">
        <v>851</v>
      </c>
      <c r="B206" s="1349"/>
      <c r="C206" s="1349"/>
      <c r="D206" s="1349"/>
      <c r="E206" s="1349"/>
      <c r="F206" s="1349"/>
      <c r="G206" s="1349"/>
      <c r="H206" s="1349"/>
    </row>
    <row r="207" spans="1:8">
      <c r="A207" s="1349"/>
      <c r="B207" s="1349"/>
      <c r="C207" s="1349"/>
      <c r="D207" s="1349"/>
      <c r="E207" s="1349"/>
      <c r="F207" s="1349"/>
      <c r="G207" s="1349"/>
      <c r="H207" s="1349"/>
    </row>
    <row r="208" spans="1:8">
      <c r="A208" s="1350" t="s">
        <v>844</v>
      </c>
      <c r="B208" s="1349"/>
      <c r="C208" s="1349"/>
      <c r="D208" s="1349"/>
      <c r="E208" s="1349"/>
      <c r="F208" s="1349"/>
      <c r="G208" s="1349"/>
      <c r="H208" s="1349"/>
    </row>
    <row r="209" spans="1:8">
      <c r="A209" s="1350" t="s">
        <v>845</v>
      </c>
      <c r="B209" s="1349"/>
      <c r="C209" s="1349"/>
      <c r="D209" s="1349"/>
      <c r="E209" s="1349"/>
      <c r="F209" s="1349"/>
      <c r="G209" s="1349"/>
      <c r="H209" s="1349"/>
    </row>
    <row r="210" spans="1:8">
      <c r="A210" s="1350" t="s">
        <v>846</v>
      </c>
      <c r="B210" s="1349"/>
      <c r="C210" s="1349"/>
      <c r="D210" s="1349"/>
      <c r="E210" s="1349"/>
      <c r="F210" s="1349"/>
      <c r="G210" s="1349"/>
      <c r="H210" s="1349"/>
    </row>
    <row r="211" spans="1:8" ht="15.75">
      <c r="A211" s="1351" t="s">
        <v>687</v>
      </c>
      <c r="B211" s="1349"/>
      <c r="C211" s="1349"/>
      <c r="D211" s="1349"/>
      <c r="E211" s="1349"/>
      <c r="F211" s="1349"/>
      <c r="G211" s="1349"/>
      <c r="H211" s="1349"/>
    </row>
    <row r="212" spans="1:8">
      <c r="A212" s="1349"/>
      <c r="B212" s="1349"/>
      <c r="C212" s="1349"/>
      <c r="D212" s="1349"/>
      <c r="E212" s="1349"/>
      <c r="F212" s="1349"/>
      <c r="G212" s="1349"/>
      <c r="H212" s="1349"/>
    </row>
    <row r="213" spans="1:8">
      <c r="A213" s="1350" t="s">
        <v>842</v>
      </c>
      <c r="B213" s="1349"/>
      <c r="C213" s="1349"/>
      <c r="D213" s="1349"/>
      <c r="E213" s="1349"/>
      <c r="F213" s="1349"/>
      <c r="G213" s="1349"/>
      <c r="H213" s="1349"/>
    </row>
    <row r="214" spans="1:8">
      <c r="A214" s="1350" t="s">
        <v>843</v>
      </c>
      <c r="B214" s="1349"/>
      <c r="C214" s="1349"/>
      <c r="D214" s="1349"/>
      <c r="E214" s="1349"/>
      <c r="F214" s="1349"/>
      <c r="G214" s="1349"/>
      <c r="H214" s="1349"/>
    </row>
    <row r="215" spans="1:8">
      <c r="A215" s="1349"/>
      <c r="B215" s="1349"/>
      <c r="C215" s="1349"/>
      <c r="D215" s="1349"/>
      <c r="E215" s="1349"/>
      <c r="F215" s="1349"/>
      <c r="G215" s="1349"/>
      <c r="H215" s="1349"/>
    </row>
    <row r="216" spans="1:8">
      <c r="A216" s="1350" t="s">
        <v>835</v>
      </c>
      <c r="B216" s="1349"/>
      <c r="C216" s="1349"/>
      <c r="D216" s="1349"/>
      <c r="E216" s="1349"/>
      <c r="F216" s="1349"/>
      <c r="G216" s="1349"/>
      <c r="H216" s="1349"/>
    </row>
    <row r="217" spans="1:8">
      <c r="A217" s="1350" t="s">
        <v>836</v>
      </c>
      <c r="B217" s="1349"/>
      <c r="C217" s="1349"/>
      <c r="D217" s="1349"/>
      <c r="E217" s="1349"/>
      <c r="F217" s="1349"/>
      <c r="G217" s="1349"/>
      <c r="H217" s="1349"/>
    </row>
    <row r="218" spans="1:8">
      <c r="A218" s="1350" t="s">
        <v>837</v>
      </c>
      <c r="B218" s="1349"/>
      <c r="C218" s="1349"/>
      <c r="D218" s="1349"/>
      <c r="E218" s="1349"/>
      <c r="F218" s="1349"/>
      <c r="G218" s="1349"/>
      <c r="H218" s="1349"/>
    </row>
    <row r="219" spans="1:8">
      <c r="A219" s="1350" t="s">
        <v>838</v>
      </c>
      <c r="B219" s="1349"/>
      <c r="C219" s="1349"/>
      <c r="D219" s="1349"/>
      <c r="E219" s="1349"/>
      <c r="F219" s="1349"/>
      <c r="G219" s="1349"/>
      <c r="H219" s="1349"/>
    </row>
    <row r="220" spans="1:8">
      <c r="A220" s="1350" t="s">
        <v>839</v>
      </c>
      <c r="B220" s="1349"/>
      <c r="C220" s="1349"/>
      <c r="D220" s="1349"/>
      <c r="E220" s="1349"/>
      <c r="F220" s="1349"/>
      <c r="G220" s="1349"/>
      <c r="H220" s="1349"/>
    </row>
    <row r="221" spans="1:8">
      <c r="A221" s="1350" t="s">
        <v>840</v>
      </c>
      <c r="B221" s="1349"/>
      <c r="C221" s="1349"/>
      <c r="D221" s="1349"/>
      <c r="E221" s="1349"/>
      <c r="F221" s="1349"/>
      <c r="G221" s="1349"/>
      <c r="H221" s="1349"/>
    </row>
    <row r="222" spans="1:8">
      <c r="A222" s="1350" t="s">
        <v>841</v>
      </c>
      <c r="B222" s="1349"/>
      <c r="C222" s="1349"/>
      <c r="D222" s="1349"/>
      <c r="E222" s="1349"/>
      <c r="F222" s="1349"/>
      <c r="G222" s="1349"/>
      <c r="H222" s="1349"/>
    </row>
    <row r="223" spans="1:8">
      <c r="A223" s="1349"/>
      <c r="B223" s="1349"/>
      <c r="C223" s="1349"/>
      <c r="D223" s="1349"/>
      <c r="E223" s="1349"/>
      <c r="F223" s="1349"/>
      <c r="G223" s="1349"/>
      <c r="H223" s="1349"/>
    </row>
    <row r="224" spans="1:8">
      <c r="A224" s="1350" t="s">
        <v>832</v>
      </c>
      <c r="B224" s="1349"/>
      <c r="C224" s="1349"/>
      <c r="D224" s="1349"/>
      <c r="E224" s="1349"/>
      <c r="F224" s="1349"/>
      <c r="G224" s="1349"/>
      <c r="H224" s="1349"/>
    </row>
    <row r="225" spans="1:8">
      <c r="A225" s="1350" t="s">
        <v>833</v>
      </c>
      <c r="B225" s="1349"/>
      <c r="C225" s="1349"/>
      <c r="D225" s="1349"/>
      <c r="E225" s="1349"/>
      <c r="F225" s="1349"/>
      <c r="G225" s="1349"/>
      <c r="H225" s="1349"/>
    </row>
    <row r="226" spans="1:8">
      <c r="A226" s="1350" t="s">
        <v>834</v>
      </c>
      <c r="B226" s="1349"/>
      <c r="C226" s="1349"/>
      <c r="D226" s="1349"/>
      <c r="E226" s="1349"/>
      <c r="F226" s="1349"/>
      <c r="G226" s="1349"/>
      <c r="H226" s="1349"/>
    </row>
    <row r="227" spans="1:8">
      <c r="A227" s="1349"/>
      <c r="B227" s="1349"/>
      <c r="C227" s="1349"/>
      <c r="D227" s="1349"/>
      <c r="E227" s="1349"/>
      <c r="F227" s="1349"/>
      <c r="G227" s="1349"/>
      <c r="H227" s="1349"/>
    </row>
    <row r="228" spans="1:8">
      <c r="A228" s="1350" t="s">
        <v>827</v>
      </c>
      <c r="B228" s="1349"/>
      <c r="C228" s="1349"/>
      <c r="D228" s="1349"/>
      <c r="E228" s="1349"/>
      <c r="F228" s="1349"/>
      <c r="G228" s="1349"/>
      <c r="H228" s="1349"/>
    </row>
    <row r="229" spans="1:8">
      <c r="A229" s="1350" t="s">
        <v>828</v>
      </c>
      <c r="B229" s="1349"/>
      <c r="C229" s="1349"/>
      <c r="D229" s="1349"/>
      <c r="E229" s="1349"/>
      <c r="F229" s="1349"/>
      <c r="G229" s="1349"/>
      <c r="H229" s="1349"/>
    </row>
    <row r="230" spans="1:8">
      <c r="A230" s="1350" t="s">
        <v>829</v>
      </c>
      <c r="B230" s="1349"/>
      <c r="C230" s="1349"/>
      <c r="D230" s="1349"/>
      <c r="E230" s="1349"/>
      <c r="F230" s="1349"/>
      <c r="G230" s="1349"/>
      <c r="H230" s="1349"/>
    </row>
    <row r="231" spans="1:8">
      <c r="A231" s="1350" t="s">
        <v>830</v>
      </c>
      <c r="B231" s="1349"/>
      <c r="C231" s="1349"/>
      <c r="D231" s="1349"/>
      <c r="E231" s="1349"/>
      <c r="F231" s="1349"/>
      <c r="G231" s="1349"/>
      <c r="H231" s="1349"/>
    </row>
    <row r="232" spans="1:8">
      <c r="A232" s="1350" t="s">
        <v>831</v>
      </c>
      <c r="B232" s="1349"/>
      <c r="C232" s="1349"/>
      <c r="D232" s="1349"/>
      <c r="E232" s="1349"/>
      <c r="F232" s="1349"/>
      <c r="G232" s="1349"/>
      <c r="H232" s="1349"/>
    </row>
    <row r="233" spans="1:8">
      <c r="A233" s="1349"/>
      <c r="B233" s="1349"/>
      <c r="C233" s="1349"/>
      <c r="D233" s="1349"/>
      <c r="E233" s="1349"/>
      <c r="F233" s="1349"/>
      <c r="G233" s="1349"/>
      <c r="H233" s="1349"/>
    </row>
    <row r="234" spans="1:8">
      <c r="A234" s="1350" t="s">
        <v>821</v>
      </c>
      <c r="B234" s="1349"/>
      <c r="C234" s="1349"/>
      <c r="D234" s="1349"/>
      <c r="E234" s="1349"/>
      <c r="F234" s="1349"/>
      <c r="G234" s="1349"/>
      <c r="H234" s="1349"/>
    </row>
    <row r="235" spans="1:8">
      <c r="A235" s="1350" t="s">
        <v>822</v>
      </c>
      <c r="B235" s="1349"/>
      <c r="C235" s="1349"/>
      <c r="D235" s="1349"/>
      <c r="E235" s="1349"/>
      <c r="F235" s="1349"/>
      <c r="G235" s="1349"/>
      <c r="H235" s="1349"/>
    </row>
    <row r="236" spans="1:8">
      <c r="A236" s="1350" t="s">
        <v>823</v>
      </c>
      <c r="B236" s="1349"/>
      <c r="C236" s="1349"/>
      <c r="D236" s="1349"/>
      <c r="E236" s="1349"/>
      <c r="F236" s="1349"/>
      <c r="G236" s="1349"/>
      <c r="H236" s="1349"/>
    </row>
    <row r="237" spans="1:8">
      <c r="A237" s="1350" t="s">
        <v>824</v>
      </c>
      <c r="B237" s="1349"/>
      <c r="C237" s="1349"/>
      <c r="D237" s="1349"/>
      <c r="E237" s="1349"/>
      <c r="F237" s="1349"/>
      <c r="G237" s="1349"/>
      <c r="H237" s="1349"/>
    </row>
    <row r="238" spans="1:8">
      <c r="A238" s="1350" t="s">
        <v>825</v>
      </c>
      <c r="B238" s="1349"/>
      <c r="C238" s="1349"/>
      <c r="D238" s="1349"/>
      <c r="E238" s="1349"/>
      <c r="F238" s="1349"/>
      <c r="G238" s="1349"/>
      <c r="H238" s="1349"/>
    </row>
    <row r="239" spans="1:8">
      <c r="A239" s="1350" t="s">
        <v>826</v>
      </c>
      <c r="B239" s="1349"/>
      <c r="C239" s="1349"/>
      <c r="D239" s="1349"/>
      <c r="E239" s="1349"/>
      <c r="F239" s="1349"/>
      <c r="G239" s="1349"/>
      <c r="H239" s="1349"/>
    </row>
    <row r="240" spans="1:8">
      <c r="A240" s="1349"/>
      <c r="B240" s="1349"/>
      <c r="C240" s="1349"/>
      <c r="D240" s="1349"/>
      <c r="E240" s="1349"/>
      <c r="F240" s="1349"/>
      <c r="G240" s="1349"/>
      <c r="H240" s="1349"/>
    </row>
    <row r="241" spans="1:8">
      <c r="A241" s="1350" t="s">
        <v>811</v>
      </c>
      <c r="B241" s="1349"/>
      <c r="C241" s="1349"/>
      <c r="D241" s="1349"/>
      <c r="E241" s="1349"/>
      <c r="F241" s="1349"/>
      <c r="G241" s="1349"/>
      <c r="H241" s="1349"/>
    </row>
    <row r="242" spans="1:8">
      <c r="A242" s="1350" t="s">
        <v>812</v>
      </c>
      <c r="B242" s="1349"/>
      <c r="C242" s="1349"/>
      <c r="D242" s="1349"/>
      <c r="E242" s="1349"/>
      <c r="F242" s="1349"/>
      <c r="G242" s="1349"/>
      <c r="H242" s="1349"/>
    </row>
    <row r="243" spans="1:8">
      <c r="A243" s="1350" t="s">
        <v>813</v>
      </c>
      <c r="B243" s="1349"/>
      <c r="C243" s="1349"/>
      <c r="D243" s="1349"/>
      <c r="E243" s="1349"/>
      <c r="F243" s="1349"/>
      <c r="G243" s="1349"/>
      <c r="H243" s="1349"/>
    </row>
    <row r="244" spans="1:8">
      <c r="A244" s="1350" t="s">
        <v>814</v>
      </c>
      <c r="B244" s="1349"/>
      <c r="C244" s="1349"/>
      <c r="D244" s="1349"/>
      <c r="E244" s="1349"/>
      <c r="F244" s="1349"/>
      <c r="G244" s="1349"/>
      <c r="H244" s="1349"/>
    </row>
    <row r="245" spans="1:8">
      <c r="A245" s="1350" t="s">
        <v>815</v>
      </c>
      <c r="B245" s="1349"/>
      <c r="C245" s="1349"/>
      <c r="D245" s="1349"/>
      <c r="E245" s="1349"/>
      <c r="F245" s="1349"/>
      <c r="G245" s="1349"/>
      <c r="H245" s="1349"/>
    </row>
    <row r="246" spans="1:8">
      <c r="A246" s="1350" t="s">
        <v>816</v>
      </c>
      <c r="B246" s="1349"/>
      <c r="C246" s="1349"/>
      <c r="D246" s="1349"/>
      <c r="E246" s="1349"/>
      <c r="F246" s="1349"/>
      <c r="G246" s="1349"/>
      <c r="H246" s="1349"/>
    </row>
    <row r="247" spans="1:8">
      <c r="A247" s="1350" t="s">
        <v>817</v>
      </c>
      <c r="B247" s="1349"/>
      <c r="C247" s="1349"/>
      <c r="D247" s="1349"/>
      <c r="E247" s="1349"/>
      <c r="F247" s="1349"/>
      <c r="G247" s="1349"/>
      <c r="H247" s="1349"/>
    </row>
    <row r="248" spans="1:8">
      <c r="A248" s="1350" t="s">
        <v>818</v>
      </c>
      <c r="B248" s="1349"/>
      <c r="C248" s="1349"/>
      <c r="D248" s="1349"/>
      <c r="E248" s="1349"/>
      <c r="F248" s="1349"/>
      <c r="G248" s="1349"/>
      <c r="H248" s="1349"/>
    </row>
    <row r="249" spans="1:8">
      <c r="A249" s="1350" t="s">
        <v>819</v>
      </c>
      <c r="B249" s="1349"/>
      <c r="C249" s="1349"/>
      <c r="D249" s="1349"/>
      <c r="E249" s="1349"/>
      <c r="F249" s="1349"/>
      <c r="G249" s="1349"/>
      <c r="H249" s="1349"/>
    </row>
    <row r="250" spans="1:8">
      <c r="A250" s="1350" t="s">
        <v>820</v>
      </c>
      <c r="B250" s="1349"/>
      <c r="C250" s="1349"/>
      <c r="D250" s="1349"/>
      <c r="E250" s="1349"/>
      <c r="F250" s="1349"/>
      <c r="G250" s="1349"/>
      <c r="H250" s="1349"/>
    </row>
    <row r="251" spans="1:8">
      <c r="A251" s="1349"/>
      <c r="B251" s="1349"/>
      <c r="C251" s="1349"/>
      <c r="D251" s="1349"/>
      <c r="E251" s="1349"/>
      <c r="F251" s="1349"/>
      <c r="G251" s="1349"/>
      <c r="H251" s="1349"/>
    </row>
    <row r="252" spans="1:8">
      <c r="A252" s="1350" t="s">
        <v>809</v>
      </c>
      <c r="B252" s="1349"/>
      <c r="C252" s="1349"/>
      <c r="D252" s="1349"/>
      <c r="E252" s="1349"/>
      <c r="F252" s="1349"/>
      <c r="G252" s="1349"/>
      <c r="H252" s="1349"/>
    </row>
    <row r="253" spans="1:8">
      <c r="A253" s="1350" t="s">
        <v>810</v>
      </c>
      <c r="B253" s="1349"/>
      <c r="C253" s="1349"/>
      <c r="D253" s="1349"/>
      <c r="E253" s="1349"/>
      <c r="F253" s="1349"/>
      <c r="G253" s="1349"/>
      <c r="H253" s="1349"/>
    </row>
    <row r="254" spans="1:8">
      <c r="A254" s="1349"/>
      <c r="B254" s="1349"/>
      <c r="C254" s="1349"/>
      <c r="D254" s="1349"/>
      <c r="E254" s="1349"/>
      <c r="F254" s="1349"/>
      <c r="G254" s="1349"/>
      <c r="H254" s="1349"/>
    </row>
    <row r="255" spans="1:8">
      <c r="A255" s="1350" t="s">
        <v>793</v>
      </c>
      <c r="B255" s="1349"/>
      <c r="C255" s="1349"/>
      <c r="D255" s="1349"/>
      <c r="E255" s="1349"/>
      <c r="F255" s="1349"/>
      <c r="G255" s="1349"/>
      <c r="H255" s="1349"/>
    </row>
    <row r="256" spans="1:8">
      <c r="A256" s="1350" t="s">
        <v>794</v>
      </c>
      <c r="B256" s="1349"/>
      <c r="C256" s="1349"/>
      <c r="D256" s="1349"/>
      <c r="E256" s="1349"/>
      <c r="F256" s="1349"/>
      <c r="G256" s="1349"/>
      <c r="H256" s="1349"/>
    </row>
    <row r="257" spans="1:8">
      <c r="A257" s="1350" t="s">
        <v>795</v>
      </c>
      <c r="B257" s="1349"/>
      <c r="C257" s="1349"/>
      <c r="D257" s="1349"/>
      <c r="E257" s="1349"/>
      <c r="F257" s="1349"/>
      <c r="G257" s="1349"/>
      <c r="H257" s="1349"/>
    </row>
    <row r="258" spans="1:8">
      <c r="A258" s="1350" t="s">
        <v>796</v>
      </c>
      <c r="B258" s="1349"/>
      <c r="C258" s="1349"/>
      <c r="D258" s="1349"/>
      <c r="E258" s="1349"/>
      <c r="F258" s="1349"/>
      <c r="G258" s="1349"/>
      <c r="H258" s="1349"/>
    </row>
    <row r="259" spans="1:8">
      <c r="A259" s="1350" t="s">
        <v>797</v>
      </c>
      <c r="B259" s="1349"/>
      <c r="C259" s="1349"/>
      <c r="D259" s="1349"/>
      <c r="E259" s="1349"/>
      <c r="F259" s="1349"/>
      <c r="G259" s="1349"/>
      <c r="H259" s="1349"/>
    </row>
    <row r="260" spans="1:8">
      <c r="A260" s="1350" t="s">
        <v>798</v>
      </c>
      <c r="B260" s="1349"/>
      <c r="C260" s="1349"/>
      <c r="D260" s="1349"/>
      <c r="E260" s="1349"/>
      <c r="F260" s="1349"/>
      <c r="G260" s="1349"/>
      <c r="H260" s="1349"/>
    </row>
    <row r="261" spans="1:8">
      <c r="A261" s="1350" t="s">
        <v>799</v>
      </c>
      <c r="B261" s="1349"/>
      <c r="C261" s="1349"/>
      <c r="D261" s="1349"/>
      <c r="E261" s="1349"/>
      <c r="F261" s="1349"/>
      <c r="G261" s="1349"/>
      <c r="H261" s="1349"/>
    </row>
    <row r="262" spans="1:8">
      <c r="A262" s="1350" t="s">
        <v>800</v>
      </c>
      <c r="B262" s="1349"/>
      <c r="C262" s="1349"/>
      <c r="D262" s="1349"/>
      <c r="E262" s="1349"/>
      <c r="F262" s="1349"/>
      <c r="G262" s="1349"/>
      <c r="H262" s="1349"/>
    </row>
    <row r="263" spans="1:8">
      <c r="A263" s="1350" t="s">
        <v>801</v>
      </c>
      <c r="B263" s="1349"/>
      <c r="C263" s="1349"/>
      <c r="D263" s="1349"/>
      <c r="E263" s="1349"/>
      <c r="F263" s="1349"/>
      <c r="G263" s="1349"/>
      <c r="H263" s="1349"/>
    </row>
    <row r="264" spans="1:8">
      <c r="A264" s="1350" t="s">
        <v>802</v>
      </c>
      <c r="B264" s="1349"/>
      <c r="C264" s="1349"/>
      <c r="D264" s="1349"/>
      <c r="E264" s="1349"/>
      <c r="F264" s="1349"/>
      <c r="G264" s="1349"/>
      <c r="H264" s="1349"/>
    </row>
    <row r="265" spans="1:8">
      <c r="A265" s="1350" t="s">
        <v>803</v>
      </c>
      <c r="B265" s="1349"/>
      <c r="C265" s="1349"/>
      <c r="D265" s="1349"/>
      <c r="E265" s="1349"/>
      <c r="F265" s="1349"/>
      <c r="G265" s="1349"/>
      <c r="H265" s="1349"/>
    </row>
    <row r="266" spans="1:8">
      <c r="A266" s="1350" t="s">
        <v>804</v>
      </c>
      <c r="B266" s="1349"/>
      <c r="C266" s="1349"/>
      <c r="D266" s="1349"/>
      <c r="E266" s="1349"/>
      <c r="F266" s="1349"/>
      <c r="G266" s="1349"/>
      <c r="H266" s="1349"/>
    </row>
    <row r="267" spans="1:8">
      <c r="A267" s="1350" t="s">
        <v>805</v>
      </c>
      <c r="B267" s="1349"/>
      <c r="C267" s="1349"/>
      <c r="D267" s="1349"/>
      <c r="E267" s="1349"/>
      <c r="F267" s="1349"/>
      <c r="G267" s="1349"/>
      <c r="H267" s="1349"/>
    </row>
    <row r="268" spans="1:8">
      <c r="A268" s="1350" t="s">
        <v>806</v>
      </c>
      <c r="B268" s="1349"/>
      <c r="C268" s="1349"/>
      <c r="D268" s="1349"/>
      <c r="E268" s="1349"/>
      <c r="F268" s="1349"/>
      <c r="G268" s="1349"/>
      <c r="H268" s="1349"/>
    </row>
    <row r="269" spans="1:8">
      <c r="A269" s="1350" t="s">
        <v>807</v>
      </c>
      <c r="B269" s="1349"/>
      <c r="C269" s="1349"/>
      <c r="D269" s="1349"/>
      <c r="E269" s="1349"/>
      <c r="F269" s="1349"/>
      <c r="G269" s="1349"/>
      <c r="H269" s="1349"/>
    </row>
    <row r="270" spans="1:8">
      <c r="A270" s="1350" t="s">
        <v>808</v>
      </c>
      <c r="B270" s="1349"/>
      <c r="C270" s="1349"/>
      <c r="D270" s="1349"/>
      <c r="E270" s="1349"/>
      <c r="F270" s="1349"/>
      <c r="G270" s="1349"/>
      <c r="H270" s="1349"/>
    </row>
    <row r="271" spans="1:8">
      <c r="A271" s="1349"/>
      <c r="B271" s="1349"/>
      <c r="C271" s="1349"/>
      <c r="D271" s="1349"/>
      <c r="E271" s="1349"/>
      <c r="F271" s="1349"/>
      <c r="G271" s="1349"/>
      <c r="H271" s="1349"/>
    </row>
    <row r="272" spans="1:8">
      <c r="A272" s="1350" t="s">
        <v>786</v>
      </c>
      <c r="B272" s="1349"/>
      <c r="C272" s="1349"/>
      <c r="D272" s="1349"/>
      <c r="E272" s="1349"/>
      <c r="F272" s="1349"/>
      <c r="G272" s="1349"/>
      <c r="H272" s="1349"/>
    </row>
    <row r="273" spans="1:8">
      <c r="A273" s="1350" t="s">
        <v>787</v>
      </c>
      <c r="B273" s="1349"/>
      <c r="C273" s="1349"/>
      <c r="D273" s="1349"/>
      <c r="E273" s="1349"/>
      <c r="F273" s="1349"/>
      <c r="G273" s="1349"/>
      <c r="H273" s="1349"/>
    </row>
    <row r="274" spans="1:8">
      <c r="A274" s="1350" t="s">
        <v>788</v>
      </c>
      <c r="B274" s="1349"/>
      <c r="C274" s="1349"/>
      <c r="D274" s="1349"/>
      <c r="E274" s="1349"/>
      <c r="F274" s="1349"/>
      <c r="G274" s="1349"/>
      <c r="H274" s="1349"/>
    </row>
    <row r="275" spans="1:8">
      <c r="A275" s="1350" t="s">
        <v>789</v>
      </c>
      <c r="B275" s="1349"/>
      <c r="C275" s="1349"/>
      <c r="D275" s="1349"/>
      <c r="E275" s="1349"/>
      <c r="F275" s="1349"/>
      <c r="G275" s="1349"/>
      <c r="H275" s="1349"/>
    </row>
    <row r="276" spans="1:8">
      <c r="A276" s="1350" t="s">
        <v>790</v>
      </c>
      <c r="B276" s="1349"/>
      <c r="C276" s="1349"/>
      <c r="D276" s="1349"/>
      <c r="E276" s="1349"/>
      <c r="F276" s="1349"/>
      <c r="G276" s="1349"/>
      <c r="H276" s="1349"/>
    </row>
    <row r="277" spans="1:8">
      <c r="A277" s="1350" t="s">
        <v>791</v>
      </c>
      <c r="B277" s="1349"/>
      <c r="C277" s="1349"/>
      <c r="D277" s="1349"/>
      <c r="E277" s="1349"/>
      <c r="F277" s="1349"/>
      <c r="G277" s="1349"/>
      <c r="H277" s="1349"/>
    </row>
    <row r="278" spans="1:8">
      <c r="A278" s="1350" t="s">
        <v>792</v>
      </c>
      <c r="B278" s="1349"/>
      <c r="C278" s="1349"/>
      <c r="D278" s="1349"/>
      <c r="E278" s="1349"/>
      <c r="F278" s="1349"/>
      <c r="G278" s="1349"/>
      <c r="H278" s="1349"/>
    </row>
    <row r="279" spans="1:8">
      <c r="A279" s="1349"/>
      <c r="B279" s="1349"/>
      <c r="C279" s="1349"/>
      <c r="D279" s="1349"/>
      <c r="E279" s="1349"/>
      <c r="F279" s="1349"/>
      <c r="G279" s="1349"/>
      <c r="H279" s="1349"/>
    </row>
    <row r="280" spans="1:8">
      <c r="A280" s="1350" t="s">
        <v>777</v>
      </c>
      <c r="B280" s="1349"/>
      <c r="C280" s="1349"/>
      <c r="D280" s="1349"/>
      <c r="E280" s="1349"/>
      <c r="F280" s="1349"/>
      <c r="G280" s="1349"/>
      <c r="H280" s="1349"/>
    </row>
    <row r="281" spans="1:8">
      <c r="A281" s="1350" t="s">
        <v>778</v>
      </c>
      <c r="B281" s="1349"/>
      <c r="C281" s="1349"/>
      <c r="D281" s="1349"/>
      <c r="E281" s="1349"/>
      <c r="F281" s="1349"/>
      <c r="G281" s="1349"/>
      <c r="H281" s="1349"/>
    </row>
    <row r="282" spans="1:8">
      <c r="A282" s="1350" t="s">
        <v>779</v>
      </c>
      <c r="B282" s="1349"/>
      <c r="C282" s="1349"/>
      <c r="D282" s="1349"/>
      <c r="E282" s="1349"/>
      <c r="F282" s="1349"/>
      <c r="G282" s="1349"/>
      <c r="H282" s="1349"/>
    </row>
    <row r="283" spans="1:8">
      <c r="A283" s="1350" t="s">
        <v>780</v>
      </c>
      <c r="B283" s="1349"/>
      <c r="C283" s="1349"/>
      <c r="D283" s="1349"/>
      <c r="E283" s="1349"/>
      <c r="F283" s="1349"/>
      <c r="G283" s="1349"/>
      <c r="H283" s="1349"/>
    </row>
    <row r="284" spans="1:8">
      <c r="A284" s="1350" t="s">
        <v>781</v>
      </c>
      <c r="B284" s="1349"/>
      <c r="C284" s="1349"/>
      <c r="D284" s="1349"/>
      <c r="E284" s="1349"/>
      <c r="F284" s="1349"/>
      <c r="G284" s="1349"/>
      <c r="H284" s="1349"/>
    </row>
    <row r="285" spans="1:8">
      <c r="A285" s="1350" t="s">
        <v>782</v>
      </c>
      <c r="B285" s="1349"/>
      <c r="C285" s="1349"/>
      <c r="D285" s="1349"/>
      <c r="E285" s="1349"/>
      <c r="F285" s="1349"/>
      <c r="G285" s="1349"/>
      <c r="H285" s="1349"/>
    </row>
    <row r="286" spans="1:8">
      <c r="A286" s="1350" t="s">
        <v>783</v>
      </c>
      <c r="B286" s="1349"/>
      <c r="C286" s="1349"/>
      <c r="D286" s="1349"/>
      <c r="E286" s="1349"/>
      <c r="F286" s="1349"/>
      <c r="G286" s="1349"/>
      <c r="H286" s="1349"/>
    </row>
    <row r="287" spans="1:8">
      <c r="A287" s="1350" t="s">
        <v>784</v>
      </c>
      <c r="B287" s="1349"/>
      <c r="C287" s="1349"/>
      <c r="D287" s="1349"/>
      <c r="E287" s="1349"/>
      <c r="F287" s="1349"/>
      <c r="G287" s="1349"/>
      <c r="H287" s="1349"/>
    </row>
    <row r="288" spans="1:8">
      <c r="A288" s="1350" t="s">
        <v>785</v>
      </c>
      <c r="B288" s="1349"/>
      <c r="C288" s="1349"/>
      <c r="D288" s="1349"/>
      <c r="E288" s="1349"/>
      <c r="F288" s="1349"/>
      <c r="G288" s="1349"/>
      <c r="H288" s="1349"/>
    </row>
    <row r="289" spans="1:8">
      <c r="A289" s="1349"/>
      <c r="B289" s="1349"/>
      <c r="C289" s="1349"/>
      <c r="D289" s="1349"/>
      <c r="E289" s="1349"/>
      <c r="F289" s="1349"/>
      <c r="G289" s="1349"/>
      <c r="H289" s="1349"/>
    </row>
    <row r="290" spans="1:8">
      <c r="A290" s="1350" t="s">
        <v>770</v>
      </c>
      <c r="B290" s="1349"/>
      <c r="C290" s="1349"/>
      <c r="D290" s="1349"/>
      <c r="E290" s="1349"/>
      <c r="F290" s="1349"/>
      <c r="G290" s="1349"/>
      <c r="H290" s="1349"/>
    </row>
    <row r="291" spans="1:8">
      <c r="A291" s="1350" t="s">
        <v>771</v>
      </c>
      <c r="B291" s="1349"/>
      <c r="C291" s="1349"/>
      <c r="D291" s="1349"/>
      <c r="E291" s="1349"/>
      <c r="F291" s="1349"/>
      <c r="G291" s="1349"/>
      <c r="H291" s="1349"/>
    </row>
    <row r="292" spans="1:8">
      <c r="A292" s="1350" t="s">
        <v>772</v>
      </c>
      <c r="B292" s="1349"/>
      <c r="C292" s="1349"/>
      <c r="D292" s="1349"/>
      <c r="E292" s="1349"/>
      <c r="F292" s="1349"/>
      <c r="G292" s="1349"/>
      <c r="H292" s="1349"/>
    </row>
    <row r="293" spans="1:8">
      <c r="A293" s="1350" t="s">
        <v>773</v>
      </c>
      <c r="B293" s="1349"/>
      <c r="C293" s="1349"/>
      <c r="D293" s="1349"/>
      <c r="E293" s="1349"/>
      <c r="F293" s="1349"/>
      <c r="G293" s="1349"/>
      <c r="H293" s="1349"/>
    </row>
    <row r="294" spans="1:8">
      <c r="A294" s="1350" t="s">
        <v>774</v>
      </c>
      <c r="B294" s="1349"/>
      <c r="C294" s="1349"/>
      <c r="D294" s="1349"/>
      <c r="E294" s="1349"/>
      <c r="F294" s="1349"/>
      <c r="G294" s="1349"/>
      <c r="H294" s="1349"/>
    </row>
    <row r="295" spans="1:8">
      <c r="A295" s="1350" t="s">
        <v>775</v>
      </c>
      <c r="B295" s="1349"/>
      <c r="C295" s="1349"/>
      <c r="D295" s="1349"/>
      <c r="E295" s="1349"/>
      <c r="F295" s="1349"/>
      <c r="G295" s="1349"/>
      <c r="H295" s="1349"/>
    </row>
    <row r="296" spans="1:8">
      <c r="A296" s="1350" t="s">
        <v>776</v>
      </c>
      <c r="B296" s="1349"/>
      <c r="C296" s="1349"/>
      <c r="D296" s="1349"/>
      <c r="E296" s="1349"/>
      <c r="F296" s="1349"/>
      <c r="G296" s="1349"/>
      <c r="H296" s="1349"/>
    </row>
    <row r="297" spans="1:8">
      <c r="A297" s="1349"/>
      <c r="B297" s="1349"/>
      <c r="C297" s="1349"/>
      <c r="D297" s="1349"/>
      <c r="E297" s="1349"/>
      <c r="F297" s="1349"/>
      <c r="G297" s="1349"/>
      <c r="H297" s="1349"/>
    </row>
    <row r="298" spans="1:8">
      <c r="A298" s="1350" t="s">
        <v>767</v>
      </c>
      <c r="B298" s="1349"/>
      <c r="C298" s="1349"/>
      <c r="D298" s="1349"/>
      <c r="E298" s="1349"/>
      <c r="F298" s="1349"/>
      <c r="G298" s="1349"/>
      <c r="H298" s="1349"/>
    </row>
    <row r="299" spans="1:8">
      <c r="A299" s="1350" t="s">
        <v>768</v>
      </c>
      <c r="B299" s="1349"/>
      <c r="C299" s="1349"/>
      <c r="D299" s="1349"/>
      <c r="E299" s="1349"/>
      <c r="F299" s="1349"/>
      <c r="G299" s="1349"/>
      <c r="H299" s="1349"/>
    </row>
    <row r="300" spans="1:8">
      <c r="A300" s="1350" t="s">
        <v>769</v>
      </c>
      <c r="B300" s="1349"/>
      <c r="C300" s="1349"/>
      <c r="D300" s="1349"/>
      <c r="E300" s="1349"/>
      <c r="F300" s="1349"/>
      <c r="G300" s="1349"/>
      <c r="H300" s="1349"/>
    </row>
    <row r="301" spans="1:8">
      <c r="A301" s="1349"/>
      <c r="B301" s="1349"/>
      <c r="C301" s="1349"/>
      <c r="D301" s="1349"/>
      <c r="E301" s="1349"/>
      <c r="F301" s="1349"/>
      <c r="G301" s="1349"/>
      <c r="H301" s="1349"/>
    </row>
    <row r="302" spans="1:8">
      <c r="A302" s="1350" t="s">
        <v>765</v>
      </c>
      <c r="B302" s="1349"/>
      <c r="C302" s="1349"/>
      <c r="D302" s="1349"/>
      <c r="E302" s="1349"/>
      <c r="F302" s="1349"/>
      <c r="G302" s="1349"/>
      <c r="H302" s="1349"/>
    </row>
    <row r="303" spans="1:8">
      <c r="A303" s="1350" t="s">
        <v>766</v>
      </c>
      <c r="B303" s="1349"/>
      <c r="C303" s="1349"/>
      <c r="D303" s="1349"/>
      <c r="E303" s="1349"/>
      <c r="F303" s="1349"/>
      <c r="G303" s="1349"/>
      <c r="H303" s="1349"/>
    </row>
    <row r="304" spans="1:8">
      <c r="A304" s="1349"/>
      <c r="B304" s="1349"/>
      <c r="C304" s="1349"/>
      <c r="D304" s="1349"/>
      <c r="E304" s="1349"/>
      <c r="F304" s="1349"/>
      <c r="G304" s="1349"/>
      <c r="H304" s="1349"/>
    </row>
    <row r="305" spans="1:8">
      <c r="A305" s="1350" t="s">
        <v>752</v>
      </c>
      <c r="B305" s="1349"/>
      <c r="C305" s="1349"/>
      <c r="D305" s="1349"/>
      <c r="E305" s="1349"/>
      <c r="F305" s="1349"/>
      <c r="G305" s="1349"/>
      <c r="H305" s="1349"/>
    </row>
    <row r="306" spans="1:8">
      <c r="A306" s="1350" t="s">
        <v>753</v>
      </c>
      <c r="B306" s="1349"/>
      <c r="C306" s="1349"/>
      <c r="D306" s="1349"/>
      <c r="E306" s="1349"/>
      <c r="F306" s="1349"/>
      <c r="G306" s="1349"/>
      <c r="H306" s="1349"/>
    </row>
    <row r="307" spans="1:8">
      <c r="A307" s="1350" t="s">
        <v>754</v>
      </c>
      <c r="B307" s="1349"/>
      <c r="C307" s="1349"/>
      <c r="D307" s="1349"/>
      <c r="E307" s="1349"/>
      <c r="F307" s="1349"/>
      <c r="G307" s="1349"/>
      <c r="H307" s="1349"/>
    </row>
    <row r="308" spans="1:8">
      <c r="A308" s="1350" t="s">
        <v>755</v>
      </c>
      <c r="B308" s="1349"/>
      <c r="C308" s="1349"/>
      <c r="D308" s="1349"/>
      <c r="E308" s="1349"/>
      <c r="F308" s="1349"/>
      <c r="G308" s="1349"/>
      <c r="H308" s="1349"/>
    </row>
    <row r="309" spans="1:8">
      <c r="A309" s="1350" t="s">
        <v>756</v>
      </c>
      <c r="B309" s="1349"/>
      <c r="C309" s="1349"/>
      <c r="D309" s="1349"/>
      <c r="E309" s="1349"/>
      <c r="F309" s="1349"/>
      <c r="G309" s="1349"/>
      <c r="H309" s="1349"/>
    </row>
    <row r="310" spans="1:8">
      <c r="A310" s="1350" t="s">
        <v>757</v>
      </c>
      <c r="B310" s="1349"/>
      <c r="C310" s="1349"/>
      <c r="D310" s="1349"/>
      <c r="E310" s="1349"/>
      <c r="F310" s="1349"/>
      <c r="G310" s="1349"/>
      <c r="H310" s="1349"/>
    </row>
    <row r="311" spans="1:8">
      <c r="A311" s="1350" t="s">
        <v>758</v>
      </c>
      <c r="B311" s="1349"/>
      <c r="C311" s="1349"/>
      <c r="D311" s="1349"/>
      <c r="E311" s="1349"/>
      <c r="F311" s="1349"/>
      <c r="G311" s="1349"/>
      <c r="H311" s="1349"/>
    </row>
    <row r="312" spans="1:8">
      <c r="A312" s="1350" t="s">
        <v>759</v>
      </c>
      <c r="B312" s="1349"/>
      <c r="C312" s="1349"/>
      <c r="D312" s="1349"/>
      <c r="E312" s="1349"/>
      <c r="F312" s="1349"/>
      <c r="G312" s="1349"/>
      <c r="H312" s="1349"/>
    </row>
    <row r="313" spans="1:8">
      <c r="A313" s="1350" t="s">
        <v>760</v>
      </c>
      <c r="B313" s="1349"/>
      <c r="C313" s="1349"/>
      <c r="D313" s="1349"/>
      <c r="E313" s="1349"/>
      <c r="F313" s="1349"/>
      <c r="G313" s="1349"/>
      <c r="H313" s="1349"/>
    </row>
    <row r="314" spans="1:8">
      <c r="A314" s="1350" t="s">
        <v>761</v>
      </c>
      <c r="B314" s="1349"/>
      <c r="C314" s="1349"/>
      <c r="D314" s="1349"/>
      <c r="E314" s="1349"/>
      <c r="F314" s="1349"/>
      <c r="G314" s="1349"/>
      <c r="H314" s="1349"/>
    </row>
    <row r="315" spans="1:8">
      <c r="A315" s="1350" t="s">
        <v>762</v>
      </c>
      <c r="B315" s="1349"/>
      <c r="C315" s="1349"/>
      <c r="D315" s="1349"/>
      <c r="E315" s="1349"/>
      <c r="F315" s="1349"/>
      <c r="G315" s="1349"/>
      <c r="H315" s="1349"/>
    </row>
    <row r="316" spans="1:8">
      <c r="A316" s="1350" t="s">
        <v>763</v>
      </c>
      <c r="B316" s="1349"/>
      <c r="C316" s="1349"/>
      <c r="D316" s="1349"/>
      <c r="E316" s="1349"/>
      <c r="F316" s="1349"/>
      <c r="G316" s="1349"/>
      <c r="H316" s="1349"/>
    </row>
    <row r="317" spans="1:8">
      <c r="A317" s="1350" t="s">
        <v>764</v>
      </c>
      <c r="B317" s="1349"/>
      <c r="C317" s="1349"/>
      <c r="D317" s="1349"/>
      <c r="E317" s="1349"/>
      <c r="F317" s="1349"/>
      <c r="G317" s="1349"/>
      <c r="H317" s="1349"/>
    </row>
    <row r="318" spans="1:8">
      <c r="A318" s="1349"/>
      <c r="B318" s="1349"/>
      <c r="C318" s="1349"/>
      <c r="D318" s="1349"/>
      <c r="E318" s="1349"/>
      <c r="F318" s="1349"/>
      <c r="G318" s="1349"/>
      <c r="H318" s="1349"/>
    </row>
    <row r="319" spans="1:8">
      <c r="A319" s="1350" t="s">
        <v>744</v>
      </c>
      <c r="B319" s="1349"/>
      <c r="C319" s="1349"/>
      <c r="D319" s="1349"/>
      <c r="E319" s="1349"/>
      <c r="F319" s="1349"/>
      <c r="G319" s="1349"/>
      <c r="H319" s="1349"/>
    </row>
    <row r="320" spans="1:8">
      <c r="A320" s="1350" t="s">
        <v>745</v>
      </c>
      <c r="B320" s="1349"/>
      <c r="C320" s="1349"/>
      <c r="D320" s="1349"/>
      <c r="E320" s="1349"/>
      <c r="F320" s="1349"/>
      <c r="G320" s="1349"/>
      <c r="H320" s="1349"/>
    </row>
    <row r="321" spans="1:8">
      <c r="A321" s="1350" t="s">
        <v>746</v>
      </c>
      <c r="B321" s="1349"/>
      <c r="C321" s="1349"/>
      <c r="D321" s="1349"/>
      <c r="E321" s="1349"/>
      <c r="F321" s="1349"/>
      <c r="G321" s="1349"/>
      <c r="H321" s="1349"/>
    </row>
    <row r="322" spans="1:8">
      <c r="A322" s="1350" t="s">
        <v>747</v>
      </c>
      <c r="B322" s="1349"/>
      <c r="C322" s="1349"/>
      <c r="D322" s="1349"/>
      <c r="E322" s="1349"/>
      <c r="F322" s="1349"/>
      <c r="G322" s="1349"/>
      <c r="H322" s="1349"/>
    </row>
    <row r="323" spans="1:8">
      <c r="A323" s="1350" t="s">
        <v>748</v>
      </c>
      <c r="B323" s="1349"/>
      <c r="C323" s="1349"/>
      <c r="D323" s="1349"/>
      <c r="E323" s="1349"/>
      <c r="F323" s="1349"/>
      <c r="G323" s="1349"/>
      <c r="H323" s="1349"/>
    </row>
    <row r="324" spans="1:8">
      <c r="A324" s="1350" t="s">
        <v>749</v>
      </c>
      <c r="B324" s="1349"/>
      <c r="C324" s="1349"/>
      <c r="D324" s="1349"/>
      <c r="E324" s="1349"/>
      <c r="F324" s="1349"/>
      <c r="G324" s="1349"/>
      <c r="H324" s="1349"/>
    </row>
    <row r="325" spans="1:8">
      <c r="A325" s="1350" t="s">
        <v>750</v>
      </c>
      <c r="B325" s="1349"/>
      <c r="C325" s="1349"/>
      <c r="D325" s="1349"/>
      <c r="E325" s="1349"/>
      <c r="F325" s="1349"/>
      <c r="G325" s="1349"/>
      <c r="H325" s="1349"/>
    </row>
    <row r="326" spans="1:8">
      <c r="A326" s="1350" t="s">
        <v>751</v>
      </c>
      <c r="B326" s="1349"/>
      <c r="C326" s="1349"/>
      <c r="D326" s="1349"/>
      <c r="E326" s="1349"/>
      <c r="F326" s="1349"/>
      <c r="G326" s="1349"/>
      <c r="H326" s="1349"/>
    </row>
    <row r="327" spans="1:8">
      <c r="A327" s="1349"/>
      <c r="B327" s="1349"/>
      <c r="C327" s="1349"/>
      <c r="D327" s="1349"/>
      <c r="E327" s="1349"/>
      <c r="F327" s="1349"/>
      <c r="G327" s="1349"/>
      <c r="H327" s="1349"/>
    </row>
    <row r="328" spans="1:8">
      <c r="A328" s="1350" t="s">
        <v>709</v>
      </c>
      <c r="B328" s="1349"/>
      <c r="C328" s="1349"/>
      <c r="D328" s="1349"/>
      <c r="E328" s="1349"/>
      <c r="F328" s="1349"/>
      <c r="G328" s="1349"/>
      <c r="H328" s="1349"/>
    </row>
    <row r="329" spans="1:8">
      <c r="A329" s="1350" t="s">
        <v>710</v>
      </c>
      <c r="B329" s="1349"/>
      <c r="C329" s="1349"/>
      <c r="D329" s="1349"/>
      <c r="E329" s="1349"/>
      <c r="F329" s="1349"/>
      <c r="G329" s="1349"/>
      <c r="H329" s="1349"/>
    </row>
    <row r="330" spans="1:8">
      <c r="A330" s="1350" t="s">
        <v>711</v>
      </c>
      <c r="B330" s="1349"/>
      <c r="C330" s="1349"/>
      <c r="D330" s="1349"/>
      <c r="E330" s="1349"/>
      <c r="F330" s="1349"/>
      <c r="G330" s="1349"/>
      <c r="H330" s="1349"/>
    </row>
    <row r="331" spans="1:8">
      <c r="A331" s="1350" t="s">
        <v>712</v>
      </c>
      <c r="B331" s="1349"/>
      <c r="C331" s="1349"/>
      <c r="D331" s="1349"/>
      <c r="E331" s="1349"/>
      <c r="F331" s="1349"/>
      <c r="G331" s="1349"/>
      <c r="H331" s="1349"/>
    </row>
    <row r="332" spans="1:8">
      <c r="A332" s="1350" t="s">
        <v>713</v>
      </c>
      <c r="B332" s="1349"/>
      <c r="C332" s="1349"/>
      <c r="D332" s="1349"/>
      <c r="E332" s="1349"/>
      <c r="F332" s="1349"/>
      <c r="G332" s="1349"/>
      <c r="H332" s="1349"/>
    </row>
    <row r="333" spans="1:8">
      <c r="A333" s="1350" t="s">
        <v>714</v>
      </c>
      <c r="B333" s="1349"/>
      <c r="C333" s="1349"/>
      <c r="D333" s="1349"/>
      <c r="E333" s="1349"/>
      <c r="F333" s="1349"/>
      <c r="G333" s="1349"/>
      <c r="H333" s="1349"/>
    </row>
    <row r="334" spans="1:8">
      <c r="A334" s="1350" t="s">
        <v>715</v>
      </c>
      <c r="B334" s="1349"/>
      <c r="C334" s="1349"/>
      <c r="D334" s="1349"/>
      <c r="E334" s="1349"/>
      <c r="F334" s="1349"/>
      <c r="G334" s="1349"/>
      <c r="H334" s="1349"/>
    </row>
    <row r="335" spans="1:8">
      <c r="A335" s="1350" t="s">
        <v>716</v>
      </c>
      <c r="B335" s="1349"/>
      <c r="C335" s="1349"/>
      <c r="D335" s="1349"/>
      <c r="E335" s="1349"/>
      <c r="F335" s="1349"/>
      <c r="G335" s="1349"/>
      <c r="H335" s="1349"/>
    </row>
    <row r="336" spans="1:8">
      <c r="A336" s="1350" t="s">
        <v>717</v>
      </c>
      <c r="B336" s="1349"/>
      <c r="C336" s="1349"/>
      <c r="D336" s="1349"/>
      <c r="E336" s="1349"/>
      <c r="F336" s="1349"/>
      <c r="G336" s="1349"/>
      <c r="H336" s="1349"/>
    </row>
    <row r="337" spans="1:8">
      <c r="A337" s="1350" t="s">
        <v>718</v>
      </c>
      <c r="B337" s="1349"/>
      <c r="C337" s="1349"/>
      <c r="D337" s="1349"/>
      <c r="E337" s="1349"/>
      <c r="F337" s="1349"/>
      <c r="G337" s="1349"/>
      <c r="H337" s="1349"/>
    </row>
    <row r="338" spans="1:8">
      <c r="A338" s="1350" t="s">
        <v>719</v>
      </c>
      <c r="B338" s="1349"/>
      <c r="C338" s="1349"/>
      <c r="D338" s="1349"/>
      <c r="E338" s="1349"/>
      <c r="F338" s="1349"/>
      <c r="G338" s="1349"/>
      <c r="H338" s="1349"/>
    </row>
    <row r="339" spans="1:8">
      <c r="A339" s="1350" t="s">
        <v>720</v>
      </c>
      <c r="B339" s="1349"/>
      <c r="C339" s="1349"/>
      <c r="D339" s="1349"/>
      <c r="E339" s="1349"/>
      <c r="F339" s="1349"/>
      <c r="G339" s="1349"/>
      <c r="H339" s="1349"/>
    </row>
    <row r="340" spans="1:8">
      <c r="A340" s="1350" t="s">
        <v>721</v>
      </c>
      <c r="B340" s="1349"/>
      <c r="C340" s="1349"/>
      <c r="D340" s="1349"/>
      <c r="E340" s="1349"/>
      <c r="F340" s="1349"/>
      <c r="G340" s="1349"/>
      <c r="H340" s="1349"/>
    </row>
    <row r="341" spans="1:8">
      <c r="A341" s="1350" t="s">
        <v>722</v>
      </c>
      <c r="B341" s="1349"/>
      <c r="C341" s="1349"/>
      <c r="D341" s="1349"/>
      <c r="E341" s="1349"/>
      <c r="F341" s="1349"/>
      <c r="G341" s="1349"/>
      <c r="H341" s="1349"/>
    </row>
    <row r="342" spans="1:8">
      <c r="A342" s="1350" t="s">
        <v>723</v>
      </c>
      <c r="B342" s="1349"/>
      <c r="C342" s="1349"/>
      <c r="D342" s="1349"/>
      <c r="E342" s="1349"/>
      <c r="F342" s="1349"/>
      <c r="G342" s="1349"/>
      <c r="H342" s="1349"/>
    </row>
    <row r="343" spans="1:8">
      <c r="A343" s="1350" t="s">
        <v>724</v>
      </c>
      <c r="B343" s="1349"/>
      <c r="C343" s="1349"/>
      <c r="D343" s="1349"/>
      <c r="E343" s="1349"/>
      <c r="F343" s="1349"/>
      <c r="G343" s="1349"/>
      <c r="H343" s="1349"/>
    </row>
    <row r="344" spans="1:8">
      <c r="A344" s="1350" t="s">
        <v>725</v>
      </c>
      <c r="B344" s="1349"/>
      <c r="C344" s="1349"/>
      <c r="D344" s="1349"/>
      <c r="E344" s="1349"/>
      <c r="F344" s="1349"/>
      <c r="G344" s="1349"/>
      <c r="H344" s="1349"/>
    </row>
    <row r="345" spans="1:8">
      <c r="A345" s="1350" t="s">
        <v>726</v>
      </c>
      <c r="B345" s="1349"/>
      <c r="C345" s="1349"/>
      <c r="D345" s="1349"/>
      <c r="E345" s="1349"/>
      <c r="F345" s="1349"/>
      <c r="G345" s="1349"/>
      <c r="H345" s="1349"/>
    </row>
    <row r="346" spans="1:8">
      <c r="A346" s="1350" t="s">
        <v>727</v>
      </c>
      <c r="B346" s="1349"/>
      <c r="C346" s="1349"/>
      <c r="D346" s="1349"/>
      <c r="E346" s="1349"/>
      <c r="F346" s="1349"/>
      <c r="G346" s="1349"/>
      <c r="H346" s="1349"/>
    </row>
    <row r="347" spans="1:8">
      <c r="A347" s="1350" t="s">
        <v>728</v>
      </c>
      <c r="B347" s="1349"/>
      <c r="C347" s="1349"/>
      <c r="D347" s="1349"/>
      <c r="E347" s="1349"/>
      <c r="F347" s="1349"/>
      <c r="G347" s="1349"/>
      <c r="H347" s="1349"/>
    </row>
    <row r="348" spans="1:8">
      <c r="A348" s="1350" t="s">
        <v>729</v>
      </c>
      <c r="B348" s="1349"/>
      <c r="C348" s="1349"/>
      <c r="D348" s="1349"/>
      <c r="E348" s="1349"/>
      <c r="F348" s="1349"/>
      <c r="G348" s="1349"/>
      <c r="H348" s="1349"/>
    </row>
    <row r="349" spans="1:8">
      <c r="A349" s="1350" t="s">
        <v>730</v>
      </c>
      <c r="B349" s="1349"/>
      <c r="C349" s="1349"/>
      <c r="D349" s="1349"/>
      <c r="E349" s="1349"/>
      <c r="F349" s="1349"/>
      <c r="G349" s="1349"/>
      <c r="H349" s="1349"/>
    </row>
    <row r="350" spans="1:8">
      <c r="A350" s="1350" t="s">
        <v>731</v>
      </c>
      <c r="B350" s="1349"/>
      <c r="C350" s="1349"/>
      <c r="D350" s="1349"/>
      <c r="E350" s="1349"/>
      <c r="F350" s="1349"/>
      <c r="G350" s="1349"/>
      <c r="H350" s="1349"/>
    </row>
    <row r="351" spans="1:8">
      <c r="A351" s="1350" t="s">
        <v>732</v>
      </c>
      <c r="B351" s="1349"/>
      <c r="C351" s="1349"/>
      <c r="D351" s="1349"/>
      <c r="E351" s="1349"/>
      <c r="F351" s="1349"/>
      <c r="G351" s="1349"/>
      <c r="H351" s="1349"/>
    </row>
    <row r="352" spans="1:8">
      <c r="A352" s="1350" t="s">
        <v>733</v>
      </c>
      <c r="B352" s="1349"/>
      <c r="C352" s="1349"/>
      <c r="D352" s="1349"/>
      <c r="E352" s="1349"/>
      <c r="F352" s="1349"/>
      <c r="G352" s="1349"/>
      <c r="H352" s="1349"/>
    </row>
    <row r="353" spans="1:8">
      <c r="A353" s="1350" t="s">
        <v>734</v>
      </c>
      <c r="B353" s="1349"/>
      <c r="C353" s="1349"/>
      <c r="D353" s="1349"/>
      <c r="E353" s="1349"/>
      <c r="F353" s="1349"/>
      <c r="G353" s="1349"/>
      <c r="H353" s="1349"/>
    </row>
    <row r="354" spans="1:8">
      <c r="A354" s="1350" t="s">
        <v>735</v>
      </c>
      <c r="B354" s="1349"/>
      <c r="C354" s="1349"/>
      <c r="D354" s="1349"/>
      <c r="E354" s="1349"/>
      <c r="F354" s="1349"/>
      <c r="G354" s="1349"/>
      <c r="H354" s="1349"/>
    </row>
    <row r="355" spans="1:8">
      <c r="A355" s="1350" t="s">
        <v>736</v>
      </c>
      <c r="B355" s="1349"/>
      <c r="C355" s="1349"/>
      <c r="D355" s="1349"/>
      <c r="E355" s="1349"/>
      <c r="F355" s="1349"/>
      <c r="G355" s="1349"/>
      <c r="H355" s="1349"/>
    </row>
    <row r="356" spans="1:8">
      <c r="A356" s="1350" t="s">
        <v>737</v>
      </c>
      <c r="B356" s="1349"/>
      <c r="C356" s="1349"/>
      <c r="D356" s="1349"/>
      <c r="E356" s="1349"/>
      <c r="F356" s="1349"/>
      <c r="G356" s="1349"/>
      <c r="H356" s="1349"/>
    </row>
    <row r="357" spans="1:8">
      <c r="A357" s="1350" t="s">
        <v>738</v>
      </c>
      <c r="B357" s="1349"/>
      <c r="C357" s="1349"/>
      <c r="D357" s="1349"/>
      <c r="E357" s="1349"/>
      <c r="F357" s="1349"/>
      <c r="G357" s="1349"/>
      <c r="H357" s="1349"/>
    </row>
    <row r="358" spans="1:8">
      <c r="A358" s="1350" t="s">
        <v>739</v>
      </c>
      <c r="B358" s="1349"/>
      <c r="C358" s="1349"/>
      <c r="D358" s="1349"/>
      <c r="E358" s="1349"/>
      <c r="F358" s="1349"/>
      <c r="G358" s="1349"/>
      <c r="H358" s="1349"/>
    </row>
    <row r="359" spans="1:8">
      <c r="A359" s="1350" t="s">
        <v>740</v>
      </c>
      <c r="B359" s="1349"/>
      <c r="C359" s="1349"/>
      <c r="D359" s="1349"/>
      <c r="E359" s="1349"/>
      <c r="F359" s="1349"/>
      <c r="G359" s="1349"/>
      <c r="H359" s="1349"/>
    </row>
    <row r="360" spans="1:8">
      <c r="A360" s="1350" t="s">
        <v>741</v>
      </c>
      <c r="B360" s="1349"/>
      <c r="C360" s="1349"/>
      <c r="D360" s="1349"/>
      <c r="E360" s="1349"/>
      <c r="F360" s="1349"/>
      <c r="G360" s="1349"/>
      <c r="H360" s="1349"/>
    </row>
    <row r="361" spans="1:8">
      <c r="A361" s="1350" t="s">
        <v>742</v>
      </c>
      <c r="B361" s="1349"/>
      <c r="C361" s="1349"/>
      <c r="D361" s="1349"/>
      <c r="E361" s="1349"/>
      <c r="F361" s="1349"/>
      <c r="G361" s="1349"/>
      <c r="H361" s="1349"/>
    </row>
    <row r="362" spans="1:8">
      <c r="A362" s="1350" t="s">
        <v>743</v>
      </c>
      <c r="B362" s="1349"/>
      <c r="C362" s="1349"/>
      <c r="D362" s="1349"/>
      <c r="E362" s="1349"/>
      <c r="F362" s="1349"/>
      <c r="G362" s="1349"/>
      <c r="H362" s="1349"/>
    </row>
    <row r="363" spans="1:8">
      <c r="A363" s="1349"/>
      <c r="B363" s="1349"/>
      <c r="C363" s="1349"/>
      <c r="D363" s="1349"/>
      <c r="E363" s="1349"/>
      <c r="F363" s="1349"/>
      <c r="G363" s="1349"/>
      <c r="H363" s="1349"/>
    </row>
    <row r="364" spans="1:8">
      <c r="A364" s="1350" t="s">
        <v>701</v>
      </c>
      <c r="B364" s="1349"/>
      <c r="C364" s="1349"/>
      <c r="D364" s="1349"/>
      <c r="E364" s="1349"/>
      <c r="F364" s="1349"/>
      <c r="G364" s="1349"/>
      <c r="H364" s="1349"/>
    </row>
    <row r="365" spans="1:8">
      <c r="A365" s="1350" t="s">
        <v>705</v>
      </c>
      <c r="B365" s="1349"/>
      <c r="C365" s="1349"/>
      <c r="D365" s="1349"/>
      <c r="E365" s="1349"/>
      <c r="F365" s="1349"/>
      <c r="G365" s="1349"/>
      <c r="H365" s="1349"/>
    </row>
    <row r="366" spans="1:8">
      <c r="A366" s="1350" t="s">
        <v>706</v>
      </c>
      <c r="B366" s="1349"/>
      <c r="C366" s="1349"/>
      <c r="D366" s="1349"/>
      <c r="E366" s="1349"/>
      <c r="F366" s="1349"/>
      <c r="G366" s="1349"/>
      <c r="H366" s="1349"/>
    </row>
    <row r="367" spans="1:8">
      <c r="A367" s="1350" t="s">
        <v>707</v>
      </c>
      <c r="B367" s="1349"/>
      <c r="C367" s="1349"/>
      <c r="D367" s="1349"/>
      <c r="E367" s="1349"/>
      <c r="F367" s="1349"/>
      <c r="G367" s="1349"/>
      <c r="H367" s="1349"/>
    </row>
    <row r="368" spans="1:8">
      <c r="A368" s="1350" t="s">
        <v>708</v>
      </c>
      <c r="B368" s="1349"/>
      <c r="C368" s="1349"/>
      <c r="D368" s="1349"/>
      <c r="E368" s="1349"/>
      <c r="F368" s="1349"/>
      <c r="G368" s="1349"/>
      <c r="H368" s="1349"/>
    </row>
    <row r="369" spans="1:8">
      <c r="A369" s="1349"/>
      <c r="B369" s="1349"/>
      <c r="C369" s="1349"/>
      <c r="D369" s="1349"/>
      <c r="E369" s="1349"/>
      <c r="F369" s="1349"/>
      <c r="G369" s="1349"/>
      <c r="H369" s="1349"/>
    </row>
    <row r="370" spans="1:8">
      <c r="A370" s="1350" t="s">
        <v>701</v>
      </c>
      <c r="B370" s="1349"/>
      <c r="C370" s="1349"/>
      <c r="D370" s="1349"/>
      <c r="E370" s="1349"/>
      <c r="F370" s="1349"/>
      <c r="G370" s="1349"/>
      <c r="H370" s="1349"/>
    </row>
    <row r="371" spans="1:8">
      <c r="A371" s="1350" t="s">
        <v>702</v>
      </c>
      <c r="B371" s="1349"/>
      <c r="C371" s="1349"/>
      <c r="D371" s="1349"/>
      <c r="E371" s="1349"/>
      <c r="F371" s="1349"/>
      <c r="G371" s="1349"/>
      <c r="H371" s="1349"/>
    </row>
    <row r="372" spans="1:8">
      <c r="A372" s="1350" t="s">
        <v>703</v>
      </c>
      <c r="B372" s="1349"/>
      <c r="C372" s="1349"/>
      <c r="D372" s="1349"/>
      <c r="E372" s="1349"/>
      <c r="F372" s="1349"/>
      <c r="G372" s="1349"/>
      <c r="H372" s="1349"/>
    </row>
    <row r="373" spans="1:8">
      <c r="A373" s="1350" t="s">
        <v>704</v>
      </c>
      <c r="B373" s="1349"/>
      <c r="C373" s="1349"/>
      <c r="D373" s="1349"/>
      <c r="E373" s="1349"/>
      <c r="F373" s="1349"/>
      <c r="G373" s="1349"/>
      <c r="H373" s="1349"/>
    </row>
    <row r="374" spans="1:8">
      <c r="A374" s="1349"/>
      <c r="B374" s="1349"/>
      <c r="C374" s="1349"/>
      <c r="D374" s="1349"/>
      <c r="E374" s="1349"/>
      <c r="F374" s="1349"/>
      <c r="G374" s="1349"/>
      <c r="H374" s="1349"/>
    </row>
    <row r="375" spans="1:8">
      <c r="A375" s="1350" t="s">
        <v>695</v>
      </c>
      <c r="B375" s="1349"/>
      <c r="C375" s="1349"/>
      <c r="D375" s="1349"/>
      <c r="E375" s="1349"/>
      <c r="F375" s="1349"/>
      <c r="G375" s="1349"/>
      <c r="H375" s="1349"/>
    </row>
    <row r="376" spans="1:8">
      <c r="A376" s="1350" t="s">
        <v>696</v>
      </c>
      <c r="B376" s="1349"/>
      <c r="C376" s="1349"/>
      <c r="D376" s="1349"/>
      <c r="E376" s="1349"/>
      <c r="F376" s="1349"/>
      <c r="G376" s="1349"/>
      <c r="H376" s="1349"/>
    </row>
    <row r="377" spans="1:8">
      <c r="A377" s="1350" t="s">
        <v>697</v>
      </c>
      <c r="B377" s="1349"/>
      <c r="C377" s="1349"/>
      <c r="D377" s="1349"/>
      <c r="E377" s="1349"/>
      <c r="F377" s="1349"/>
      <c r="G377" s="1349"/>
      <c r="H377" s="1349"/>
    </row>
    <row r="378" spans="1:8">
      <c r="A378" s="1350" t="s">
        <v>698</v>
      </c>
      <c r="B378" s="1349"/>
      <c r="C378" s="1349"/>
      <c r="D378" s="1349"/>
      <c r="E378" s="1349"/>
      <c r="F378" s="1349"/>
      <c r="G378" s="1349"/>
      <c r="H378" s="1349"/>
    </row>
    <row r="379" spans="1:8">
      <c r="A379" s="1350" t="s">
        <v>699</v>
      </c>
      <c r="B379" s="1349"/>
      <c r="C379" s="1349"/>
      <c r="D379" s="1349"/>
      <c r="E379" s="1349"/>
      <c r="F379" s="1349"/>
      <c r="G379" s="1349"/>
      <c r="H379" s="1349"/>
    </row>
    <row r="380" spans="1:8">
      <c r="A380" s="1350" t="s">
        <v>700</v>
      </c>
      <c r="B380" s="1349"/>
      <c r="C380" s="1349"/>
      <c r="D380" s="1349"/>
      <c r="E380" s="1349"/>
      <c r="F380" s="1349"/>
      <c r="G380" s="1349"/>
      <c r="H380" s="1349"/>
    </row>
    <row r="381" spans="1:8">
      <c r="A381" s="1349"/>
      <c r="B381" s="1349"/>
      <c r="C381" s="1349"/>
      <c r="D381" s="1349"/>
      <c r="E381" s="1349"/>
      <c r="F381" s="1349"/>
      <c r="G381" s="1349"/>
      <c r="H381" s="1349"/>
    </row>
    <row r="382" spans="1:8">
      <c r="A382" s="1350" t="s">
        <v>690</v>
      </c>
      <c r="B382" s="1349"/>
      <c r="C382" s="1349"/>
      <c r="D382" s="1349"/>
      <c r="E382" s="1349"/>
      <c r="F382" s="1349"/>
      <c r="G382" s="1349"/>
      <c r="H382" s="1349"/>
    </row>
    <row r="383" spans="1:8">
      <c r="A383" s="1350" t="s">
        <v>691</v>
      </c>
      <c r="B383" s="1349"/>
      <c r="C383" s="1349"/>
      <c r="D383" s="1349"/>
      <c r="E383" s="1349"/>
      <c r="F383" s="1349"/>
      <c r="G383" s="1349"/>
      <c r="H383" s="1349"/>
    </row>
    <row r="384" spans="1:8">
      <c r="A384" s="1350" t="s">
        <v>692</v>
      </c>
      <c r="B384" s="1349"/>
      <c r="C384" s="1349"/>
      <c r="D384" s="1349"/>
      <c r="E384" s="1349"/>
      <c r="F384" s="1349"/>
      <c r="G384" s="1349"/>
      <c r="H384" s="1349"/>
    </row>
    <row r="385" spans="1:8">
      <c r="A385" s="1350" t="s">
        <v>693</v>
      </c>
      <c r="B385" s="1349"/>
      <c r="C385" s="1349"/>
      <c r="D385" s="1349"/>
      <c r="E385" s="1349"/>
      <c r="F385" s="1349"/>
      <c r="G385" s="1349"/>
      <c r="H385" s="1349"/>
    </row>
    <row r="386" spans="1:8">
      <c r="A386" s="1350" t="s">
        <v>694</v>
      </c>
      <c r="B386" s="1349"/>
      <c r="C386" s="1349"/>
      <c r="D386" s="1349"/>
      <c r="E386" s="1349"/>
      <c r="F386" s="1349"/>
      <c r="G386" s="1349"/>
      <c r="H386" s="1349"/>
    </row>
    <row r="387" spans="1:8">
      <c r="A387" s="1349"/>
      <c r="B387" s="1349"/>
      <c r="C387" s="1349"/>
      <c r="D387" s="1349"/>
      <c r="E387" s="1349"/>
      <c r="F387" s="1349"/>
      <c r="G387" s="1349"/>
      <c r="H387" s="1349"/>
    </row>
    <row r="388" spans="1:8">
      <c r="A388" s="1350" t="s">
        <v>688</v>
      </c>
      <c r="B388" s="1349"/>
      <c r="C388" s="1349"/>
      <c r="D388" s="1349"/>
      <c r="E388" s="1349"/>
      <c r="F388" s="1349"/>
      <c r="G388" s="1349"/>
      <c r="H388" s="1349"/>
    </row>
    <row r="389" spans="1:8">
      <c r="A389" s="1350" t="s">
        <v>689</v>
      </c>
      <c r="B389" s="1349"/>
      <c r="C389" s="1349"/>
      <c r="D389" s="1349"/>
      <c r="E389" s="1349"/>
      <c r="F389" s="1349"/>
      <c r="G389" s="1349"/>
      <c r="H389" s="1349"/>
    </row>
    <row r="391" spans="1:8">
      <c r="A391" s="1345" t="s">
        <v>944</v>
      </c>
    </row>
  </sheetData>
  <mergeCells count="12">
    <mergeCell ref="A129:H129"/>
    <mergeCell ref="A130:H130"/>
    <mergeCell ref="B122:C122"/>
    <mergeCell ref="D122:F122"/>
    <mergeCell ref="G122:H122"/>
    <mergeCell ref="A108:H108"/>
    <mergeCell ref="A109:H109"/>
    <mergeCell ref="A110:H110"/>
    <mergeCell ref="A111:H111"/>
    <mergeCell ref="A113:H113"/>
    <mergeCell ref="A114:H114"/>
    <mergeCell ref="A121:H121"/>
  </mergeCells>
  <pageMargins left="0.5" right="0.5" top="0.5" bottom="0.5" header="0.5" footer="0.5"/>
  <pageSetup orientation="portrait" horizontalDpi="300"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V167"/>
  <sheetViews>
    <sheetView showGridLines="0" workbookViewId="0">
      <selection activeCell="D22" sqref="D22"/>
    </sheetView>
  </sheetViews>
  <sheetFormatPr defaultRowHeight="12.75"/>
  <cols>
    <col min="1" max="1" width="39.5703125" style="6" bestFit="1" customWidth="1"/>
    <col min="2" max="2" width="1.85546875" style="6" customWidth="1"/>
    <col min="3" max="3" width="29.28515625" style="445" bestFit="1" customWidth="1"/>
    <col min="4" max="4" width="7.85546875" style="445" customWidth="1"/>
    <col min="5" max="5" width="7.85546875" style="6" customWidth="1"/>
    <col min="6" max="6" width="7" style="6" customWidth="1"/>
    <col min="7" max="7" width="7.42578125" style="6" customWidth="1"/>
    <col min="8" max="8" width="7.42578125" style="853" customWidth="1"/>
    <col min="9" max="18" width="7" style="6" customWidth="1"/>
    <col min="19" max="16384" width="9.140625" style="6"/>
  </cols>
  <sheetData>
    <row r="1" spans="1:21">
      <c r="A1" s="66"/>
      <c r="B1" s="66"/>
      <c r="C1" s="419" t="s">
        <v>407</v>
      </c>
      <c r="D1" s="418"/>
      <c r="E1" s="59" t="s">
        <v>463</v>
      </c>
      <c r="F1" s="59"/>
      <c r="G1" s="1226">
        <v>19</v>
      </c>
      <c r="H1" s="197"/>
      <c r="I1" s="197"/>
      <c r="J1" s="197"/>
      <c r="K1" s="197"/>
      <c r="L1" s="197"/>
      <c r="M1" s="197"/>
      <c r="N1" s="197"/>
      <c r="O1" s="197"/>
      <c r="P1" s="197"/>
      <c r="Q1" s="197"/>
      <c r="R1" s="197"/>
      <c r="S1" s="197"/>
      <c r="T1" s="197"/>
      <c r="U1" s="197"/>
    </row>
    <row r="2" spans="1:21" ht="15" customHeight="1">
      <c r="A2" s="66"/>
      <c r="B2" s="66"/>
      <c r="C2" s="421"/>
      <c r="D2" s="418"/>
      <c r="E2" s="66"/>
      <c r="F2" s="66"/>
      <c r="G2" s="197"/>
      <c r="H2" s="851"/>
      <c r="I2" s="197"/>
      <c r="J2" s="197"/>
      <c r="K2" s="197"/>
      <c r="L2" s="197"/>
      <c r="M2" s="197"/>
      <c r="N2" s="197"/>
      <c r="O2" s="197"/>
      <c r="P2" s="197"/>
      <c r="Q2" s="197"/>
      <c r="R2" s="197"/>
      <c r="S2" s="197"/>
      <c r="T2" s="197"/>
      <c r="U2" s="197"/>
    </row>
    <row r="3" spans="1:21" ht="28.5" customHeight="1" thickBot="1">
      <c r="A3" s="66"/>
      <c r="B3" s="66"/>
      <c r="C3" s="80" t="s">
        <v>257</v>
      </c>
      <c r="D3" s="422"/>
      <c r="E3" s="423"/>
      <c r="F3" s="423"/>
      <c r="G3" s="197"/>
      <c r="H3" s="851"/>
      <c r="I3" s="197"/>
      <c r="J3" s="197"/>
      <c r="K3" s="197"/>
      <c r="L3" s="197"/>
      <c r="M3" s="197"/>
      <c r="N3" s="197"/>
      <c r="O3" s="197"/>
      <c r="P3" s="197"/>
      <c r="Q3" s="197"/>
      <c r="R3" s="197"/>
      <c r="S3" s="197"/>
      <c r="T3" s="197"/>
      <c r="U3" s="197"/>
    </row>
    <row r="4" spans="1:21" ht="18">
      <c r="A4" s="393" t="s">
        <v>215</v>
      </c>
      <c r="B4" s="393"/>
      <c r="C4" s="425" t="s">
        <v>65</v>
      </c>
      <c r="D4" s="426"/>
      <c r="E4" s="426"/>
      <c r="F4" s="426" t="s">
        <v>438</v>
      </c>
      <c r="G4" s="426" t="s">
        <v>50</v>
      </c>
      <c r="H4" s="852" t="s">
        <v>281</v>
      </c>
      <c r="I4" s="426" t="s">
        <v>374</v>
      </c>
      <c r="J4" s="426" t="s">
        <v>491</v>
      </c>
      <c r="K4" s="426" t="s">
        <v>515</v>
      </c>
      <c r="L4" s="426" t="s">
        <v>192</v>
      </c>
      <c r="M4" s="426" t="s">
        <v>538</v>
      </c>
      <c r="N4" s="426" t="s">
        <v>594</v>
      </c>
      <c r="O4" s="426" t="s">
        <v>621</v>
      </c>
      <c r="P4" s="426" t="s">
        <v>219</v>
      </c>
      <c r="Q4" s="426" t="s">
        <v>220</v>
      </c>
      <c r="R4" s="783" t="s">
        <v>385</v>
      </c>
      <c r="S4" s="197"/>
      <c r="T4" s="197"/>
      <c r="U4" s="197"/>
    </row>
    <row r="5" spans="1:21">
      <c r="A5" s="41" t="s">
        <v>324</v>
      </c>
      <c r="B5" s="41"/>
      <c r="C5" s="428" t="s">
        <v>89</v>
      </c>
      <c r="D5" s="429"/>
      <c r="E5" s="429"/>
      <c r="F5" s="429">
        <f>IncomeStatement!AA17</f>
        <v>3648.0269999999996</v>
      </c>
      <c r="G5" s="429">
        <f>IncomeStatement!AF17</f>
        <v>3663.0550000000003</v>
      </c>
      <c r="H5" s="429">
        <f>IncomeStatement!AK17</f>
        <v>3580.835</v>
      </c>
      <c r="I5" s="429">
        <f>IncomeStatement!AP17</f>
        <v>3416.4140000000007</v>
      </c>
      <c r="J5" s="966">
        <f>IncomeStatement!AU17</f>
        <v>2431.3919999999998</v>
      </c>
      <c r="K5" s="429">
        <f>IncomeStatement!AZ17</f>
        <v>2505.1779999999999</v>
      </c>
      <c r="L5" s="429">
        <f>IncomeStatement!BE17</f>
        <v>2487.3810000000003</v>
      </c>
      <c r="M5" s="429">
        <f>IncomeStatement!BJ17</f>
        <v>2061.116</v>
      </c>
      <c r="N5" s="429">
        <f>IncomeStatement!BO17</f>
        <v>1870.297</v>
      </c>
      <c r="O5" s="429">
        <f>IncomeStatement!BT17</f>
        <v>1435.4179999999999</v>
      </c>
      <c r="P5" s="429">
        <f>IncomeStatement!BY17</f>
        <v>1223.405</v>
      </c>
      <c r="Q5" s="429">
        <f>IncomeStatement!CD17</f>
        <v>1274.1759176650157</v>
      </c>
      <c r="R5" s="784">
        <f>IncomeStatement!CI17</f>
        <v>1344.8552630136642</v>
      </c>
      <c r="S5" s="197"/>
    </row>
    <row r="6" spans="1:21">
      <c r="A6" s="41" t="s">
        <v>323</v>
      </c>
      <c r="B6" s="41"/>
      <c r="C6" s="432" t="s">
        <v>91</v>
      </c>
      <c r="D6" s="433"/>
      <c r="E6" s="433"/>
      <c r="F6" s="433"/>
      <c r="G6" s="433">
        <f t="shared" ref="G6:M6" si="0">G5/F5-1</f>
        <v>4.1194870542353712E-3</v>
      </c>
      <c r="H6" s="433">
        <f t="shared" si="0"/>
        <v>-2.2445745422877916E-2</v>
      </c>
      <c r="I6" s="433">
        <f t="shared" si="0"/>
        <v>-4.5916943953016376E-2</v>
      </c>
      <c r="J6" s="433">
        <f t="shared" si="0"/>
        <v>-0.28832044359963416</v>
      </c>
      <c r="K6" s="433">
        <f t="shared" si="0"/>
        <v>3.0347224964135888E-2</v>
      </c>
      <c r="L6" s="433">
        <f t="shared" si="0"/>
        <v>-7.1040860170413778E-3</v>
      </c>
      <c r="M6" s="433">
        <f t="shared" si="0"/>
        <v>-0.17137101232179563</v>
      </c>
      <c r="N6" s="433">
        <f>N5/M5-1</f>
        <v>-9.2580427302490498E-2</v>
      </c>
      <c r="O6" s="433">
        <f>O5/N5-1</f>
        <v>-0.23251868553497124</v>
      </c>
      <c r="P6" s="433">
        <f>P5/O5-1</f>
        <v>-0.14770122709900524</v>
      </c>
      <c r="Q6" s="433">
        <f>Q5/P5-1</f>
        <v>4.1499681352467732E-2</v>
      </c>
      <c r="R6" s="785">
        <f>R5/Q5-1</f>
        <v>5.5470633504180133E-2</v>
      </c>
      <c r="S6" s="197"/>
      <c r="T6" s="197"/>
      <c r="U6" s="197"/>
    </row>
    <row r="7" spans="1:21" ht="13.5">
      <c r="A7" s="420" t="s">
        <v>256</v>
      </c>
      <c r="B7" s="420"/>
      <c r="C7" s="435" t="s">
        <v>444</v>
      </c>
      <c r="D7" s="436"/>
      <c r="E7" s="436"/>
      <c r="F7" s="436">
        <f>IncomeStatement!AA38</f>
        <v>326.72399999999971</v>
      </c>
      <c r="G7" s="436">
        <f>IncomeStatement!AF38</f>
        <v>-392.4399999999996</v>
      </c>
      <c r="H7" s="436">
        <f>IncomeStatement!AK38</f>
        <v>111.97599999999966</v>
      </c>
      <c r="I7" s="436">
        <f>IncomeStatement!AP38</f>
        <v>132.38800000000037</v>
      </c>
      <c r="J7" s="436">
        <f>IncomeStatement!AU38</f>
        <v>137.33299999999963</v>
      </c>
      <c r="K7" s="436">
        <f>IncomeStatement!AZ38</f>
        <v>122.67499999999984</v>
      </c>
      <c r="L7" s="436">
        <f>IncomeStatement!BE38</f>
        <v>135.1530000000007</v>
      </c>
      <c r="M7" s="436">
        <f>IncomeStatement!BJ38</f>
        <v>251.56099999999969</v>
      </c>
      <c r="N7" s="436">
        <f>IncomeStatement!BO38</f>
        <v>274.44300000000021</v>
      </c>
      <c r="O7" s="436">
        <f>IncomeStatement!BT38</f>
        <v>314.77999999999975</v>
      </c>
      <c r="P7" s="436">
        <f>IncomeStatement!BY38</f>
        <v>214.80199999999991</v>
      </c>
      <c r="Q7" s="436">
        <f>IncomeStatement!CD38</f>
        <v>290.49510383718837</v>
      </c>
      <c r="R7" s="786">
        <f>IncomeStatement!CI38</f>
        <v>338.20464024141654</v>
      </c>
      <c r="S7" s="197"/>
      <c r="T7" s="197"/>
      <c r="U7" s="197"/>
    </row>
    <row r="8" spans="1:21" ht="13.5" customHeight="1">
      <c r="A8" s="41"/>
      <c r="B8" s="41"/>
      <c r="C8" s="432" t="s">
        <v>94</v>
      </c>
      <c r="D8" s="433"/>
      <c r="E8" s="433"/>
      <c r="F8" s="433"/>
      <c r="G8" s="433">
        <f t="shared" ref="G8:M8" si="1">G7/F7-1</f>
        <v>-2.201136127128708</v>
      </c>
      <c r="H8" s="433">
        <f t="shared" si="1"/>
        <v>-1.2853327897258173</v>
      </c>
      <c r="I8" s="433">
        <f t="shared" si="1"/>
        <v>0.18228906194185157</v>
      </c>
      <c r="J8" s="433">
        <f t="shared" si="1"/>
        <v>3.7352328005553659E-2</v>
      </c>
      <c r="K8" s="433">
        <f t="shared" si="1"/>
        <v>-0.10673326877006861</v>
      </c>
      <c r="L8" s="433">
        <f t="shared" si="1"/>
        <v>0.10171591603831986</v>
      </c>
      <c r="M8" s="433">
        <f t="shared" si="1"/>
        <v>0.8613053354346436</v>
      </c>
      <c r="N8" s="433">
        <f>N7/M7-1</f>
        <v>9.0960045476049745E-2</v>
      </c>
      <c r="O8" s="433">
        <f>O7/N7-1</f>
        <v>0.14697769664374571</v>
      </c>
      <c r="P8" s="433">
        <f>P7/O7-1</f>
        <v>-0.31761230065442503</v>
      </c>
      <c r="Q8" s="433">
        <f>Q7/P7-1</f>
        <v>0.3523854705132563</v>
      </c>
      <c r="R8" s="785">
        <f>R7/Q7-1</f>
        <v>0.16423525138298922</v>
      </c>
      <c r="S8" s="197"/>
      <c r="T8" s="197"/>
      <c r="U8" s="197"/>
    </row>
    <row r="9" spans="1:21" ht="13.5" customHeight="1">
      <c r="A9" s="41"/>
      <c r="B9" s="41"/>
      <c r="C9" s="435" t="s">
        <v>115</v>
      </c>
      <c r="D9" s="436"/>
      <c r="E9" s="436"/>
      <c r="F9" s="436">
        <f>IncomeStatement!AA42</f>
        <v>628.41399999999965</v>
      </c>
      <c r="G9" s="436">
        <f>IncomeStatement!AF42</f>
        <v>366.9369999999991</v>
      </c>
      <c r="H9" s="436">
        <f>IncomeStatement!AK42</f>
        <v>425.20499999999993</v>
      </c>
      <c r="I9" s="436">
        <f>IncomeStatement!AP42</f>
        <v>389.72100000000012</v>
      </c>
      <c r="J9" s="436">
        <f>IncomeStatement!AU43</f>
        <v>331.06600000000014</v>
      </c>
      <c r="K9" s="436">
        <f>IncomeStatement!AZ43</f>
        <v>328.74499999999983</v>
      </c>
      <c r="L9" s="436">
        <f>IncomeStatement!BE43</f>
        <v>367.16199999999981</v>
      </c>
      <c r="M9" s="436">
        <f>IncomeStatement!BJ43</f>
        <v>436.5060000000002</v>
      </c>
      <c r="N9" s="436">
        <f>IncomeStatement!BO43</f>
        <v>392.423</v>
      </c>
      <c r="O9" s="436">
        <f>IncomeStatement!BT43</f>
        <v>391.87699999999995</v>
      </c>
      <c r="P9" s="436">
        <f>IncomeStatement!BY43</f>
        <v>406.19199999999995</v>
      </c>
      <c r="Q9" s="436">
        <f>IncomeStatement!CD43</f>
        <v>431.4422083871882</v>
      </c>
      <c r="R9" s="786">
        <f>IncomeStatement!CI43</f>
        <v>469.22068688241643</v>
      </c>
      <c r="S9" s="197"/>
      <c r="T9" s="197"/>
      <c r="U9" s="197"/>
    </row>
    <row r="10" spans="1:21" ht="13.5">
      <c r="A10" s="42"/>
      <c r="B10" s="420"/>
      <c r="C10" s="432" t="s">
        <v>258</v>
      </c>
      <c r="D10" s="433"/>
      <c r="E10" s="433"/>
      <c r="F10" s="433"/>
      <c r="G10" s="433">
        <f t="shared" ref="G10:M10" si="2">G9/F9-1</f>
        <v>-0.41609034808263456</v>
      </c>
      <c r="H10" s="433">
        <f t="shared" si="2"/>
        <v>0.15879565156961806</v>
      </c>
      <c r="I10" s="433">
        <f t="shared" si="2"/>
        <v>-8.3451511623804597E-2</v>
      </c>
      <c r="J10" s="433">
        <f t="shared" si="2"/>
        <v>-0.15050510493404246</v>
      </c>
      <c r="K10" s="433">
        <f t="shared" si="2"/>
        <v>-7.0106866908722365E-3</v>
      </c>
      <c r="L10" s="433">
        <f t="shared" si="2"/>
        <v>0.11685957200869979</v>
      </c>
      <c r="M10" s="433">
        <f t="shared" si="2"/>
        <v>0.18886486074267061</v>
      </c>
      <c r="N10" s="433">
        <f>N9/M9-1</f>
        <v>-0.1009905934855424</v>
      </c>
      <c r="O10" s="433">
        <f>O9/N9-1</f>
        <v>-1.3913557564160239E-3</v>
      </c>
      <c r="P10" s="433">
        <f>P9/O9-1</f>
        <v>3.6529319148610462E-2</v>
      </c>
      <c r="Q10" s="433">
        <f>Q9/P9-1</f>
        <v>6.2163234104040122E-2</v>
      </c>
      <c r="R10" s="785">
        <f>R9/Q9-1</f>
        <v>8.7563241984253803E-2</v>
      </c>
      <c r="S10" s="197"/>
      <c r="T10" s="197"/>
      <c r="U10" s="197"/>
    </row>
    <row r="11" spans="1:21" ht="13.5">
      <c r="A11" s="420"/>
      <c r="B11" s="66"/>
      <c r="C11" s="435" t="s">
        <v>124</v>
      </c>
      <c r="D11" s="437"/>
      <c r="E11" s="437"/>
      <c r="F11" s="437"/>
      <c r="G11" s="437">
        <f>IncomeStatement!AF62</f>
        <v>-0.25931771731323916</v>
      </c>
      <c r="H11" s="437">
        <f>IncomeStatement!AK62</f>
        <v>0.1918839145284795</v>
      </c>
      <c r="I11" s="437">
        <f>IncomeStatement!AP62</f>
        <v>0.14132890132141154</v>
      </c>
      <c r="J11" s="437">
        <f>IncomeStatement!AU62</f>
        <v>0.15338425266466829</v>
      </c>
      <c r="K11" s="437">
        <f>IncomeStatement!AZ62</f>
        <v>0.17194114346916878</v>
      </c>
      <c r="L11" s="437">
        <f>IncomeStatement!BE62</f>
        <v>0.24021771847095588</v>
      </c>
      <c r="M11" s="437">
        <f>IncomeStatement!BJ62</f>
        <v>0.29150556313906906</v>
      </c>
      <c r="N11" s="437">
        <f>IncomeStatement!BO62</f>
        <v>0.33399954369153606</v>
      </c>
      <c r="O11" s="437">
        <f>IncomeStatement!BT62</f>
        <v>0.40162872311706915</v>
      </c>
      <c r="P11" s="437">
        <f>IncomeStatement!BY62</f>
        <v>0.428790423671289</v>
      </c>
      <c r="Q11" s="437">
        <f>IncomeStatement!CD62</f>
        <v>0.56343314810123979</v>
      </c>
      <c r="R11" s="787">
        <f>IncomeStatement!CI62</f>
        <v>0.69458673136380533</v>
      </c>
      <c r="S11" s="197"/>
      <c r="T11" s="197"/>
      <c r="U11" s="197"/>
    </row>
    <row r="12" spans="1:21" ht="13.5" thickBot="1">
      <c r="A12" s="66"/>
      <c r="B12" s="204"/>
      <c r="C12" s="432" t="s">
        <v>23</v>
      </c>
      <c r="D12" s="433"/>
      <c r="E12" s="433"/>
      <c r="F12" s="433"/>
      <c r="G12" s="433"/>
      <c r="H12" s="433">
        <f t="shared" ref="H12:M12" si="3">H11/G11-1</f>
        <v>-1.7399568240711298</v>
      </c>
      <c r="I12" s="433">
        <f t="shared" si="3"/>
        <v>-0.26346665551043136</v>
      </c>
      <c r="J12" s="433">
        <f t="shared" si="3"/>
        <v>8.5299972125590484E-2</v>
      </c>
      <c r="K12" s="433">
        <f t="shared" si="3"/>
        <v>0.12098302454209509</v>
      </c>
      <c r="L12" s="433">
        <f t="shared" si="3"/>
        <v>0.39709271221654951</v>
      </c>
      <c r="M12" s="433">
        <f t="shared" si="3"/>
        <v>0.21350566891806633</v>
      </c>
      <c r="N12" s="433">
        <f>N11/M11-1</f>
        <v>0.1457741666912693</v>
      </c>
      <c r="O12" s="433">
        <f>O11/N11-1</f>
        <v>0.20248284976099185</v>
      </c>
      <c r="P12" s="433">
        <f>P11/O11-1</f>
        <v>6.7628879586639101E-2</v>
      </c>
      <c r="Q12" s="433">
        <f>Q11/P11-1</f>
        <v>0.31400590357672731</v>
      </c>
      <c r="R12" s="785">
        <f>R11/Q11-1</f>
        <v>0.23277576710662284</v>
      </c>
      <c r="S12" s="197"/>
      <c r="T12" s="197"/>
      <c r="U12" s="197"/>
    </row>
    <row r="13" spans="1:21" s="431" customFormat="1">
      <c r="A13" s="424" t="s">
        <v>64</v>
      </c>
      <c r="B13" s="427"/>
      <c r="C13" s="435" t="s">
        <v>263</v>
      </c>
      <c r="D13" s="438"/>
      <c r="E13" s="438"/>
      <c r="F13" s="438">
        <f>IncomeStatement!AA120</f>
        <v>8.9999999999999993E-3</v>
      </c>
      <c r="G13" s="438">
        <f>IncomeStatement!AF120</f>
        <v>4.749999999999999E-3</v>
      </c>
      <c r="H13" s="438">
        <f>IncomeStatement!AK120</f>
        <v>-1.7000000000000001E-2</v>
      </c>
      <c r="I13" s="438">
        <f>IncomeStatement!AP120</f>
        <v>-1.7000000000000001E-2</v>
      </c>
      <c r="J13" s="438">
        <v>0.02</v>
      </c>
      <c r="K13" s="438">
        <v>1.6E-2</v>
      </c>
      <c r="L13" s="438">
        <f>IncomeStatement!BE120</f>
        <v>1.9E-2</v>
      </c>
      <c r="M13" s="438">
        <f>IncomeStatement!BJ120</f>
        <v>2.3E-2</v>
      </c>
      <c r="N13" s="438">
        <f>IncomeStatement!BO120</f>
        <v>2.5999999999999999E-2</v>
      </c>
      <c r="O13" s="438">
        <f>IncomeStatement!BT120</f>
        <v>2.7E-2</v>
      </c>
      <c r="P13" s="438">
        <f>IncomeStatement!BY120</f>
        <v>2E-3</v>
      </c>
      <c r="Q13" s="438">
        <f>IncomeStatement!CD120</f>
        <v>2.2374999999999999E-2</v>
      </c>
      <c r="R13" s="788">
        <f>IncomeStatement!CI120</f>
        <v>2.5000000000000001E-2</v>
      </c>
      <c r="S13" s="430"/>
      <c r="T13" s="430"/>
      <c r="U13" s="430"/>
    </row>
    <row r="14" spans="1:21" s="431" customFormat="1">
      <c r="A14" s="446" t="s">
        <v>88</v>
      </c>
      <c r="B14" s="427"/>
      <c r="C14" s="435" t="s">
        <v>507</v>
      </c>
      <c r="D14" s="440"/>
      <c r="E14" s="440"/>
      <c r="F14" s="440">
        <v>6644.965187713311</v>
      </c>
      <c r="G14" s="440">
        <v>6630</v>
      </c>
      <c r="H14" s="440">
        <v>6541</v>
      </c>
      <c r="I14" s="440">
        <v>6576</v>
      </c>
      <c r="J14" s="440">
        <v>6594</v>
      </c>
      <c r="K14" s="440">
        <v>6560</v>
      </c>
      <c r="L14" s="440">
        <v>6557</v>
      </c>
      <c r="M14" s="440">
        <v>6515</v>
      </c>
      <c r="N14" s="440">
        <v>6479</v>
      </c>
      <c r="O14" s="440">
        <v>6537</v>
      </c>
      <c r="P14" s="440">
        <v>6634</v>
      </c>
      <c r="Q14" s="440">
        <v>6777</v>
      </c>
      <c r="R14" s="789">
        <v>6964</v>
      </c>
      <c r="S14" s="430"/>
    </row>
    <row r="15" spans="1:21" s="431" customFormat="1">
      <c r="A15" s="446" t="s">
        <v>90</v>
      </c>
      <c r="B15" s="434"/>
      <c r="C15" s="432" t="s">
        <v>406</v>
      </c>
      <c r="D15" s="840"/>
      <c r="E15" s="840"/>
      <c r="F15" s="840"/>
      <c r="G15" s="840"/>
      <c r="H15" s="840">
        <f t="shared" ref="H15:M15" si="4">H14/G14-1</f>
        <v>-1.3423831070889847E-2</v>
      </c>
      <c r="I15" s="840">
        <f t="shared" si="4"/>
        <v>5.3508637822963223E-3</v>
      </c>
      <c r="J15" s="840">
        <f t="shared" si="4"/>
        <v>2.7372262773721623E-3</v>
      </c>
      <c r="K15" s="840">
        <f t="shared" si="4"/>
        <v>-5.1562026084318591E-3</v>
      </c>
      <c r="L15" s="840">
        <f t="shared" si="4"/>
        <v>-4.5731707317075987E-4</v>
      </c>
      <c r="M15" s="840">
        <f t="shared" si="4"/>
        <v>-6.4053683086777724E-3</v>
      </c>
      <c r="N15" s="840">
        <f>N14/M14-1</f>
        <v>-5.525709900230269E-3</v>
      </c>
      <c r="O15" s="840">
        <f>O14/N14-1</f>
        <v>8.9519987652415534E-3</v>
      </c>
      <c r="P15" s="840">
        <f>P14/O14-1</f>
        <v>1.4838610983631595E-2</v>
      </c>
      <c r="Q15" s="840">
        <f>Q14/P14-1</f>
        <v>2.1555622550497366E-2</v>
      </c>
      <c r="R15" s="841">
        <f>R14/Q14-1</f>
        <v>2.759333038217493E-2</v>
      </c>
      <c r="S15" s="430"/>
      <c r="T15" s="430"/>
      <c r="U15" s="430"/>
    </row>
    <row r="16" spans="1:21" s="431" customFormat="1">
      <c r="A16" s="446" t="s">
        <v>92</v>
      </c>
      <c r="B16" s="427"/>
      <c r="C16" s="435" t="s">
        <v>530</v>
      </c>
      <c r="D16" s="436"/>
      <c r="E16" s="436"/>
      <c r="F16" s="436"/>
      <c r="G16" s="436">
        <f>'CashFlow '!BO66</f>
        <v>-33.384000000000015</v>
      </c>
      <c r="H16" s="436">
        <f>'CashFlow '!BT66</f>
        <v>196.8839999999999</v>
      </c>
      <c r="I16" s="436">
        <f>'CashFlow '!BY66</f>
        <v>78.281000000000006</v>
      </c>
      <c r="J16" s="436">
        <f>'CashFlow '!CD66</f>
        <v>99.953999999999951</v>
      </c>
      <c r="K16" s="436">
        <f>'CashFlow '!CI66</f>
        <v>-7.1749999999999261</v>
      </c>
      <c r="L16" s="436">
        <f>IncomeStatement!BE130</f>
        <v>105.60199999999998</v>
      </c>
      <c r="M16" s="436">
        <f>IncomeStatement!BJ130</f>
        <v>-43.694999999999965</v>
      </c>
      <c r="N16" s="436">
        <f>IncomeStatement!BO130</f>
        <v>-39.142000000000053</v>
      </c>
      <c r="O16" s="436">
        <f>IncomeStatement!BT130</f>
        <v>31.385000000000019</v>
      </c>
      <c r="P16" s="436">
        <f>IncomeStatement!BY130</f>
        <v>169.93000000000006</v>
      </c>
      <c r="Q16" s="436">
        <f>IncomeStatement!CD130</f>
        <v>224.93935026558421</v>
      </c>
      <c r="R16" s="786">
        <f>IncomeStatement!CI130</f>
        <v>254.55462891682777</v>
      </c>
      <c r="S16" s="430"/>
      <c r="T16" s="430"/>
      <c r="U16" s="430"/>
    </row>
    <row r="17" spans="1:21" s="431" customFormat="1" ht="13.5" thickBot="1">
      <c r="A17" s="446" t="s">
        <v>93</v>
      </c>
      <c r="B17" s="427"/>
      <c r="C17" s="842" t="s">
        <v>161</v>
      </c>
      <c r="D17" s="843"/>
      <c r="E17" s="843"/>
      <c r="F17" s="843"/>
      <c r="G17" s="843">
        <f>-'CashFlow '!BO50</f>
        <v>30.538</v>
      </c>
      <c r="H17" s="843">
        <f>-'CashFlow '!BT50</f>
        <v>27.975999999999999</v>
      </c>
      <c r="I17" s="843">
        <f>-'CashFlow '!BY50</f>
        <v>27.620999999999999</v>
      </c>
      <c r="J17" s="843">
        <f>-'CashFlow '!CD50</f>
        <v>32.366</v>
      </c>
      <c r="K17" s="843">
        <f>-'CashFlow '!CI50</f>
        <v>39.042999999999999</v>
      </c>
      <c r="L17" s="843">
        <f>-'CashFlow '!CN50</f>
        <v>70.680999999999997</v>
      </c>
      <c r="M17" s="843">
        <f>-'CashFlow '!CS50</f>
        <v>75.117000000000004</v>
      </c>
      <c r="N17" s="843">
        <f>-'CashFlow '!CX50</f>
        <v>71.844999999999999</v>
      </c>
      <c r="O17" s="843">
        <f>-'CashFlow '!DC50</f>
        <v>63.832000000000001</v>
      </c>
      <c r="P17" s="843">
        <f>-'CashFlow '!DH50</f>
        <v>68.322000000000003</v>
      </c>
      <c r="Q17" s="843">
        <f>-'CashFlow '!DM50</f>
        <v>84.939932563785447</v>
      </c>
      <c r="R17" s="844">
        <f>-'CashFlow '!DR50</f>
        <v>89.205781941878357</v>
      </c>
      <c r="S17" s="430"/>
      <c r="T17" s="430"/>
      <c r="U17" s="430"/>
    </row>
    <row r="18" spans="1:21" s="431" customFormat="1">
      <c r="A18" s="446" t="s">
        <v>95</v>
      </c>
      <c r="B18" s="427"/>
      <c r="C18" s="863"/>
      <c r="D18" s="916"/>
      <c r="E18" s="916"/>
      <c r="F18" s="916"/>
      <c r="G18" s="916"/>
      <c r="H18" s="917"/>
      <c r="I18" s="916"/>
      <c r="J18" s="916"/>
      <c r="K18" s="916"/>
      <c r="L18" s="916"/>
      <c r="M18" s="916"/>
      <c r="N18" s="916"/>
      <c r="O18" s="916"/>
      <c r="P18" s="916"/>
      <c r="Q18" s="916"/>
      <c r="R18" s="916"/>
      <c r="S18" s="430"/>
      <c r="T18" s="430"/>
      <c r="U18" s="430"/>
    </row>
    <row r="19" spans="1:21" s="439" customFormat="1" ht="13.5" thickBot="1">
      <c r="A19" s="446" t="s">
        <v>96</v>
      </c>
      <c r="B19" s="427"/>
      <c r="C19" s="914" t="s">
        <v>259</v>
      </c>
      <c r="D19" s="911"/>
      <c r="E19" s="912"/>
      <c r="F19" s="912"/>
      <c r="G19" s="912"/>
      <c r="H19" s="915"/>
      <c r="I19" s="912"/>
      <c r="J19" s="912"/>
      <c r="K19" s="912"/>
      <c r="L19" s="912"/>
      <c r="M19" s="912"/>
      <c r="N19" s="912"/>
      <c r="O19" s="912"/>
      <c r="P19" s="912"/>
      <c r="Q19" s="912"/>
      <c r="R19" s="912"/>
      <c r="S19" s="385"/>
      <c r="T19" s="385"/>
      <c r="U19" s="385"/>
    </row>
    <row r="20" spans="1:21" s="439" customFormat="1">
      <c r="A20" s="446"/>
      <c r="B20" s="385"/>
      <c r="C20" s="908"/>
      <c r="D20" s="880"/>
      <c r="E20" s="881"/>
      <c r="F20" s="881"/>
      <c r="G20" s="881"/>
      <c r="H20" s="882"/>
      <c r="I20" s="967"/>
      <c r="J20" s="967"/>
      <c r="K20" s="881"/>
      <c r="L20" s="881" t="str">
        <f t="shared" ref="L20:R20" si="5">L4</f>
        <v>2013A</v>
      </c>
      <c r="M20" s="881" t="str">
        <f t="shared" si="5"/>
        <v>2014A</v>
      </c>
      <c r="N20" s="881" t="str">
        <f t="shared" si="5"/>
        <v>2015A</v>
      </c>
      <c r="O20" s="881" t="str">
        <f t="shared" si="5"/>
        <v>2016A</v>
      </c>
      <c r="P20" s="881" t="str">
        <f t="shared" si="5"/>
        <v>2017E</v>
      </c>
      <c r="Q20" s="881" t="str">
        <f t="shared" si="5"/>
        <v>2018E</v>
      </c>
      <c r="R20" s="883" t="str">
        <f t="shared" si="5"/>
        <v>2019E</v>
      </c>
      <c r="S20" s="385"/>
      <c r="T20" s="385"/>
      <c r="U20" s="385"/>
    </row>
    <row r="21" spans="1:21" s="439" customFormat="1" ht="13.5" thickBot="1">
      <c r="A21" s="720"/>
      <c r="B21" s="384"/>
      <c r="C21" s="905" t="s">
        <v>235</v>
      </c>
      <c r="D21" s="1327">
        <v>16.79</v>
      </c>
      <c r="E21" s="721"/>
      <c r="F21" s="721"/>
      <c r="G21" s="886"/>
      <c r="H21" s="887"/>
      <c r="I21" s="886"/>
      <c r="J21" s="886"/>
      <c r="K21" s="886"/>
      <c r="L21" s="886"/>
      <c r="M21" s="886"/>
      <c r="N21" s="886"/>
      <c r="O21" s="886"/>
      <c r="P21" s="886"/>
      <c r="Q21" s="886"/>
      <c r="R21" s="888"/>
      <c r="S21" s="385"/>
      <c r="T21" s="385"/>
      <c r="U21" s="385"/>
    </row>
    <row r="22" spans="1:21" s="439" customFormat="1" ht="11.25">
      <c r="A22" s="385"/>
      <c r="B22" s="385"/>
      <c r="C22" s="905" t="s">
        <v>260</v>
      </c>
      <c r="D22" s="722">
        <f>IncomeStatement!BX67</f>
        <v>249.626</v>
      </c>
      <c r="E22" s="723"/>
      <c r="F22" s="723"/>
      <c r="G22" s="889"/>
      <c r="H22" s="890"/>
      <c r="I22" s="889"/>
      <c r="J22" s="889"/>
      <c r="K22" s="889"/>
      <c r="L22" s="889"/>
      <c r="M22" s="889"/>
      <c r="N22" s="889"/>
      <c r="O22" s="889"/>
      <c r="P22" s="889"/>
      <c r="Q22" s="889"/>
      <c r="R22" s="891"/>
      <c r="S22" s="385"/>
      <c r="T22" s="385"/>
      <c r="U22" s="385"/>
    </row>
    <row r="23" spans="1:21" s="439" customFormat="1" ht="12.75" customHeight="1">
      <c r="A23" s="385"/>
      <c r="B23" s="385"/>
      <c r="C23" s="905" t="s">
        <v>55</v>
      </c>
      <c r="D23" s="722">
        <f>D22*D21</f>
        <v>4191.2205400000003</v>
      </c>
      <c r="E23" s="723"/>
      <c r="F23" s="723"/>
      <c r="G23" s="889"/>
      <c r="H23" s="890"/>
      <c r="I23" s="889"/>
      <c r="J23" s="889"/>
      <c r="K23" s="889"/>
      <c r="L23" s="889"/>
      <c r="M23" s="889"/>
      <c r="N23" s="889"/>
      <c r="O23" s="889"/>
      <c r="P23" s="889"/>
      <c r="Q23" s="889"/>
      <c r="R23" s="891"/>
      <c r="S23" s="385"/>
      <c r="T23" s="385"/>
      <c r="U23" s="385"/>
    </row>
    <row r="24" spans="1:21" s="439" customFormat="1">
      <c r="A24" s="385"/>
      <c r="B24" s="385"/>
      <c r="C24" s="905" t="s">
        <v>261</v>
      </c>
      <c r="D24" s="724">
        <f>'Balance Sheet '!DG39+'Balance Sheet '!DG33-'Balance Sheet '!DG11</f>
        <v>2582.9549999999999</v>
      </c>
      <c r="E24" s="721"/>
      <c r="F24" s="721"/>
      <c r="G24" s="886"/>
      <c r="H24" s="887"/>
      <c r="I24" s="886"/>
      <c r="J24" s="886"/>
      <c r="K24" s="886"/>
      <c r="L24" s="886"/>
      <c r="M24" s="886"/>
      <c r="N24" s="886"/>
      <c r="O24" s="886"/>
      <c r="P24" s="886"/>
      <c r="Q24" s="886"/>
      <c r="R24" s="888"/>
      <c r="S24" s="385"/>
      <c r="T24" s="385"/>
      <c r="U24" s="385"/>
    </row>
    <row r="25" spans="1:21" s="439" customFormat="1">
      <c r="A25" s="385"/>
      <c r="B25" s="385"/>
      <c r="C25" s="905" t="s">
        <v>262</v>
      </c>
      <c r="D25" s="724">
        <f>D24+D23</f>
        <v>6774.1755400000002</v>
      </c>
      <c r="E25" s="721"/>
      <c r="F25" s="721"/>
      <c r="G25" s="886"/>
      <c r="H25" s="887"/>
      <c r="I25" s="886"/>
      <c r="J25" s="886"/>
      <c r="K25" s="886"/>
      <c r="L25" s="886"/>
      <c r="M25" s="886"/>
      <c r="N25" s="886"/>
      <c r="O25" s="886"/>
      <c r="P25" s="886"/>
      <c r="Q25" s="886"/>
      <c r="R25" s="888"/>
      <c r="S25" s="385"/>
      <c r="T25" s="385"/>
      <c r="U25" s="385"/>
    </row>
    <row r="26" spans="1:21">
      <c r="A26" s="197"/>
      <c r="B26" s="197"/>
      <c r="C26" s="906" t="s">
        <v>144</v>
      </c>
      <c r="D26" s="725"/>
      <c r="E26" s="726"/>
      <c r="F26" s="726"/>
      <c r="G26" s="892"/>
      <c r="H26" s="892"/>
      <c r="I26" s="892"/>
      <c r="J26" s="892"/>
      <c r="K26" s="892"/>
      <c r="L26" s="892">
        <f t="shared" ref="L26:Q26" si="6">$D$25/L9</f>
        <v>18.450099792462193</v>
      </c>
      <c r="M26" s="892">
        <f t="shared" si="6"/>
        <v>15.519089176322884</v>
      </c>
      <c r="N26" s="892">
        <f t="shared" si="6"/>
        <v>17.262432477199351</v>
      </c>
      <c r="O26" s="892">
        <f>$D$25/O9</f>
        <v>17.286484126396804</v>
      </c>
      <c r="P26" s="892">
        <f t="shared" si="6"/>
        <v>16.677274638594557</v>
      </c>
      <c r="Q26" s="892">
        <f t="shared" si="6"/>
        <v>15.70123508620804</v>
      </c>
      <c r="R26" s="893">
        <f t="shared" ref="R26" si="7">$D$25/R9</f>
        <v>14.437077753346291</v>
      </c>
      <c r="S26" s="197"/>
      <c r="T26" s="197"/>
      <c r="U26" s="197"/>
    </row>
    <row r="27" spans="1:21">
      <c r="A27" s="197"/>
      <c r="B27" s="197"/>
      <c r="C27" s="907" t="s">
        <v>223</v>
      </c>
      <c r="D27" s="838"/>
      <c r="E27" s="839"/>
      <c r="F27" s="839"/>
      <c r="G27" s="894"/>
      <c r="H27" s="894"/>
      <c r="I27" s="894"/>
      <c r="J27" s="894"/>
      <c r="K27" s="894"/>
      <c r="L27" s="894">
        <f t="shared" ref="L27:Q27" si="8">$D$24/L9</f>
        <v>7.0349191909838202</v>
      </c>
      <c r="M27" s="894">
        <f t="shared" si="8"/>
        <v>5.9173413423870436</v>
      </c>
      <c r="N27" s="894">
        <f t="shared" si="8"/>
        <v>6.5820683293283011</v>
      </c>
      <c r="O27" s="894">
        <f t="shared" si="8"/>
        <v>6.5912390877749916</v>
      </c>
      <c r="P27" s="894">
        <f t="shared" si="8"/>
        <v>6.3589509394572028</v>
      </c>
      <c r="Q27" s="894">
        <f t="shared" si="8"/>
        <v>5.9867925524847685</v>
      </c>
      <c r="R27" s="895">
        <f t="shared" ref="R27" si="9">$D$24/R9</f>
        <v>5.5047764776988002</v>
      </c>
      <c r="S27" s="197"/>
      <c r="T27" s="197"/>
      <c r="U27" s="197"/>
    </row>
    <row r="28" spans="1:21">
      <c r="A28" s="197"/>
      <c r="B28" s="197"/>
      <c r="C28" s="906" t="s">
        <v>49</v>
      </c>
      <c r="D28" s="725"/>
      <c r="E28" s="726"/>
      <c r="F28" s="726"/>
      <c r="G28" s="892"/>
      <c r="H28" s="892"/>
      <c r="I28" s="892"/>
      <c r="J28" s="892"/>
      <c r="K28" s="892"/>
      <c r="L28" s="892">
        <f t="shared" ref="L28:Q28" si="10">$D$21/L11</f>
        <v>69.894927430301252</v>
      </c>
      <c r="M28" s="892">
        <f t="shared" si="10"/>
        <v>57.597528565826941</v>
      </c>
      <c r="N28" s="892">
        <f t="shared" si="10"/>
        <v>50.269529755724264</v>
      </c>
      <c r="O28" s="892">
        <f t="shared" si="10"/>
        <v>41.80477897519782</v>
      </c>
      <c r="P28" s="892">
        <f t="shared" si="10"/>
        <v>39.15665806210081</v>
      </c>
      <c r="Q28" s="892">
        <f t="shared" si="10"/>
        <v>29.799453682450199</v>
      </c>
      <c r="R28" s="893">
        <f t="shared" ref="R28" si="11">$D$21/R11</f>
        <v>24.172647189837924</v>
      </c>
      <c r="S28" s="197"/>
      <c r="T28" s="197"/>
      <c r="U28" s="197"/>
    </row>
    <row r="29" spans="1:21">
      <c r="A29" s="197"/>
      <c r="B29" s="197"/>
      <c r="C29" s="907" t="s">
        <v>425</v>
      </c>
      <c r="D29" s="838"/>
      <c r="E29" s="839"/>
      <c r="F29" s="839"/>
      <c r="G29" s="896"/>
      <c r="H29" s="896"/>
      <c r="I29" s="896"/>
      <c r="J29" s="896"/>
      <c r="K29" s="896"/>
      <c r="L29" s="896">
        <f t="shared" ref="L29:Q29" si="12">$D$23/L5</f>
        <v>1.6849933886284407</v>
      </c>
      <c r="M29" s="896">
        <f t="shared" si="12"/>
        <v>2.033471449447775</v>
      </c>
      <c r="N29" s="896">
        <f t="shared" si="12"/>
        <v>2.2409384926565141</v>
      </c>
      <c r="O29" s="896">
        <f t="shared" si="12"/>
        <v>2.9198606538304528</v>
      </c>
      <c r="P29" s="896">
        <f t="shared" si="12"/>
        <v>3.4258651386907855</v>
      </c>
      <c r="Q29" s="896">
        <f t="shared" si="12"/>
        <v>3.28935783661694</v>
      </c>
      <c r="R29" s="897">
        <f t="shared" ref="R29" si="13">$D$23/R5</f>
        <v>3.1164844688252642</v>
      </c>
      <c r="S29" s="197"/>
      <c r="T29" s="197"/>
      <c r="U29" s="197"/>
    </row>
    <row r="30" spans="1:21">
      <c r="A30" s="197"/>
      <c r="B30" s="197"/>
      <c r="C30" s="906" t="s">
        <v>529</v>
      </c>
      <c r="D30" s="725"/>
      <c r="E30" s="726"/>
      <c r="F30" s="726"/>
      <c r="G30" s="879"/>
      <c r="H30" s="879"/>
      <c r="I30" s="879"/>
      <c r="J30" s="879"/>
      <c r="K30" s="879"/>
      <c r="L30" s="879">
        <f t="shared" ref="L30:Q30" si="14">L16/$D$23</f>
        <v>2.5196001735570794E-2</v>
      </c>
      <c r="M30" s="879">
        <f t="shared" si="14"/>
        <v>-1.0425364063519302E-2</v>
      </c>
      <c r="N30" s="879">
        <f t="shared" si="14"/>
        <v>-9.339045661386278E-3</v>
      </c>
      <c r="O30" s="879">
        <f t="shared" si="14"/>
        <v>7.4882721394565451E-3</v>
      </c>
      <c r="P30" s="879">
        <f>P16/$D$23</f>
        <v>4.0544275439154072E-2</v>
      </c>
      <c r="Q30" s="879">
        <f t="shared" si="14"/>
        <v>5.3669175391468232E-2</v>
      </c>
      <c r="R30" s="898">
        <f t="shared" ref="R30" si="15">R16/$D$23</f>
        <v>6.0735202666483343E-2</v>
      </c>
      <c r="S30" s="197"/>
      <c r="T30" s="197"/>
      <c r="U30" s="197"/>
    </row>
    <row r="31" spans="1:21">
      <c r="A31" s="197"/>
      <c r="B31" s="197"/>
      <c r="C31" s="907" t="s">
        <v>531</v>
      </c>
      <c r="D31" s="838"/>
      <c r="E31" s="839"/>
      <c r="F31" s="839"/>
      <c r="G31" s="864"/>
      <c r="H31" s="864"/>
      <c r="I31" s="864"/>
      <c r="J31" s="864"/>
      <c r="K31" s="864"/>
      <c r="L31" s="864">
        <f t="shared" ref="L31:Q31" si="16">L16/$D$25</f>
        <v>1.5588908107923046E-2</v>
      </c>
      <c r="M31" s="864">
        <f t="shared" si="16"/>
        <v>-6.4502314328866604E-3</v>
      </c>
      <c r="N31" s="864">
        <f t="shared" si="16"/>
        <v>-5.778120122349243E-3</v>
      </c>
      <c r="O31" s="864">
        <f t="shared" si="16"/>
        <v>4.633036125898801E-3</v>
      </c>
      <c r="P31" s="864">
        <f t="shared" si="16"/>
        <v>2.5084971447315058E-2</v>
      </c>
      <c r="Q31" s="864">
        <f t="shared" si="16"/>
        <v>3.3205420930911424E-2</v>
      </c>
      <c r="R31" s="899">
        <f t="shared" ref="R31" si="17">R16/$D$25</f>
        <v>3.7577211782266237E-2</v>
      </c>
      <c r="S31" s="197"/>
      <c r="T31" s="197"/>
      <c r="U31" s="197"/>
    </row>
    <row r="32" spans="1:21">
      <c r="A32" s="197"/>
      <c r="B32" s="197"/>
      <c r="C32" s="907" t="s">
        <v>532</v>
      </c>
      <c r="D32" s="838"/>
      <c r="E32" s="839"/>
      <c r="F32" s="839"/>
      <c r="G32" s="438"/>
      <c r="H32" s="438"/>
      <c r="I32" s="438"/>
      <c r="J32" s="438"/>
      <c r="K32" s="438"/>
      <c r="L32" s="438">
        <f t="shared" ref="L32:Q32" si="18">L17/$D$23</f>
        <v>1.6864061274141397E-2</v>
      </c>
      <c r="M32" s="438">
        <f t="shared" si="18"/>
        <v>1.7922464180326812E-2</v>
      </c>
      <c r="N32" s="438">
        <f t="shared" si="18"/>
        <v>1.7141784669722961E-2</v>
      </c>
      <c r="O32" s="438">
        <f t="shared" si="18"/>
        <v>1.5229931088283891E-2</v>
      </c>
      <c r="P32" s="438">
        <f t="shared" si="18"/>
        <v>1.6301218069522058E-2</v>
      </c>
      <c r="Q32" s="438">
        <f t="shared" si="18"/>
        <v>2.0266156780140574E-2</v>
      </c>
      <c r="R32" s="900">
        <f t="shared" ref="R32" si="19">R17/$D$23</f>
        <v>2.1283962771827404E-2</v>
      </c>
      <c r="S32" s="197"/>
      <c r="T32" s="197"/>
      <c r="U32" s="197"/>
    </row>
    <row r="33" spans="1:21" ht="12" customHeight="1" thickBot="1">
      <c r="A33" s="197"/>
      <c r="B33" s="197"/>
      <c r="C33" s="904" t="s">
        <v>426</v>
      </c>
      <c r="D33" s="884"/>
      <c r="E33" s="885"/>
      <c r="F33" s="885"/>
      <c r="G33" s="901"/>
      <c r="H33" s="901"/>
      <c r="I33" s="901"/>
      <c r="J33" s="901"/>
      <c r="K33" s="901"/>
      <c r="L33" s="901">
        <f t="shared" ref="L33:Q33" si="20">$D$25/L5</f>
        <v>2.7234169353227347</v>
      </c>
      <c r="M33" s="901">
        <f t="shared" si="20"/>
        <v>3.2866541912245602</v>
      </c>
      <c r="N33" s="901">
        <f t="shared" si="20"/>
        <v>3.6219785092955825</v>
      </c>
      <c r="O33" s="901">
        <f t="shared" si="20"/>
        <v>4.7193051362042278</v>
      </c>
      <c r="P33" s="901">
        <f t="shared" si="20"/>
        <v>5.537148810083333</v>
      </c>
      <c r="Q33" s="901">
        <f t="shared" si="20"/>
        <v>5.3165151264308772</v>
      </c>
      <c r="R33" s="902">
        <f t="shared" ref="R33" si="21">$D$25/R5</f>
        <v>5.0371037882692749</v>
      </c>
      <c r="S33" s="197"/>
      <c r="T33" s="197"/>
      <c r="U33" s="197"/>
    </row>
    <row r="34" spans="1:21">
      <c r="A34" s="197"/>
      <c r="B34" s="197"/>
      <c r="C34" s="385"/>
      <c r="D34" s="421"/>
      <c r="E34" s="197"/>
      <c r="F34" s="197"/>
      <c r="G34" s="197"/>
      <c r="H34" s="851"/>
      <c r="I34" s="197"/>
      <c r="J34" s="197"/>
      <c r="K34" s="197"/>
      <c r="L34" s="197"/>
      <c r="M34" s="197"/>
      <c r="N34" s="197"/>
      <c r="O34" s="197"/>
      <c r="P34" s="197"/>
      <c r="Q34" s="197"/>
      <c r="R34" s="197"/>
      <c r="S34" s="197"/>
      <c r="T34" s="197"/>
      <c r="U34" s="197"/>
    </row>
    <row r="35" spans="1:21">
      <c r="A35" s="197"/>
      <c r="B35" s="197"/>
      <c r="C35" s="385"/>
      <c r="D35" s="421"/>
      <c r="E35" s="197"/>
      <c r="F35" s="197"/>
      <c r="G35" s="197"/>
      <c r="H35" s="851"/>
      <c r="I35" s="197"/>
      <c r="J35" s="197"/>
      <c r="K35" s="197"/>
      <c r="L35" s="197"/>
      <c r="M35" s="197"/>
      <c r="N35" s="197"/>
      <c r="O35" s="197"/>
      <c r="P35" s="197"/>
      <c r="Q35" s="197"/>
      <c r="R35" s="197"/>
      <c r="S35" s="197"/>
      <c r="T35" s="197"/>
      <c r="U35" s="197"/>
    </row>
    <row r="36" spans="1:21">
      <c r="A36" s="197"/>
      <c r="B36" s="197"/>
      <c r="C36" s="385"/>
      <c r="D36" s="421"/>
      <c r="E36" s="197"/>
      <c r="F36" s="197"/>
      <c r="G36" s="197"/>
      <c r="H36" s="851"/>
      <c r="I36" s="197"/>
      <c r="J36" s="197"/>
      <c r="K36" s="197"/>
      <c r="L36" s="197"/>
      <c r="M36" s="197"/>
      <c r="N36" s="197"/>
      <c r="O36" s="197"/>
      <c r="P36" s="197"/>
      <c r="Q36" s="197"/>
      <c r="R36" s="197"/>
      <c r="S36" s="197"/>
      <c r="T36" s="197"/>
      <c r="U36" s="197"/>
    </row>
    <row r="37" spans="1:21">
      <c r="A37" s="197"/>
      <c r="B37" s="197"/>
      <c r="C37" s="385"/>
      <c r="D37" s="421"/>
      <c r="E37" s="197"/>
      <c r="F37" s="197"/>
      <c r="G37" s="197"/>
      <c r="H37" s="851"/>
      <c r="I37" s="197"/>
      <c r="J37" s="197"/>
      <c r="K37" s="197"/>
      <c r="L37" s="197"/>
      <c r="M37" s="197"/>
      <c r="N37" s="197"/>
      <c r="O37" s="197"/>
      <c r="P37" s="197"/>
      <c r="Q37" s="197"/>
      <c r="R37" s="197"/>
      <c r="S37" s="197"/>
      <c r="T37" s="197"/>
      <c r="U37" s="197"/>
    </row>
    <row r="38" spans="1:21">
      <c r="A38" s="80"/>
      <c r="B38" s="197"/>
      <c r="C38" s="385"/>
      <c r="D38" s="421"/>
      <c r="E38" s="197"/>
      <c r="F38" s="197"/>
      <c r="G38" s="197"/>
      <c r="H38" s="851"/>
      <c r="I38" s="197"/>
      <c r="J38" s="197"/>
      <c r="K38" s="197"/>
      <c r="L38" s="197"/>
      <c r="M38" s="197"/>
      <c r="N38" s="197"/>
      <c r="O38" s="197"/>
      <c r="P38" s="197"/>
      <c r="Q38" s="197"/>
      <c r="R38" s="197"/>
      <c r="S38" s="197"/>
      <c r="T38" s="197"/>
      <c r="U38" s="197"/>
    </row>
    <row r="39" spans="1:21">
      <c r="A39" s="443"/>
      <c r="B39" s="442"/>
      <c r="C39" s="204"/>
      <c r="D39" s="421"/>
      <c r="E39" s="197"/>
      <c r="F39" s="197"/>
      <c r="G39" s="197"/>
      <c r="H39" s="851"/>
      <c r="I39" s="197"/>
      <c r="J39" s="197"/>
      <c r="K39" s="197"/>
      <c r="L39" s="197"/>
      <c r="M39" s="197"/>
      <c r="N39" s="197"/>
      <c r="O39" s="197"/>
      <c r="P39" s="197"/>
      <c r="Q39" s="197"/>
      <c r="R39" s="197"/>
      <c r="S39" s="197"/>
      <c r="T39" s="197"/>
      <c r="U39" s="197"/>
    </row>
    <row r="40" spans="1:21">
      <c r="A40" s="727"/>
      <c r="B40" s="80"/>
      <c r="C40" s="444"/>
      <c r="D40" s="421"/>
      <c r="E40" s="197"/>
      <c r="F40" s="197"/>
      <c r="G40" s="197"/>
      <c r="H40" s="851"/>
      <c r="I40" s="197"/>
      <c r="J40" s="197"/>
      <c r="K40" s="197"/>
      <c r="L40" s="197"/>
      <c r="M40" s="197"/>
      <c r="N40" s="197"/>
      <c r="O40" s="197"/>
      <c r="P40" s="197"/>
      <c r="Q40" s="197"/>
      <c r="R40" s="197"/>
      <c r="S40" s="197"/>
      <c r="T40" s="197"/>
      <c r="U40" s="197"/>
    </row>
    <row r="41" spans="1:21">
      <c r="A41" s="443"/>
      <c r="B41" s="45"/>
      <c r="C41" s="444"/>
      <c r="D41" s="421"/>
      <c r="E41" s="197"/>
      <c r="F41" s="197"/>
      <c r="G41" s="197"/>
      <c r="H41" s="851"/>
      <c r="I41" s="197"/>
      <c r="J41" s="197"/>
      <c r="K41" s="197"/>
      <c r="L41" s="197"/>
      <c r="M41" s="197"/>
      <c r="N41" s="197"/>
      <c r="O41" s="197"/>
      <c r="P41" s="197"/>
      <c r="Q41" s="197"/>
      <c r="R41" s="197"/>
      <c r="S41" s="197"/>
      <c r="T41" s="197"/>
      <c r="U41" s="197"/>
    </row>
    <row r="42" spans="1:21">
      <c r="A42" s="443"/>
      <c r="B42" s="80"/>
      <c r="C42" s="444"/>
      <c r="D42" s="421"/>
      <c r="E42" s="197"/>
      <c r="F42" s="197"/>
      <c r="G42" s="197"/>
      <c r="H42" s="851"/>
      <c r="I42" s="197"/>
      <c r="J42" s="197"/>
      <c r="K42" s="197"/>
      <c r="L42" s="197"/>
      <c r="M42" s="197"/>
      <c r="N42" s="197"/>
      <c r="O42" s="197"/>
      <c r="P42" s="197"/>
      <c r="Q42" s="197"/>
      <c r="R42" s="197"/>
      <c r="S42" s="197"/>
      <c r="T42" s="197"/>
      <c r="U42" s="197"/>
    </row>
    <row r="43" spans="1:21">
      <c r="A43" s="443"/>
      <c r="B43" s="80"/>
      <c r="C43" s="444"/>
      <c r="D43" s="421"/>
      <c r="E43" s="197"/>
      <c r="F43" s="197"/>
      <c r="G43" s="197"/>
      <c r="H43" s="851"/>
      <c r="I43" s="197"/>
      <c r="J43" s="197"/>
      <c r="K43" s="197"/>
      <c r="L43" s="197"/>
      <c r="M43" s="197"/>
      <c r="N43" s="197"/>
      <c r="O43" s="197"/>
      <c r="P43" s="197"/>
      <c r="Q43" s="197"/>
      <c r="R43" s="197"/>
      <c r="S43" s="197"/>
      <c r="T43" s="197"/>
      <c r="U43" s="197"/>
    </row>
    <row r="44" spans="1:21">
      <c r="A44" s="443"/>
      <c r="B44" s="80"/>
      <c r="C44" s="444"/>
      <c r="D44" s="421"/>
      <c r="E44" s="197"/>
      <c r="F44" s="197"/>
      <c r="G44" s="197"/>
      <c r="H44" s="851"/>
      <c r="I44" s="197"/>
      <c r="J44" s="197"/>
      <c r="K44" s="197"/>
      <c r="L44" s="197"/>
      <c r="M44" s="197"/>
      <c r="N44" s="197"/>
      <c r="O44" s="197"/>
      <c r="P44" s="197"/>
      <c r="Q44" s="197"/>
      <c r="R44" s="197"/>
      <c r="S44" s="197"/>
      <c r="T44" s="197"/>
      <c r="U44" s="197"/>
    </row>
    <row r="45" spans="1:21">
      <c r="A45" s="443"/>
      <c r="B45" s="80"/>
      <c r="C45" s="444"/>
      <c r="D45" s="421"/>
      <c r="E45" s="197"/>
      <c r="F45" s="197"/>
      <c r="G45" s="197"/>
      <c r="H45" s="851"/>
      <c r="I45" s="197"/>
      <c r="J45" s="197"/>
      <c r="K45" s="197"/>
      <c r="L45" s="197"/>
      <c r="M45" s="197"/>
      <c r="N45" s="197"/>
      <c r="O45" s="197"/>
      <c r="P45" s="197"/>
      <c r="Q45" s="197"/>
      <c r="R45" s="197"/>
      <c r="S45" s="197"/>
      <c r="T45" s="197"/>
      <c r="U45" s="197"/>
    </row>
    <row r="46" spans="1:21">
      <c r="A46" s="443"/>
      <c r="B46" s="80"/>
      <c r="C46" s="444"/>
      <c r="D46" s="421"/>
      <c r="E46" s="197"/>
      <c r="F46" s="197"/>
      <c r="G46" s="197"/>
      <c r="H46" s="851"/>
      <c r="I46" s="197"/>
      <c r="J46" s="197"/>
      <c r="K46" s="197"/>
      <c r="L46" s="197"/>
      <c r="M46" s="197"/>
      <c r="N46" s="197"/>
      <c r="O46" s="197"/>
      <c r="P46" s="197"/>
      <c r="Q46" s="197"/>
      <c r="R46" s="197"/>
      <c r="S46" s="197"/>
      <c r="T46" s="197"/>
      <c r="U46" s="197"/>
    </row>
    <row r="47" spans="1:21">
      <c r="A47" s="443"/>
      <c r="B47" s="80"/>
      <c r="C47" s="444"/>
      <c r="D47" s="421"/>
      <c r="E47" s="197"/>
      <c r="F47" s="197"/>
      <c r="G47" s="197"/>
      <c r="H47" s="851"/>
      <c r="I47" s="197"/>
      <c r="J47" s="197"/>
      <c r="K47" s="197"/>
      <c r="L47" s="197"/>
      <c r="M47" s="197"/>
      <c r="N47" s="197"/>
      <c r="O47" s="197"/>
      <c r="P47" s="197"/>
      <c r="Q47" s="197"/>
      <c r="R47" s="197"/>
      <c r="S47" s="197"/>
      <c r="T47" s="197"/>
      <c r="U47" s="197"/>
    </row>
    <row r="48" spans="1:21">
      <c r="A48" s="443"/>
      <c r="B48" s="80"/>
      <c r="C48" s="444"/>
      <c r="D48" s="421"/>
      <c r="E48" s="197"/>
      <c r="F48" s="197"/>
      <c r="G48" s="197"/>
      <c r="H48" s="851"/>
      <c r="I48" s="197"/>
      <c r="J48" s="197"/>
      <c r="K48" s="197"/>
      <c r="L48" s="197"/>
      <c r="M48" s="197"/>
      <c r="N48" s="197"/>
      <c r="O48" s="197"/>
      <c r="P48" s="197"/>
      <c r="Q48" s="197"/>
      <c r="R48" s="197"/>
      <c r="S48" s="197"/>
      <c r="T48" s="197"/>
      <c r="U48" s="197"/>
    </row>
    <row r="49" spans="1:22">
      <c r="A49" s="443"/>
      <c r="B49" s="80"/>
      <c r="C49" s="444"/>
      <c r="D49" s="421"/>
      <c r="E49" s="197"/>
      <c r="F49" s="197"/>
      <c r="G49" s="197"/>
      <c r="H49" s="851"/>
      <c r="I49" s="197"/>
      <c r="J49" s="197"/>
      <c r="K49" s="197"/>
      <c r="L49" s="197"/>
      <c r="M49" s="197"/>
      <c r="N49" s="197"/>
      <c r="O49" s="197"/>
      <c r="P49" s="197"/>
      <c r="Q49" s="197"/>
      <c r="R49" s="197"/>
      <c r="S49" s="197"/>
      <c r="T49" s="197"/>
      <c r="U49" s="197"/>
    </row>
    <row r="50" spans="1:22">
      <c r="A50" s="443"/>
      <c r="B50" s="80"/>
      <c r="C50" s="444"/>
      <c r="D50" s="421"/>
      <c r="E50" s="197"/>
      <c r="F50" s="197"/>
      <c r="G50" s="197"/>
      <c r="H50" s="851"/>
      <c r="I50" s="197"/>
      <c r="J50" s="197"/>
      <c r="K50" s="197"/>
      <c r="L50" s="197"/>
      <c r="M50" s="197"/>
      <c r="N50" s="197"/>
      <c r="O50" s="197"/>
      <c r="P50" s="197"/>
      <c r="Q50" s="197"/>
      <c r="R50" s="197"/>
      <c r="S50" s="197"/>
      <c r="T50" s="197"/>
      <c r="U50" s="197"/>
    </row>
    <row r="51" spans="1:22">
      <c r="A51" s="443"/>
      <c r="B51" s="80"/>
      <c r="C51" s="444"/>
      <c r="D51" s="421"/>
      <c r="E51" s="197"/>
      <c r="F51" s="197"/>
      <c r="G51" s="197"/>
      <c r="H51" s="851"/>
      <c r="I51" s="197"/>
      <c r="J51" s="197"/>
      <c r="K51" s="197"/>
      <c r="L51" s="197"/>
      <c r="M51" s="197"/>
      <c r="N51" s="197"/>
      <c r="O51" s="197"/>
      <c r="P51" s="197"/>
      <c r="Q51" s="197"/>
      <c r="R51" s="197"/>
      <c r="S51" s="197"/>
      <c r="T51" s="197"/>
      <c r="U51" s="197"/>
    </row>
    <row r="52" spans="1:22">
      <c r="A52" s="443"/>
      <c r="B52" s="80"/>
      <c r="C52" s="444"/>
      <c r="D52" s="421"/>
      <c r="E52" s="197"/>
      <c r="F52" s="197"/>
      <c r="G52" s="197"/>
      <c r="H52" s="851"/>
      <c r="I52" s="197"/>
      <c r="J52" s="197"/>
      <c r="K52" s="197"/>
      <c r="L52" s="197"/>
      <c r="M52" s="197"/>
      <c r="N52" s="197"/>
      <c r="O52" s="197"/>
      <c r="P52" s="197"/>
      <c r="Q52" s="197"/>
      <c r="R52" s="197"/>
      <c r="S52" s="197"/>
      <c r="T52" s="197"/>
      <c r="U52" s="197"/>
    </row>
    <row r="53" spans="1:22">
      <c r="A53" s="443"/>
      <c r="B53" s="80"/>
      <c r="C53" s="444"/>
      <c r="D53" s="421"/>
      <c r="E53" s="197"/>
      <c r="F53" s="197"/>
      <c r="G53" s="197"/>
      <c r="H53" s="851"/>
      <c r="I53" s="197"/>
      <c r="J53" s="197"/>
      <c r="K53" s="197"/>
      <c r="L53" s="197"/>
      <c r="M53" s="197"/>
      <c r="N53" s="197"/>
      <c r="O53" s="197"/>
      <c r="P53" s="197"/>
      <c r="Q53" s="197"/>
      <c r="R53" s="197"/>
      <c r="S53" s="197"/>
      <c r="T53" s="197"/>
      <c r="U53" s="197"/>
    </row>
    <row r="54" spans="1:22">
      <c r="A54" s="443"/>
      <c r="B54" s="80"/>
      <c r="C54" s="444"/>
      <c r="D54" s="421"/>
      <c r="E54" s="197"/>
      <c r="F54" s="197"/>
      <c r="G54" s="197"/>
      <c r="H54" s="851"/>
      <c r="I54" s="197"/>
      <c r="J54" s="197"/>
      <c r="K54" s="197"/>
      <c r="L54" s="197"/>
      <c r="M54" s="197"/>
      <c r="N54" s="197"/>
      <c r="O54" s="197"/>
      <c r="P54" s="197"/>
      <c r="Q54" s="197"/>
      <c r="R54" s="197"/>
      <c r="S54" s="197"/>
      <c r="T54" s="197"/>
      <c r="U54" s="197"/>
    </row>
    <row r="55" spans="1:22">
      <c r="A55" s="443"/>
      <c r="B55" s="80"/>
      <c r="C55" s="444"/>
      <c r="D55" s="421"/>
      <c r="E55" s="197"/>
      <c r="F55" s="197"/>
      <c r="G55" s="197"/>
      <c r="H55" s="851"/>
      <c r="I55" s="197"/>
      <c r="J55" s="197"/>
      <c r="K55" s="197"/>
      <c r="L55" s="197"/>
      <c r="M55" s="197"/>
      <c r="N55" s="197"/>
      <c r="O55" s="197"/>
      <c r="P55" s="197"/>
      <c r="Q55" s="197"/>
      <c r="R55" s="197"/>
      <c r="S55" s="197"/>
      <c r="T55" s="197"/>
      <c r="U55" s="197"/>
    </row>
    <row r="56" spans="1:22">
      <c r="A56" s="443"/>
      <c r="B56" s="80"/>
      <c r="C56" s="444"/>
      <c r="D56" s="421"/>
      <c r="E56" s="197"/>
      <c r="F56" s="197"/>
      <c r="G56" s="197"/>
      <c r="H56" s="851"/>
      <c r="I56" s="197"/>
      <c r="J56" s="197"/>
      <c r="K56" s="197"/>
      <c r="L56" s="197"/>
      <c r="M56" s="197"/>
      <c r="N56" s="197"/>
      <c r="O56" s="197"/>
      <c r="P56" s="197"/>
      <c r="Q56" s="197"/>
      <c r="R56" s="197"/>
      <c r="S56" s="197"/>
      <c r="T56" s="197"/>
      <c r="U56" s="197"/>
    </row>
    <row r="57" spans="1:22" ht="12" customHeight="1">
      <c r="A57" s="443"/>
      <c r="B57" s="80"/>
      <c r="C57" s="444"/>
      <c r="D57" s="421"/>
      <c r="E57" s="197"/>
      <c r="F57" s="197"/>
      <c r="G57" s="197"/>
      <c r="H57" s="851"/>
      <c r="I57" s="197"/>
      <c r="J57" s="197"/>
      <c r="K57" s="197"/>
      <c r="L57" s="197"/>
      <c r="M57" s="197"/>
      <c r="N57" s="197"/>
      <c r="O57" s="197"/>
      <c r="P57" s="197"/>
      <c r="Q57" s="197"/>
      <c r="R57" s="197"/>
      <c r="S57" s="197"/>
      <c r="T57" s="197"/>
      <c r="U57" s="197"/>
    </row>
    <row r="58" spans="1:22">
      <c r="A58" s="443"/>
      <c r="B58" s="80"/>
      <c r="C58" s="444"/>
      <c r="D58" s="421"/>
      <c r="E58" s="197"/>
      <c r="F58" s="197"/>
      <c r="G58" s="197"/>
      <c r="H58" s="851"/>
      <c r="I58" s="197"/>
      <c r="J58" s="197"/>
      <c r="K58" s="197"/>
      <c r="L58" s="197"/>
      <c r="M58" s="197"/>
      <c r="N58" s="197"/>
      <c r="O58" s="197"/>
      <c r="P58" s="197"/>
      <c r="Q58" s="197"/>
      <c r="R58" s="197"/>
      <c r="S58" s="197"/>
      <c r="T58" s="197"/>
      <c r="U58" s="197"/>
    </row>
    <row r="59" spans="1:22">
      <c r="A59" s="443"/>
      <c r="B59" s="80"/>
      <c r="C59" s="444"/>
      <c r="D59" s="421"/>
      <c r="E59" s="197"/>
      <c r="F59" s="197"/>
      <c r="G59" s="197"/>
      <c r="H59" s="851"/>
      <c r="I59" s="197"/>
      <c r="J59" s="197"/>
      <c r="K59" s="197"/>
      <c r="L59" s="197"/>
      <c r="M59" s="197"/>
      <c r="N59" s="197"/>
      <c r="O59" s="197"/>
      <c r="P59" s="197"/>
      <c r="Q59" s="197"/>
      <c r="R59" s="197"/>
      <c r="S59" s="197"/>
      <c r="T59" s="197"/>
      <c r="U59" s="197"/>
    </row>
    <row r="60" spans="1:22">
      <c r="A60" s="443"/>
      <c r="B60" s="80"/>
      <c r="C60" s="444"/>
      <c r="D60" s="421"/>
      <c r="E60" s="197"/>
      <c r="F60" s="197"/>
      <c r="G60" s="197"/>
      <c r="H60" s="851"/>
      <c r="I60" s="197"/>
      <c r="J60" s="197"/>
      <c r="K60" s="197"/>
      <c r="L60" s="197"/>
      <c r="M60" s="197"/>
      <c r="N60" s="197"/>
      <c r="O60" s="197"/>
      <c r="P60" s="197"/>
      <c r="Q60" s="197"/>
      <c r="R60" s="197"/>
      <c r="S60" s="197"/>
      <c r="T60" s="197"/>
      <c r="U60" s="197"/>
    </row>
    <row r="61" spans="1:22">
      <c r="A61" s="443"/>
      <c r="B61" s="80"/>
      <c r="C61" s="444"/>
      <c r="D61" s="421"/>
      <c r="E61" s="197"/>
      <c r="F61" s="197"/>
      <c r="G61" s="197"/>
      <c r="H61" s="851"/>
      <c r="I61" s="197"/>
      <c r="J61" s="197"/>
      <c r="K61" s="197"/>
      <c r="L61" s="197"/>
      <c r="M61" s="197"/>
      <c r="N61" s="197"/>
      <c r="O61" s="197"/>
      <c r="P61" s="197"/>
      <c r="Q61" s="197"/>
      <c r="R61" s="197"/>
      <c r="S61" s="197"/>
      <c r="T61" s="197"/>
      <c r="U61" s="197"/>
    </row>
    <row r="62" spans="1:22">
      <c r="A62" s="443"/>
      <c r="B62" s="80"/>
      <c r="C62" s="444"/>
      <c r="D62" s="421"/>
      <c r="E62" s="197"/>
      <c r="F62" s="197"/>
      <c r="G62" s="197"/>
      <c r="H62" s="851"/>
      <c r="I62" s="197"/>
      <c r="J62" s="197"/>
      <c r="K62" s="197"/>
      <c r="L62" s="197"/>
      <c r="M62" s="197"/>
      <c r="N62" s="197"/>
      <c r="O62" s="197"/>
      <c r="P62" s="197"/>
      <c r="Q62" s="197"/>
      <c r="R62" s="197"/>
      <c r="S62" s="197"/>
      <c r="T62" s="197"/>
      <c r="U62" s="197"/>
    </row>
    <row r="63" spans="1:22">
      <c r="A63" s="443"/>
      <c r="B63" s="80"/>
      <c r="C63" s="444"/>
      <c r="D63" s="421"/>
      <c r="E63" s="197"/>
      <c r="F63" s="197"/>
      <c r="G63" s="197"/>
      <c r="H63" s="851"/>
      <c r="I63" s="197"/>
      <c r="J63" s="197"/>
      <c r="K63" s="197"/>
      <c r="L63" s="197"/>
      <c r="M63" s="197"/>
      <c r="N63" s="197"/>
      <c r="O63" s="197"/>
      <c r="P63" s="197"/>
      <c r="Q63" s="197"/>
      <c r="R63" s="197"/>
      <c r="S63" s="197"/>
      <c r="T63" s="197"/>
      <c r="U63" s="197"/>
    </row>
    <row r="64" spans="1:22">
      <c r="A64" s="443"/>
      <c r="B64" s="80"/>
      <c r="C64" s="444"/>
      <c r="D64" s="421"/>
      <c r="E64" s="197"/>
      <c r="F64" s="197"/>
      <c r="G64" s="197"/>
      <c r="H64" s="851"/>
      <c r="I64" s="197"/>
      <c r="J64" s="197"/>
      <c r="K64" s="197"/>
      <c r="L64" s="197"/>
      <c r="M64" s="197"/>
      <c r="N64" s="197"/>
      <c r="O64" s="197"/>
      <c r="P64" s="197"/>
      <c r="Q64" s="197"/>
      <c r="R64" s="197"/>
      <c r="S64" s="197"/>
      <c r="T64" s="197"/>
      <c r="U64" s="197"/>
      <c r="V64" s="197"/>
    </row>
    <row r="65" spans="1:22">
      <c r="A65" s="197"/>
      <c r="B65" s="80"/>
      <c r="C65" s="444"/>
      <c r="D65" s="421"/>
      <c r="E65" s="197"/>
      <c r="F65" s="197"/>
      <c r="G65" s="197"/>
      <c r="H65" s="851"/>
      <c r="I65" s="197"/>
      <c r="J65" s="197"/>
      <c r="K65" s="197"/>
      <c r="L65" s="197"/>
      <c r="M65" s="197"/>
      <c r="N65" s="197"/>
      <c r="O65" s="197"/>
      <c r="P65" s="197"/>
      <c r="Q65" s="197"/>
      <c r="R65" s="197"/>
      <c r="S65" s="197"/>
      <c r="T65" s="197"/>
      <c r="U65" s="197"/>
      <c r="V65" s="197"/>
    </row>
    <row r="66" spans="1:22">
      <c r="A66" s="197"/>
      <c r="B66" s="197"/>
      <c r="C66" s="421"/>
      <c r="D66" s="421"/>
      <c r="E66" s="197"/>
      <c r="F66" s="197"/>
      <c r="G66" s="197"/>
      <c r="H66" s="851"/>
      <c r="I66" s="197"/>
      <c r="J66" s="197"/>
      <c r="K66" s="197"/>
      <c r="L66" s="197"/>
      <c r="M66" s="197"/>
      <c r="N66" s="197"/>
      <c r="O66" s="197"/>
      <c r="P66" s="197"/>
      <c r="Q66" s="197"/>
      <c r="R66" s="197"/>
      <c r="S66" s="197"/>
      <c r="T66" s="197"/>
      <c r="U66" s="197"/>
      <c r="V66" s="197"/>
    </row>
    <row r="67" spans="1:22">
      <c r="A67" s="197"/>
      <c r="B67" s="197"/>
      <c r="C67" s="421"/>
      <c r="D67" s="421"/>
      <c r="E67" s="197"/>
      <c r="F67" s="197"/>
      <c r="G67" s="197"/>
      <c r="H67" s="851"/>
      <c r="I67" s="197"/>
      <c r="J67" s="197"/>
      <c r="K67" s="197"/>
      <c r="L67" s="197"/>
      <c r="M67" s="197"/>
      <c r="N67" s="197"/>
      <c r="O67" s="197"/>
      <c r="P67" s="197"/>
      <c r="Q67" s="197"/>
      <c r="R67" s="197"/>
      <c r="S67" s="197"/>
      <c r="T67" s="197"/>
      <c r="U67" s="197"/>
      <c r="V67" s="197"/>
    </row>
    <row r="68" spans="1:22">
      <c r="A68" s="197"/>
      <c r="B68" s="197"/>
      <c r="C68" s="421"/>
      <c r="D68" s="421"/>
      <c r="E68" s="197"/>
      <c r="F68" s="197"/>
      <c r="G68" s="197"/>
      <c r="H68" s="851"/>
      <c r="I68" s="197"/>
      <c r="J68" s="197"/>
      <c r="K68" s="197"/>
      <c r="L68" s="197"/>
      <c r="M68" s="197"/>
      <c r="N68" s="197"/>
      <c r="O68" s="197"/>
      <c r="P68" s="197"/>
      <c r="Q68" s="197"/>
      <c r="R68" s="197"/>
      <c r="S68" s="197"/>
      <c r="T68" s="197"/>
      <c r="U68" s="197"/>
      <c r="V68" s="197"/>
    </row>
    <row r="69" spans="1:22">
      <c r="A69" s="197"/>
      <c r="B69" s="197"/>
      <c r="C69" s="421"/>
      <c r="D69" s="421"/>
      <c r="E69" s="197"/>
      <c r="F69" s="197"/>
      <c r="G69" s="197"/>
      <c r="H69" s="851"/>
      <c r="I69" s="197"/>
      <c r="J69" s="197"/>
      <c r="K69" s="197"/>
      <c r="L69" s="197"/>
      <c r="M69" s="197"/>
      <c r="N69" s="197"/>
      <c r="O69" s="197"/>
      <c r="P69" s="197"/>
      <c r="Q69" s="197"/>
      <c r="R69" s="197"/>
      <c r="S69" s="197"/>
      <c r="T69" s="197"/>
      <c r="U69" s="197"/>
      <c r="V69" s="197"/>
    </row>
    <row r="70" spans="1:22">
      <c r="A70" s="197"/>
      <c r="B70" s="197"/>
      <c r="C70" s="421"/>
      <c r="D70" s="421"/>
      <c r="E70" s="197"/>
      <c r="F70" s="197"/>
      <c r="G70" s="197"/>
      <c r="H70" s="851"/>
      <c r="I70" s="197"/>
      <c r="J70" s="197"/>
      <c r="K70" s="197"/>
      <c r="L70" s="197"/>
      <c r="M70" s="197"/>
      <c r="N70" s="197"/>
      <c r="O70" s="197"/>
      <c r="P70" s="197"/>
      <c r="Q70" s="197"/>
      <c r="R70" s="197"/>
      <c r="S70" s="197"/>
      <c r="T70" s="197"/>
      <c r="U70" s="197"/>
      <c r="V70" s="197"/>
    </row>
    <row r="71" spans="1:22">
      <c r="A71" s="197"/>
      <c r="B71" s="197"/>
      <c r="C71" s="421"/>
      <c r="D71" s="421"/>
      <c r="E71" s="197"/>
      <c r="F71" s="197"/>
      <c r="G71" s="197"/>
      <c r="H71" s="851"/>
      <c r="I71" s="197"/>
      <c r="J71" s="197"/>
      <c r="K71" s="197"/>
      <c r="L71" s="197"/>
      <c r="M71" s="197"/>
      <c r="N71" s="197"/>
      <c r="O71" s="197"/>
      <c r="P71" s="197"/>
      <c r="Q71" s="197"/>
      <c r="R71" s="197"/>
      <c r="S71" s="197"/>
      <c r="T71" s="197"/>
      <c r="U71" s="197"/>
      <c r="V71" s="197"/>
    </row>
    <row r="72" spans="1:22">
      <c r="A72" s="197"/>
      <c r="B72" s="197"/>
      <c r="C72" s="421"/>
      <c r="D72" s="421"/>
      <c r="E72" s="197"/>
      <c r="F72" s="197"/>
      <c r="G72" s="197"/>
      <c r="H72" s="851"/>
      <c r="I72" s="197"/>
      <c r="J72" s="197"/>
      <c r="K72" s="197"/>
      <c r="L72" s="197"/>
      <c r="M72" s="197"/>
      <c r="N72" s="197"/>
      <c r="O72" s="197"/>
      <c r="P72" s="197"/>
      <c r="Q72" s="197"/>
      <c r="R72" s="197"/>
      <c r="S72" s="197"/>
      <c r="T72" s="197"/>
      <c r="U72" s="197"/>
      <c r="V72" s="197"/>
    </row>
    <row r="73" spans="1:22">
      <c r="A73" s="197"/>
      <c r="B73" s="197"/>
      <c r="C73" s="421"/>
      <c r="D73" s="421"/>
      <c r="E73" s="197"/>
      <c r="F73" s="197"/>
      <c r="G73" s="197"/>
      <c r="H73" s="851"/>
      <c r="I73" s="197"/>
      <c r="J73" s="197"/>
      <c r="K73" s="197"/>
      <c r="L73" s="197"/>
      <c r="M73" s="197"/>
      <c r="N73" s="197"/>
      <c r="O73" s="197"/>
      <c r="P73" s="197"/>
      <c r="Q73" s="197"/>
      <c r="R73" s="197"/>
      <c r="S73" s="197"/>
      <c r="T73" s="197"/>
      <c r="U73" s="197"/>
      <c r="V73" s="197"/>
    </row>
    <row r="74" spans="1:22">
      <c r="A74" s="197"/>
      <c r="B74" s="197"/>
      <c r="C74" s="421"/>
      <c r="D74" s="421"/>
      <c r="E74" s="197"/>
      <c r="F74" s="197"/>
      <c r="G74" s="197"/>
      <c r="H74" s="851"/>
      <c r="I74" s="197"/>
      <c r="J74" s="197"/>
      <c r="K74" s="197"/>
      <c r="L74" s="197"/>
      <c r="M74" s="197"/>
      <c r="N74" s="197"/>
      <c r="O74" s="197"/>
      <c r="P74" s="197"/>
      <c r="Q74" s="197"/>
      <c r="R74" s="197"/>
      <c r="S74" s="197"/>
      <c r="T74" s="197"/>
      <c r="U74" s="197"/>
      <c r="V74" s="197"/>
    </row>
    <row r="75" spans="1:22">
      <c r="A75" s="197"/>
      <c r="B75" s="197"/>
      <c r="C75" s="421"/>
      <c r="D75" s="421"/>
      <c r="E75" s="197"/>
      <c r="F75" s="197"/>
      <c r="G75" s="197"/>
      <c r="H75" s="851"/>
      <c r="I75" s="197"/>
      <c r="J75" s="197"/>
      <c r="K75" s="197"/>
      <c r="L75" s="197"/>
      <c r="M75" s="197"/>
      <c r="N75" s="197"/>
      <c r="O75" s="197"/>
      <c r="P75" s="197"/>
      <c r="Q75" s="197"/>
      <c r="R75" s="197"/>
      <c r="S75" s="197"/>
      <c r="T75" s="197"/>
      <c r="U75" s="197"/>
      <c r="V75" s="197"/>
    </row>
    <row r="76" spans="1:22">
      <c r="A76" s="197"/>
      <c r="B76" s="197"/>
      <c r="C76" s="421"/>
      <c r="D76" s="421"/>
      <c r="E76" s="197"/>
      <c r="F76" s="197"/>
      <c r="G76" s="197"/>
      <c r="H76" s="851"/>
      <c r="I76" s="197"/>
      <c r="J76" s="197"/>
      <c r="K76" s="197"/>
      <c r="L76" s="197"/>
      <c r="M76" s="197"/>
      <c r="N76" s="197"/>
      <c r="O76" s="197"/>
      <c r="P76" s="197"/>
      <c r="Q76" s="197"/>
      <c r="R76" s="197"/>
      <c r="S76" s="197"/>
      <c r="T76" s="197"/>
      <c r="U76" s="197"/>
      <c r="V76" s="197"/>
    </row>
    <row r="77" spans="1:22">
      <c r="A77" s="197"/>
      <c r="B77" s="197"/>
      <c r="C77" s="421"/>
      <c r="D77" s="421"/>
      <c r="E77" s="197"/>
      <c r="F77" s="197"/>
      <c r="G77" s="197"/>
      <c r="H77" s="851"/>
      <c r="I77" s="197"/>
      <c r="J77" s="197"/>
      <c r="K77" s="197"/>
      <c r="L77" s="197"/>
      <c r="M77" s="197"/>
      <c r="N77" s="197"/>
      <c r="O77" s="197"/>
      <c r="P77" s="197"/>
      <c r="Q77" s="197"/>
      <c r="R77" s="197"/>
      <c r="S77" s="197"/>
      <c r="T77" s="197"/>
      <c r="U77" s="197"/>
      <c r="V77" s="197"/>
    </row>
    <row r="78" spans="1:22">
      <c r="A78" s="197"/>
      <c r="B78" s="197"/>
      <c r="C78" s="421"/>
      <c r="D78" s="421"/>
      <c r="E78" s="197"/>
      <c r="F78" s="197"/>
      <c r="G78" s="197"/>
      <c r="H78" s="851"/>
      <c r="I78" s="197"/>
      <c r="J78" s="197"/>
      <c r="K78" s="197"/>
      <c r="L78" s="197"/>
      <c r="M78" s="197"/>
      <c r="N78" s="197"/>
      <c r="O78" s="197"/>
      <c r="P78" s="197"/>
      <c r="Q78" s="197"/>
      <c r="R78" s="197"/>
      <c r="S78" s="197"/>
      <c r="T78" s="197"/>
      <c r="U78" s="197"/>
      <c r="V78" s="197"/>
    </row>
    <row r="79" spans="1:22">
      <c r="A79" s="197"/>
      <c r="B79" s="197"/>
      <c r="C79" s="421"/>
      <c r="D79" s="421"/>
      <c r="E79" s="197"/>
      <c r="F79" s="197"/>
      <c r="G79" s="197"/>
      <c r="H79" s="851"/>
      <c r="I79" s="197"/>
      <c r="J79" s="197"/>
      <c r="K79" s="197"/>
      <c r="L79" s="197"/>
      <c r="M79" s="197"/>
      <c r="N79" s="197"/>
      <c r="O79" s="197"/>
      <c r="P79" s="197"/>
      <c r="Q79" s="197"/>
      <c r="R79" s="197"/>
      <c r="S79" s="197"/>
      <c r="T79" s="197"/>
      <c r="U79" s="197"/>
      <c r="V79" s="197"/>
    </row>
    <row r="80" spans="1:22">
      <c r="A80" s="197"/>
      <c r="B80" s="197"/>
      <c r="C80" s="421"/>
      <c r="D80" s="421"/>
      <c r="E80" s="197"/>
      <c r="F80" s="197"/>
      <c r="G80" s="197"/>
      <c r="H80" s="851"/>
      <c r="I80" s="197"/>
      <c r="J80" s="197"/>
      <c r="K80" s="197"/>
      <c r="L80" s="197"/>
      <c r="M80" s="197"/>
      <c r="N80" s="197"/>
      <c r="O80" s="197"/>
      <c r="P80" s="197"/>
      <c r="Q80" s="197"/>
      <c r="R80" s="197"/>
      <c r="S80" s="197"/>
      <c r="T80" s="197"/>
      <c r="U80" s="197"/>
      <c r="V80" s="197"/>
    </row>
    <row r="81" spans="1:22">
      <c r="A81" s="197"/>
      <c r="B81" s="197"/>
      <c r="C81" s="421"/>
      <c r="D81" s="421"/>
      <c r="E81" s="197"/>
      <c r="F81" s="197"/>
      <c r="G81" s="197"/>
      <c r="H81" s="851"/>
      <c r="I81" s="197"/>
      <c r="J81" s="197"/>
      <c r="K81" s="197"/>
      <c r="L81" s="197"/>
      <c r="M81" s="197"/>
      <c r="N81" s="197"/>
      <c r="O81" s="197"/>
      <c r="P81" s="197"/>
      <c r="Q81" s="197"/>
      <c r="R81" s="197"/>
      <c r="S81" s="197"/>
      <c r="T81" s="197"/>
      <c r="U81" s="197"/>
      <c r="V81" s="197"/>
    </row>
    <row r="82" spans="1:22">
      <c r="A82" s="197"/>
      <c r="B82" s="197"/>
      <c r="C82" s="421"/>
      <c r="D82" s="421"/>
      <c r="E82" s="197"/>
      <c r="F82" s="197"/>
      <c r="G82" s="197"/>
      <c r="H82" s="851"/>
      <c r="I82" s="197"/>
      <c r="J82" s="197"/>
      <c r="K82" s="197"/>
      <c r="L82" s="197"/>
      <c r="M82" s="197"/>
      <c r="N82" s="197"/>
      <c r="O82" s="197"/>
      <c r="P82" s="197"/>
      <c r="Q82" s="197"/>
      <c r="R82" s="197"/>
      <c r="S82" s="197"/>
      <c r="T82" s="197"/>
      <c r="U82" s="197"/>
      <c r="V82" s="197"/>
    </row>
    <row r="83" spans="1:22">
      <c r="A83" s="197"/>
      <c r="B83" s="197"/>
      <c r="C83" s="421"/>
      <c r="D83" s="421"/>
      <c r="E83" s="197"/>
      <c r="F83" s="197"/>
      <c r="G83" s="197"/>
      <c r="H83" s="851"/>
      <c r="I83" s="197"/>
      <c r="J83" s="197"/>
      <c r="K83" s="197"/>
      <c r="L83" s="197"/>
      <c r="M83" s="197"/>
      <c r="N83" s="197"/>
      <c r="O83" s="197"/>
      <c r="P83" s="197"/>
      <c r="Q83" s="197"/>
      <c r="R83" s="197"/>
      <c r="S83" s="197"/>
      <c r="T83" s="197"/>
      <c r="U83" s="197"/>
      <c r="V83" s="197"/>
    </row>
    <row r="84" spans="1:22">
      <c r="A84" s="197"/>
      <c r="B84" s="197"/>
      <c r="C84" s="421"/>
      <c r="D84" s="421"/>
      <c r="E84" s="197"/>
      <c r="F84" s="197"/>
      <c r="G84" s="197"/>
      <c r="H84" s="851"/>
      <c r="I84" s="197"/>
      <c r="J84" s="197"/>
      <c r="K84" s="197"/>
      <c r="L84" s="197"/>
      <c r="M84" s="197"/>
      <c r="N84" s="197"/>
      <c r="O84" s="197"/>
      <c r="P84" s="197"/>
      <c r="Q84" s="197"/>
      <c r="R84" s="197"/>
      <c r="S84" s="197"/>
      <c r="T84" s="197"/>
      <c r="U84" s="197"/>
      <c r="V84" s="197"/>
    </row>
    <row r="85" spans="1:22">
      <c r="A85" s="197"/>
      <c r="B85" s="197"/>
      <c r="C85" s="421"/>
      <c r="D85" s="421"/>
      <c r="E85" s="197"/>
      <c r="F85" s="197"/>
      <c r="G85" s="197"/>
      <c r="H85" s="851"/>
      <c r="I85" s="197"/>
      <c r="J85" s="197"/>
      <c r="K85" s="197"/>
      <c r="L85" s="197"/>
      <c r="M85" s="197"/>
      <c r="N85" s="197"/>
      <c r="O85" s="197"/>
      <c r="P85" s="197"/>
      <c r="Q85" s="197"/>
      <c r="R85" s="197"/>
      <c r="S85" s="197"/>
      <c r="T85" s="197"/>
      <c r="U85" s="197"/>
      <c r="V85" s="197"/>
    </row>
    <row r="86" spans="1:22">
      <c r="A86" s="197"/>
      <c r="B86" s="197"/>
      <c r="C86" s="421"/>
      <c r="D86" s="421"/>
      <c r="E86" s="197"/>
      <c r="F86" s="197"/>
      <c r="G86" s="197"/>
      <c r="H86" s="851"/>
      <c r="I86" s="197"/>
      <c r="J86" s="197"/>
      <c r="K86" s="197"/>
      <c r="L86" s="197"/>
      <c r="M86" s="197"/>
      <c r="N86" s="197"/>
      <c r="O86" s="197"/>
      <c r="P86" s="197"/>
      <c r="Q86" s="197"/>
      <c r="R86" s="197"/>
      <c r="S86" s="197"/>
      <c r="T86" s="197"/>
      <c r="U86" s="197"/>
      <c r="V86" s="197"/>
    </row>
    <row r="87" spans="1:22">
      <c r="A87" s="197"/>
      <c r="B87" s="197"/>
      <c r="C87" s="421"/>
      <c r="D87" s="421"/>
      <c r="E87" s="197"/>
      <c r="F87" s="197"/>
      <c r="G87" s="197"/>
      <c r="H87" s="851"/>
      <c r="I87" s="197"/>
      <c r="J87" s="197"/>
      <c r="K87" s="197"/>
      <c r="L87" s="197"/>
      <c r="M87" s="197"/>
      <c r="N87" s="197"/>
      <c r="O87" s="197"/>
      <c r="P87" s="197"/>
      <c r="Q87" s="197"/>
      <c r="R87" s="197"/>
      <c r="S87" s="197"/>
      <c r="T87" s="197"/>
      <c r="U87" s="197"/>
      <c r="V87" s="197"/>
    </row>
    <row r="88" spans="1:22">
      <c r="A88" s="197"/>
      <c r="B88" s="197"/>
      <c r="C88" s="421"/>
      <c r="D88" s="421"/>
      <c r="E88" s="197"/>
      <c r="F88" s="197"/>
      <c r="G88" s="197"/>
      <c r="H88" s="851"/>
      <c r="I88" s="197"/>
      <c r="J88" s="197"/>
      <c r="K88" s="197"/>
      <c r="L88" s="197"/>
      <c r="M88" s="197"/>
      <c r="N88" s="197"/>
      <c r="O88" s="197"/>
      <c r="P88" s="197"/>
      <c r="Q88" s="197"/>
      <c r="R88" s="197"/>
      <c r="S88" s="197"/>
      <c r="T88" s="197"/>
      <c r="U88" s="197"/>
      <c r="V88" s="197"/>
    </row>
    <row r="89" spans="1:22">
      <c r="A89" s="197"/>
      <c r="B89" s="197"/>
      <c r="C89" s="421"/>
      <c r="D89" s="421"/>
      <c r="E89" s="197"/>
      <c r="F89" s="197"/>
      <c r="G89" s="197"/>
      <c r="H89" s="851"/>
      <c r="I89" s="197"/>
      <c r="J89" s="197"/>
      <c r="K89" s="197"/>
      <c r="L89" s="197"/>
      <c r="M89" s="197"/>
      <c r="N89" s="197"/>
      <c r="O89" s="197"/>
      <c r="P89" s="197"/>
      <c r="Q89" s="197"/>
      <c r="R89" s="197"/>
      <c r="S89" s="197"/>
      <c r="T89" s="197"/>
      <c r="U89" s="197"/>
      <c r="V89" s="197"/>
    </row>
    <row r="90" spans="1:22">
      <c r="A90" s="197"/>
      <c r="B90" s="197"/>
      <c r="C90" s="421"/>
      <c r="D90" s="421"/>
      <c r="E90" s="197"/>
      <c r="F90" s="197"/>
      <c r="G90" s="197"/>
      <c r="H90" s="851"/>
      <c r="I90" s="197"/>
      <c r="J90" s="197"/>
      <c r="K90" s="197"/>
      <c r="L90" s="197"/>
      <c r="M90" s="197"/>
      <c r="N90" s="197"/>
      <c r="O90" s="197"/>
      <c r="P90" s="197"/>
      <c r="Q90" s="197"/>
      <c r="R90" s="197"/>
      <c r="S90" s="197"/>
      <c r="T90" s="197"/>
      <c r="U90" s="197"/>
      <c r="V90" s="197"/>
    </row>
    <row r="91" spans="1:22">
      <c r="A91" s="197"/>
      <c r="B91" s="197"/>
      <c r="C91" s="421"/>
      <c r="D91" s="421"/>
      <c r="E91" s="197"/>
      <c r="F91" s="197"/>
      <c r="G91" s="197"/>
      <c r="H91" s="851"/>
      <c r="I91" s="197"/>
      <c r="J91" s="197"/>
      <c r="K91" s="197"/>
      <c r="L91" s="197"/>
      <c r="M91" s="197"/>
      <c r="N91" s="197"/>
      <c r="O91" s="197"/>
      <c r="P91" s="197"/>
      <c r="Q91" s="197"/>
      <c r="R91" s="197"/>
      <c r="S91" s="197"/>
      <c r="T91" s="197"/>
      <c r="U91" s="197"/>
      <c r="V91" s="197"/>
    </row>
    <row r="92" spans="1:22">
      <c r="A92" s="197"/>
      <c r="B92" s="197"/>
      <c r="C92" s="421"/>
      <c r="D92" s="421"/>
      <c r="E92" s="197"/>
      <c r="F92" s="197"/>
      <c r="G92" s="197"/>
      <c r="H92" s="851"/>
      <c r="I92" s="197"/>
      <c r="J92" s="197"/>
      <c r="K92" s="197"/>
      <c r="L92" s="197"/>
      <c r="M92" s="197"/>
      <c r="N92" s="197"/>
      <c r="O92" s="197"/>
      <c r="P92" s="197"/>
      <c r="Q92" s="197"/>
      <c r="R92" s="197"/>
      <c r="S92" s="197"/>
      <c r="T92" s="197"/>
      <c r="U92" s="197"/>
      <c r="V92" s="197"/>
    </row>
    <row r="93" spans="1:22">
      <c r="A93" s="197"/>
      <c r="B93" s="197"/>
      <c r="C93" s="421"/>
      <c r="D93" s="421"/>
      <c r="E93" s="197"/>
      <c r="F93" s="197"/>
      <c r="G93" s="197"/>
      <c r="H93" s="851"/>
      <c r="I93" s="197"/>
      <c r="J93" s="197"/>
      <c r="K93" s="197"/>
      <c r="L93" s="197"/>
      <c r="M93" s="197"/>
      <c r="N93" s="197"/>
      <c r="O93" s="197"/>
      <c r="P93" s="197"/>
      <c r="Q93" s="197"/>
      <c r="R93" s="197"/>
      <c r="S93" s="197"/>
      <c r="T93" s="197"/>
      <c r="U93" s="197"/>
      <c r="V93" s="197"/>
    </row>
    <row r="94" spans="1:22">
      <c r="A94" s="197"/>
      <c r="B94" s="197"/>
      <c r="C94" s="421"/>
      <c r="D94" s="421"/>
      <c r="E94" s="197"/>
      <c r="F94" s="197"/>
      <c r="G94" s="197"/>
      <c r="H94" s="851"/>
      <c r="I94" s="197"/>
      <c r="J94" s="197"/>
      <c r="K94" s="197"/>
      <c r="L94" s="197"/>
      <c r="M94" s="197"/>
      <c r="N94" s="197"/>
      <c r="O94" s="197"/>
      <c r="P94" s="197"/>
      <c r="Q94" s="197"/>
      <c r="R94" s="197"/>
      <c r="S94" s="197"/>
      <c r="T94" s="197"/>
      <c r="U94" s="197"/>
      <c r="V94" s="197"/>
    </row>
    <row r="95" spans="1:22">
      <c r="A95" s="197"/>
      <c r="B95" s="197"/>
      <c r="C95" s="421"/>
      <c r="D95" s="421"/>
      <c r="E95" s="197"/>
      <c r="F95" s="197"/>
      <c r="G95" s="197"/>
      <c r="H95" s="851"/>
      <c r="I95" s="197"/>
      <c r="J95" s="197"/>
      <c r="K95" s="197"/>
      <c r="L95" s="197"/>
      <c r="M95" s="197"/>
      <c r="N95" s="197"/>
      <c r="O95" s="197"/>
      <c r="P95" s="197"/>
      <c r="Q95" s="197"/>
      <c r="R95" s="197"/>
      <c r="S95" s="197"/>
      <c r="T95" s="197"/>
      <c r="U95" s="197"/>
      <c r="V95" s="197"/>
    </row>
    <row r="96" spans="1:22">
      <c r="A96" s="197"/>
      <c r="B96" s="197"/>
      <c r="C96" s="421"/>
      <c r="D96" s="421"/>
      <c r="E96" s="197"/>
      <c r="F96" s="197"/>
      <c r="G96" s="197"/>
      <c r="H96" s="851"/>
      <c r="I96" s="197"/>
      <c r="J96" s="197"/>
      <c r="K96" s="197"/>
      <c r="L96" s="197"/>
      <c r="M96" s="197"/>
      <c r="N96" s="197"/>
      <c r="O96" s="197"/>
      <c r="P96" s="197"/>
      <c r="Q96" s="197"/>
      <c r="R96" s="197"/>
      <c r="S96" s="197"/>
      <c r="T96" s="197"/>
      <c r="U96" s="197"/>
      <c r="V96" s="197"/>
    </row>
    <row r="97" spans="1:22">
      <c r="A97" s="197"/>
      <c r="B97" s="197"/>
      <c r="C97" s="421"/>
      <c r="D97" s="421"/>
      <c r="E97" s="197"/>
      <c r="F97" s="197"/>
      <c r="G97" s="197"/>
      <c r="H97" s="851"/>
      <c r="I97" s="197"/>
      <c r="J97" s="197"/>
      <c r="K97" s="197"/>
      <c r="L97" s="197"/>
      <c r="M97" s="197"/>
      <c r="N97" s="197"/>
      <c r="O97" s="197"/>
      <c r="P97" s="197"/>
      <c r="Q97" s="197"/>
      <c r="R97" s="197"/>
      <c r="S97" s="197"/>
      <c r="T97" s="197"/>
      <c r="U97" s="197"/>
      <c r="V97" s="197"/>
    </row>
    <row r="98" spans="1:22">
      <c r="A98" s="197"/>
      <c r="B98" s="197"/>
      <c r="C98" s="421"/>
      <c r="D98" s="421"/>
      <c r="E98" s="197"/>
      <c r="F98" s="197"/>
      <c r="G98" s="197"/>
      <c r="H98" s="851"/>
      <c r="I98" s="197"/>
      <c r="J98" s="197"/>
      <c r="K98" s="197"/>
      <c r="L98" s="197"/>
      <c r="M98" s="197"/>
      <c r="N98" s="197"/>
      <c r="O98" s="197"/>
      <c r="P98" s="197"/>
      <c r="Q98" s="197"/>
      <c r="R98" s="197"/>
      <c r="S98" s="197"/>
      <c r="T98" s="197"/>
      <c r="U98" s="197"/>
      <c r="V98" s="197"/>
    </row>
    <row r="99" spans="1:22">
      <c r="A99" s="197"/>
      <c r="B99" s="197"/>
      <c r="C99" s="421"/>
      <c r="D99" s="421"/>
      <c r="E99" s="197"/>
      <c r="F99" s="197"/>
      <c r="G99" s="197"/>
      <c r="H99" s="851"/>
      <c r="I99" s="197"/>
      <c r="J99" s="197"/>
      <c r="K99" s="197"/>
      <c r="L99" s="197"/>
      <c r="M99" s="197"/>
      <c r="N99" s="197"/>
      <c r="O99" s="197"/>
      <c r="P99" s="197"/>
      <c r="Q99" s="197"/>
      <c r="R99" s="197"/>
      <c r="S99" s="197"/>
      <c r="T99" s="197"/>
      <c r="U99" s="197"/>
      <c r="V99" s="197"/>
    </row>
    <row r="100" spans="1:22">
      <c r="A100" s="197"/>
      <c r="B100" s="197"/>
      <c r="C100" s="421"/>
      <c r="D100" s="421"/>
      <c r="E100" s="197"/>
      <c r="F100" s="197"/>
      <c r="G100" s="197"/>
      <c r="H100" s="851"/>
      <c r="I100" s="197"/>
      <c r="J100" s="197"/>
      <c r="K100" s="197"/>
      <c r="L100" s="197"/>
      <c r="M100" s="197"/>
      <c r="N100" s="197"/>
      <c r="O100" s="197"/>
      <c r="P100" s="197"/>
      <c r="Q100" s="197"/>
      <c r="R100" s="197"/>
      <c r="S100" s="197"/>
      <c r="T100" s="197"/>
      <c r="U100" s="197"/>
      <c r="V100" s="197"/>
    </row>
    <row r="101" spans="1:22">
      <c r="A101" s="197"/>
      <c r="B101" s="197"/>
      <c r="C101" s="421"/>
      <c r="D101" s="421"/>
      <c r="E101" s="197"/>
      <c r="F101" s="197"/>
      <c r="G101" s="197"/>
      <c r="H101" s="851"/>
      <c r="I101" s="197"/>
      <c r="J101" s="197"/>
      <c r="K101" s="197"/>
      <c r="L101" s="197"/>
      <c r="M101" s="197"/>
      <c r="N101" s="197"/>
      <c r="O101" s="197"/>
      <c r="P101" s="197"/>
      <c r="Q101" s="197"/>
      <c r="R101" s="197"/>
      <c r="S101" s="197"/>
      <c r="T101" s="197"/>
      <c r="U101" s="197"/>
      <c r="V101" s="197"/>
    </row>
    <row r="102" spans="1:22">
      <c r="A102" s="197"/>
      <c r="B102" s="197"/>
      <c r="C102" s="421"/>
      <c r="D102" s="421"/>
      <c r="E102" s="197"/>
      <c r="F102" s="197"/>
      <c r="G102" s="197"/>
      <c r="H102" s="851"/>
      <c r="I102" s="197"/>
      <c r="J102" s="197"/>
      <c r="K102" s="197"/>
      <c r="L102" s="197"/>
      <c r="M102" s="197"/>
      <c r="N102" s="197"/>
      <c r="O102" s="197"/>
      <c r="P102" s="197"/>
      <c r="Q102" s="197"/>
      <c r="R102" s="197"/>
      <c r="S102" s="197"/>
      <c r="T102" s="197"/>
      <c r="U102" s="197"/>
      <c r="V102" s="197"/>
    </row>
    <row r="103" spans="1:22">
      <c r="A103" s="197"/>
      <c r="B103" s="197"/>
      <c r="C103" s="421"/>
      <c r="D103" s="421"/>
      <c r="E103" s="197"/>
      <c r="F103" s="197"/>
      <c r="G103" s="197"/>
      <c r="H103" s="851"/>
      <c r="I103" s="197"/>
      <c r="J103" s="197"/>
      <c r="K103" s="197"/>
      <c r="L103" s="197"/>
      <c r="M103" s="197"/>
      <c r="N103" s="197"/>
      <c r="O103" s="197"/>
      <c r="P103" s="197"/>
      <c r="Q103" s="197"/>
      <c r="R103" s="197"/>
      <c r="S103" s="197"/>
      <c r="T103" s="197"/>
      <c r="U103" s="197"/>
      <c r="V103" s="197"/>
    </row>
    <row r="104" spans="1:22">
      <c r="A104" s="197"/>
      <c r="B104" s="197"/>
      <c r="C104" s="421"/>
      <c r="D104" s="421"/>
      <c r="E104" s="197"/>
      <c r="F104" s="197"/>
      <c r="G104" s="197"/>
      <c r="H104" s="851"/>
      <c r="I104" s="197"/>
      <c r="J104" s="197"/>
      <c r="K104" s="197"/>
      <c r="L104" s="197"/>
      <c r="M104" s="197"/>
      <c r="N104" s="197"/>
      <c r="O104" s="197"/>
      <c r="P104" s="197"/>
      <c r="Q104" s="197"/>
      <c r="R104" s="197"/>
      <c r="S104" s="197"/>
      <c r="T104" s="197"/>
      <c r="U104" s="197"/>
      <c r="V104" s="197"/>
    </row>
    <row r="105" spans="1:22">
      <c r="A105" s="197"/>
      <c r="B105" s="197"/>
      <c r="C105" s="421"/>
      <c r="D105" s="421"/>
      <c r="E105" s="197"/>
      <c r="F105" s="197"/>
      <c r="G105" s="197"/>
      <c r="H105" s="851"/>
      <c r="I105" s="197"/>
      <c r="J105" s="197"/>
      <c r="K105" s="197"/>
      <c r="L105" s="197"/>
      <c r="M105" s="197"/>
      <c r="N105" s="197"/>
      <c r="O105" s="197"/>
      <c r="P105" s="197"/>
      <c r="Q105" s="197"/>
      <c r="R105" s="197"/>
      <c r="S105" s="197"/>
      <c r="T105" s="197"/>
      <c r="U105" s="197"/>
      <c r="V105" s="197"/>
    </row>
    <row r="106" spans="1:22">
      <c r="A106" s="197"/>
      <c r="B106" s="197"/>
      <c r="C106" s="421"/>
      <c r="D106" s="421"/>
      <c r="E106" s="197"/>
      <c r="F106" s="197"/>
      <c r="G106" s="197"/>
      <c r="H106" s="851"/>
      <c r="I106" s="197"/>
      <c r="J106" s="197"/>
      <c r="K106" s="197"/>
      <c r="L106" s="197"/>
      <c r="M106" s="197"/>
      <c r="N106" s="197"/>
      <c r="O106" s="197"/>
      <c r="P106" s="197"/>
      <c r="Q106" s="197"/>
      <c r="R106" s="197"/>
      <c r="S106" s="197"/>
      <c r="T106" s="197"/>
      <c r="U106" s="197"/>
      <c r="V106" s="197"/>
    </row>
    <row r="107" spans="1:22">
      <c r="A107" s="197"/>
      <c r="B107" s="197"/>
      <c r="C107" s="421"/>
      <c r="D107" s="421"/>
      <c r="E107" s="197"/>
      <c r="F107" s="197"/>
      <c r="G107" s="197"/>
      <c r="H107" s="851"/>
      <c r="I107" s="197"/>
      <c r="J107" s="197"/>
      <c r="K107" s="197"/>
      <c r="L107" s="197"/>
      <c r="M107" s="197"/>
      <c r="N107" s="197"/>
      <c r="O107" s="197"/>
      <c r="P107" s="197"/>
      <c r="Q107" s="197"/>
      <c r="R107" s="197"/>
      <c r="S107" s="197"/>
      <c r="T107" s="197"/>
      <c r="U107" s="197"/>
      <c r="V107" s="197"/>
    </row>
    <row r="108" spans="1:22">
      <c r="A108" s="197"/>
      <c r="B108" s="197"/>
      <c r="C108" s="421"/>
      <c r="D108" s="421"/>
      <c r="E108" s="197"/>
      <c r="F108" s="197"/>
      <c r="G108" s="197"/>
      <c r="H108" s="851"/>
      <c r="I108" s="197"/>
      <c r="J108" s="197"/>
      <c r="K108" s="197"/>
      <c r="L108" s="197"/>
      <c r="M108" s="197"/>
      <c r="N108" s="197"/>
      <c r="O108" s="197"/>
      <c r="P108" s="197"/>
      <c r="Q108" s="197"/>
      <c r="R108" s="197"/>
      <c r="S108" s="197"/>
      <c r="T108" s="197"/>
      <c r="U108" s="197"/>
      <c r="V108" s="197"/>
    </row>
    <row r="109" spans="1:22">
      <c r="A109" s="197"/>
      <c r="B109" s="197"/>
      <c r="C109" s="421"/>
      <c r="D109" s="421"/>
      <c r="E109" s="197"/>
      <c r="F109" s="197"/>
      <c r="G109" s="197"/>
      <c r="H109" s="851"/>
      <c r="I109" s="197"/>
      <c r="J109" s="197"/>
      <c r="K109" s="197"/>
      <c r="L109" s="197"/>
      <c r="M109" s="197"/>
      <c r="N109" s="197"/>
      <c r="O109" s="197"/>
      <c r="P109" s="197"/>
      <c r="Q109" s="197"/>
      <c r="R109" s="197"/>
      <c r="S109" s="197"/>
      <c r="T109" s="197"/>
      <c r="U109" s="197"/>
      <c r="V109" s="197"/>
    </row>
    <row r="110" spans="1:22">
      <c r="A110" s="197"/>
      <c r="B110" s="197"/>
      <c r="C110" s="421"/>
      <c r="D110" s="421"/>
      <c r="E110" s="197"/>
      <c r="F110" s="197"/>
      <c r="G110" s="197"/>
      <c r="H110" s="851"/>
      <c r="I110" s="197"/>
      <c r="J110" s="197"/>
      <c r="K110" s="197"/>
      <c r="L110" s="197"/>
      <c r="M110" s="197"/>
      <c r="N110" s="197"/>
      <c r="O110" s="197"/>
      <c r="P110" s="197"/>
      <c r="Q110" s="197"/>
      <c r="R110" s="197"/>
      <c r="S110" s="197"/>
      <c r="T110" s="197"/>
      <c r="U110" s="197"/>
      <c r="V110" s="197"/>
    </row>
    <row r="111" spans="1:22">
      <c r="A111" s="197"/>
      <c r="B111" s="197"/>
      <c r="C111" s="421"/>
      <c r="D111" s="421"/>
      <c r="E111" s="197"/>
      <c r="F111" s="197"/>
      <c r="G111" s="197"/>
      <c r="H111" s="851"/>
      <c r="I111" s="197"/>
      <c r="J111" s="197"/>
      <c r="K111" s="197"/>
      <c r="L111" s="197"/>
      <c r="M111" s="197"/>
      <c r="N111" s="197"/>
      <c r="O111" s="197"/>
      <c r="P111" s="197"/>
      <c r="Q111" s="197"/>
      <c r="R111" s="197"/>
      <c r="S111" s="197"/>
      <c r="T111" s="197"/>
      <c r="U111" s="197"/>
      <c r="V111" s="197"/>
    </row>
    <row r="112" spans="1:22">
      <c r="A112" s="197"/>
      <c r="B112" s="197"/>
      <c r="C112" s="421"/>
      <c r="D112" s="421"/>
      <c r="E112" s="197"/>
      <c r="F112" s="197"/>
      <c r="G112" s="197"/>
      <c r="H112" s="851"/>
      <c r="I112" s="197"/>
      <c r="J112" s="197"/>
      <c r="K112" s="197"/>
      <c r="L112" s="197"/>
      <c r="M112" s="197"/>
      <c r="N112" s="197"/>
      <c r="O112" s="197"/>
      <c r="P112" s="197"/>
      <c r="Q112" s="197"/>
      <c r="R112" s="197"/>
      <c r="S112" s="197"/>
      <c r="T112" s="197"/>
      <c r="U112" s="197"/>
      <c r="V112" s="197"/>
    </row>
    <row r="113" spans="1:22">
      <c r="A113" s="197"/>
      <c r="B113" s="197"/>
      <c r="C113" s="421"/>
      <c r="D113" s="421"/>
      <c r="E113" s="197"/>
      <c r="F113" s="197"/>
      <c r="G113" s="197"/>
      <c r="H113" s="851"/>
      <c r="I113" s="197"/>
      <c r="J113" s="197"/>
      <c r="K113" s="197"/>
      <c r="L113" s="197"/>
      <c r="M113" s="197"/>
      <c r="N113" s="197"/>
      <c r="O113" s="197"/>
      <c r="P113" s="197"/>
      <c r="Q113" s="197"/>
      <c r="R113" s="197"/>
      <c r="S113" s="197"/>
      <c r="T113" s="197"/>
      <c r="U113" s="197"/>
      <c r="V113" s="197"/>
    </row>
    <row r="114" spans="1:22">
      <c r="A114" s="197"/>
      <c r="B114" s="197"/>
      <c r="C114" s="421"/>
      <c r="D114" s="421"/>
      <c r="E114" s="197"/>
      <c r="F114" s="197"/>
      <c r="G114" s="197"/>
      <c r="H114" s="851"/>
      <c r="I114" s="197"/>
      <c r="J114" s="197"/>
      <c r="K114" s="197"/>
      <c r="L114" s="197"/>
      <c r="M114" s="197"/>
      <c r="N114" s="197"/>
      <c r="O114" s="197"/>
      <c r="P114" s="197"/>
      <c r="Q114" s="197"/>
      <c r="R114" s="197"/>
      <c r="S114" s="197"/>
      <c r="T114" s="197"/>
      <c r="U114" s="197"/>
      <c r="V114" s="197"/>
    </row>
    <row r="115" spans="1:22">
      <c r="A115" s="197"/>
      <c r="B115" s="197"/>
      <c r="C115" s="421"/>
      <c r="D115" s="421"/>
      <c r="E115" s="197"/>
      <c r="F115" s="197"/>
      <c r="G115" s="197"/>
      <c r="H115" s="851"/>
      <c r="I115" s="197"/>
      <c r="J115" s="197"/>
      <c r="K115" s="197"/>
      <c r="L115" s="197"/>
      <c r="M115" s="197"/>
      <c r="N115" s="197"/>
      <c r="O115" s="197"/>
      <c r="P115" s="197"/>
      <c r="Q115" s="197"/>
      <c r="R115" s="197"/>
      <c r="S115" s="197"/>
      <c r="T115" s="197"/>
      <c r="U115" s="197"/>
      <c r="V115" s="197"/>
    </row>
    <row r="116" spans="1:22">
      <c r="A116" s="197"/>
      <c r="B116" s="197"/>
      <c r="C116" s="421"/>
      <c r="D116" s="421"/>
      <c r="E116" s="197"/>
      <c r="F116" s="197"/>
      <c r="G116" s="197"/>
      <c r="H116" s="851"/>
      <c r="I116" s="197"/>
      <c r="J116" s="197"/>
      <c r="K116" s="197"/>
      <c r="L116" s="197"/>
      <c r="M116" s="197"/>
      <c r="N116" s="197"/>
      <c r="O116" s="197"/>
      <c r="P116" s="197"/>
      <c r="Q116" s="197"/>
      <c r="R116" s="197"/>
      <c r="S116" s="197"/>
      <c r="T116" s="197"/>
      <c r="U116" s="197"/>
      <c r="V116" s="197"/>
    </row>
    <row r="117" spans="1:22">
      <c r="A117" s="197"/>
      <c r="B117" s="197"/>
      <c r="C117" s="421"/>
      <c r="D117" s="421"/>
      <c r="E117" s="197"/>
      <c r="F117" s="197"/>
      <c r="G117" s="197"/>
      <c r="H117" s="851"/>
      <c r="I117" s="197"/>
      <c r="J117" s="197"/>
      <c r="K117" s="197"/>
      <c r="L117" s="197"/>
      <c r="M117" s="197"/>
      <c r="N117" s="197"/>
      <c r="O117" s="197"/>
      <c r="P117" s="197"/>
      <c r="Q117" s="197"/>
      <c r="R117" s="197"/>
      <c r="S117" s="197"/>
      <c r="T117" s="197"/>
      <c r="U117" s="197"/>
      <c r="V117" s="197"/>
    </row>
    <row r="118" spans="1:22">
      <c r="A118" s="197"/>
      <c r="B118" s="197"/>
      <c r="C118" s="421"/>
      <c r="D118" s="421"/>
      <c r="E118" s="197"/>
      <c r="F118" s="197"/>
      <c r="G118" s="197"/>
      <c r="H118" s="851"/>
      <c r="I118" s="197"/>
      <c r="J118" s="197"/>
      <c r="K118" s="197"/>
      <c r="L118" s="197"/>
      <c r="M118" s="197"/>
      <c r="N118" s="197"/>
      <c r="O118" s="197"/>
      <c r="P118" s="197"/>
      <c r="Q118" s="197"/>
      <c r="R118" s="197"/>
      <c r="S118" s="197"/>
      <c r="T118" s="197"/>
      <c r="U118" s="197"/>
      <c r="V118" s="197"/>
    </row>
    <row r="119" spans="1:22">
      <c r="A119" s="197"/>
      <c r="B119" s="197"/>
      <c r="C119" s="421"/>
      <c r="D119" s="421"/>
      <c r="E119" s="197"/>
      <c r="F119" s="197"/>
      <c r="G119" s="197"/>
      <c r="H119" s="851"/>
      <c r="I119" s="197"/>
      <c r="J119" s="197"/>
      <c r="K119" s="197"/>
      <c r="L119" s="197"/>
      <c r="M119" s="197"/>
      <c r="N119" s="197"/>
      <c r="O119" s="197"/>
      <c r="P119" s="197"/>
      <c r="Q119" s="197"/>
      <c r="R119" s="197"/>
      <c r="S119" s="197"/>
      <c r="T119" s="197"/>
      <c r="U119" s="197"/>
      <c r="V119" s="197"/>
    </row>
    <row r="120" spans="1:22">
      <c r="A120" s="197"/>
      <c r="B120" s="197"/>
      <c r="C120" s="421"/>
      <c r="D120" s="421"/>
      <c r="E120" s="197"/>
      <c r="F120" s="197"/>
      <c r="G120" s="197"/>
      <c r="H120" s="851"/>
      <c r="I120" s="197"/>
      <c r="J120" s="197"/>
      <c r="K120" s="197"/>
      <c r="L120" s="197"/>
      <c r="M120" s="197"/>
      <c r="N120" s="197"/>
      <c r="O120" s="197"/>
      <c r="P120" s="197"/>
      <c r="Q120" s="197"/>
      <c r="R120" s="197"/>
      <c r="S120" s="197"/>
      <c r="T120" s="197"/>
      <c r="U120" s="197"/>
      <c r="V120" s="197"/>
    </row>
    <row r="121" spans="1:22">
      <c r="A121" s="197"/>
      <c r="B121" s="197"/>
      <c r="C121" s="421"/>
      <c r="D121" s="421"/>
      <c r="E121" s="197"/>
      <c r="F121" s="197"/>
      <c r="G121" s="197"/>
      <c r="H121" s="851"/>
      <c r="I121" s="197"/>
      <c r="J121" s="197"/>
      <c r="K121" s="197"/>
      <c r="L121" s="197"/>
      <c r="M121" s="197"/>
      <c r="N121" s="197"/>
      <c r="O121" s="197"/>
      <c r="P121" s="197"/>
      <c r="Q121" s="197"/>
      <c r="R121" s="197"/>
      <c r="S121" s="197"/>
      <c r="T121" s="197"/>
      <c r="U121" s="197"/>
      <c r="V121" s="197"/>
    </row>
    <row r="122" spans="1:22">
      <c r="A122" s="197"/>
      <c r="B122" s="197"/>
      <c r="C122" s="421"/>
      <c r="D122" s="421"/>
      <c r="E122" s="197"/>
      <c r="F122" s="197"/>
      <c r="G122" s="197"/>
      <c r="H122" s="851"/>
      <c r="I122" s="197"/>
      <c r="J122" s="197"/>
      <c r="K122" s="197"/>
      <c r="L122" s="197"/>
      <c r="M122" s="197"/>
      <c r="N122" s="197"/>
      <c r="O122" s="197"/>
      <c r="P122" s="197"/>
      <c r="Q122" s="197"/>
      <c r="R122" s="197"/>
      <c r="S122" s="197"/>
      <c r="T122" s="197"/>
      <c r="U122" s="197"/>
      <c r="V122" s="197"/>
    </row>
    <row r="123" spans="1:22">
      <c r="A123" s="197"/>
      <c r="B123" s="197"/>
      <c r="C123" s="421"/>
      <c r="D123" s="421"/>
      <c r="E123" s="197"/>
      <c r="F123" s="197"/>
      <c r="G123" s="197"/>
      <c r="H123" s="851"/>
      <c r="I123" s="197"/>
      <c r="J123" s="197"/>
      <c r="K123" s="197"/>
      <c r="L123" s="197"/>
      <c r="M123" s="197"/>
      <c r="N123" s="197"/>
      <c r="O123" s="197"/>
      <c r="P123" s="197"/>
      <c r="Q123" s="197"/>
      <c r="R123" s="197"/>
      <c r="S123" s="197"/>
      <c r="T123" s="197"/>
      <c r="U123" s="197"/>
      <c r="V123" s="197"/>
    </row>
    <row r="124" spans="1:22">
      <c r="A124" s="197"/>
      <c r="B124" s="197"/>
      <c r="C124" s="421"/>
      <c r="D124" s="421"/>
      <c r="E124" s="197"/>
      <c r="F124" s="197"/>
      <c r="G124" s="197"/>
      <c r="H124" s="851"/>
      <c r="I124" s="197"/>
      <c r="J124" s="197"/>
      <c r="K124" s="197"/>
      <c r="L124" s="197"/>
      <c r="M124" s="197"/>
      <c r="N124" s="197"/>
      <c r="O124" s="197"/>
      <c r="P124" s="197"/>
      <c r="Q124" s="197"/>
      <c r="R124" s="197"/>
      <c r="S124" s="197"/>
      <c r="T124" s="197"/>
      <c r="U124" s="197"/>
      <c r="V124" s="197"/>
    </row>
    <row r="125" spans="1:22">
      <c r="A125" s="197"/>
      <c r="B125" s="197"/>
      <c r="C125" s="421"/>
      <c r="D125" s="421"/>
      <c r="E125" s="197"/>
      <c r="F125" s="197"/>
      <c r="G125" s="197"/>
      <c r="H125" s="851"/>
      <c r="I125" s="197"/>
      <c r="J125" s="197"/>
      <c r="K125" s="197"/>
      <c r="L125" s="197"/>
      <c r="M125" s="197"/>
      <c r="N125" s="197"/>
      <c r="O125" s="197"/>
      <c r="P125" s="197"/>
      <c r="Q125" s="197"/>
      <c r="R125" s="197"/>
      <c r="S125" s="197"/>
      <c r="T125" s="197"/>
      <c r="U125" s="197"/>
      <c r="V125" s="197"/>
    </row>
    <row r="126" spans="1:22">
      <c r="A126" s="197"/>
      <c r="B126" s="197"/>
      <c r="C126" s="421"/>
      <c r="D126" s="421"/>
      <c r="E126" s="197"/>
      <c r="F126" s="197"/>
      <c r="G126" s="197"/>
      <c r="H126" s="851"/>
      <c r="I126" s="197"/>
      <c r="J126" s="197"/>
      <c r="K126" s="197"/>
      <c r="L126" s="197"/>
      <c r="M126" s="197"/>
      <c r="N126" s="197"/>
      <c r="O126" s="197"/>
      <c r="P126" s="197"/>
      <c r="Q126" s="197"/>
      <c r="R126" s="197"/>
      <c r="S126" s="197"/>
      <c r="T126" s="197"/>
      <c r="U126" s="197"/>
      <c r="V126" s="197"/>
    </row>
    <row r="127" spans="1:22">
      <c r="A127" s="197"/>
      <c r="B127" s="197"/>
      <c r="C127" s="421"/>
      <c r="D127" s="421"/>
      <c r="E127" s="197"/>
      <c r="F127" s="197"/>
      <c r="G127" s="197"/>
      <c r="H127" s="851"/>
      <c r="I127" s="197"/>
      <c r="J127" s="197"/>
      <c r="K127" s="197"/>
      <c r="L127" s="197"/>
      <c r="M127" s="197"/>
      <c r="N127" s="197"/>
      <c r="O127" s="197"/>
      <c r="P127" s="197"/>
      <c r="Q127" s="197"/>
      <c r="R127" s="197"/>
      <c r="S127" s="197"/>
      <c r="T127" s="197"/>
      <c r="U127" s="197"/>
      <c r="V127" s="197"/>
    </row>
    <row r="128" spans="1:22">
      <c r="A128" s="197"/>
      <c r="B128" s="197"/>
      <c r="C128" s="421"/>
      <c r="D128" s="421"/>
      <c r="E128" s="197"/>
      <c r="F128" s="197"/>
      <c r="G128" s="197"/>
      <c r="H128" s="851"/>
      <c r="I128" s="197"/>
      <c r="J128" s="197"/>
      <c r="K128" s="197"/>
      <c r="L128" s="197"/>
      <c r="M128" s="197"/>
      <c r="N128" s="197"/>
      <c r="O128" s="197"/>
      <c r="P128" s="197"/>
      <c r="Q128" s="197"/>
      <c r="R128" s="197"/>
      <c r="S128" s="197"/>
      <c r="T128" s="197"/>
      <c r="U128" s="197"/>
      <c r="V128" s="197"/>
    </row>
    <row r="129" spans="1:22">
      <c r="A129" s="197"/>
      <c r="B129" s="197"/>
      <c r="C129" s="421"/>
      <c r="D129" s="421"/>
      <c r="E129" s="197"/>
      <c r="F129" s="197"/>
      <c r="G129" s="197"/>
      <c r="H129" s="851"/>
      <c r="I129" s="197"/>
      <c r="J129" s="197"/>
      <c r="K129" s="197"/>
      <c r="L129" s="197"/>
      <c r="M129" s="197"/>
      <c r="N129" s="197"/>
      <c r="O129" s="197"/>
      <c r="P129" s="197"/>
      <c r="Q129" s="197"/>
      <c r="R129" s="197"/>
      <c r="S129" s="197"/>
      <c r="T129" s="197"/>
      <c r="U129" s="197"/>
      <c r="V129" s="197"/>
    </row>
    <row r="130" spans="1:22">
      <c r="A130" s="197"/>
      <c r="B130" s="197"/>
      <c r="C130" s="421"/>
      <c r="D130" s="421"/>
      <c r="E130" s="197"/>
      <c r="F130" s="197"/>
      <c r="G130" s="197"/>
      <c r="H130" s="851"/>
      <c r="I130" s="197"/>
      <c r="J130" s="197"/>
      <c r="K130" s="197"/>
      <c r="L130" s="197"/>
      <c r="M130" s="197"/>
      <c r="N130" s="197"/>
      <c r="O130" s="197"/>
      <c r="P130" s="197"/>
      <c r="Q130" s="197"/>
      <c r="R130" s="197"/>
      <c r="S130" s="197"/>
      <c r="T130" s="197"/>
      <c r="U130" s="197"/>
      <c r="V130" s="197"/>
    </row>
    <row r="131" spans="1:22">
      <c r="A131" s="197"/>
      <c r="B131" s="197"/>
      <c r="C131" s="421"/>
      <c r="D131" s="421"/>
      <c r="E131" s="197"/>
      <c r="F131" s="197"/>
      <c r="G131" s="197"/>
      <c r="H131" s="851"/>
      <c r="I131" s="197"/>
      <c r="J131" s="197"/>
      <c r="K131" s="197"/>
      <c r="L131" s="197"/>
      <c r="M131" s="197"/>
      <c r="N131" s="197"/>
      <c r="O131" s="197"/>
      <c r="P131" s="197"/>
      <c r="Q131" s="197"/>
      <c r="R131" s="197"/>
      <c r="S131" s="197"/>
      <c r="T131" s="197"/>
      <c r="U131" s="197"/>
      <c r="V131" s="197"/>
    </row>
    <row r="132" spans="1:22">
      <c r="A132" s="197"/>
      <c r="B132" s="197"/>
      <c r="C132" s="421"/>
      <c r="D132" s="421"/>
      <c r="E132" s="197"/>
      <c r="F132" s="197"/>
      <c r="G132" s="197"/>
      <c r="H132" s="851"/>
      <c r="I132" s="197"/>
      <c r="J132" s="197"/>
      <c r="K132" s="197"/>
      <c r="L132" s="197"/>
      <c r="M132" s="197"/>
      <c r="N132" s="197"/>
      <c r="O132" s="197"/>
      <c r="P132" s="197"/>
      <c r="Q132" s="197"/>
      <c r="R132" s="197"/>
      <c r="S132" s="197"/>
      <c r="T132" s="197"/>
      <c r="U132" s="197"/>
      <c r="V132" s="197"/>
    </row>
    <row r="133" spans="1:22">
      <c r="A133" s="197"/>
      <c r="B133" s="197"/>
      <c r="C133" s="421"/>
      <c r="D133" s="421"/>
      <c r="E133" s="197"/>
      <c r="F133" s="197"/>
      <c r="G133" s="197"/>
      <c r="H133" s="851"/>
      <c r="I133" s="197"/>
      <c r="J133" s="197"/>
      <c r="K133" s="197"/>
      <c r="L133" s="197"/>
      <c r="M133" s="197"/>
      <c r="N133" s="197"/>
      <c r="O133" s="197"/>
      <c r="P133" s="197"/>
      <c r="Q133" s="197"/>
      <c r="R133" s="197"/>
      <c r="S133" s="197"/>
      <c r="T133" s="197"/>
      <c r="U133" s="197"/>
      <c r="V133" s="197"/>
    </row>
    <row r="134" spans="1:22">
      <c r="A134" s="197"/>
      <c r="B134" s="197"/>
      <c r="C134" s="421"/>
      <c r="D134" s="421"/>
      <c r="E134" s="197"/>
      <c r="F134" s="197"/>
      <c r="G134" s="197"/>
      <c r="H134" s="851"/>
      <c r="I134" s="197"/>
      <c r="J134" s="197"/>
      <c r="K134" s="197"/>
      <c r="L134" s="197"/>
      <c r="M134" s="197"/>
      <c r="N134" s="197"/>
      <c r="O134" s="197"/>
      <c r="P134" s="197"/>
      <c r="Q134" s="197"/>
      <c r="R134" s="197"/>
      <c r="S134" s="197"/>
      <c r="T134" s="197"/>
      <c r="U134" s="197"/>
      <c r="V134" s="197"/>
    </row>
    <row r="135" spans="1:22">
      <c r="A135" s="197"/>
      <c r="B135" s="197"/>
      <c r="C135" s="421"/>
      <c r="D135" s="421"/>
      <c r="E135" s="197"/>
      <c r="F135" s="197"/>
      <c r="G135" s="197"/>
      <c r="H135" s="851"/>
      <c r="I135" s="197"/>
      <c r="J135" s="197"/>
      <c r="K135" s="197"/>
      <c r="L135" s="197"/>
      <c r="M135" s="197"/>
      <c r="N135" s="197"/>
      <c r="O135" s="197"/>
      <c r="P135" s="197"/>
      <c r="Q135" s="197"/>
      <c r="R135" s="197"/>
      <c r="S135" s="197"/>
      <c r="T135" s="197"/>
      <c r="U135" s="197"/>
      <c r="V135" s="197"/>
    </row>
    <row r="136" spans="1:22">
      <c r="A136" s="197"/>
      <c r="B136" s="197"/>
      <c r="C136" s="421"/>
      <c r="D136" s="421"/>
      <c r="E136" s="197"/>
      <c r="F136" s="197"/>
      <c r="G136" s="197"/>
      <c r="H136" s="851"/>
      <c r="I136" s="197"/>
      <c r="J136" s="197"/>
      <c r="K136" s="197"/>
      <c r="L136" s="197"/>
      <c r="M136" s="197"/>
      <c r="N136" s="197"/>
      <c r="O136" s="197"/>
      <c r="P136" s="197"/>
      <c r="Q136" s="197"/>
      <c r="R136" s="197"/>
      <c r="S136" s="197"/>
      <c r="T136" s="197"/>
      <c r="U136" s="197"/>
      <c r="V136" s="197"/>
    </row>
    <row r="137" spans="1:22">
      <c r="A137" s="197"/>
      <c r="B137" s="197"/>
      <c r="C137" s="421"/>
      <c r="D137" s="421"/>
      <c r="E137" s="197"/>
      <c r="F137" s="197"/>
      <c r="G137" s="197"/>
      <c r="H137" s="851"/>
      <c r="I137" s="197"/>
      <c r="J137" s="197"/>
      <c r="K137" s="197"/>
      <c r="L137" s="197"/>
      <c r="M137" s="197"/>
      <c r="N137" s="197"/>
      <c r="O137" s="197"/>
      <c r="P137" s="197"/>
      <c r="Q137" s="197"/>
      <c r="R137" s="197"/>
      <c r="S137" s="197"/>
      <c r="T137" s="197"/>
      <c r="U137" s="197"/>
      <c r="V137" s="197"/>
    </row>
    <row r="138" spans="1:22">
      <c r="A138" s="197"/>
      <c r="B138" s="197"/>
      <c r="C138" s="421"/>
      <c r="D138" s="421"/>
      <c r="E138" s="197"/>
      <c r="F138" s="197"/>
      <c r="G138" s="197"/>
      <c r="H138" s="851"/>
      <c r="I138" s="197"/>
      <c r="J138" s="197"/>
      <c r="K138" s="197"/>
      <c r="L138" s="197"/>
      <c r="M138" s="197"/>
      <c r="N138" s="197"/>
      <c r="O138" s="197"/>
      <c r="P138" s="197"/>
      <c r="Q138" s="197"/>
      <c r="R138" s="197"/>
      <c r="S138" s="197"/>
      <c r="T138" s="197"/>
      <c r="U138" s="197"/>
      <c r="V138" s="197"/>
    </row>
    <row r="139" spans="1:22">
      <c r="A139" s="197"/>
      <c r="B139" s="197"/>
      <c r="C139" s="421"/>
      <c r="D139" s="421"/>
      <c r="E139" s="197"/>
      <c r="F139" s="197"/>
      <c r="G139" s="197"/>
      <c r="H139" s="851"/>
      <c r="I139" s="197"/>
      <c r="J139" s="197"/>
      <c r="K139" s="197"/>
      <c r="L139" s="197"/>
      <c r="M139" s="197"/>
      <c r="N139" s="197"/>
      <c r="O139" s="197"/>
      <c r="P139" s="197"/>
      <c r="Q139" s="197"/>
      <c r="R139" s="197"/>
      <c r="S139" s="197"/>
      <c r="T139" s="197"/>
      <c r="U139" s="197"/>
      <c r="V139" s="197"/>
    </row>
    <row r="140" spans="1:22">
      <c r="A140" s="197"/>
      <c r="B140" s="197"/>
      <c r="C140" s="421"/>
      <c r="D140" s="421"/>
      <c r="E140" s="197"/>
      <c r="F140" s="197"/>
      <c r="G140" s="197"/>
      <c r="H140" s="851"/>
      <c r="I140" s="197"/>
      <c r="J140" s="197"/>
      <c r="K140" s="197"/>
      <c r="L140" s="197"/>
      <c r="M140" s="197"/>
      <c r="N140" s="197"/>
      <c r="O140" s="197"/>
      <c r="P140" s="197"/>
      <c r="Q140" s="197"/>
      <c r="R140" s="197"/>
      <c r="S140" s="197"/>
      <c r="T140" s="197"/>
      <c r="U140" s="197"/>
      <c r="V140" s="197"/>
    </row>
    <row r="141" spans="1:22">
      <c r="A141" s="197"/>
      <c r="B141" s="197"/>
      <c r="C141" s="421"/>
      <c r="D141" s="421"/>
      <c r="E141" s="197"/>
      <c r="F141" s="197"/>
      <c r="G141" s="197"/>
      <c r="H141" s="851"/>
      <c r="I141" s="197"/>
      <c r="J141" s="197"/>
      <c r="K141" s="197"/>
      <c r="L141" s="197"/>
      <c r="M141" s="197"/>
      <c r="N141" s="197"/>
      <c r="O141" s="197"/>
      <c r="P141" s="197"/>
      <c r="Q141" s="197"/>
      <c r="R141" s="197"/>
      <c r="S141" s="197"/>
      <c r="T141" s="197"/>
      <c r="U141" s="197"/>
      <c r="V141" s="197"/>
    </row>
    <row r="142" spans="1:22">
      <c r="A142" s="197"/>
      <c r="B142" s="197"/>
      <c r="C142" s="421"/>
      <c r="D142" s="421"/>
      <c r="E142" s="197"/>
      <c r="F142" s="197"/>
      <c r="G142" s="197"/>
      <c r="H142" s="851"/>
      <c r="I142" s="197"/>
      <c r="J142" s="197"/>
      <c r="K142" s="197"/>
      <c r="L142" s="197"/>
      <c r="M142" s="197"/>
      <c r="N142" s="197"/>
      <c r="O142" s="197"/>
      <c r="P142" s="197"/>
      <c r="Q142" s="197"/>
      <c r="R142" s="197"/>
      <c r="S142" s="197"/>
      <c r="T142" s="197"/>
      <c r="U142" s="197"/>
      <c r="V142" s="197"/>
    </row>
    <row r="143" spans="1:22">
      <c r="A143" s="197"/>
      <c r="B143" s="197"/>
      <c r="C143" s="421"/>
      <c r="D143" s="421"/>
      <c r="E143" s="197"/>
      <c r="F143" s="197"/>
      <c r="G143" s="197"/>
      <c r="H143" s="851"/>
      <c r="I143" s="197"/>
      <c r="J143" s="197"/>
      <c r="K143" s="197"/>
      <c r="L143" s="197"/>
      <c r="M143" s="197"/>
      <c r="N143" s="197"/>
      <c r="O143" s="197"/>
      <c r="P143" s="197"/>
      <c r="Q143" s="197"/>
      <c r="R143" s="197"/>
      <c r="S143" s="197"/>
      <c r="T143" s="197"/>
      <c r="U143" s="197"/>
      <c r="V143" s="197"/>
    </row>
    <row r="144" spans="1:22">
      <c r="A144" s="197"/>
      <c r="B144" s="197"/>
      <c r="C144" s="421"/>
      <c r="D144" s="421"/>
      <c r="E144" s="197"/>
      <c r="F144" s="197"/>
      <c r="G144" s="197"/>
      <c r="H144" s="851"/>
      <c r="I144" s="197"/>
      <c r="J144" s="197"/>
      <c r="K144" s="197"/>
      <c r="L144" s="197"/>
      <c r="M144" s="197"/>
      <c r="N144" s="197"/>
      <c r="O144" s="197"/>
      <c r="P144" s="197"/>
      <c r="Q144" s="197"/>
      <c r="R144" s="197"/>
      <c r="S144" s="197"/>
      <c r="T144" s="197"/>
      <c r="U144" s="197"/>
      <c r="V144" s="197"/>
    </row>
    <row r="145" spans="1:22">
      <c r="A145" s="197"/>
      <c r="B145" s="197"/>
      <c r="C145" s="421"/>
      <c r="D145" s="421"/>
      <c r="E145" s="197"/>
      <c r="F145" s="197"/>
      <c r="G145" s="197"/>
      <c r="H145" s="851"/>
      <c r="I145" s="197"/>
      <c r="J145" s="197"/>
      <c r="K145" s="197"/>
      <c r="L145" s="197"/>
      <c r="M145" s="197"/>
      <c r="N145" s="197"/>
      <c r="O145" s="197"/>
      <c r="P145" s="197"/>
      <c r="Q145" s="197"/>
      <c r="R145" s="197"/>
      <c r="S145" s="197"/>
      <c r="T145" s="197"/>
      <c r="U145" s="197"/>
      <c r="V145" s="197"/>
    </row>
    <row r="146" spans="1:22">
      <c r="A146" s="197"/>
      <c r="B146" s="197"/>
      <c r="C146" s="421"/>
      <c r="D146" s="421"/>
      <c r="E146" s="197"/>
      <c r="F146" s="197"/>
      <c r="G146" s="197"/>
      <c r="H146" s="851"/>
      <c r="I146" s="197"/>
      <c r="J146" s="197"/>
      <c r="K146" s="197"/>
      <c r="L146" s="197"/>
      <c r="M146" s="197"/>
      <c r="N146" s="197"/>
      <c r="O146" s="197"/>
      <c r="P146" s="197"/>
      <c r="Q146" s="197"/>
      <c r="R146" s="197"/>
      <c r="S146" s="197"/>
      <c r="T146" s="197"/>
      <c r="U146" s="197"/>
      <c r="V146" s="197"/>
    </row>
    <row r="147" spans="1:22">
      <c r="A147" s="197"/>
      <c r="B147" s="197"/>
      <c r="C147" s="421"/>
      <c r="D147" s="421"/>
      <c r="E147" s="197"/>
      <c r="F147" s="197"/>
      <c r="G147" s="197"/>
      <c r="H147" s="851"/>
      <c r="I147" s="197"/>
      <c r="J147" s="197"/>
      <c r="K147" s="197"/>
      <c r="L147" s="197"/>
      <c r="M147" s="197"/>
      <c r="N147" s="197"/>
      <c r="O147" s="197"/>
      <c r="P147" s="197"/>
      <c r="Q147" s="197"/>
      <c r="R147" s="197"/>
      <c r="S147" s="197"/>
      <c r="T147" s="197"/>
      <c r="U147" s="197"/>
      <c r="V147" s="197"/>
    </row>
    <row r="148" spans="1:22">
      <c r="A148" s="197"/>
      <c r="B148" s="197"/>
      <c r="C148" s="421"/>
      <c r="D148" s="421"/>
      <c r="E148" s="197"/>
      <c r="F148" s="197"/>
      <c r="G148" s="197"/>
      <c r="H148" s="851"/>
      <c r="I148" s="197"/>
      <c r="J148" s="197"/>
      <c r="K148" s="197"/>
      <c r="L148" s="197"/>
      <c r="M148" s="197"/>
      <c r="N148" s="197"/>
      <c r="O148" s="197"/>
      <c r="P148" s="197"/>
      <c r="Q148" s="197"/>
      <c r="R148" s="197"/>
      <c r="S148" s="197"/>
      <c r="T148" s="197"/>
      <c r="U148" s="197"/>
      <c r="V148" s="197"/>
    </row>
    <row r="149" spans="1:22">
      <c r="A149" s="197"/>
      <c r="B149" s="197"/>
      <c r="C149" s="421"/>
      <c r="D149" s="421"/>
      <c r="E149" s="197"/>
      <c r="F149" s="197"/>
      <c r="G149" s="197"/>
      <c r="H149" s="851"/>
      <c r="I149" s="197"/>
      <c r="J149" s="197"/>
      <c r="K149" s="197"/>
      <c r="L149" s="197"/>
      <c r="M149" s="197"/>
      <c r="N149" s="197"/>
      <c r="O149" s="197"/>
      <c r="P149" s="197"/>
      <c r="Q149" s="197"/>
      <c r="R149" s="197"/>
      <c r="S149" s="197"/>
      <c r="T149" s="197"/>
      <c r="U149" s="197"/>
      <c r="V149" s="197"/>
    </row>
    <row r="150" spans="1:22">
      <c r="A150" s="197"/>
      <c r="B150" s="197"/>
      <c r="C150" s="421"/>
      <c r="D150" s="421"/>
      <c r="E150" s="197"/>
      <c r="F150" s="197"/>
      <c r="G150" s="197"/>
      <c r="H150" s="851"/>
      <c r="I150" s="197"/>
      <c r="J150" s="197"/>
      <c r="K150" s="197"/>
      <c r="L150" s="197"/>
      <c r="M150" s="197"/>
      <c r="N150" s="197"/>
      <c r="O150" s="197"/>
      <c r="P150" s="197"/>
      <c r="Q150" s="197"/>
      <c r="R150" s="197"/>
      <c r="S150" s="197"/>
      <c r="T150" s="197"/>
      <c r="U150" s="197"/>
      <c r="V150" s="197"/>
    </row>
    <row r="151" spans="1:22">
      <c r="A151" s="197"/>
      <c r="B151" s="197"/>
      <c r="C151" s="421"/>
      <c r="D151" s="421"/>
      <c r="E151" s="197"/>
      <c r="F151" s="197"/>
      <c r="G151" s="197"/>
      <c r="H151" s="851"/>
      <c r="I151" s="197"/>
      <c r="J151" s="197"/>
      <c r="K151" s="197"/>
      <c r="L151" s="197"/>
      <c r="M151" s="197"/>
      <c r="N151" s="197"/>
      <c r="O151" s="197"/>
      <c r="P151" s="197"/>
      <c r="Q151" s="197"/>
      <c r="R151" s="197"/>
      <c r="S151" s="197"/>
      <c r="T151" s="197"/>
      <c r="U151" s="197"/>
      <c r="V151" s="197"/>
    </row>
    <row r="152" spans="1:22">
      <c r="A152" s="197"/>
      <c r="B152" s="197"/>
      <c r="C152" s="421"/>
      <c r="D152" s="421"/>
      <c r="E152" s="197"/>
      <c r="F152" s="197"/>
      <c r="G152" s="197"/>
      <c r="H152" s="851"/>
      <c r="I152" s="197"/>
      <c r="J152" s="197"/>
      <c r="K152" s="197"/>
      <c r="L152" s="197"/>
      <c r="M152" s="197"/>
      <c r="N152" s="197"/>
      <c r="O152" s="197"/>
      <c r="P152" s="197"/>
      <c r="Q152" s="197"/>
      <c r="R152" s="197"/>
      <c r="S152" s="197"/>
      <c r="T152" s="197"/>
      <c r="U152" s="197"/>
      <c r="V152" s="197"/>
    </row>
    <row r="153" spans="1:22">
      <c r="A153" s="197"/>
      <c r="B153" s="197"/>
      <c r="C153" s="421"/>
      <c r="D153" s="421"/>
      <c r="E153" s="197"/>
      <c r="F153" s="197"/>
      <c r="G153" s="197"/>
      <c r="H153" s="851"/>
      <c r="I153" s="197"/>
      <c r="J153" s="197"/>
      <c r="K153" s="197"/>
      <c r="L153" s="197"/>
      <c r="M153" s="197"/>
      <c r="N153" s="197"/>
      <c r="O153" s="197"/>
      <c r="P153" s="197"/>
      <c r="Q153" s="197"/>
      <c r="R153" s="197"/>
      <c r="S153" s="197"/>
      <c r="T153" s="197"/>
      <c r="U153" s="197"/>
      <c r="V153" s="197"/>
    </row>
    <row r="154" spans="1:22">
      <c r="A154" s="197"/>
      <c r="B154" s="197"/>
      <c r="C154" s="421"/>
      <c r="D154" s="421"/>
      <c r="E154" s="197"/>
      <c r="F154" s="197"/>
      <c r="G154" s="197"/>
      <c r="H154" s="851"/>
      <c r="I154" s="197"/>
      <c r="J154" s="197"/>
      <c r="K154" s="197"/>
      <c r="L154" s="197"/>
      <c r="M154" s="197"/>
      <c r="N154" s="197"/>
      <c r="O154" s="197"/>
      <c r="P154" s="197"/>
      <c r="Q154" s="197"/>
      <c r="R154" s="197"/>
      <c r="S154" s="197"/>
      <c r="T154" s="197"/>
      <c r="U154" s="197"/>
      <c r="V154" s="197"/>
    </row>
    <row r="155" spans="1:22">
      <c r="A155" s="197"/>
      <c r="B155" s="197"/>
      <c r="C155" s="421"/>
      <c r="D155" s="421"/>
      <c r="E155" s="197"/>
      <c r="F155" s="197"/>
      <c r="G155" s="197"/>
      <c r="H155" s="851"/>
      <c r="I155" s="197"/>
      <c r="J155" s="197"/>
      <c r="K155" s="197"/>
      <c r="L155" s="197"/>
      <c r="M155" s="197"/>
      <c r="N155" s="197"/>
      <c r="O155" s="197"/>
      <c r="P155" s="197"/>
      <c r="Q155" s="197"/>
      <c r="R155" s="197"/>
      <c r="S155" s="197"/>
      <c r="T155" s="197"/>
      <c r="U155" s="197"/>
      <c r="V155" s="197"/>
    </row>
    <row r="156" spans="1:22">
      <c r="A156" s="197"/>
      <c r="B156" s="197"/>
      <c r="C156" s="421"/>
      <c r="D156" s="421"/>
      <c r="E156" s="197"/>
      <c r="F156" s="197"/>
      <c r="G156" s="197"/>
      <c r="H156" s="851"/>
      <c r="I156" s="197"/>
      <c r="J156" s="197"/>
      <c r="K156" s="197"/>
      <c r="L156" s="197"/>
      <c r="M156" s="197"/>
      <c r="N156" s="197"/>
      <c r="O156" s="197"/>
      <c r="P156" s="197"/>
      <c r="Q156" s="197"/>
      <c r="R156" s="197"/>
      <c r="S156" s="197"/>
      <c r="T156" s="197"/>
      <c r="U156" s="197"/>
      <c r="V156" s="197"/>
    </row>
    <row r="157" spans="1:22">
      <c r="A157" s="197"/>
      <c r="B157" s="197"/>
      <c r="C157" s="421"/>
      <c r="D157" s="421"/>
      <c r="E157" s="197"/>
      <c r="F157" s="197"/>
      <c r="G157" s="197"/>
      <c r="H157" s="851"/>
      <c r="I157" s="197"/>
      <c r="J157" s="197"/>
      <c r="K157" s="197"/>
      <c r="L157" s="197"/>
      <c r="M157" s="197"/>
      <c r="N157" s="197"/>
      <c r="O157" s="197"/>
      <c r="P157" s="197"/>
      <c r="Q157" s="197"/>
      <c r="R157" s="197"/>
      <c r="S157" s="197"/>
      <c r="T157" s="197"/>
      <c r="U157" s="197"/>
      <c r="V157" s="197"/>
    </row>
    <row r="158" spans="1:22">
      <c r="A158" s="197"/>
      <c r="B158" s="197"/>
      <c r="C158" s="421"/>
      <c r="D158" s="421"/>
      <c r="E158" s="197"/>
      <c r="F158" s="197"/>
      <c r="G158" s="197"/>
      <c r="H158" s="851"/>
      <c r="I158" s="197"/>
      <c r="J158" s="197"/>
      <c r="K158" s="197"/>
      <c r="L158" s="197"/>
      <c r="M158" s="197"/>
      <c r="N158" s="197"/>
      <c r="O158" s="197"/>
      <c r="P158" s="197"/>
      <c r="Q158" s="197"/>
      <c r="R158" s="197"/>
      <c r="S158" s="197"/>
      <c r="T158" s="197"/>
      <c r="U158" s="197"/>
      <c r="V158" s="197"/>
    </row>
    <row r="159" spans="1:22">
      <c r="A159" s="197"/>
      <c r="B159" s="197"/>
      <c r="C159" s="421"/>
      <c r="D159" s="421"/>
      <c r="E159" s="197"/>
      <c r="F159" s="197"/>
      <c r="G159" s="197"/>
      <c r="H159" s="851"/>
      <c r="I159" s="197"/>
      <c r="J159" s="197"/>
      <c r="K159" s="197"/>
      <c r="L159" s="197"/>
      <c r="M159" s="197"/>
      <c r="N159" s="197"/>
      <c r="O159" s="197"/>
      <c r="P159" s="197"/>
      <c r="Q159" s="197"/>
      <c r="R159" s="197"/>
      <c r="S159" s="197"/>
      <c r="T159" s="197"/>
      <c r="U159" s="197"/>
      <c r="V159" s="197"/>
    </row>
    <row r="160" spans="1:22">
      <c r="A160" s="197"/>
      <c r="B160" s="197"/>
      <c r="C160" s="421"/>
      <c r="D160" s="421"/>
      <c r="E160" s="197"/>
      <c r="F160" s="197"/>
      <c r="G160" s="197"/>
      <c r="H160" s="851"/>
      <c r="I160" s="197"/>
      <c r="J160" s="197"/>
      <c r="K160" s="197"/>
      <c r="L160" s="197"/>
      <c r="M160" s="197"/>
      <c r="N160" s="197"/>
      <c r="O160" s="197"/>
      <c r="P160" s="197"/>
      <c r="Q160" s="197"/>
      <c r="R160" s="197"/>
      <c r="S160" s="197"/>
      <c r="T160" s="197"/>
      <c r="U160" s="197"/>
      <c r="V160" s="197"/>
    </row>
    <row r="161" spans="1:22">
      <c r="A161" s="197"/>
      <c r="B161" s="197"/>
      <c r="C161" s="421"/>
      <c r="D161" s="421"/>
      <c r="E161" s="197"/>
      <c r="F161" s="197"/>
      <c r="G161" s="197"/>
      <c r="H161" s="851"/>
      <c r="I161" s="197"/>
      <c r="J161" s="197"/>
      <c r="K161" s="197"/>
      <c r="L161" s="197"/>
      <c r="M161" s="197"/>
      <c r="N161" s="197"/>
      <c r="O161" s="197"/>
      <c r="P161" s="197"/>
      <c r="Q161" s="197"/>
      <c r="R161" s="197"/>
      <c r="S161" s="197"/>
      <c r="T161" s="197"/>
      <c r="U161" s="197"/>
      <c r="V161" s="197"/>
    </row>
    <row r="162" spans="1:22">
      <c r="A162" s="197"/>
      <c r="B162" s="197"/>
      <c r="C162" s="421"/>
      <c r="J162" s="197"/>
      <c r="K162" s="197"/>
    </row>
    <row r="163" spans="1:22">
      <c r="A163" s="197"/>
      <c r="B163" s="197"/>
      <c r="C163" s="421"/>
      <c r="J163" s="197"/>
      <c r="K163" s="197"/>
    </row>
    <row r="164" spans="1:22">
      <c r="A164" s="197"/>
      <c r="B164" s="197"/>
      <c r="C164" s="421"/>
      <c r="J164" s="197"/>
      <c r="K164" s="197"/>
    </row>
    <row r="165" spans="1:22">
      <c r="A165" s="197"/>
      <c r="B165" s="197"/>
      <c r="C165" s="421"/>
      <c r="J165" s="197"/>
      <c r="K165" s="197"/>
    </row>
    <row r="166" spans="1:22">
      <c r="A166" s="197"/>
      <c r="B166" s="197"/>
      <c r="C166" s="421"/>
      <c r="J166" s="197"/>
      <c r="K166" s="197"/>
    </row>
    <row r="167" spans="1:22">
      <c r="B167" s="197"/>
      <c r="C167" s="421"/>
      <c r="J167" s="197"/>
      <c r="K167" s="197"/>
    </row>
  </sheetData>
  <phoneticPr fontId="8" type="noConversion"/>
  <hyperlinks>
    <hyperlink ref="A7" r:id="rId1"/>
    <hyperlink ref="A14" r:id="rId2" location="'Proforma IS'!A1"/>
    <hyperlink ref="A18" r:id="rId3" location="'SSS WENARBY''s'!A1"/>
    <hyperlink ref="A19" r:id="rId4" location="Revenues!A1"/>
    <hyperlink ref="A15" r:id="rId5" location="'Proforma Balance Sheet'!A1"/>
    <hyperlink ref="A16" r:id="rId6" location="'Proforma CF'!A1"/>
    <hyperlink ref="A17" r:id="rId7" location="'UNITS - WENARBYS'!A1"/>
  </hyperlinks>
  <printOptions horizontalCentered="1" verticalCentered="1"/>
  <pageMargins left="0.75" right="0.75" top="1" bottom="1" header="0.5" footer="0.5"/>
  <pageSetup orientation="landscape" r:id="rId8"/>
  <headerFooter alignWithMargins="0"/>
  <drawing r:id="rId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IV376"/>
  <sheetViews>
    <sheetView showGridLines="0" zoomScaleNormal="100" workbookViewId="0">
      <pane xSplit="1" ySplit="7" topLeftCell="B8" activePane="bottomRight" state="frozen"/>
      <selection pane="topRight" activeCell="B1" sqref="B1"/>
      <selection pane="bottomLeft" activeCell="A8" sqref="A8"/>
      <selection pane="bottomRight" activeCell="A7" sqref="A7:CI131"/>
    </sheetView>
  </sheetViews>
  <sheetFormatPr defaultRowHeight="12.75" outlineLevelRow="2" outlineLevelCol="2"/>
  <cols>
    <col min="1" max="1" width="33.7109375" style="89" customWidth="1"/>
    <col min="2" max="2" width="7.28515625" style="47" hidden="1" customWidth="1" outlineLevel="1"/>
    <col min="3" max="5" width="6.140625" style="45" hidden="1" customWidth="1" outlineLevel="1"/>
    <col min="6" max="6" width="7.28515625" style="45" hidden="1" customWidth="1" outlineLevel="1"/>
    <col min="7" max="7" width="7.28515625" style="45" hidden="1" customWidth="1" outlineLevel="1" collapsed="1"/>
    <col min="8" max="10" width="6.140625" style="45" hidden="1" customWidth="1" outlineLevel="1"/>
    <col min="11" max="11" width="7.28515625" style="45" hidden="1" customWidth="1" outlineLevel="1"/>
    <col min="12" max="12" width="7.28515625" style="45" hidden="1" customWidth="1" outlineLevel="1" collapsed="1"/>
    <col min="13" max="18" width="7.28515625" style="45" hidden="1" customWidth="1" outlineLevel="1"/>
    <col min="19" max="25" width="8.140625" style="45" hidden="1" customWidth="1" outlineLevel="1"/>
    <col min="26" max="26" width="7" style="45" hidden="1" customWidth="1" outlineLevel="1"/>
    <col min="27" max="27" width="9.5703125" style="45" hidden="1" customWidth="1" outlineLevel="1" collapsed="1"/>
    <col min="28" max="30" width="8.140625" style="45" hidden="1" customWidth="1" outlineLevel="1"/>
    <col min="31" max="31" width="8.7109375" style="45" hidden="1" customWidth="1" outlineLevel="1"/>
    <col min="32" max="32" width="8.7109375" style="45" hidden="1" customWidth="1" outlineLevel="1" collapsed="1"/>
    <col min="33" max="35" width="8.140625" style="45" hidden="1" customWidth="1" outlineLevel="1"/>
    <col min="36" max="36" width="7" style="45" hidden="1" customWidth="1" outlineLevel="1"/>
    <col min="37" max="37" width="9" style="45" hidden="1" customWidth="1" outlineLevel="1" collapsed="1"/>
    <col min="38" max="41" width="8.140625" style="45" hidden="1" customWidth="1" outlineLevel="1"/>
    <col min="42" max="51" width="8.140625" style="45" hidden="1" customWidth="1" outlineLevel="2"/>
    <col min="52" max="52" width="8.140625" style="45" hidden="1" customWidth="1" outlineLevel="1"/>
    <col min="53" max="56" width="8.140625" style="45" hidden="1" customWidth="1" outlineLevel="2"/>
    <col min="57" max="57" width="8.140625" style="45" hidden="1" customWidth="1" outlineLevel="1"/>
    <col min="58" max="61" width="8.140625" style="45" hidden="1" customWidth="1" outlineLevel="2"/>
    <col min="62" max="62" width="8.140625" style="45" customWidth="1" collapsed="1"/>
    <col min="63" max="66" width="8.140625" style="45" hidden="1" customWidth="1" outlineLevel="1"/>
    <col min="67" max="67" width="8.140625" style="45" customWidth="1" collapsed="1"/>
    <col min="68" max="71" width="8.140625" style="45" hidden="1" customWidth="1" outlineLevel="1"/>
    <col min="72" max="72" width="8.140625" style="45" customWidth="1" collapsed="1"/>
    <col min="73" max="76" width="8.140625" style="45" customWidth="1" outlineLevel="1"/>
    <col min="77" max="77" width="8.140625" style="45" customWidth="1"/>
    <col min="78" max="81" width="8.140625" style="45" customWidth="1" outlineLevel="2"/>
    <col min="82" max="82" width="8.140625" style="45" customWidth="1" outlineLevel="1"/>
    <col min="83" max="86" width="8.140625" style="45" hidden="1" customWidth="1" outlineLevel="2"/>
    <col min="87" max="87" width="8.140625" style="45" customWidth="1" outlineLevel="1" collapsed="1"/>
    <col min="88" max="91" width="8.140625" style="45" hidden="1" customWidth="1" outlineLevel="2"/>
    <col min="92" max="92" width="8.140625" style="45" customWidth="1" outlineLevel="1" collapsed="1"/>
    <col min="93" max="95" width="8.140625" style="45" customWidth="1"/>
    <col min="96" max="96" width="39.140625" style="45" customWidth="1"/>
    <col min="97" max="98" width="9.140625" style="45"/>
    <col min="99" max="99" width="7.28515625" style="45" customWidth="1"/>
    <col min="100" max="100" width="9.140625" style="45"/>
    <col min="101" max="101" width="11" style="45" customWidth="1"/>
    <col min="102" max="105" width="9.140625" style="45"/>
    <col min="106" max="106" width="22.140625" customWidth="1"/>
    <col min="112" max="224" width="9.140625" style="45"/>
    <col min="225" max="16384" width="9.140625" style="5"/>
  </cols>
  <sheetData>
    <row r="1" spans="1:256" ht="45.75" customHeight="1">
      <c r="A1" s="48"/>
      <c r="B1" s="45"/>
      <c r="F1" s="69"/>
      <c r="J1" s="70"/>
      <c r="V1" s="96">
        <f>V276-V275</f>
        <v>0</v>
      </c>
      <c r="W1" s="88"/>
      <c r="X1" s="88"/>
      <c r="Y1" s="88"/>
      <c r="Z1" s="88"/>
      <c r="AA1" s="96"/>
      <c r="AB1" s="88"/>
      <c r="AC1" s="93"/>
      <c r="AD1" s="93"/>
      <c r="AE1" s="93"/>
      <c r="AF1" s="96">
        <f>AF267+AF268+AF269-AF280-AF278</f>
        <v>0</v>
      </c>
      <c r="AG1" s="88">
        <f>AG58</f>
        <v>26</v>
      </c>
      <c r="AH1" s="88">
        <f>AH58</f>
        <v>20</v>
      </c>
      <c r="AI1" s="93"/>
      <c r="AJ1" s="93"/>
      <c r="AK1" s="96"/>
      <c r="AL1" s="93"/>
      <c r="AM1" s="93"/>
      <c r="AN1" s="93"/>
      <c r="AO1" s="93"/>
      <c r="AP1" s="96"/>
      <c r="AQ1" s="93"/>
      <c r="AR1" s="93"/>
      <c r="AS1" s="93"/>
      <c r="AT1" s="93"/>
      <c r="AU1" s="96"/>
      <c r="AV1" s="197"/>
      <c r="AW1" s="197"/>
      <c r="AX1" s="197"/>
      <c r="AY1" s="197"/>
      <c r="AZ1" s="197"/>
      <c r="BA1" s="197"/>
      <c r="BB1" s="197"/>
      <c r="BC1" s="1160"/>
      <c r="BD1" s="197"/>
      <c r="BE1" s="197"/>
      <c r="BF1" s="140"/>
      <c r="BG1" s="140"/>
      <c r="BH1" s="140"/>
      <c r="BI1" s="140"/>
      <c r="BJ1" s="140"/>
      <c r="BK1" s="1169"/>
      <c r="BL1" s="1169"/>
      <c r="BM1" s="1169"/>
      <c r="BN1" s="1169"/>
      <c r="BO1" s="1169"/>
      <c r="BP1" s="210"/>
      <c r="BQ1" s="210"/>
      <c r="BR1" s="210"/>
      <c r="BS1" s="1249"/>
      <c r="BT1" s="406"/>
      <c r="BU1" s="140"/>
      <c r="BV1" s="140"/>
      <c r="BW1" s="140"/>
      <c r="BX1" s="140"/>
      <c r="BY1" s="210"/>
      <c r="BZ1" s="140"/>
      <c r="CA1" s="140"/>
      <c r="CB1" s="140"/>
      <c r="CC1" s="140"/>
      <c r="CD1" s="210"/>
      <c r="CE1" s="140"/>
      <c r="CF1" s="140"/>
      <c r="CG1" s="140"/>
      <c r="CH1" s="140"/>
      <c r="CI1" s="140"/>
      <c r="CJ1" s="140"/>
      <c r="CK1" s="140"/>
      <c r="CL1" s="140"/>
      <c r="CM1" s="140"/>
      <c r="CN1" s="140"/>
      <c r="CO1" s="72"/>
      <c r="CR1" s="197"/>
      <c r="CS1" s="197"/>
      <c r="CT1" s="46"/>
      <c r="CU1" s="197"/>
      <c r="CV1" s="197"/>
      <c r="CW1" s="197"/>
    </row>
    <row r="2" spans="1:256">
      <c r="A2" s="41" t="s">
        <v>132</v>
      </c>
      <c r="B2" s="45"/>
      <c r="G2" s="46"/>
      <c r="J2" s="71"/>
      <c r="K2" s="72"/>
      <c r="V2" s="73"/>
      <c r="W2" s="96"/>
      <c r="Y2" s="72"/>
      <c r="Z2" s="72"/>
      <c r="AA2" s="74"/>
      <c r="AD2" s="480"/>
      <c r="AE2" s="80"/>
      <c r="AG2" s="140"/>
      <c r="AH2" s="140"/>
      <c r="AI2" s="141"/>
      <c r="AJ2" s="141"/>
      <c r="AK2" s="140"/>
      <c r="AL2" s="141"/>
      <c r="AM2" s="461"/>
      <c r="AN2" s="141"/>
      <c r="AO2" s="141"/>
      <c r="AP2" s="140"/>
      <c r="AQ2" s="140"/>
      <c r="AR2" s="140"/>
      <c r="AS2" s="140"/>
      <c r="AT2" s="140"/>
      <c r="AU2" s="140"/>
      <c r="AV2" s="140"/>
      <c r="AW2" s="140"/>
      <c r="AX2" s="140"/>
      <c r="AY2" s="141"/>
      <c r="AZ2" s="141"/>
      <c r="BA2" s="1156"/>
      <c r="BB2" s="1156"/>
      <c r="BC2" s="1159"/>
      <c r="BD2" s="141"/>
      <c r="BE2" s="1159"/>
      <c r="BF2" s="141"/>
      <c r="BG2" s="1159"/>
      <c r="BH2" s="141"/>
      <c r="BI2" s="1165"/>
      <c r="BJ2" s="1165"/>
      <c r="BK2" s="140">
        <v>5.9934406550770605E-2</v>
      </c>
      <c r="BL2" s="140">
        <v>7.7456806515860552E-2</v>
      </c>
      <c r="BM2" s="140">
        <v>8.6357681907115971E-2</v>
      </c>
      <c r="BN2" s="140">
        <v>0.11908324461197593</v>
      </c>
      <c r="BO2" s="140"/>
      <c r="BP2" s="140"/>
      <c r="BQ2" s="140"/>
      <c r="BR2" s="140"/>
      <c r="BS2" s="140"/>
      <c r="BT2" s="140"/>
      <c r="BU2" s="140"/>
      <c r="BW2" s="140"/>
      <c r="BX2" s="140"/>
      <c r="BY2" s="140" t="s">
        <v>634</v>
      </c>
      <c r="BZ2" s="140">
        <v>0.10273541540601695</v>
      </c>
      <c r="CA2" s="140">
        <v>0.17721996530034353</v>
      </c>
      <c r="CB2" s="140">
        <v>0.14081767675027365</v>
      </c>
      <c r="CC2" s="140">
        <v>0.14006120952333198</v>
      </c>
      <c r="CD2" s="140">
        <v>0.56059922557874031</v>
      </c>
      <c r="CE2" s="140">
        <v>0.13556993456454008</v>
      </c>
      <c r="CF2" s="140">
        <v>0.20969070665293654</v>
      </c>
      <c r="CG2" s="140">
        <v>0.17304544033753452</v>
      </c>
      <c r="CH2" s="140">
        <v>0.17406947186589292</v>
      </c>
      <c r="CI2" s="140">
        <v>0.69217926630366633</v>
      </c>
      <c r="CJ2" s="140">
        <v>0.17407420709509722</v>
      </c>
      <c r="CK2" s="140">
        <v>0.24688019977295259</v>
      </c>
      <c r="CL2" s="140">
        <v>0.21017857532105222</v>
      </c>
      <c r="CM2" s="140">
        <v>0.2128296167696575</v>
      </c>
      <c r="CN2" s="140">
        <v>0.84394204613507162</v>
      </c>
      <c r="CO2" s="1212"/>
      <c r="CS2" s="46"/>
      <c r="CT2" s="46"/>
      <c r="CU2" s="46"/>
      <c r="CV2" s="46"/>
      <c r="CW2" s="46"/>
    </row>
    <row r="3" spans="1:256">
      <c r="A3" s="42" t="s">
        <v>614</v>
      </c>
      <c r="B3" s="75"/>
      <c r="D3" s="77"/>
      <c r="K3" s="72"/>
      <c r="L3" s="74"/>
      <c r="M3" s="78"/>
      <c r="N3" s="72"/>
      <c r="O3" s="46"/>
      <c r="P3" s="46"/>
      <c r="Q3" s="46"/>
      <c r="U3" s="72"/>
      <c r="V3" s="46"/>
      <c r="W3" s="46"/>
      <c r="X3" s="477"/>
      <c r="Y3" s="477"/>
      <c r="Z3" s="46"/>
      <c r="AA3" s="477"/>
      <c r="AE3" s="74"/>
      <c r="AF3" s="738"/>
      <c r="AG3" s="138"/>
      <c r="AH3" s="137"/>
      <c r="AI3" s="137"/>
      <c r="AJ3" s="918"/>
      <c r="AK3" s="138"/>
      <c r="AL3" s="137"/>
      <c r="AM3" s="918"/>
      <c r="AN3" s="137"/>
      <c r="AO3" s="918"/>
      <c r="AP3" s="138"/>
      <c r="AR3" s="137"/>
      <c r="AS3" s="137"/>
      <c r="AT3" s="137"/>
      <c r="AU3" s="138"/>
      <c r="AV3" s="918"/>
      <c r="AW3" s="918"/>
      <c r="AX3" s="918"/>
      <c r="AY3" s="137"/>
      <c r="AZ3" s="137"/>
      <c r="BA3" s="918"/>
      <c r="BB3" s="918"/>
      <c r="BC3" s="1157"/>
      <c r="BD3" s="137"/>
      <c r="BE3" s="137"/>
      <c r="BF3" s="137"/>
      <c r="BG3" s="137"/>
      <c r="BH3" s="137"/>
      <c r="BI3" s="138"/>
      <c r="BJ3" s="138"/>
      <c r="BK3" s="138">
        <f t="shared" ref="BK3:CN3" si="0">BK62-BK2</f>
        <v>0</v>
      </c>
      <c r="BL3" s="138">
        <f t="shared" si="0"/>
        <v>0</v>
      </c>
      <c r="BM3" s="138">
        <f t="shared" si="0"/>
        <v>0</v>
      </c>
      <c r="BN3" s="138">
        <f t="shared" si="0"/>
        <v>0</v>
      </c>
      <c r="BO3" s="138"/>
      <c r="BP3" s="138"/>
      <c r="BQ3" s="138"/>
      <c r="BR3" s="138"/>
      <c r="BS3" s="138"/>
      <c r="BT3" s="138"/>
      <c r="BU3" s="138"/>
      <c r="BW3" s="138"/>
      <c r="BX3" s="138"/>
      <c r="BY3" s="138" t="s">
        <v>635</v>
      </c>
      <c r="BZ3" s="138">
        <f t="shared" si="0"/>
        <v>5.6704896273526706E-4</v>
      </c>
      <c r="CA3" s="138">
        <f t="shared" si="0"/>
        <v>-1.3484892624960665E-2</v>
      </c>
      <c r="CB3" s="138">
        <f t="shared" si="0"/>
        <v>3.4245766456655613E-3</v>
      </c>
      <c r="CC3" s="138">
        <f t="shared" si="0"/>
        <v>1.2474101556833289E-2</v>
      </c>
      <c r="CD3" s="138">
        <f t="shared" si="0"/>
        <v>2.8339225224994768E-3</v>
      </c>
      <c r="CE3" s="138">
        <f t="shared" si="0"/>
        <v>4.1476615997743105E-4</v>
      </c>
      <c r="CF3" s="138">
        <f t="shared" si="0"/>
        <v>-1.3406611045650163E-2</v>
      </c>
      <c r="CG3" s="138">
        <f t="shared" si="0"/>
        <v>3.2049404851461627E-3</v>
      </c>
      <c r="CH3" s="138">
        <f t="shared" si="0"/>
        <v>1.2318833865786638E-2</v>
      </c>
      <c r="CI3" s="138">
        <f t="shared" si="0"/>
        <v>2.4074650601390024E-3</v>
      </c>
      <c r="CJ3" s="138">
        <f t="shared" si="0"/>
        <v>2.175985483075793E-4</v>
      </c>
      <c r="CK3" s="138">
        <f t="shared" si="0"/>
        <v>-1.3136180441390644E-2</v>
      </c>
      <c r="CL3" s="138">
        <f t="shared" si="0"/>
        <v>2.8792005450178071E-3</v>
      </c>
      <c r="CM3" s="138">
        <f t="shared" si="0"/>
        <v>1.1824174368808421E-2</v>
      </c>
      <c r="CN3" s="138">
        <f t="shared" si="0"/>
        <v>1.7741982828490821E-3</v>
      </c>
      <c r="CO3" s="528"/>
      <c r="CP3" s="528"/>
      <c r="CS3" s="46"/>
      <c r="CT3" s="46"/>
    </row>
    <row r="4" spans="1:256" customFormat="1" ht="11.25" hidden="1" customHeight="1" outlineLevel="1"/>
    <row r="5" spans="1:256" s="680" customFormat="1" ht="18" collapsed="1">
      <c r="A5" s="845" t="s">
        <v>140</v>
      </c>
      <c r="B5" s="681"/>
      <c r="C5" s="846"/>
      <c r="D5" s="846"/>
      <c r="E5" s="846"/>
      <c r="F5" s="846"/>
      <c r="G5" s="681"/>
      <c r="H5" s="846"/>
      <c r="I5" s="846"/>
      <c r="J5" s="846"/>
      <c r="K5" s="847"/>
      <c r="L5" s="846"/>
      <c r="M5" s="846"/>
      <c r="N5" s="681"/>
      <c r="O5" s="681"/>
      <c r="P5" s="681"/>
      <c r="Q5" s="681"/>
      <c r="R5" s="681"/>
      <c r="S5" s="681"/>
      <c r="T5" s="681"/>
      <c r="U5" s="681"/>
      <c r="V5" s="681"/>
      <c r="W5" s="681"/>
      <c r="X5" s="681"/>
      <c r="Y5" s="681"/>
      <c r="Z5" s="681"/>
      <c r="AA5" s="681"/>
      <c r="AB5" s="681"/>
      <c r="AC5" s="681"/>
      <c r="AD5" s="846"/>
      <c r="AE5" s="681"/>
      <c r="AF5" s="681"/>
      <c r="AG5" s="681"/>
      <c r="AH5" s="681"/>
      <c r="AI5" s="681"/>
      <c r="AJ5" s="681"/>
      <c r="AK5" s="848"/>
      <c r="AL5" s="913"/>
      <c r="AM5" s="848"/>
      <c r="AN5" s="848"/>
      <c r="AO5" s="848"/>
      <c r="AP5" s="848"/>
      <c r="AQ5" s="848"/>
      <c r="AR5" s="848"/>
      <c r="AS5" s="848"/>
      <c r="AT5" s="848"/>
      <c r="AU5" s="848"/>
      <c r="AV5" s="848"/>
      <c r="AW5" s="848"/>
      <c r="AX5" s="848"/>
      <c r="AY5" s="848"/>
      <c r="AZ5" s="848"/>
      <c r="BA5" s="848"/>
      <c r="BB5" s="848"/>
      <c r="BC5" s="848"/>
      <c r="BD5" s="848"/>
      <c r="BE5" s="848"/>
      <c r="BF5" s="848"/>
      <c r="BG5" s="848"/>
      <c r="BH5" s="848"/>
      <c r="BI5" s="848"/>
      <c r="BJ5" s="848"/>
      <c r="BK5" s="848"/>
      <c r="BL5" s="848"/>
      <c r="BM5" s="913"/>
      <c r="BN5" s="848"/>
      <c r="BO5" s="848"/>
      <c r="BP5" s="848"/>
      <c r="BQ5" s="848"/>
      <c r="BR5" s="848"/>
      <c r="BS5" s="848"/>
      <c r="BT5" s="848"/>
      <c r="BU5" s="913"/>
      <c r="BV5" s="848"/>
      <c r="BW5" s="913"/>
      <c r="BX5" s="913"/>
      <c r="BY5" s="913"/>
      <c r="BZ5" s="848"/>
      <c r="CA5" s="848"/>
      <c r="CB5" s="848"/>
      <c r="CC5" s="848"/>
      <c r="CD5" s="848"/>
      <c r="CE5" s="848"/>
      <c r="CF5" s="848"/>
      <c r="CG5" s="848"/>
      <c r="CH5" s="848"/>
      <c r="CI5" s="848"/>
      <c r="CJ5" s="848"/>
      <c r="CK5" s="848"/>
      <c r="CL5" s="848"/>
      <c r="CM5" s="848"/>
      <c r="CN5" s="849"/>
      <c r="CO5" s="1213"/>
      <c r="CP5" s="528"/>
      <c r="CR5" s="683" t="s">
        <v>175</v>
      </c>
      <c r="CS5" s="968"/>
      <c r="CT5" s="850"/>
      <c r="CU5" s="850"/>
      <c r="CV5" s="968"/>
      <c r="CW5" s="1008"/>
      <c r="DB5"/>
      <c r="DC5"/>
      <c r="DD5"/>
      <c r="DE5"/>
      <c r="DF5"/>
      <c r="DG5"/>
      <c r="HQ5" s="865"/>
      <c r="HR5" s="865"/>
      <c r="HS5" s="865"/>
      <c r="HT5" s="865"/>
      <c r="HU5" s="865"/>
      <c r="HV5" s="865"/>
      <c r="HW5" s="865"/>
      <c r="HX5" s="865"/>
      <c r="HY5" s="865"/>
      <c r="HZ5" s="865"/>
      <c r="IA5" s="865"/>
      <c r="IB5" s="865"/>
      <c r="IC5" s="865"/>
      <c r="ID5" s="865"/>
      <c r="IE5" s="865"/>
      <c r="IF5" s="865"/>
      <c r="IG5" s="865"/>
      <c r="IH5" s="865"/>
      <c r="II5" s="865"/>
      <c r="IJ5" s="865"/>
      <c r="IK5" s="865"/>
      <c r="IL5" s="865"/>
      <c r="IM5" s="865"/>
      <c r="IN5" s="865"/>
      <c r="IO5" s="865"/>
      <c r="IP5" s="865"/>
      <c r="IQ5" s="865"/>
      <c r="IR5" s="865"/>
      <c r="IS5" s="865"/>
      <c r="IT5" s="865"/>
      <c r="IU5" s="865"/>
      <c r="IV5" s="865"/>
    </row>
    <row r="6" spans="1:256" s="876" customFormat="1">
      <c r="A6" s="1277"/>
      <c r="B6" s="872"/>
      <c r="C6" s="873"/>
      <c r="D6" s="873"/>
      <c r="E6" s="873"/>
      <c r="F6" s="873"/>
      <c r="G6" s="872"/>
      <c r="H6" s="873"/>
      <c r="I6" s="873"/>
      <c r="J6" s="873"/>
      <c r="K6" s="872"/>
      <c r="L6" s="872"/>
      <c r="M6" s="872"/>
      <c r="N6" s="872"/>
      <c r="O6" s="872"/>
      <c r="P6" s="872"/>
      <c r="Q6" s="872"/>
      <c r="R6" s="872"/>
      <c r="S6" s="872"/>
      <c r="T6" s="873"/>
      <c r="U6" s="873"/>
      <c r="V6" s="874"/>
      <c r="W6" s="875"/>
      <c r="Y6" s="873"/>
      <c r="Z6" s="873"/>
      <c r="AA6" s="873">
        <v>39446</v>
      </c>
      <c r="AB6" s="873">
        <v>39537</v>
      </c>
      <c r="AC6" s="873">
        <v>39628</v>
      </c>
      <c r="AD6" s="873">
        <v>39719</v>
      </c>
      <c r="AE6" s="873">
        <v>39810</v>
      </c>
      <c r="AF6" s="873">
        <f>AE6</f>
        <v>39810</v>
      </c>
      <c r="AG6" s="873">
        <v>39901</v>
      </c>
      <c r="AH6" s="873">
        <v>39992</v>
      </c>
      <c r="AI6" s="873">
        <v>40083</v>
      </c>
      <c r="AJ6" s="873">
        <v>40181</v>
      </c>
      <c r="AK6" s="877"/>
      <c r="AL6" s="873">
        <v>40266</v>
      </c>
      <c r="AM6" s="873">
        <v>40363</v>
      </c>
      <c r="AN6" s="873">
        <v>40454</v>
      </c>
      <c r="AO6" s="873">
        <v>40545</v>
      </c>
      <c r="AP6" s="873">
        <f>AO6</f>
        <v>40545</v>
      </c>
      <c r="AQ6" s="873">
        <v>40636</v>
      </c>
      <c r="AR6" s="873">
        <v>40727</v>
      </c>
      <c r="AS6" s="873">
        <v>40818</v>
      </c>
      <c r="AT6" s="873">
        <v>40909</v>
      </c>
      <c r="AU6" s="873">
        <f>AT6</f>
        <v>40909</v>
      </c>
      <c r="AV6" s="1130"/>
      <c r="AW6" s="409"/>
      <c r="AX6" s="409"/>
      <c r="AY6" s="409"/>
      <c r="AZ6" s="409"/>
      <c r="BA6" s="409"/>
      <c r="BB6" s="409"/>
      <c r="BC6" s="409"/>
      <c r="BD6" s="409"/>
      <c r="BE6" s="409"/>
      <c r="BF6" s="409"/>
      <c r="BG6" s="409"/>
      <c r="BH6" s="409"/>
      <c r="BI6" s="409"/>
      <c r="BJ6" s="409"/>
      <c r="BK6" s="409"/>
      <c r="BL6" s="409"/>
      <c r="BM6" s="409"/>
      <c r="BN6" s="409"/>
      <c r="BO6" s="409">
        <v>64.311999999999998</v>
      </c>
      <c r="BP6" s="409"/>
      <c r="BQ6" s="1276">
        <f>BO6/BO14</f>
        <v>4.4698297611485104E-2</v>
      </c>
      <c r="BR6" s="409"/>
      <c r="BS6" s="409"/>
      <c r="BT6" s="1201">
        <v>41.064</v>
      </c>
      <c r="BU6" s="409"/>
      <c r="BV6" s="1276"/>
      <c r="BW6" s="409"/>
      <c r="BX6" s="409"/>
      <c r="BY6" s="409"/>
      <c r="BZ6" s="409"/>
      <c r="CA6" s="409"/>
      <c r="CB6" s="409"/>
      <c r="CC6" s="409"/>
      <c r="CD6" s="409"/>
      <c r="CE6" s="409"/>
      <c r="CF6" s="409"/>
      <c r="CG6" s="409"/>
      <c r="CH6" s="409"/>
      <c r="CI6" s="409"/>
      <c r="CJ6" s="409"/>
      <c r="CK6" s="409"/>
      <c r="CL6" s="409"/>
      <c r="CM6" s="409"/>
      <c r="CN6" s="409"/>
      <c r="CR6" s="924"/>
      <c r="CS6" s="873"/>
      <c r="CV6" s="873"/>
      <c r="CW6" s="1009"/>
      <c r="DB6"/>
      <c r="DC6"/>
      <c r="DD6"/>
      <c r="DE6"/>
      <c r="DF6"/>
      <c r="DG6"/>
      <c r="HQ6" s="878"/>
      <c r="HR6" s="878"/>
      <c r="HS6" s="878"/>
      <c r="HT6" s="878"/>
      <c r="HU6" s="878"/>
      <c r="HV6" s="878"/>
      <c r="HW6" s="878"/>
      <c r="HX6" s="878"/>
      <c r="HY6" s="878"/>
      <c r="HZ6" s="878"/>
      <c r="IA6" s="878"/>
      <c r="IB6" s="878"/>
      <c r="IC6" s="878"/>
      <c r="ID6" s="878"/>
      <c r="IE6" s="878"/>
      <c r="IF6" s="878"/>
      <c r="IG6" s="878"/>
      <c r="IH6" s="878"/>
      <c r="II6" s="878"/>
      <c r="IJ6" s="878"/>
      <c r="IK6" s="878"/>
      <c r="IL6" s="878"/>
      <c r="IM6" s="878"/>
      <c r="IN6" s="878"/>
      <c r="IO6" s="878"/>
      <c r="IP6" s="878"/>
      <c r="IQ6" s="878"/>
      <c r="IR6" s="878"/>
      <c r="IS6" s="878"/>
      <c r="IT6" s="878"/>
      <c r="IU6" s="878"/>
      <c r="IV6" s="878"/>
    </row>
    <row r="7" spans="1:256" s="66" customFormat="1" ht="11.25" customHeight="1">
      <c r="A7" s="588" t="s">
        <v>106</v>
      </c>
      <c r="B7" s="31" t="s">
        <v>242</v>
      </c>
      <c r="C7" s="1" t="s">
        <v>4</v>
      </c>
      <c r="D7" s="1" t="s">
        <v>5</v>
      </c>
      <c r="E7" s="1" t="s">
        <v>6</v>
      </c>
      <c r="F7" s="1" t="s">
        <v>7</v>
      </c>
      <c r="G7" s="31" t="s">
        <v>8</v>
      </c>
      <c r="H7" s="1" t="s">
        <v>525</v>
      </c>
      <c r="I7" s="1" t="s">
        <v>511</v>
      </c>
      <c r="J7" s="1" t="s">
        <v>74</v>
      </c>
      <c r="K7" s="1" t="s">
        <v>75</v>
      </c>
      <c r="L7" s="31" t="s">
        <v>76</v>
      </c>
      <c r="M7" s="1" t="s">
        <v>99</v>
      </c>
      <c r="N7" s="1" t="s">
        <v>36</v>
      </c>
      <c r="O7" s="63" t="s">
        <v>244</v>
      </c>
      <c r="P7" s="1" t="s">
        <v>79</v>
      </c>
      <c r="Q7" s="31" t="s">
        <v>80</v>
      </c>
      <c r="R7" s="1" t="s">
        <v>83</v>
      </c>
      <c r="S7" s="1" t="s">
        <v>73</v>
      </c>
      <c r="T7" s="1" t="s">
        <v>59</v>
      </c>
      <c r="U7" s="1" t="s">
        <v>527</v>
      </c>
      <c r="V7" s="31" t="s">
        <v>287</v>
      </c>
      <c r="W7" s="1" t="s">
        <v>533</v>
      </c>
      <c r="X7" s="1" t="s">
        <v>408</v>
      </c>
      <c r="Y7" s="1" t="s">
        <v>77</v>
      </c>
      <c r="Z7" s="1" t="s">
        <v>437</v>
      </c>
      <c r="AA7" s="536" t="s">
        <v>307</v>
      </c>
      <c r="AB7" s="535" t="s">
        <v>497</v>
      </c>
      <c r="AC7" s="535" t="s">
        <v>498</v>
      </c>
      <c r="AD7" s="535" t="s">
        <v>321</v>
      </c>
      <c r="AE7" s="536" t="s">
        <v>142</v>
      </c>
      <c r="AF7" s="536" t="s">
        <v>50</v>
      </c>
      <c r="AG7" s="535" t="s">
        <v>516</v>
      </c>
      <c r="AH7" s="535" t="s">
        <v>405</v>
      </c>
      <c r="AI7" s="535" t="s">
        <v>306</v>
      </c>
      <c r="AJ7" s="536" t="s">
        <v>285</v>
      </c>
      <c r="AK7" s="539" t="s">
        <v>281</v>
      </c>
      <c r="AL7" s="535" t="s">
        <v>462</v>
      </c>
      <c r="AM7" s="535" t="s">
        <v>429</v>
      </c>
      <c r="AN7" s="535" t="s">
        <v>125</v>
      </c>
      <c r="AO7" s="536" t="s">
        <v>373</v>
      </c>
      <c r="AP7" s="653" t="s">
        <v>374</v>
      </c>
      <c r="AQ7" s="535" t="s">
        <v>427</v>
      </c>
      <c r="AR7" s="535" t="s">
        <v>366</v>
      </c>
      <c r="AS7" s="535" t="s">
        <v>367</v>
      </c>
      <c r="AT7" s="536" t="s">
        <v>490</v>
      </c>
      <c r="AU7" s="653" t="s">
        <v>491</v>
      </c>
      <c r="AV7" s="970" t="s">
        <v>100</v>
      </c>
      <c r="AW7" s="535" t="s">
        <v>411</v>
      </c>
      <c r="AX7" s="535" t="s">
        <v>369</v>
      </c>
      <c r="AY7" s="536" t="s">
        <v>514</v>
      </c>
      <c r="AZ7" s="653" t="s">
        <v>515</v>
      </c>
      <c r="BA7" s="1075" t="s">
        <v>86</v>
      </c>
      <c r="BB7" s="535" t="s">
        <v>493</v>
      </c>
      <c r="BC7" s="535" t="s">
        <v>448</v>
      </c>
      <c r="BD7" s="536" t="s">
        <v>191</v>
      </c>
      <c r="BE7" s="653" t="s">
        <v>192</v>
      </c>
      <c r="BF7" s="535" t="s">
        <v>286</v>
      </c>
      <c r="BG7" s="535" t="s">
        <v>57</v>
      </c>
      <c r="BH7" s="535" t="s">
        <v>535</v>
      </c>
      <c r="BI7" s="536" t="s">
        <v>537</v>
      </c>
      <c r="BJ7" s="653" t="s">
        <v>538</v>
      </c>
      <c r="BK7" s="535" t="s">
        <v>541</v>
      </c>
      <c r="BL7" s="535" t="s">
        <v>565</v>
      </c>
      <c r="BM7" s="535" t="s">
        <v>587</v>
      </c>
      <c r="BN7" s="536" t="s">
        <v>593</v>
      </c>
      <c r="BO7" s="653" t="s">
        <v>594</v>
      </c>
      <c r="BP7" s="535" t="s">
        <v>598</v>
      </c>
      <c r="BQ7" s="535" t="s">
        <v>611</v>
      </c>
      <c r="BR7" s="535" t="s">
        <v>613</v>
      </c>
      <c r="BS7" s="536" t="s">
        <v>617</v>
      </c>
      <c r="BT7" s="653" t="s">
        <v>621</v>
      </c>
      <c r="BU7" s="535" t="s">
        <v>626</v>
      </c>
      <c r="BV7" s="535" t="s">
        <v>632</v>
      </c>
      <c r="BW7" s="535" t="s">
        <v>636</v>
      </c>
      <c r="BX7" s="536" t="s">
        <v>642</v>
      </c>
      <c r="BY7" s="653" t="s">
        <v>643</v>
      </c>
      <c r="BZ7" s="537" t="s">
        <v>377</v>
      </c>
      <c r="CA7" s="537" t="s">
        <v>378</v>
      </c>
      <c r="CB7" s="537" t="s">
        <v>379</v>
      </c>
      <c r="CC7" s="538" t="s">
        <v>380</v>
      </c>
      <c r="CD7" s="653" t="s">
        <v>220</v>
      </c>
      <c r="CE7" s="537" t="s">
        <v>381</v>
      </c>
      <c r="CF7" s="537" t="s">
        <v>382</v>
      </c>
      <c r="CG7" s="537" t="s">
        <v>383</v>
      </c>
      <c r="CH7" s="538" t="s">
        <v>386</v>
      </c>
      <c r="CI7" s="653" t="s">
        <v>385</v>
      </c>
      <c r="CJ7" s="537" t="s">
        <v>387</v>
      </c>
      <c r="CK7" s="537" t="s">
        <v>388</v>
      </c>
      <c r="CL7" s="537" t="s">
        <v>389</v>
      </c>
      <c r="CM7" s="538" t="s">
        <v>384</v>
      </c>
      <c r="CN7" s="653" t="s">
        <v>390</v>
      </c>
      <c r="CO7" s="45"/>
      <c r="CR7" s="773" t="s">
        <v>106</v>
      </c>
      <c r="CS7" s="676" t="str">
        <f>BX7</f>
        <v>4Q17A</v>
      </c>
      <c r="CT7" s="969" t="s">
        <v>376</v>
      </c>
      <c r="CU7" s="647" t="s">
        <v>10</v>
      </c>
      <c r="CV7" s="676" t="str">
        <f>BS7</f>
        <v>4Q16A</v>
      </c>
      <c r="CW7" s="647" t="s">
        <v>512</v>
      </c>
      <c r="DB7"/>
      <c r="DC7"/>
      <c r="DD7"/>
      <c r="DE7"/>
      <c r="DF7"/>
      <c r="DG7"/>
      <c r="HQ7" s="6"/>
      <c r="HR7" s="6"/>
      <c r="HS7" s="6"/>
      <c r="HT7" s="6"/>
      <c r="HU7" s="6"/>
      <c r="HV7" s="6"/>
      <c r="HW7" s="6"/>
      <c r="HX7" s="6"/>
      <c r="HY7" s="6"/>
      <c r="HZ7" s="6"/>
      <c r="IA7" s="6"/>
      <c r="IB7" s="6"/>
      <c r="IC7" s="6"/>
      <c r="ID7" s="6"/>
      <c r="IE7" s="6"/>
      <c r="IF7" s="6"/>
      <c r="IG7" s="6"/>
      <c r="IH7" s="6"/>
      <c r="II7" s="6"/>
      <c r="IJ7" s="6"/>
      <c r="IK7" s="6"/>
      <c r="IL7" s="6"/>
      <c r="IM7" s="6"/>
      <c r="IN7" s="6"/>
      <c r="IO7" s="6"/>
      <c r="IP7" s="6"/>
      <c r="IQ7" s="6"/>
      <c r="IR7" s="6"/>
      <c r="IS7" s="6"/>
      <c r="IT7" s="6"/>
      <c r="IU7" s="6"/>
      <c r="IV7" s="6"/>
    </row>
    <row r="8" spans="1:256" s="66" customFormat="1" ht="11.25" customHeight="1">
      <c r="A8" s="790" t="s">
        <v>222</v>
      </c>
      <c r="B8" s="791"/>
      <c r="C8" s="792"/>
      <c r="D8" s="793"/>
      <c r="E8" s="794"/>
      <c r="F8" s="793"/>
      <c r="G8" s="791"/>
      <c r="H8" s="792"/>
      <c r="I8" s="793"/>
      <c r="J8" s="793"/>
      <c r="K8" s="795"/>
      <c r="L8" s="796"/>
      <c r="M8" s="792"/>
      <c r="N8" s="793"/>
      <c r="O8" s="797"/>
      <c r="P8" s="793"/>
      <c r="Q8" s="791"/>
      <c r="R8" s="793"/>
      <c r="S8" s="793"/>
      <c r="T8" s="793"/>
      <c r="U8" s="795"/>
      <c r="V8" s="798"/>
      <c r="W8" s="793"/>
      <c r="X8" s="793"/>
      <c r="Y8" s="793"/>
      <c r="Z8" s="793"/>
      <c r="AA8" s="799"/>
      <c r="AB8" s="800">
        <v>13</v>
      </c>
      <c r="AC8" s="800">
        <v>13</v>
      </c>
      <c r="AD8" s="800">
        <v>13</v>
      </c>
      <c r="AE8" s="800">
        <v>13</v>
      </c>
      <c r="AF8" s="802">
        <f>SUM(AB8:AE8)</f>
        <v>52</v>
      </c>
      <c r="AG8" s="800">
        <v>13</v>
      </c>
      <c r="AH8" s="800">
        <v>13</v>
      </c>
      <c r="AI8" s="800">
        <v>13</v>
      </c>
      <c r="AJ8" s="800">
        <v>14</v>
      </c>
      <c r="AK8" s="802">
        <f>SUM(AG8:AJ8)</f>
        <v>53</v>
      </c>
      <c r="AL8" s="800">
        <v>13</v>
      </c>
      <c r="AM8" s="800">
        <v>13</v>
      </c>
      <c r="AN8" s="800">
        <v>13</v>
      </c>
      <c r="AO8" s="800">
        <v>13</v>
      </c>
      <c r="AP8" s="802">
        <f>SUM(AL8:AO8)</f>
        <v>52</v>
      </c>
      <c r="AQ8" s="800">
        <v>13</v>
      </c>
      <c r="AR8" s="800">
        <v>13</v>
      </c>
      <c r="AS8" s="800">
        <v>13</v>
      </c>
      <c r="AT8" s="800">
        <v>13</v>
      </c>
      <c r="AU8" s="802">
        <f>SUM(AQ8:AT8)</f>
        <v>52</v>
      </c>
      <c r="AV8" s="800">
        <v>13</v>
      </c>
      <c r="AW8" s="800">
        <v>13</v>
      </c>
      <c r="AX8" s="800">
        <v>13</v>
      </c>
      <c r="AY8" s="800">
        <v>13</v>
      </c>
      <c r="AZ8" s="802">
        <f>SUM(AV8:AY8)</f>
        <v>52</v>
      </c>
      <c r="BA8" s="800">
        <v>13</v>
      </c>
      <c r="BB8" s="800">
        <v>13</v>
      </c>
      <c r="BC8" s="800">
        <v>13</v>
      </c>
      <c r="BD8" s="800">
        <v>13</v>
      </c>
      <c r="BE8" s="802">
        <f>SUM(BA8:BD8)</f>
        <v>52</v>
      </c>
      <c r="BF8" s="800">
        <v>13</v>
      </c>
      <c r="BG8" s="800">
        <v>13</v>
      </c>
      <c r="BH8" s="800">
        <v>13</v>
      </c>
      <c r="BI8" s="800">
        <v>13</v>
      </c>
      <c r="BJ8" s="802">
        <f>SUM(BF8:BI8)</f>
        <v>52</v>
      </c>
      <c r="BK8" s="800">
        <v>13</v>
      </c>
      <c r="BL8" s="800">
        <v>13</v>
      </c>
      <c r="BM8" s="800">
        <v>13</v>
      </c>
      <c r="BN8" s="1215">
        <v>14</v>
      </c>
      <c r="BO8" s="802">
        <f>SUM(BK8:BN8)</f>
        <v>53</v>
      </c>
      <c r="BP8" s="800">
        <v>13</v>
      </c>
      <c r="BQ8" s="800">
        <v>13</v>
      </c>
      <c r="BR8" s="800">
        <v>13</v>
      </c>
      <c r="BS8" s="800">
        <v>13</v>
      </c>
      <c r="BT8" s="802">
        <f>SUM(BP8:BS8)</f>
        <v>52</v>
      </c>
      <c r="BU8" s="800">
        <v>13</v>
      </c>
      <c r="BV8" s="800">
        <v>13</v>
      </c>
      <c r="BW8" s="800">
        <v>13</v>
      </c>
      <c r="BX8" s="800">
        <v>13</v>
      </c>
      <c r="BY8" s="802">
        <f>SUM(BU8:BX8)</f>
        <v>52</v>
      </c>
      <c r="BZ8" s="801">
        <v>13</v>
      </c>
      <c r="CA8" s="801">
        <v>13</v>
      </c>
      <c r="CB8" s="801">
        <v>13</v>
      </c>
      <c r="CC8" s="801">
        <v>13</v>
      </c>
      <c r="CD8" s="802">
        <f>SUM(BZ8:CC8)</f>
        <v>52</v>
      </c>
      <c r="CE8" s="801">
        <v>13</v>
      </c>
      <c r="CF8" s="801">
        <v>13</v>
      </c>
      <c r="CG8" s="801">
        <v>13</v>
      </c>
      <c r="CH8" s="801">
        <v>13</v>
      </c>
      <c r="CI8" s="802">
        <f>SUM(CE8:CH8)</f>
        <v>52</v>
      </c>
      <c r="CJ8" s="801">
        <v>13</v>
      </c>
      <c r="CK8" s="801">
        <v>13</v>
      </c>
      <c r="CL8" s="801">
        <v>13</v>
      </c>
      <c r="CM8" s="801">
        <v>13</v>
      </c>
      <c r="CN8" s="802">
        <f>SUM(CJ8:CM8)</f>
        <v>52</v>
      </c>
      <c r="CO8" s="45"/>
      <c r="CR8" s="151" t="s">
        <v>222</v>
      </c>
      <c r="CS8" s="800">
        <f>BX8</f>
        <v>13</v>
      </c>
      <c r="CT8" s="800">
        <v>13</v>
      </c>
      <c r="CU8" s="506"/>
      <c r="CV8" s="800">
        <f>BS8</f>
        <v>13</v>
      </c>
      <c r="CW8" s="506"/>
      <c r="DB8"/>
      <c r="DC8"/>
      <c r="DD8"/>
      <c r="DE8"/>
      <c r="DF8"/>
      <c r="DG8"/>
      <c r="HQ8" s="6"/>
      <c r="HR8" s="6"/>
      <c r="HS8" s="6"/>
      <c r="HT8" s="6"/>
      <c r="HU8" s="6"/>
      <c r="HV8" s="6"/>
      <c r="HW8" s="6"/>
      <c r="HX8" s="6"/>
      <c r="HY8" s="6"/>
      <c r="HZ8" s="6"/>
      <c r="IA8" s="6"/>
      <c r="IB8" s="6"/>
      <c r="IC8" s="6"/>
      <c r="ID8" s="6"/>
      <c r="IE8" s="6"/>
      <c r="IF8" s="6"/>
      <c r="IG8" s="6"/>
      <c r="IH8" s="6"/>
      <c r="II8" s="6"/>
      <c r="IJ8" s="6"/>
      <c r="IK8" s="6"/>
      <c r="IL8" s="6"/>
      <c r="IM8" s="6"/>
      <c r="IN8" s="6"/>
      <c r="IO8" s="6"/>
      <c r="IP8" s="6"/>
      <c r="IQ8" s="6"/>
      <c r="IR8" s="6"/>
      <c r="IS8" s="6"/>
      <c r="IT8" s="6"/>
      <c r="IU8" s="6"/>
      <c r="IV8" s="6"/>
    </row>
    <row r="9" spans="1:256" s="66" customFormat="1" ht="11.25" customHeight="1">
      <c r="A9" s="575" t="s">
        <v>638</v>
      </c>
      <c r="B9" s="407"/>
      <c r="C9" s="1217"/>
      <c r="D9" s="409"/>
      <c r="E9" s="1303"/>
      <c r="F9" s="409"/>
      <c r="G9" s="407"/>
      <c r="H9" s="1217"/>
      <c r="I9" s="409"/>
      <c r="J9" s="409"/>
      <c r="K9" s="1218"/>
      <c r="L9" s="1304"/>
      <c r="M9" s="1217"/>
      <c r="N9" s="409"/>
      <c r="O9" s="1305"/>
      <c r="P9" s="409"/>
      <c r="Q9" s="407"/>
      <c r="R9" s="409"/>
      <c r="S9" s="409"/>
      <c r="T9" s="409"/>
      <c r="U9" s="1218"/>
      <c r="V9" s="1306"/>
      <c r="W9" s="409"/>
      <c r="X9" s="409"/>
      <c r="Y9" s="409"/>
      <c r="Z9" s="409"/>
      <c r="AA9" s="1307"/>
      <c r="AB9" s="1308"/>
      <c r="AC9" s="1308"/>
      <c r="AD9" s="1308"/>
      <c r="AE9" s="1308"/>
      <c r="AF9" s="1309"/>
      <c r="AG9" s="1308"/>
      <c r="AH9" s="1308"/>
      <c r="AI9" s="1308"/>
      <c r="AJ9" s="1308"/>
      <c r="AK9" s="1310"/>
      <c r="AL9" s="1308"/>
      <c r="AM9" s="1308"/>
      <c r="AN9" s="1308"/>
      <c r="AO9" s="1308"/>
      <c r="AP9" s="1310"/>
      <c r="AQ9" s="1308"/>
      <c r="AR9" s="1308"/>
      <c r="AS9" s="1308"/>
      <c r="AT9" s="1308"/>
      <c r="AU9" s="1310"/>
      <c r="AV9" s="1308"/>
      <c r="AW9" s="1308"/>
      <c r="AX9" s="1308"/>
      <c r="AY9" s="1308"/>
      <c r="AZ9" s="1310"/>
      <c r="BA9" s="1308"/>
      <c r="BB9" s="1308"/>
      <c r="BC9" s="1308"/>
      <c r="BD9" s="1308"/>
      <c r="BE9" s="1310"/>
      <c r="BF9" s="1308"/>
      <c r="BG9" s="1308"/>
      <c r="BH9" s="1308"/>
      <c r="BI9" s="1308"/>
      <c r="BJ9" s="1310"/>
      <c r="BK9" s="1308"/>
      <c r="BL9" s="1308"/>
      <c r="BM9" s="1308"/>
      <c r="BN9" s="1311"/>
      <c r="BO9" s="1312"/>
      <c r="BP9" s="1313">
        <v>2374.9319999999998</v>
      </c>
      <c r="BQ9" s="1313">
        <v>2530.0350000000003</v>
      </c>
      <c r="BR9" s="1313">
        <v>2533.6999999999998</v>
      </c>
      <c r="BS9" s="1313">
        <v>2603</v>
      </c>
      <c r="BT9" s="1312">
        <v>9930</v>
      </c>
      <c r="BU9" s="1313">
        <v>2449.9119999999998</v>
      </c>
      <c r="BV9" s="1313">
        <v>2639.9590000000003</v>
      </c>
      <c r="BW9" s="1313">
        <v>2625.4</v>
      </c>
      <c r="BX9" s="1313">
        <v>2568</v>
      </c>
      <c r="BY9" s="1312">
        <v>10283.271000000001</v>
      </c>
      <c r="BZ9" s="1313">
        <v>2490.067787080467</v>
      </c>
      <c r="CA9" s="1313">
        <v>2678.2543369420409</v>
      </c>
      <c r="CB9" s="1313">
        <v>2704.6431929299847</v>
      </c>
      <c r="CC9" s="1313">
        <v>2681.6487633960237</v>
      </c>
      <c r="CD9" s="1312">
        <v>10554.614080348518</v>
      </c>
      <c r="CE9" s="1313">
        <v>2624.9574175832395</v>
      </c>
      <c r="CF9" s="1313">
        <v>2800.2160540650434</v>
      </c>
      <c r="CG9" s="1313">
        <v>2831.0094300451838</v>
      </c>
      <c r="CH9" s="1313">
        <v>2812.7109062406494</v>
      </c>
      <c r="CI9" s="1312">
        <v>11068.893807934115</v>
      </c>
      <c r="CJ9" s="1313">
        <v>2784.5864401887575</v>
      </c>
      <c r="CK9" s="1313">
        <v>2947.8925341005424</v>
      </c>
      <c r="CL9" s="1313">
        <v>2987.4983147099401</v>
      </c>
      <c r="CM9" s="1313">
        <v>2976.9876163766494</v>
      </c>
      <c r="CN9" s="1312">
        <v>11696.964905375889</v>
      </c>
      <c r="CO9" s="45"/>
      <c r="CR9" s="232"/>
      <c r="CS9" s="1308"/>
      <c r="CT9" s="1308"/>
      <c r="CU9" s="236"/>
      <c r="CV9" s="1308"/>
      <c r="CW9" s="236"/>
      <c r="DB9"/>
      <c r="DC9"/>
      <c r="DD9"/>
      <c r="DE9"/>
      <c r="DF9"/>
      <c r="DG9"/>
      <c r="HQ9" s="6"/>
      <c r="HR9" s="6"/>
      <c r="HS9" s="6"/>
      <c r="HT9" s="6"/>
      <c r="HU9" s="6"/>
      <c r="HV9" s="6"/>
      <c r="HW9" s="6"/>
      <c r="HX9" s="6"/>
      <c r="HY9" s="6"/>
      <c r="HZ9" s="6"/>
      <c r="IA9" s="6"/>
      <c r="IB9" s="6"/>
      <c r="IC9" s="6"/>
      <c r="ID9" s="6"/>
      <c r="IE9" s="6"/>
      <c r="IF9" s="6"/>
      <c r="IG9" s="6"/>
      <c r="IH9" s="6"/>
      <c r="II9" s="6"/>
      <c r="IJ9" s="6"/>
      <c r="IK9" s="6"/>
      <c r="IL9" s="6"/>
      <c r="IM9" s="6"/>
      <c r="IN9" s="6"/>
      <c r="IO9" s="6"/>
      <c r="IP9" s="6"/>
      <c r="IQ9" s="6"/>
      <c r="IR9" s="6"/>
      <c r="IS9" s="6"/>
      <c r="IT9" s="6"/>
      <c r="IU9" s="6"/>
      <c r="IV9" s="6"/>
    </row>
    <row r="10" spans="1:256" s="66" customFormat="1" ht="6" customHeight="1">
      <c r="A10" s="575"/>
      <c r="B10" s="407"/>
      <c r="C10" s="1217"/>
      <c r="D10" s="409"/>
      <c r="E10" s="1303"/>
      <c r="F10" s="409"/>
      <c r="G10" s="407"/>
      <c r="H10" s="1217"/>
      <c r="I10" s="409"/>
      <c r="J10" s="409"/>
      <c r="K10" s="1218"/>
      <c r="L10" s="1304"/>
      <c r="M10" s="1217"/>
      <c r="N10" s="409"/>
      <c r="O10" s="1305"/>
      <c r="P10" s="409"/>
      <c r="Q10" s="407"/>
      <c r="R10" s="409"/>
      <c r="S10" s="409"/>
      <c r="T10" s="409"/>
      <c r="U10" s="1218"/>
      <c r="V10" s="1306"/>
      <c r="W10" s="409"/>
      <c r="X10" s="409"/>
      <c r="Y10" s="409"/>
      <c r="Z10" s="409"/>
      <c r="AA10" s="1307"/>
      <c r="AB10" s="1308"/>
      <c r="AC10" s="1308"/>
      <c r="AD10" s="1308"/>
      <c r="AE10" s="1308"/>
      <c r="AF10" s="1309"/>
      <c r="AG10" s="1308"/>
      <c r="AH10" s="1308"/>
      <c r="AI10" s="1308"/>
      <c r="AJ10" s="1308"/>
      <c r="AK10" s="1310"/>
      <c r="AL10" s="1308"/>
      <c r="AM10" s="1308"/>
      <c r="AN10" s="1308"/>
      <c r="AO10" s="1308"/>
      <c r="AP10" s="1310"/>
      <c r="AQ10" s="1308"/>
      <c r="AR10" s="1308"/>
      <c r="AS10" s="1308"/>
      <c r="AT10" s="1308"/>
      <c r="AU10" s="1310"/>
      <c r="AV10" s="1308"/>
      <c r="AW10" s="1308"/>
      <c r="AX10" s="1308"/>
      <c r="AY10" s="1308"/>
      <c r="AZ10" s="1310"/>
      <c r="BA10" s="1308"/>
      <c r="BB10" s="1308"/>
      <c r="BC10" s="1308"/>
      <c r="BD10" s="1308"/>
      <c r="BE10" s="1310"/>
      <c r="BF10" s="1308"/>
      <c r="BG10" s="1308"/>
      <c r="BH10" s="1308"/>
      <c r="BI10" s="1308"/>
      <c r="BJ10" s="1310"/>
      <c r="BK10" s="1308"/>
      <c r="BL10" s="1308"/>
      <c r="BM10" s="1308"/>
      <c r="BN10" s="1311"/>
      <c r="BO10" s="1312"/>
      <c r="BP10" s="1313"/>
      <c r="BQ10" s="1313"/>
      <c r="BR10" s="1313"/>
      <c r="BS10" s="1313"/>
      <c r="BT10" s="1312"/>
      <c r="BU10" s="1313"/>
      <c r="BV10" s="1313"/>
      <c r="BW10" s="1313"/>
      <c r="BX10" s="1313"/>
      <c r="BY10" s="1312"/>
      <c r="BZ10" s="1313"/>
      <c r="CA10" s="1313"/>
      <c r="CB10" s="1313"/>
      <c r="CC10" s="1313"/>
      <c r="CD10" s="1312"/>
      <c r="CE10" s="1313"/>
      <c r="CF10" s="1313"/>
      <c r="CG10" s="1313"/>
      <c r="CH10" s="1313"/>
      <c r="CI10" s="1312"/>
      <c r="CJ10" s="1313"/>
      <c r="CK10" s="1313"/>
      <c r="CL10" s="1313"/>
      <c r="CM10" s="1313"/>
      <c r="CN10" s="1312"/>
      <c r="CO10" s="45"/>
      <c r="CR10" s="232"/>
      <c r="CS10" s="1308"/>
      <c r="CT10" s="1308"/>
      <c r="CU10" s="236"/>
      <c r="CV10" s="1308"/>
      <c r="CW10" s="236"/>
      <c r="DB10"/>
      <c r="DC10"/>
      <c r="DD10"/>
      <c r="DE10"/>
      <c r="DF10"/>
      <c r="DG10"/>
      <c r="HQ10" s="6"/>
      <c r="HR10" s="6"/>
      <c r="HS10" s="6"/>
      <c r="HT10" s="6"/>
      <c r="HU10" s="6"/>
      <c r="HV10" s="6"/>
      <c r="HW10" s="6"/>
      <c r="HX10" s="6"/>
      <c r="HY10" s="6"/>
      <c r="HZ10" s="6"/>
      <c r="IA10" s="6"/>
      <c r="IB10" s="6"/>
      <c r="IC10" s="6"/>
      <c r="ID10" s="6"/>
      <c r="IE10" s="6"/>
      <c r="IF10" s="6"/>
      <c r="IG10" s="6"/>
      <c r="IH10" s="6"/>
      <c r="II10" s="6"/>
      <c r="IJ10" s="6"/>
      <c r="IK10" s="6"/>
      <c r="IL10" s="6"/>
      <c r="IM10" s="6"/>
      <c r="IN10" s="6"/>
      <c r="IO10" s="6"/>
      <c r="IP10" s="6"/>
      <c r="IQ10" s="6"/>
      <c r="IR10" s="6"/>
      <c r="IS10" s="6"/>
      <c r="IT10" s="6"/>
      <c r="IU10" s="6"/>
      <c r="IV10" s="6"/>
    </row>
    <row r="11" spans="1:256" s="66" customFormat="1" ht="11.25" customHeight="1">
      <c r="A11" s="578" t="s">
        <v>12</v>
      </c>
      <c r="B11" s="89"/>
      <c r="C11" s="87"/>
      <c r="D11" s="88"/>
      <c r="E11" s="88"/>
      <c r="F11" s="91"/>
      <c r="G11" s="89"/>
      <c r="H11" s="87"/>
      <c r="I11" s="88"/>
      <c r="J11" s="88"/>
      <c r="K11" s="91"/>
      <c r="L11" s="44"/>
      <c r="M11" s="87"/>
      <c r="N11" s="88"/>
      <c r="O11" s="92"/>
      <c r="P11" s="97"/>
      <c r="Q11" s="89"/>
      <c r="R11" s="88"/>
      <c r="S11" s="88"/>
      <c r="T11" s="88"/>
      <c r="U11" s="97"/>
      <c r="V11" s="47"/>
      <c r="W11" s="88"/>
      <c r="X11" s="88"/>
      <c r="Y11" s="88"/>
      <c r="Z11" s="91"/>
      <c r="AA11" s="89"/>
      <c r="AB11" s="88"/>
      <c r="AC11" s="88"/>
      <c r="AD11" s="88"/>
      <c r="AE11" s="91"/>
      <c r="AF11" s="89"/>
      <c r="AG11" s="88"/>
      <c r="AH11" s="88"/>
      <c r="AI11" s="88"/>
      <c r="AJ11" s="91"/>
      <c r="AK11" s="540"/>
      <c r="AL11" s="88"/>
      <c r="AM11" s="88"/>
      <c r="AN11" s="88"/>
      <c r="AO11" s="91"/>
      <c r="AP11" s="540"/>
      <c r="AQ11" s="88"/>
      <c r="AR11" s="88"/>
      <c r="AS11" s="88"/>
      <c r="AT11" s="91"/>
      <c r="AU11" s="540"/>
      <c r="AV11" s="88"/>
      <c r="AW11" s="88"/>
      <c r="AX11" s="88"/>
      <c r="AY11" s="91"/>
      <c r="AZ11" s="540"/>
      <c r="BA11" s="88"/>
      <c r="BB11" s="93"/>
      <c r="BC11" s="88"/>
      <c r="BD11" s="91"/>
      <c r="BE11" s="540"/>
      <c r="BF11" s="88"/>
      <c r="BG11" s="88"/>
      <c r="BH11" s="88"/>
      <c r="BI11" s="91"/>
      <c r="BJ11" s="540"/>
      <c r="BK11" s="88"/>
      <c r="BL11" s="88"/>
      <c r="BM11" s="88"/>
      <c r="BN11" s="91"/>
      <c r="BO11" s="540"/>
      <c r="BP11" s="88"/>
      <c r="BQ11" s="88"/>
      <c r="BR11" s="88"/>
      <c r="BS11" s="91"/>
      <c r="BT11" s="540"/>
      <c r="BU11" s="88"/>
      <c r="BV11" s="88"/>
      <c r="BW11" s="88"/>
      <c r="BX11" s="91"/>
      <c r="BY11" s="541"/>
      <c r="BZ11" s="93"/>
      <c r="CA11" s="93"/>
      <c r="CB11" s="93"/>
      <c r="CC11" s="94"/>
      <c r="CD11" s="540"/>
      <c r="CE11" s="93"/>
      <c r="CF11" s="93"/>
      <c r="CG11" s="93"/>
      <c r="CH11" s="94"/>
      <c r="CI11" s="540"/>
      <c r="CJ11" s="93"/>
      <c r="CK11" s="93"/>
      <c r="CL11" s="93"/>
      <c r="CM11" s="94"/>
      <c r="CN11" s="540"/>
      <c r="CO11" s="45"/>
      <c r="CR11" s="578" t="s">
        <v>12</v>
      </c>
      <c r="CS11" s="88"/>
      <c r="CT11" s="93"/>
      <c r="CU11" s="121"/>
      <c r="CV11" s="88"/>
      <c r="CW11" s="121"/>
      <c r="DB11"/>
      <c r="DC11"/>
      <c r="DD11"/>
      <c r="DE11"/>
      <c r="DF11"/>
      <c r="DG11"/>
      <c r="HQ11" s="6"/>
      <c r="HR11" s="6"/>
      <c r="HS11" s="6"/>
      <c r="HT11" s="6"/>
      <c r="HU11" s="6"/>
      <c r="HV11" s="6"/>
      <c r="HW11" s="6"/>
      <c r="HX11" s="6"/>
      <c r="HY11" s="6"/>
      <c r="HZ11" s="6"/>
      <c r="IA11" s="6"/>
      <c r="IB11" s="6"/>
      <c r="IC11" s="6"/>
      <c r="ID11" s="6"/>
      <c r="IE11" s="6"/>
      <c r="IF11" s="6"/>
      <c r="IG11" s="6"/>
      <c r="IH11" s="6"/>
      <c r="II11" s="6"/>
      <c r="IJ11" s="6"/>
      <c r="IK11" s="6"/>
      <c r="IL11" s="6"/>
      <c r="IM11" s="6"/>
      <c r="IN11" s="6"/>
      <c r="IO11" s="6"/>
      <c r="IP11" s="6"/>
      <c r="IQ11" s="6"/>
      <c r="IR11" s="6"/>
      <c r="IS11" s="6"/>
      <c r="IT11" s="6"/>
      <c r="IU11" s="6"/>
      <c r="IV11" s="6"/>
    </row>
    <row r="12" spans="1:256" s="66" customFormat="1" ht="11.25" hidden="1" customHeight="1" outlineLevel="1">
      <c r="A12" s="859" t="s">
        <v>155</v>
      </c>
      <c r="B12" s="89"/>
      <c r="C12" s="87"/>
      <c r="D12" s="88"/>
      <c r="E12" s="88"/>
      <c r="F12" s="88"/>
      <c r="G12" s="89"/>
      <c r="H12" s="87"/>
      <c r="I12" s="88"/>
      <c r="J12" s="88"/>
      <c r="K12" s="91"/>
      <c r="L12" s="44"/>
      <c r="M12" s="87"/>
      <c r="N12" s="88"/>
      <c r="O12" s="92"/>
      <c r="P12" s="46"/>
      <c r="Q12" s="89"/>
      <c r="R12" s="88"/>
      <c r="S12" s="88"/>
      <c r="T12" s="88"/>
      <c r="U12" s="97"/>
      <c r="V12" s="47"/>
      <c r="W12" s="88"/>
      <c r="X12" s="88"/>
      <c r="Y12" s="88"/>
      <c r="Z12" s="88"/>
      <c r="AA12" s="89"/>
      <c r="AB12" s="88"/>
      <c r="AC12" s="88"/>
      <c r="AD12" s="88"/>
      <c r="AE12" s="88"/>
      <c r="AF12" s="89"/>
      <c r="AG12" s="88"/>
      <c r="AH12" s="88"/>
      <c r="AI12" s="88"/>
      <c r="AJ12" s="88"/>
      <c r="AK12" s="540"/>
      <c r="AL12" s="88"/>
      <c r="AM12" s="88"/>
      <c r="AN12" s="88"/>
      <c r="AO12" s="88"/>
      <c r="AP12" s="540"/>
      <c r="AQ12" s="88">
        <v>490.4</v>
      </c>
      <c r="AR12" s="88">
        <v>525.70000000000005</v>
      </c>
      <c r="AS12" s="88">
        <v>515.4</v>
      </c>
      <c r="AT12" s="88">
        <v>518.5999999999998</v>
      </c>
      <c r="AU12" s="541">
        <f>SUM(AQ12:AT12)</f>
        <v>2050.1</v>
      </c>
      <c r="AV12" s="88">
        <v>501.8</v>
      </c>
      <c r="AW12" s="88">
        <v>547.90800000000002</v>
      </c>
      <c r="AX12" s="88">
        <v>542.4</v>
      </c>
      <c r="AY12" s="88">
        <v>537.15099999999995</v>
      </c>
      <c r="AZ12" s="541">
        <f t="shared" ref="AZ12:AZ29" si="1">SUM(AV12:AY12)</f>
        <v>2129.259</v>
      </c>
      <c r="BA12" s="88">
        <v>515.70000000000005</v>
      </c>
      <c r="BB12" s="88">
        <v>554.79999999999995</v>
      </c>
      <c r="BC12" s="88">
        <v>541.29999999999995</v>
      </c>
      <c r="BD12" s="88">
        <f>BE12-SUM(BA12:BC12)</f>
        <v>491.10000000000014</v>
      </c>
      <c r="BE12" s="541">
        <v>2102.9</v>
      </c>
      <c r="BF12" s="88">
        <v>418</v>
      </c>
      <c r="BG12" s="88">
        <v>407.7</v>
      </c>
      <c r="BH12" s="88">
        <v>393.5</v>
      </c>
      <c r="BI12" s="88">
        <f>BJ12-SUM(BF12:BH12)</f>
        <v>389.29999999999995</v>
      </c>
      <c r="BJ12" s="541">
        <v>1608.5</v>
      </c>
      <c r="BK12" s="88">
        <v>357.56900000000002</v>
      </c>
      <c r="BL12" s="88">
        <f>BL14</f>
        <v>385.048</v>
      </c>
      <c r="BM12" s="88">
        <v>359.01499999999999</v>
      </c>
      <c r="BN12" s="88">
        <f>BN14</f>
        <v>337.17</v>
      </c>
      <c r="BO12" s="541">
        <f>SUM(BK12:BN12)</f>
        <v>1438.8020000000001</v>
      </c>
      <c r="BP12" s="88">
        <f>BP14</f>
        <v>259.33199999999999</v>
      </c>
      <c r="BQ12" s="88">
        <f>BQ14</f>
        <v>259.23500000000001</v>
      </c>
      <c r="BR12" s="88">
        <f>BR14</f>
        <v>228.64400000000001</v>
      </c>
      <c r="BS12" s="88">
        <f>BS14</f>
        <v>173.547</v>
      </c>
      <c r="BT12" s="541">
        <f>SUM(BP12:BS12)</f>
        <v>920.75800000000004</v>
      </c>
      <c r="BU12" s="88">
        <f>BU14</f>
        <v>148.21199999999999</v>
      </c>
      <c r="BV12" s="88">
        <f>BV14</f>
        <v>160.85900000000001</v>
      </c>
      <c r="BW12" s="88">
        <f>BW14</f>
        <v>158.84299999999999</v>
      </c>
      <c r="BX12" s="88">
        <f>BX14</f>
        <v>154.88800000000001</v>
      </c>
      <c r="BY12" s="541">
        <f>SUM(BU12:BX12)</f>
        <v>622.80200000000002</v>
      </c>
      <c r="BZ12" s="93">
        <v>159.97814931921329</v>
      </c>
      <c r="CA12" s="93">
        <v>173.14029306268881</v>
      </c>
      <c r="CB12" s="93">
        <v>174.61366984186745</v>
      </c>
      <c r="CC12" s="93">
        <v>167.66394823880597</v>
      </c>
      <c r="CD12" s="541">
        <f>SUM(BZ12:CC12)</f>
        <v>675.39606046257563</v>
      </c>
      <c r="CE12" s="93">
        <v>170.21675087564296</v>
      </c>
      <c r="CF12" s="93">
        <v>182.99164326767371</v>
      </c>
      <c r="CG12" s="93">
        <v>185.07506025301203</v>
      </c>
      <c r="CH12" s="93">
        <v>179.92483608358208</v>
      </c>
      <c r="CI12" s="541">
        <f>SUM(CE12:CH12)</f>
        <v>718.20829047991083</v>
      </c>
      <c r="CJ12" s="93">
        <v>183.16964836552191</v>
      </c>
      <c r="CK12" s="93">
        <v>195.56699921781268</v>
      </c>
      <c r="CL12" s="93">
        <v>198.31915994048194</v>
      </c>
      <c r="CM12" s="93">
        <v>195.16415948462685</v>
      </c>
      <c r="CN12" s="541">
        <f>SUM(CJ12:CM12)</f>
        <v>772.21996700844352</v>
      </c>
      <c r="CO12" s="45"/>
      <c r="CR12" s="859" t="s">
        <v>155</v>
      </c>
      <c r="CS12" s="88">
        <f t="shared" ref="CS12:CS17" si="2">BX12</f>
        <v>154.88800000000001</v>
      </c>
      <c r="CT12" s="93">
        <v>161.32420171070012</v>
      </c>
      <c r="CU12" s="121">
        <f>CS12-CT12</f>
        <v>-6.4362017107001179</v>
      </c>
      <c r="CV12" s="88">
        <f>BS12</f>
        <v>173.547</v>
      </c>
      <c r="CW12" s="153">
        <f>CS12/CV12-1</f>
        <v>-0.10751554333984448</v>
      </c>
      <c r="DB12"/>
      <c r="DC12"/>
      <c r="DD12"/>
      <c r="DE12"/>
      <c r="DF12"/>
      <c r="DG12"/>
      <c r="HQ12" s="6"/>
      <c r="HR12" s="6"/>
      <c r="HS12" s="6"/>
      <c r="HT12" s="6"/>
      <c r="HU12" s="6"/>
      <c r="HV12" s="6"/>
      <c r="HW12" s="6"/>
      <c r="HX12" s="6"/>
      <c r="HY12" s="6"/>
      <c r="HZ12" s="6"/>
      <c r="IA12" s="6"/>
      <c r="IB12" s="6"/>
      <c r="IC12" s="6"/>
      <c r="ID12" s="6"/>
      <c r="IE12" s="6"/>
      <c r="IF12" s="6"/>
      <c r="IG12" s="6"/>
      <c r="IH12" s="6"/>
      <c r="II12" s="6"/>
      <c r="IJ12" s="6"/>
      <c r="IK12" s="6"/>
      <c r="IL12" s="6"/>
      <c r="IM12" s="6"/>
      <c r="IN12" s="6"/>
      <c r="IO12" s="6"/>
      <c r="IP12" s="6"/>
      <c r="IQ12" s="6"/>
      <c r="IR12" s="6"/>
      <c r="IS12" s="6"/>
      <c r="IT12" s="6"/>
      <c r="IU12" s="6"/>
      <c r="IV12" s="6"/>
    </row>
    <row r="13" spans="1:256" s="66" customFormat="1" ht="11.25" hidden="1" customHeight="1" outlineLevel="1">
      <c r="A13" s="859" t="s">
        <v>156</v>
      </c>
      <c r="B13" s="89"/>
      <c r="C13" s="87"/>
      <c r="D13" s="88"/>
      <c r="E13" s="88"/>
      <c r="F13" s="88"/>
      <c r="G13" s="89"/>
      <c r="H13" s="87"/>
      <c r="I13" s="88"/>
      <c r="J13" s="88"/>
      <c r="K13" s="91"/>
      <c r="L13" s="44"/>
      <c r="M13" s="87"/>
      <c r="N13" s="88"/>
      <c r="O13" s="92"/>
      <c r="P13" s="46"/>
      <c r="Q13" s="89"/>
      <c r="R13" s="88"/>
      <c r="S13" s="88"/>
      <c r="T13" s="88"/>
      <c r="U13" s="97"/>
      <c r="V13" s="47"/>
      <c r="W13" s="88"/>
      <c r="X13" s="88"/>
      <c r="Y13" s="88"/>
      <c r="Z13" s="88"/>
      <c r="AA13" s="89"/>
      <c r="AB13" s="88"/>
      <c r="AC13" s="88"/>
      <c r="AD13" s="88"/>
      <c r="AE13" s="88"/>
      <c r="AF13" s="89"/>
      <c r="AG13" s="88"/>
      <c r="AH13" s="88"/>
      <c r="AI13" s="88"/>
      <c r="AJ13" s="88"/>
      <c r="AK13" s="540"/>
      <c r="AL13" s="88"/>
      <c r="AM13" s="88"/>
      <c r="AN13" s="88"/>
      <c r="AO13" s="88"/>
      <c r="AP13" s="540"/>
      <c r="AQ13" s="88">
        <v>18.899999999999999</v>
      </c>
      <c r="AR13" s="88">
        <v>18.600000000000001</v>
      </c>
      <c r="AS13" s="88">
        <v>19.100000000000001</v>
      </c>
      <c r="AT13" s="88">
        <v>19.899999999999999</v>
      </c>
      <c r="AU13" s="541">
        <f>SUM(AQ13:AT13)</f>
        <v>76.5</v>
      </c>
      <c r="AV13" s="88">
        <v>18.100000000000001</v>
      </c>
      <c r="AW13" s="88">
        <v>18.207999999999998</v>
      </c>
      <c r="AX13" s="88">
        <v>15.9</v>
      </c>
      <c r="AY13" s="88">
        <v>16.792000000000002</v>
      </c>
      <c r="AZ13" s="541">
        <f t="shared" si="1"/>
        <v>69</v>
      </c>
      <c r="BA13" s="88">
        <v>15</v>
      </c>
      <c r="BB13" s="88">
        <v>16.399999999999999</v>
      </c>
      <c r="BC13" s="88">
        <v>16.7</v>
      </c>
      <c r="BD13" s="88">
        <f>BE13-SUM(BA13:BC13)</f>
        <v>14.800000000000004</v>
      </c>
      <c r="BE13" s="541">
        <v>62.9</v>
      </c>
      <c r="BF13" s="88">
        <v>14.6</v>
      </c>
      <c r="BG13" s="88">
        <v>17.100000000000001</v>
      </c>
      <c r="BH13" s="88">
        <v>15.6</v>
      </c>
      <c r="BI13" s="88">
        <f>BJ13-SUM(BF13:BH13)</f>
        <v>14.499999999999993</v>
      </c>
      <c r="BJ13" s="541">
        <v>61.8</v>
      </c>
      <c r="BK13" s="88">
        <v>0</v>
      </c>
      <c r="BL13" s="88">
        <v>0</v>
      </c>
      <c r="BM13" s="88">
        <v>0</v>
      </c>
      <c r="BN13" s="88">
        <v>0</v>
      </c>
      <c r="BO13" s="541">
        <f>SUM(BK13:BN13)</f>
        <v>0</v>
      </c>
      <c r="BP13" s="88">
        <v>0</v>
      </c>
      <c r="BQ13" s="88">
        <v>0</v>
      </c>
      <c r="BR13" s="88">
        <v>0</v>
      </c>
      <c r="BS13" s="88">
        <v>0</v>
      </c>
      <c r="BT13" s="541">
        <f>SUM(BP13:BS13)</f>
        <v>0</v>
      </c>
      <c r="BU13" s="88">
        <v>0</v>
      </c>
      <c r="BV13" s="88">
        <v>0</v>
      </c>
      <c r="BW13" s="88">
        <v>0</v>
      </c>
      <c r="BX13" s="88">
        <v>0</v>
      </c>
      <c r="BY13" s="541">
        <f>SUM(BU13:BX13)</f>
        <v>0</v>
      </c>
      <c r="BZ13" s="93">
        <v>0</v>
      </c>
      <c r="CA13" s="93">
        <v>0</v>
      </c>
      <c r="CB13" s="93">
        <v>0</v>
      </c>
      <c r="CC13" s="93">
        <v>0</v>
      </c>
      <c r="CD13" s="541">
        <f>SUM(BZ13:CC13)</f>
        <v>0</v>
      </c>
      <c r="CE13" s="93">
        <v>0</v>
      </c>
      <c r="CF13" s="93">
        <v>0</v>
      </c>
      <c r="CG13" s="93">
        <v>0</v>
      </c>
      <c r="CH13" s="93">
        <v>0</v>
      </c>
      <c r="CI13" s="541">
        <f>SUM(CE13:CH13)</f>
        <v>0</v>
      </c>
      <c r="CJ13" s="93">
        <v>0</v>
      </c>
      <c r="CK13" s="93">
        <v>0</v>
      </c>
      <c r="CL13" s="93">
        <v>0</v>
      </c>
      <c r="CM13" s="93">
        <v>0</v>
      </c>
      <c r="CN13" s="541">
        <f>SUM(CJ13:CM13)</f>
        <v>0</v>
      </c>
      <c r="CO13" s="96"/>
      <c r="CR13" s="859" t="s">
        <v>156</v>
      </c>
      <c r="CS13" s="88">
        <f t="shared" si="2"/>
        <v>0</v>
      </c>
      <c r="CT13" s="93">
        <v>0</v>
      </c>
      <c r="CU13" s="121">
        <f>CS13-CT13</f>
        <v>0</v>
      </c>
      <c r="CV13" s="88">
        <f>BS13</f>
        <v>0</v>
      </c>
      <c r="CW13" s="153"/>
      <c r="DB13"/>
      <c r="DC13"/>
      <c r="DD13"/>
      <c r="DE13"/>
      <c r="DF13"/>
      <c r="DG13"/>
      <c r="HQ13" s="6"/>
      <c r="HR13" s="6"/>
      <c r="HS13" s="6"/>
      <c r="HT13" s="6"/>
      <c r="HU13" s="6"/>
      <c r="HV13" s="6"/>
      <c r="HW13" s="6"/>
      <c r="HX13" s="6"/>
      <c r="HY13" s="6"/>
      <c r="HZ13" s="6"/>
      <c r="IA13" s="6"/>
      <c r="IB13" s="6"/>
      <c r="IC13" s="6"/>
      <c r="ID13" s="6"/>
      <c r="IE13" s="6"/>
      <c r="IF13" s="6"/>
      <c r="IG13" s="6"/>
      <c r="IH13" s="6"/>
      <c r="II13" s="6"/>
      <c r="IJ13" s="6"/>
      <c r="IK13" s="6"/>
      <c r="IL13" s="6"/>
      <c r="IM13" s="6"/>
      <c r="IN13" s="6"/>
      <c r="IO13" s="6"/>
      <c r="IP13" s="6"/>
      <c r="IQ13" s="6"/>
      <c r="IR13" s="6"/>
      <c r="IS13" s="6"/>
      <c r="IT13" s="6"/>
      <c r="IU13" s="6"/>
      <c r="IV13" s="6"/>
    </row>
    <row r="14" spans="1:256" s="66" customFormat="1" ht="11.25" customHeight="1" collapsed="1">
      <c r="A14" s="577" t="s">
        <v>555</v>
      </c>
      <c r="B14" s="99"/>
      <c r="C14" s="87"/>
      <c r="D14" s="88"/>
      <c r="E14" s="88"/>
      <c r="F14" s="88"/>
      <c r="G14" s="99"/>
      <c r="H14" s="87"/>
      <c r="I14" s="88"/>
      <c r="J14" s="88"/>
      <c r="K14" s="91"/>
      <c r="L14" s="272"/>
      <c r="M14" s="87"/>
      <c r="N14" s="88"/>
      <c r="O14" s="92"/>
      <c r="P14" s="88"/>
      <c r="Q14" s="99">
        <f>SUM(M14:P14)</f>
        <v>0</v>
      </c>
      <c r="R14" s="88"/>
      <c r="S14" s="88"/>
      <c r="T14" s="88"/>
      <c r="U14" s="91"/>
      <c r="V14" s="143">
        <f>SUM(R14:U14)</f>
        <v>0</v>
      </c>
      <c r="W14" s="88"/>
      <c r="X14" s="88"/>
      <c r="Y14" s="88"/>
      <c r="Z14" s="88"/>
      <c r="AA14" s="99">
        <v>3273.4609999999998</v>
      </c>
      <c r="AB14" s="88">
        <v>794.596</v>
      </c>
      <c r="AC14" s="88">
        <v>847.42499999999995</v>
      </c>
      <c r="AD14" s="88">
        <v>835.75199999999995</v>
      </c>
      <c r="AE14" s="88">
        <v>801.73099999999999</v>
      </c>
      <c r="AF14" s="99">
        <v>3279.5030000000002</v>
      </c>
      <c r="AG14" s="88">
        <v>773.24300000000005</v>
      </c>
      <c r="AH14" s="88">
        <v>816.19500000000005</v>
      </c>
      <c r="AI14" s="88">
        <v>806.03800000000001</v>
      </c>
      <c r="AJ14" s="88">
        <v>802.87199999999996</v>
      </c>
      <c r="AK14" s="541">
        <f>SUM(AG14:AJ14)</f>
        <v>3198.348</v>
      </c>
      <c r="AL14" s="88">
        <v>748.197</v>
      </c>
      <c r="AM14" s="88">
        <v>782.68299999999999</v>
      </c>
      <c r="AN14" s="88">
        <v>765.98800000000006</v>
      </c>
      <c r="AO14" s="88">
        <v>748.44899999999996</v>
      </c>
      <c r="AP14" s="541">
        <f>SUM(AL14:AO14)</f>
        <v>3045.3170000000005</v>
      </c>
      <c r="AQ14" s="88">
        <v>509.286</v>
      </c>
      <c r="AR14" s="88">
        <f>AR13+AR12</f>
        <v>544.30000000000007</v>
      </c>
      <c r="AS14" s="88">
        <v>534.52499999999998</v>
      </c>
      <c r="AT14" s="88">
        <v>538.49599999999998</v>
      </c>
      <c r="AU14" s="541">
        <f>AU13+AU12</f>
        <v>2126.6</v>
      </c>
      <c r="AV14" s="88">
        <f>+AV12+AV13</f>
        <v>519.9</v>
      </c>
      <c r="AW14" s="88">
        <f>+AW12+AW13</f>
        <v>566.11599999999999</v>
      </c>
      <c r="AX14" s="88">
        <f>+AX12+AX13</f>
        <v>558.29999999999995</v>
      </c>
      <c r="AY14" s="88">
        <f>AY13+AY12</f>
        <v>553.94299999999998</v>
      </c>
      <c r="AZ14" s="541">
        <f t="shared" si="1"/>
        <v>2198.259</v>
      </c>
      <c r="BA14" s="88">
        <f>BA13+BA12</f>
        <v>530.70000000000005</v>
      </c>
      <c r="BB14" s="88">
        <f>BB13+BB12</f>
        <v>571.19999999999993</v>
      </c>
      <c r="BC14" s="88">
        <v>558.029</v>
      </c>
      <c r="BD14" s="88">
        <v>505.92899999999997</v>
      </c>
      <c r="BE14" s="541">
        <f>BE13+BE12</f>
        <v>2165.8000000000002</v>
      </c>
      <c r="BF14" s="88">
        <v>432.63</v>
      </c>
      <c r="BG14" s="88">
        <v>424.80399999999997</v>
      </c>
      <c r="BH14" s="88">
        <v>409.05900000000003</v>
      </c>
      <c r="BI14" s="88">
        <v>403.75400000000002</v>
      </c>
      <c r="BJ14" s="541">
        <f>BJ13+BJ12</f>
        <v>1670.3</v>
      </c>
      <c r="BK14" s="88">
        <f>BK12</f>
        <v>357.56900000000002</v>
      </c>
      <c r="BL14" s="88">
        <v>385.048</v>
      </c>
      <c r="BM14" s="88">
        <f>BM13+BM12</f>
        <v>359.01499999999999</v>
      </c>
      <c r="BN14" s="88">
        <v>337.17</v>
      </c>
      <c r="BO14" s="541">
        <f>BO13+BO12</f>
        <v>1438.8020000000001</v>
      </c>
      <c r="BP14" s="88">
        <v>259.33199999999999</v>
      </c>
      <c r="BQ14" s="88">
        <v>259.23500000000001</v>
      </c>
      <c r="BR14" s="88">
        <v>228.64400000000001</v>
      </c>
      <c r="BS14" s="88">
        <v>173.547</v>
      </c>
      <c r="BT14" s="541">
        <f>SUM(BP14:BS14)</f>
        <v>920.75800000000004</v>
      </c>
      <c r="BU14" s="88">
        <v>148.21199999999999</v>
      </c>
      <c r="BV14" s="88">
        <v>160.85900000000001</v>
      </c>
      <c r="BW14" s="88">
        <v>158.84299999999999</v>
      </c>
      <c r="BX14" s="88">
        <v>154.88800000000001</v>
      </c>
      <c r="BY14" s="541">
        <f t="shared" ref="BY14" si="3">BY13+BY12</f>
        <v>622.80200000000002</v>
      </c>
      <c r="BZ14" s="88">
        <f t="shared" ref="BZ14:CN14" si="4">BZ13+BZ12</f>
        <v>159.97814931921329</v>
      </c>
      <c r="CA14" s="88">
        <f t="shared" si="4"/>
        <v>173.14029306268881</v>
      </c>
      <c r="CB14" s="88">
        <f t="shared" si="4"/>
        <v>174.61366984186745</v>
      </c>
      <c r="CC14" s="88">
        <f t="shared" si="4"/>
        <v>167.66394823880597</v>
      </c>
      <c r="CD14" s="541">
        <f t="shared" si="4"/>
        <v>675.39606046257563</v>
      </c>
      <c r="CE14" s="88">
        <f t="shared" si="4"/>
        <v>170.21675087564296</v>
      </c>
      <c r="CF14" s="88">
        <f t="shared" si="4"/>
        <v>182.99164326767371</v>
      </c>
      <c r="CG14" s="88">
        <f t="shared" si="4"/>
        <v>185.07506025301203</v>
      </c>
      <c r="CH14" s="88">
        <f t="shared" si="4"/>
        <v>179.92483608358208</v>
      </c>
      <c r="CI14" s="541">
        <f t="shared" si="4"/>
        <v>718.20829047991083</v>
      </c>
      <c r="CJ14" s="88">
        <f t="shared" si="4"/>
        <v>183.16964836552191</v>
      </c>
      <c r="CK14" s="88">
        <f t="shared" si="4"/>
        <v>195.56699921781268</v>
      </c>
      <c r="CL14" s="88">
        <f t="shared" si="4"/>
        <v>198.31915994048194</v>
      </c>
      <c r="CM14" s="88">
        <f t="shared" si="4"/>
        <v>195.16415948462685</v>
      </c>
      <c r="CN14" s="541">
        <f t="shared" si="4"/>
        <v>772.21996700844352</v>
      </c>
      <c r="CO14" s="45"/>
      <c r="CR14" s="577" t="s">
        <v>555</v>
      </c>
      <c r="CS14" s="88">
        <f t="shared" si="2"/>
        <v>154.88800000000001</v>
      </c>
      <c r="CT14" s="93">
        <v>161.32420171070012</v>
      </c>
      <c r="CU14" s="121">
        <f>CS14-CT14</f>
        <v>-6.4362017107001179</v>
      </c>
      <c r="CV14" s="88">
        <f>BS14</f>
        <v>173.547</v>
      </c>
      <c r="CW14" s="153">
        <f>CS14/CV14-1</f>
        <v>-0.10751554333984448</v>
      </c>
      <c r="DB14"/>
      <c r="DC14"/>
      <c r="DD14"/>
      <c r="DE14"/>
      <c r="DF14"/>
      <c r="DG14"/>
      <c r="HQ14" s="6"/>
      <c r="HR14" s="6"/>
      <c r="HS14" s="6"/>
      <c r="HT14" s="6"/>
      <c r="HU14" s="6"/>
      <c r="HV14" s="6"/>
      <c r="HW14" s="6"/>
      <c r="HX14" s="6"/>
      <c r="HY14" s="6"/>
      <c r="HZ14" s="6"/>
      <c r="IA14" s="6"/>
      <c r="IB14" s="6"/>
      <c r="IC14" s="6"/>
      <c r="ID14" s="6"/>
      <c r="IE14" s="6"/>
      <c r="IF14" s="6"/>
      <c r="IG14" s="6"/>
      <c r="IH14" s="6"/>
      <c r="II14" s="6"/>
      <c r="IJ14" s="6"/>
      <c r="IK14" s="6"/>
      <c r="IL14" s="6"/>
      <c r="IM14" s="6"/>
      <c r="IN14" s="6"/>
      <c r="IO14" s="6"/>
      <c r="IP14" s="6"/>
      <c r="IQ14" s="6"/>
      <c r="IR14" s="6"/>
      <c r="IS14" s="6"/>
      <c r="IT14" s="6"/>
      <c r="IU14" s="6"/>
      <c r="IV14" s="6"/>
    </row>
    <row r="15" spans="1:256" s="66" customFormat="1" ht="11.25" customHeight="1">
      <c r="A15" s="577" t="s">
        <v>618</v>
      </c>
      <c r="B15" s="99"/>
      <c r="C15" s="87"/>
      <c r="D15" s="88"/>
      <c r="E15" s="88"/>
      <c r="F15" s="88"/>
      <c r="G15" s="99"/>
      <c r="H15" s="87"/>
      <c r="I15" s="88"/>
      <c r="J15" s="88"/>
      <c r="K15" s="91"/>
      <c r="L15" s="272"/>
      <c r="M15" s="87"/>
      <c r="N15" s="88"/>
      <c r="O15" s="92"/>
      <c r="P15" s="88"/>
      <c r="Q15" s="99"/>
      <c r="R15" s="88"/>
      <c r="S15" s="88"/>
      <c r="T15" s="88"/>
      <c r="U15" s="91"/>
      <c r="V15" s="143"/>
      <c r="W15" s="88"/>
      <c r="X15" s="88"/>
      <c r="Y15" s="88"/>
      <c r="Z15" s="88"/>
      <c r="AA15" s="99"/>
      <c r="AB15" s="88"/>
      <c r="AC15" s="88"/>
      <c r="AD15" s="88"/>
      <c r="AE15" s="88"/>
      <c r="AF15" s="99"/>
      <c r="AG15" s="88"/>
      <c r="AH15" s="88"/>
      <c r="AI15" s="88"/>
      <c r="AJ15" s="88"/>
      <c r="AK15" s="541"/>
      <c r="AL15" s="88"/>
      <c r="AM15" s="88"/>
      <c r="AN15" s="88"/>
      <c r="AO15" s="88"/>
      <c r="AP15" s="541"/>
      <c r="AQ15" s="88"/>
      <c r="AR15" s="88"/>
      <c r="AS15" s="88"/>
      <c r="AT15" s="88"/>
      <c r="AU15" s="541"/>
      <c r="AV15" s="88"/>
      <c r="AW15" s="88"/>
      <c r="AX15" s="88"/>
      <c r="AY15" s="88"/>
      <c r="AZ15" s="541"/>
      <c r="BA15" s="88"/>
      <c r="BB15" s="88"/>
      <c r="BC15" s="88"/>
      <c r="BD15" s="88"/>
      <c r="BE15" s="541"/>
      <c r="BF15" s="88"/>
      <c r="BG15" s="88"/>
      <c r="BH15" s="88"/>
      <c r="BI15" s="88"/>
      <c r="BJ15" s="541"/>
      <c r="BK15" s="88"/>
      <c r="BL15" s="88"/>
      <c r="BM15" s="88"/>
      <c r="BN15" s="88"/>
      <c r="BO15" s="541"/>
      <c r="BP15" s="88">
        <v>30.6</v>
      </c>
      <c r="BQ15" s="88">
        <v>34.5</v>
      </c>
      <c r="BR15" s="88">
        <v>37.4</v>
      </c>
      <c r="BS15" s="88">
        <v>40.695</v>
      </c>
      <c r="BT15" s="541">
        <f>SUM(BP15:BS15)</f>
        <v>143.19499999999999</v>
      </c>
      <c r="BU15" s="88">
        <v>42.917000000000002</v>
      </c>
      <c r="BV15" s="88">
        <v>46.935000000000002</v>
      </c>
      <c r="BW15" s="88">
        <v>50.274999999999999</v>
      </c>
      <c r="BX15" s="88">
        <v>49.975999999999999</v>
      </c>
      <c r="BY15" s="541">
        <v>190.1</v>
      </c>
      <c r="BZ15" s="88">
        <v>45.851815283338141</v>
      </c>
      <c r="CA15" s="88">
        <v>49.295968937063492</v>
      </c>
      <c r="CB15" s="88">
        <v>49.786259066619955</v>
      </c>
      <c r="CC15" s="88">
        <v>49.470529159752701</v>
      </c>
      <c r="CD15" s="541">
        <v>194.4045724467743</v>
      </c>
      <c r="CE15" s="88">
        <v>48.304714889216456</v>
      </c>
      <c r="CF15" s="88">
        <v>51.502091719623543</v>
      </c>
      <c r="CG15" s="88">
        <v>52.067050129501141</v>
      </c>
      <c r="CH15" s="88">
        <v>51.80831613215242</v>
      </c>
      <c r="CI15" s="541">
        <v>203.68217287049356</v>
      </c>
      <c r="CJ15" s="88">
        <v>51.191027280931898</v>
      </c>
      <c r="CK15" s="88">
        <v>54.16062969419049</v>
      </c>
      <c r="CL15" s="88">
        <v>54.885840151412303</v>
      </c>
      <c r="CM15" s="88">
        <v>54.741093745570041</v>
      </c>
      <c r="CN15" s="541">
        <v>214.97859087210475</v>
      </c>
      <c r="CO15" s="45"/>
      <c r="CR15" s="577" t="s">
        <v>618</v>
      </c>
      <c r="CS15" s="88">
        <f t="shared" si="2"/>
        <v>49.975999999999999</v>
      </c>
      <c r="CT15" s="93">
        <v>50.438358000591428</v>
      </c>
      <c r="CU15" s="121"/>
      <c r="CV15" s="88"/>
      <c r="CW15" s="153"/>
      <c r="DB15"/>
      <c r="DC15"/>
      <c r="DD15"/>
      <c r="DE15"/>
      <c r="DF15"/>
      <c r="DG15"/>
      <c r="HQ15" s="6"/>
      <c r="HR15" s="6"/>
      <c r="HS15" s="6"/>
      <c r="HT15" s="6"/>
      <c r="HU15" s="6"/>
      <c r="HV15" s="6"/>
      <c r="HW15" s="6"/>
      <c r="HX15" s="6"/>
      <c r="HY15" s="6"/>
      <c r="HZ15" s="6"/>
      <c r="IA15" s="6"/>
      <c r="IB15" s="6"/>
      <c r="IC15" s="6"/>
      <c r="ID15" s="6"/>
      <c r="IE15" s="6"/>
      <c r="IF15" s="6"/>
      <c r="IG15" s="6"/>
      <c r="IH15" s="6"/>
      <c r="II15" s="6"/>
      <c r="IJ15" s="6"/>
      <c r="IK15" s="6"/>
      <c r="IL15" s="6"/>
      <c r="IM15" s="6"/>
      <c r="IN15" s="6"/>
      <c r="IO15" s="6"/>
      <c r="IP15" s="6"/>
      <c r="IQ15" s="6"/>
      <c r="IR15" s="6"/>
      <c r="IS15" s="6"/>
      <c r="IT15" s="6"/>
      <c r="IU15" s="6"/>
      <c r="IV15" s="6"/>
    </row>
    <row r="16" spans="1:256" s="66" customFormat="1" ht="15">
      <c r="A16" s="577" t="s">
        <v>633</v>
      </c>
      <c r="B16" s="103"/>
      <c r="C16" s="101"/>
      <c r="D16" s="102"/>
      <c r="E16" s="102"/>
      <c r="F16" s="102"/>
      <c r="G16" s="103"/>
      <c r="H16" s="101"/>
      <c r="I16" s="102"/>
      <c r="J16" s="102"/>
      <c r="K16" s="104"/>
      <c r="L16" s="414"/>
      <c r="M16" s="101"/>
      <c r="N16" s="102"/>
      <c r="O16" s="105"/>
      <c r="P16" s="102"/>
      <c r="Q16" s="103">
        <f>SUM(M16:P16)</f>
        <v>0</v>
      </c>
      <c r="R16" s="102"/>
      <c r="S16" s="102"/>
      <c r="T16" s="102"/>
      <c r="U16" s="104"/>
      <c r="V16" s="416">
        <f>SUM(R16:U16)</f>
        <v>0</v>
      </c>
      <c r="W16" s="102"/>
      <c r="X16" s="102"/>
      <c r="Y16" s="102"/>
      <c r="Z16" s="102"/>
      <c r="AA16" s="103">
        <v>374.56599999999997</v>
      </c>
      <c r="AB16" s="102">
        <v>91.183999999999997</v>
      </c>
      <c r="AC16" s="102">
        <v>97.822999999999993</v>
      </c>
      <c r="AD16" s="102">
        <v>99.338999999999999</v>
      </c>
      <c r="AE16" s="102">
        <v>94.790999999999997</v>
      </c>
      <c r="AF16" s="103">
        <v>383.55200000000002</v>
      </c>
      <c r="AG16" s="102">
        <v>90.741</v>
      </c>
      <c r="AH16" s="102">
        <v>96.492000000000004</v>
      </c>
      <c r="AI16" s="102">
        <v>97.183000000000007</v>
      </c>
      <c r="AJ16" s="102">
        <v>98.070999999999998</v>
      </c>
      <c r="AK16" s="542">
        <f>SUM(AG16:AJ16)</f>
        <v>382.48699999999997</v>
      </c>
      <c r="AL16" s="102">
        <v>89.25</v>
      </c>
      <c r="AM16" s="102">
        <v>94.337999999999994</v>
      </c>
      <c r="AN16" s="102">
        <v>95.225999999999999</v>
      </c>
      <c r="AO16" s="102">
        <v>92.283000000000001</v>
      </c>
      <c r="AP16" s="542">
        <f>SUM(AL16:AO16)</f>
        <v>371.09699999999998</v>
      </c>
      <c r="AQ16" s="102">
        <v>73.179000000000002</v>
      </c>
      <c r="AR16" s="102">
        <v>78.2</v>
      </c>
      <c r="AS16" s="102">
        <v>76.891000000000005</v>
      </c>
      <c r="AT16" s="102">
        <v>76.522000000000006</v>
      </c>
      <c r="AU16" s="542">
        <f>SUM(AQ16:AT16)</f>
        <v>304.79200000000003</v>
      </c>
      <c r="AV16" s="102">
        <v>73.257999999999996</v>
      </c>
      <c r="AW16" s="102">
        <v>79.751999999999995</v>
      </c>
      <c r="AX16" s="102">
        <v>77.972999999999999</v>
      </c>
      <c r="AY16" s="102">
        <v>75.936000000000007</v>
      </c>
      <c r="AZ16" s="542">
        <f t="shared" si="1"/>
        <v>306.91899999999998</v>
      </c>
      <c r="BA16" s="102">
        <v>73.009</v>
      </c>
      <c r="BB16" s="102">
        <v>79.346000000000004</v>
      </c>
      <c r="BC16" s="102">
        <v>82.75</v>
      </c>
      <c r="BD16" s="102">
        <v>86.475999999999999</v>
      </c>
      <c r="BE16" s="542">
        <f>SUM(BA16:BD16)</f>
        <v>321.58100000000002</v>
      </c>
      <c r="BF16" s="102">
        <v>90.566000000000003</v>
      </c>
      <c r="BG16" s="102">
        <v>98.623000000000005</v>
      </c>
      <c r="BH16" s="102">
        <v>103.43</v>
      </c>
      <c r="BI16" s="102">
        <v>98.197000000000003</v>
      </c>
      <c r="BJ16" s="542">
        <f>SUM(BF16:BI16)</f>
        <v>390.81600000000003</v>
      </c>
      <c r="BK16" s="102">
        <v>94.2</v>
      </c>
      <c r="BL16" s="102">
        <v>104.486</v>
      </c>
      <c r="BM16" s="102">
        <v>105.614</v>
      </c>
      <c r="BN16" s="102">
        <v>127.19499999999999</v>
      </c>
      <c r="BO16" s="542">
        <f>SUM(BK16:BN16)</f>
        <v>431.495</v>
      </c>
      <c r="BP16" s="102">
        <f>119.455-BP15</f>
        <v>88.85499999999999</v>
      </c>
      <c r="BQ16" s="102">
        <f>123.483-BQ15</f>
        <v>88.983000000000004</v>
      </c>
      <c r="BR16" s="102">
        <f>135.368-BR15</f>
        <v>97.967999999999989</v>
      </c>
      <c r="BS16" s="102">
        <f>95.659</f>
        <v>95.659000000000006</v>
      </c>
      <c r="BT16" s="541">
        <f>SUM(BP16:BS16)</f>
        <v>371.46499999999997</v>
      </c>
      <c r="BU16" s="102">
        <v>94.69</v>
      </c>
      <c r="BV16" s="102">
        <v>112.548</v>
      </c>
      <c r="BW16" s="102">
        <v>98.882000000000005</v>
      </c>
      <c r="BX16" s="102">
        <v>104.383</v>
      </c>
      <c r="BY16" s="542">
        <f>SUM(BU16:BX16)</f>
        <v>410.50299999999999</v>
      </c>
      <c r="BZ16" s="106">
        <v>93.305406234927645</v>
      </c>
      <c r="CA16" s="106">
        <v>105.67383366741538</v>
      </c>
      <c r="CB16" s="106">
        <v>102.18062187734847</v>
      </c>
      <c r="CC16" s="106">
        <v>103.21542297597426</v>
      </c>
      <c r="CD16" s="542">
        <f>SUM(BZ16:CC16)</f>
        <v>404.37528475566575</v>
      </c>
      <c r="CE16" s="106">
        <v>98.193395334888677</v>
      </c>
      <c r="CF16" s="106">
        <v>110.09902761030006</v>
      </c>
      <c r="CG16" s="106">
        <v>106.75000605210253</v>
      </c>
      <c r="CH16" s="106">
        <v>107.92237066596853</v>
      </c>
      <c r="CI16" s="542">
        <f>SUM(CE16:CH16)</f>
        <v>422.96479966325978</v>
      </c>
      <c r="CJ16" s="106">
        <v>103.95958808928295</v>
      </c>
      <c r="CK16" s="106">
        <v>115.43912032554373</v>
      </c>
      <c r="CL16" s="106">
        <v>112.41330788123942</v>
      </c>
      <c r="CM16" s="106">
        <v>113.81954136189682</v>
      </c>
      <c r="CN16" s="542">
        <f>SUM(CJ16:CM16)</f>
        <v>445.6315576579629</v>
      </c>
      <c r="CO16" s="45"/>
      <c r="CR16" s="577" t="s">
        <v>13</v>
      </c>
      <c r="CS16" s="88">
        <f t="shared" si="2"/>
        <v>104.383</v>
      </c>
      <c r="CT16" s="106">
        <v>101.77123628681267</v>
      </c>
      <c r="CU16" s="118">
        <f>CS16-CT16</f>
        <v>2.6117637131873295</v>
      </c>
      <c r="CV16" s="102">
        <f>BS16</f>
        <v>95.659000000000006</v>
      </c>
      <c r="CW16" s="1036">
        <f>CS16/CV16-1</f>
        <v>9.1198946257017077E-2</v>
      </c>
      <c r="DB16"/>
      <c r="DC16"/>
      <c r="DD16"/>
      <c r="DE16"/>
      <c r="DF16"/>
      <c r="DG16"/>
      <c r="HQ16" s="6"/>
      <c r="HR16" s="6"/>
      <c r="HS16" s="6"/>
      <c r="HT16" s="6"/>
      <c r="HU16" s="6"/>
      <c r="HV16" s="6"/>
      <c r="HW16" s="6"/>
      <c r="HX16" s="6"/>
      <c r="HY16" s="6"/>
      <c r="HZ16" s="6"/>
      <c r="IA16" s="6"/>
      <c r="IB16" s="6"/>
      <c r="IC16" s="6"/>
      <c r="ID16" s="6"/>
      <c r="IE16" s="6"/>
      <c r="IF16" s="6"/>
      <c r="IG16" s="6"/>
      <c r="IH16" s="6"/>
      <c r="II16" s="6"/>
      <c r="IJ16" s="6"/>
      <c r="IK16" s="6"/>
      <c r="IL16" s="6"/>
      <c r="IM16" s="6"/>
      <c r="IN16" s="6"/>
      <c r="IO16" s="6"/>
      <c r="IP16" s="6"/>
      <c r="IQ16" s="6"/>
      <c r="IR16" s="6"/>
      <c r="IS16" s="6"/>
      <c r="IT16" s="6"/>
      <c r="IU16" s="6"/>
      <c r="IV16" s="6"/>
    </row>
    <row r="17" spans="1:256" s="66" customFormat="1">
      <c r="A17" s="578" t="s">
        <v>14</v>
      </c>
      <c r="B17" s="111">
        <f>+B16+B14</f>
        <v>0</v>
      </c>
      <c r="C17" s="109"/>
      <c r="D17" s="110"/>
      <c r="E17" s="110"/>
      <c r="F17" s="113"/>
      <c r="G17" s="111">
        <f>+G16+G14</f>
        <v>0</v>
      </c>
      <c r="H17" s="109"/>
      <c r="I17" s="110"/>
      <c r="J17" s="110"/>
      <c r="K17" s="113"/>
      <c r="L17" s="270">
        <f>+L16+L14</f>
        <v>0</v>
      </c>
      <c r="M17" s="109"/>
      <c r="N17" s="110"/>
      <c r="O17" s="114"/>
      <c r="P17" s="113"/>
      <c r="Q17" s="111">
        <v>3118</v>
      </c>
      <c r="R17" s="110"/>
      <c r="S17" s="110"/>
      <c r="T17" s="110"/>
      <c r="U17" s="113"/>
      <c r="V17" s="271">
        <v>3595</v>
      </c>
      <c r="W17" s="110"/>
      <c r="X17" s="110"/>
      <c r="Y17" s="110"/>
      <c r="Z17" s="113"/>
      <c r="AA17" s="111">
        <f>SUM(AA14:AA16)</f>
        <v>3648.0269999999996</v>
      </c>
      <c r="AB17" s="110">
        <f>+AB16+AB14</f>
        <v>885.78</v>
      </c>
      <c r="AC17" s="110">
        <f>+AC16+AC14</f>
        <v>945.24799999999993</v>
      </c>
      <c r="AD17" s="110">
        <f>+AD16+AD14</f>
        <v>935.09099999999989</v>
      </c>
      <c r="AE17" s="113">
        <f>+AE16+AE14</f>
        <v>896.52199999999993</v>
      </c>
      <c r="AF17" s="111">
        <f>SUM(AF14:AF16)</f>
        <v>3663.0550000000003</v>
      </c>
      <c r="AG17" s="110">
        <f>+AG16+AG14</f>
        <v>863.98400000000004</v>
      </c>
      <c r="AH17" s="110">
        <f>+AH16+AH14</f>
        <v>912.68700000000001</v>
      </c>
      <c r="AI17" s="110">
        <f>+AI16+AI14</f>
        <v>903.221</v>
      </c>
      <c r="AJ17" s="113">
        <f>+AJ16+AJ14</f>
        <v>900.94299999999998</v>
      </c>
      <c r="AK17" s="543">
        <f>AK16+AK14</f>
        <v>3580.835</v>
      </c>
      <c r="AL17" s="110">
        <f>+AL16+AL14</f>
        <v>837.447</v>
      </c>
      <c r="AM17" s="110">
        <f>+AM16+AM14</f>
        <v>877.02099999999996</v>
      </c>
      <c r="AN17" s="110">
        <f>+AN16+AN14</f>
        <v>861.21400000000006</v>
      </c>
      <c r="AO17" s="113">
        <f>+AO16+AO14</f>
        <v>840.73199999999997</v>
      </c>
      <c r="AP17" s="543">
        <f>AP16+AP14</f>
        <v>3416.4140000000007</v>
      </c>
      <c r="AQ17" s="110">
        <f>+AQ16+AQ14</f>
        <v>582.46500000000003</v>
      </c>
      <c r="AR17" s="110">
        <f>+AR16+AR14</f>
        <v>622.50000000000011</v>
      </c>
      <c r="AS17" s="110">
        <f>+AS16+AS14</f>
        <v>611.41599999999994</v>
      </c>
      <c r="AT17" s="113">
        <f>+AT16+AT14</f>
        <v>615.01800000000003</v>
      </c>
      <c r="AU17" s="543">
        <f>AU16+AU14</f>
        <v>2431.3919999999998</v>
      </c>
      <c r="AV17" s="110">
        <f>+AV16+AV14</f>
        <v>593.15800000000002</v>
      </c>
      <c r="AW17" s="110">
        <f>+AW16+AW14</f>
        <v>645.86799999999994</v>
      </c>
      <c r="AX17" s="110">
        <f>+AX16+AX14</f>
        <v>636.27299999999991</v>
      </c>
      <c r="AY17" s="113">
        <f>+AY16+AY14</f>
        <v>629.87900000000002</v>
      </c>
      <c r="AZ17" s="543">
        <f t="shared" si="1"/>
        <v>2505.1779999999999</v>
      </c>
      <c r="BA17" s="110">
        <f>+BA16+BA14</f>
        <v>603.70900000000006</v>
      </c>
      <c r="BB17" s="110">
        <f>+BB16+BB14</f>
        <v>650.54599999999994</v>
      </c>
      <c r="BC17" s="110">
        <f>+BC16+BC14</f>
        <v>640.779</v>
      </c>
      <c r="BD17" s="113">
        <f>+BD16+BD14</f>
        <v>592.40499999999997</v>
      </c>
      <c r="BE17" s="543">
        <f>BE16+BE14</f>
        <v>2487.3810000000003</v>
      </c>
      <c r="BF17" s="110">
        <f>+BF16+BF14</f>
        <v>523.19600000000003</v>
      </c>
      <c r="BG17" s="110">
        <f>+BG16+BG14</f>
        <v>523.42700000000002</v>
      </c>
      <c r="BH17" s="110">
        <f>+BH16+BH14</f>
        <v>512.48900000000003</v>
      </c>
      <c r="BI17" s="113">
        <f>+BI16+BI14</f>
        <v>501.95100000000002</v>
      </c>
      <c r="BJ17" s="543">
        <f>BJ16+BJ14</f>
        <v>2061.116</v>
      </c>
      <c r="BK17" s="110">
        <f>+BK16+BK14</f>
        <v>451.76900000000001</v>
      </c>
      <c r="BL17" s="110">
        <f>+BL16+BL14</f>
        <v>489.53399999999999</v>
      </c>
      <c r="BM17" s="110">
        <f>+BM16+BM14</f>
        <v>464.62900000000002</v>
      </c>
      <c r="BN17" s="113">
        <f>+BN16+BN14</f>
        <v>464.36500000000001</v>
      </c>
      <c r="BO17" s="543">
        <f>BO16+BO14</f>
        <v>1870.297</v>
      </c>
      <c r="BP17" s="110">
        <f t="shared" ref="BP17:BR17" si="5">+BP16+BP14+BP15</f>
        <v>378.78700000000003</v>
      </c>
      <c r="BQ17" s="110">
        <f t="shared" si="5"/>
        <v>382.71800000000002</v>
      </c>
      <c r="BR17" s="110">
        <f t="shared" si="5"/>
        <v>364.01199999999994</v>
      </c>
      <c r="BS17" s="113">
        <f>+BS16+BS14+BS15</f>
        <v>309.90100000000001</v>
      </c>
      <c r="BT17" s="543">
        <f>+BT16+BT14+BT15</f>
        <v>1435.4179999999999</v>
      </c>
      <c r="BU17" s="110">
        <f t="shared" ref="BU17:BY17" si="6">+BU16+BU14+BU15</f>
        <v>285.81899999999996</v>
      </c>
      <c r="BV17" s="110">
        <f t="shared" si="6"/>
        <v>320.34200000000004</v>
      </c>
      <c r="BW17" s="110">
        <f>+BW16+BW14+BW15</f>
        <v>308</v>
      </c>
      <c r="BX17" s="113">
        <f>+BX16+BX14+BX15</f>
        <v>309.24700000000001</v>
      </c>
      <c r="BY17" s="543">
        <f t="shared" si="6"/>
        <v>1223.405</v>
      </c>
      <c r="BZ17" s="115">
        <f t="shared" ref="BZ17" si="7">+BZ16+BZ14+BZ15</f>
        <v>299.13537083747906</v>
      </c>
      <c r="CA17" s="115">
        <f t="shared" ref="CA17" si="8">+CA16+CA14+CA15</f>
        <v>328.11009566716768</v>
      </c>
      <c r="CB17" s="115">
        <f t="shared" ref="CB17" si="9">+CB16+CB14+CB15</f>
        <v>326.5805507858359</v>
      </c>
      <c r="CC17" s="116">
        <f t="shared" ref="CC17" si="10">+CC16+CC14+CC15</f>
        <v>320.34990037453292</v>
      </c>
      <c r="CD17" s="543">
        <f t="shared" ref="CD17" si="11">+CD16+CD14+CD15</f>
        <v>1274.1759176650157</v>
      </c>
      <c r="CE17" s="115">
        <f t="shared" ref="CE17" si="12">+CE16+CE14+CE15</f>
        <v>316.71486109974808</v>
      </c>
      <c r="CF17" s="115">
        <f t="shared" ref="CF17" si="13">+CF16+CF14+CF15</f>
        <v>344.5927625975973</v>
      </c>
      <c r="CG17" s="115">
        <f t="shared" ref="CG17" si="14">+CG16+CG14+CG15</f>
        <v>343.89211643461567</v>
      </c>
      <c r="CH17" s="116">
        <f t="shared" ref="CH17" si="15">+CH16+CH14+CH15</f>
        <v>339.65552288170301</v>
      </c>
      <c r="CI17" s="543">
        <f t="shared" ref="CI17" si="16">+CI16+CI14+CI15</f>
        <v>1344.8552630136642</v>
      </c>
      <c r="CJ17" s="115">
        <f t="shared" ref="CJ17" si="17">+CJ16+CJ14+CJ15</f>
        <v>338.32026373573677</v>
      </c>
      <c r="CK17" s="115">
        <f t="shared" ref="CK17" si="18">+CK16+CK14+CK15</f>
        <v>365.16674923754692</v>
      </c>
      <c r="CL17" s="115">
        <f t="shared" ref="CL17" si="19">+CL16+CL14+CL15</f>
        <v>365.61830797313365</v>
      </c>
      <c r="CM17" s="116">
        <f t="shared" ref="CM17" si="20">+CM16+CM14+CM15</f>
        <v>363.7247945920937</v>
      </c>
      <c r="CN17" s="543">
        <f>+CN16+CN14+CN15</f>
        <v>1432.8301155385111</v>
      </c>
      <c r="CO17" s="80"/>
      <c r="CP17" s="1076"/>
      <c r="CQ17" s="593"/>
      <c r="CR17" s="578" t="s">
        <v>14</v>
      </c>
      <c r="CS17" s="110">
        <f t="shared" si="2"/>
        <v>309.24700000000001</v>
      </c>
      <c r="CT17" s="115">
        <v>313.53379599810427</v>
      </c>
      <c r="CU17" s="236">
        <f t="shared" ref="CU17:CU112" si="21">CS17-CT17</f>
        <v>-4.2867959981042532</v>
      </c>
      <c r="CV17" s="110">
        <f>BS17</f>
        <v>309.90100000000001</v>
      </c>
      <c r="CW17" s="167">
        <f>CS17/CV17-1</f>
        <v>-2.1103513702762644E-3</v>
      </c>
      <c r="CX17" s="402">
        <f>CU17*CS94</f>
        <v>-1.4417913569503449</v>
      </c>
      <c r="CY17" s="41"/>
      <c r="CZ17" s="41"/>
      <c r="DA17" s="593"/>
      <c r="DB17"/>
      <c r="DC17"/>
      <c r="DD17"/>
      <c r="DE17"/>
      <c r="DF17"/>
      <c r="DG17"/>
      <c r="DH17" s="593"/>
      <c r="DI17" s="593"/>
      <c r="DJ17" s="593"/>
      <c r="DK17" s="593"/>
      <c r="DL17" s="593"/>
      <c r="DM17" s="593"/>
      <c r="DN17" s="593"/>
      <c r="DO17" s="593"/>
      <c r="DP17" s="593"/>
      <c r="DQ17" s="593"/>
      <c r="DR17" s="593"/>
      <c r="DS17" s="593"/>
      <c r="DT17" s="593"/>
      <c r="DU17" s="593"/>
      <c r="DV17" s="593"/>
      <c r="DW17" s="593"/>
      <c r="DX17" s="593"/>
      <c r="DY17" s="593"/>
      <c r="DZ17" s="593"/>
      <c r="EA17" s="593"/>
      <c r="EB17" s="593"/>
      <c r="EC17" s="593"/>
      <c r="ED17" s="593"/>
      <c r="EE17" s="593"/>
      <c r="EF17" s="593"/>
      <c r="EG17" s="593"/>
      <c r="EH17" s="593"/>
      <c r="EI17" s="593"/>
      <c r="EJ17" s="593"/>
      <c r="EK17" s="593"/>
      <c r="EL17" s="593"/>
      <c r="EM17" s="593"/>
      <c r="EN17" s="593"/>
      <c r="EO17" s="593"/>
      <c r="EP17" s="593"/>
      <c r="EQ17" s="593"/>
      <c r="ER17" s="593"/>
      <c r="ES17" s="593"/>
      <c r="ET17" s="593"/>
      <c r="EU17" s="593"/>
      <c r="EV17" s="593"/>
      <c r="EW17" s="593"/>
      <c r="EX17" s="593"/>
      <c r="EY17" s="593"/>
      <c r="EZ17" s="593"/>
      <c r="FA17" s="593"/>
      <c r="FB17" s="593"/>
      <c r="FC17" s="593"/>
      <c r="FD17" s="593"/>
      <c r="FE17" s="593"/>
      <c r="FF17" s="593"/>
      <c r="FG17" s="593"/>
      <c r="FH17" s="593"/>
      <c r="FI17" s="593"/>
      <c r="FJ17" s="593"/>
      <c r="FK17" s="593"/>
      <c r="FL17" s="593"/>
      <c r="FM17" s="593"/>
      <c r="FN17" s="593"/>
      <c r="FO17" s="593"/>
      <c r="FP17" s="593"/>
      <c r="FQ17" s="593"/>
      <c r="FR17" s="593"/>
      <c r="FS17" s="593"/>
      <c r="FT17" s="593"/>
      <c r="FU17" s="593"/>
      <c r="FV17" s="593"/>
      <c r="FW17" s="593"/>
      <c r="FX17" s="593"/>
      <c r="FY17" s="593"/>
      <c r="FZ17" s="593"/>
      <c r="GA17" s="593"/>
      <c r="GB17" s="593"/>
      <c r="GC17" s="593"/>
      <c r="GD17" s="593"/>
      <c r="GE17" s="593"/>
      <c r="GF17" s="593"/>
      <c r="GG17" s="593"/>
      <c r="GH17" s="593"/>
      <c r="GI17" s="593"/>
      <c r="GJ17" s="593"/>
      <c r="GK17" s="593"/>
      <c r="GL17" s="593"/>
      <c r="GM17" s="593"/>
      <c r="GN17" s="593"/>
      <c r="GO17" s="593"/>
      <c r="GP17" s="593"/>
      <c r="GQ17" s="593"/>
      <c r="GR17" s="593"/>
      <c r="GS17" s="593"/>
      <c r="GT17" s="593"/>
      <c r="GU17" s="593"/>
      <c r="GV17" s="593"/>
      <c r="GW17" s="593"/>
      <c r="GX17" s="593"/>
      <c r="GY17" s="593"/>
      <c r="GZ17" s="593"/>
      <c r="HA17" s="593"/>
      <c r="HB17" s="593"/>
      <c r="HC17" s="593"/>
      <c r="HD17" s="593"/>
      <c r="HE17" s="593"/>
      <c r="HF17" s="593"/>
      <c r="HG17" s="593"/>
      <c r="HH17" s="593"/>
      <c r="HI17" s="593"/>
      <c r="HJ17" s="593"/>
      <c r="HK17" s="593"/>
      <c r="HL17" s="593"/>
      <c r="HM17" s="593"/>
      <c r="HN17" s="593"/>
      <c r="HO17" s="593"/>
      <c r="HP17" s="593"/>
      <c r="HQ17" s="6"/>
      <c r="HR17" s="6"/>
      <c r="HS17" s="6"/>
      <c r="HT17" s="6"/>
      <c r="HU17" s="6"/>
      <c r="HV17" s="6"/>
      <c r="HW17" s="6"/>
      <c r="HX17" s="6"/>
      <c r="HY17" s="6"/>
      <c r="HZ17" s="6"/>
      <c r="IA17" s="6"/>
      <c r="IB17" s="6"/>
      <c r="IC17" s="6"/>
      <c r="ID17" s="6"/>
      <c r="IE17" s="6"/>
      <c r="IF17" s="6"/>
      <c r="IG17" s="6"/>
      <c r="IH17" s="6"/>
      <c r="II17" s="6"/>
      <c r="IJ17" s="6"/>
      <c r="IK17" s="6"/>
      <c r="IL17" s="6"/>
      <c r="IM17" s="6"/>
      <c r="IN17" s="6"/>
      <c r="IO17" s="6"/>
      <c r="IP17" s="6"/>
      <c r="IQ17" s="6"/>
      <c r="IR17" s="6"/>
      <c r="IS17" s="6"/>
      <c r="IT17" s="6"/>
      <c r="IU17" s="6"/>
      <c r="IV17" s="6"/>
    </row>
    <row r="18" spans="1:256" s="66" customFormat="1" ht="4.5" customHeight="1">
      <c r="A18" s="578"/>
      <c r="B18" s="89"/>
      <c r="C18" s="87"/>
      <c r="D18" s="88"/>
      <c r="E18" s="88"/>
      <c r="F18" s="91"/>
      <c r="G18" s="89"/>
      <c r="H18" s="87"/>
      <c r="I18" s="88"/>
      <c r="J18" s="88"/>
      <c r="K18" s="91"/>
      <c r="L18" s="44"/>
      <c r="M18" s="87"/>
      <c r="N18" s="88"/>
      <c r="O18" s="92"/>
      <c r="P18" s="91"/>
      <c r="Q18" s="89"/>
      <c r="R18" s="88"/>
      <c r="S18" s="88"/>
      <c r="T18" s="88"/>
      <c r="U18" s="91"/>
      <c r="V18" s="47"/>
      <c r="W18" s="88"/>
      <c r="X18" s="88"/>
      <c r="Y18" s="88"/>
      <c r="Z18" s="91"/>
      <c r="AA18" s="99"/>
      <c r="AB18" s="88"/>
      <c r="AC18" s="88"/>
      <c r="AD18" s="88"/>
      <c r="AE18" s="91"/>
      <c r="AF18" s="89"/>
      <c r="AG18" s="88"/>
      <c r="AH18" s="88"/>
      <c r="AI18" s="88"/>
      <c r="AJ18" s="91"/>
      <c r="AK18" s="540"/>
      <c r="AL18" s="88"/>
      <c r="AM18" s="88"/>
      <c r="AN18" s="88"/>
      <c r="AO18" s="91"/>
      <c r="AP18" s="540"/>
      <c r="AQ18" s="88"/>
      <c r="AR18" s="88"/>
      <c r="AS18" s="88"/>
      <c r="AT18" s="91"/>
      <c r="AU18" s="540"/>
      <c r="AV18" s="93"/>
      <c r="AW18" s="88"/>
      <c r="AX18" s="88"/>
      <c r="AY18" s="91"/>
      <c r="AZ18" s="540"/>
      <c r="BA18" s="93"/>
      <c r="BB18" s="88"/>
      <c r="BC18" s="93"/>
      <c r="BD18" s="94"/>
      <c r="BE18" s="540"/>
      <c r="BF18" s="88"/>
      <c r="BG18" s="93"/>
      <c r="BH18" s="93"/>
      <c r="BI18" s="94"/>
      <c r="BJ18" s="540"/>
      <c r="BK18" s="88"/>
      <c r="BL18" s="88"/>
      <c r="BM18" s="88"/>
      <c r="BN18" s="91"/>
      <c r="BO18" s="540"/>
      <c r="BP18" s="88"/>
      <c r="BQ18" s="88"/>
      <c r="BR18" s="88"/>
      <c r="BS18" s="91"/>
      <c r="BT18" s="540"/>
      <c r="BU18" s="88"/>
      <c r="BV18" s="88"/>
      <c r="BW18" s="88"/>
      <c r="BX18" s="91"/>
      <c r="BY18" s="540"/>
      <c r="BZ18" s="93"/>
      <c r="CA18" s="93"/>
      <c r="CB18" s="93"/>
      <c r="CC18" s="94"/>
      <c r="CD18" s="540"/>
      <c r="CE18" s="93"/>
      <c r="CF18" s="93"/>
      <c r="CG18" s="93"/>
      <c r="CH18" s="94"/>
      <c r="CI18" s="540"/>
      <c r="CJ18" s="93"/>
      <c r="CK18" s="93"/>
      <c r="CL18" s="93"/>
      <c r="CM18" s="94"/>
      <c r="CN18" s="540"/>
      <c r="CO18" s="45"/>
      <c r="CP18" s="593"/>
      <c r="CQ18" s="593"/>
      <c r="CR18" s="578"/>
      <c r="CS18" s="88">
        <f>BG18</f>
        <v>0</v>
      </c>
      <c r="CT18" s="93">
        <v>0</v>
      </c>
      <c r="CU18" s="121"/>
      <c r="CV18" s="88">
        <f>BB18</f>
        <v>0</v>
      </c>
      <c r="CW18" s="121"/>
      <c r="CX18" s="41"/>
      <c r="CY18" s="41"/>
      <c r="CZ18" s="41"/>
      <c r="DA18" s="593"/>
      <c r="DB18"/>
      <c r="DC18"/>
      <c r="DD18"/>
      <c r="DE18"/>
      <c r="DF18"/>
      <c r="DG18"/>
      <c r="DH18" s="593"/>
      <c r="DI18" s="593"/>
      <c r="DJ18" s="593"/>
      <c r="DK18" s="593"/>
      <c r="DL18" s="593"/>
      <c r="DM18" s="593"/>
      <c r="DN18" s="593"/>
      <c r="DO18" s="593"/>
      <c r="DP18" s="593"/>
      <c r="DQ18" s="593"/>
      <c r="DR18" s="593"/>
      <c r="DS18" s="593"/>
      <c r="DT18" s="593"/>
      <c r="DU18" s="593"/>
      <c r="DV18" s="593"/>
      <c r="DW18" s="593"/>
      <c r="DX18" s="593"/>
      <c r="DY18" s="593"/>
      <c r="DZ18" s="593"/>
      <c r="EA18" s="593"/>
      <c r="EB18" s="593"/>
      <c r="EC18" s="593"/>
      <c r="ED18" s="593"/>
      <c r="EE18" s="593"/>
      <c r="EF18" s="593"/>
      <c r="EG18" s="593"/>
      <c r="EH18" s="593"/>
      <c r="EI18" s="593"/>
      <c r="EJ18" s="593"/>
      <c r="EK18" s="593"/>
      <c r="EL18" s="593"/>
      <c r="EM18" s="593"/>
      <c r="EN18" s="593"/>
      <c r="EO18" s="593"/>
      <c r="EP18" s="593"/>
      <c r="EQ18" s="593"/>
      <c r="ER18" s="593"/>
      <c r="ES18" s="593"/>
      <c r="ET18" s="593"/>
      <c r="EU18" s="593"/>
      <c r="EV18" s="593"/>
      <c r="EW18" s="593"/>
      <c r="EX18" s="593"/>
      <c r="EY18" s="593"/>
      <c r="EZ18" s="593"/>
      <c r="FA18" s="593"/>
      <c r="FB18" s="593"/>
      <c r="FC18" s="593"/>
      <c r="FD18" s="593"/>
      <c r="FE18" s="593"/>
      <c r="FF18" s="593"/>
      <c r="FG18" s="593"/>
      <c r="FH18" s="593"/>
      <c r="FI18" s="593"/>
      <c r="FJ18" s="593"/>
      <c r="FK18" s="593"/>
      <c r="FL18" s="593"/>
      <c r="FM18" s="593"/>
      <c r="FN18" s="593"/>
      <c r="FO18" s="593"/>
      <c r="FP18" s="593"/>
      <c r="FQ18" s="593"/>
      <c r="FR18" s="593"/>
      <c r="FS18" s="593"/>
      <c r="FT18" s="593"/>
      <c r="FU18" s="593"/>
      <c r="FV18" s="593"/>
      <c r="FW18" s="593"/>
      <c r="FX18" s="593"/>
      <c r="FY18" s="593"/>
      <c r="FZ18" s="593"/>
      <c r="GA18" s="593"/>
      <c r="GB18" s="593"/>
      <c r="GC18" s="593"/>
      <c r="GD18" s="593"/>
      <c r="GE18" s="593"/>
      <c r="GF18" s="593"/>
      <c r="GG18" s="593"/>
      <c r="GH18" s="593"/>
      <c r="GI18" s="593"/>
      <c r="GJ18" s="593"/>
      <c r="GK18" s="593"/>
      <c r="GL18" s="593"/>
      <c r="GM18" s="593"/>
      <c r="GN18" s="593"/>
      <c r="GO18" s="593"/>
      <c r="GP18" s="593"/>
      <c r="GQ18" s="593"/>
      <c r="GR18" s="593"/>
      <c r="GS18" s="593"/>
      <c r="GT18" s="593"/>
      <c r="GU18" s="593"/>
      <c r="GV18" s="593"/>
      <c r="GW18" s="593"/>
      <c r="GX18" s="593"/>
      <c r="GY18" s="593"/>
      <c r="GZ18" s="593"/>
      <c r="HA18" s="593"/>
      <c r="HB18" s="593"/>
      <c r="HC18" s="593"/>
      <c r="HD18" s="593"/>
      <c r="HE18" s="593"/>
      <c r="HF18" s="593"/>
      <c r="HG18" s="593"/>
      <c r="HH18" s="593"/>
      <c r="HI18" s="593"/>
      <c r="HJ18" s="593"/>
      <c r="HK18" s="593"/>
      <c r="HL18" s="593"/>
      <c r="HM18" s="593"/>
      <c r="HN18" s="593"/>
      <c r="HO18" s="593"/>
      <c r="HP18" s="593"/>
      <c r="HQ18" s="6"/>
      <c r="HR18" s="6"/>
      <c r="HS18" s="6"/>
      <c r="HT18" s="6"/>
      <c r="HU18" s="6"/>
      <c r="HV18" s="6"/>
      <c r="HW18" s="6"/>
      <c r="HX18" s="6"/>
      <c r="HY18" s="6"/>
      <c r="HZ18" s="6"/>
      <c r="IA18" s="6"/>
      <c r="IB18" s="6"/>
      <c r="IC18" s="6"/>
      <c r="ID18" s="6"/>
      <c r="IE18" s="6"/>
      <c r="IF18" s="6"/>
      <c r="IG18" s="6"/>
      <c r="IH18" s="6"/>
      <c r="II18" s="6"/>
      <c r="IJ18" s="6"/>
      <c r="IK18" s="6"/>
      <c r="IL18" s="6"/>
      <c r="IM18" s="6"/>
      <c r="IN18" s="6"/>
      <c r="IO18" s="6"/>
      <c r="IP18" s="6"/>
      <c r="IQ18" s="6"/>
      <c r="IR18" s="6"/>
      <c r="IS18" s="6"/>
      <c r="IT18" s="6"/>
      <c r="IU18" s="6"/>
      <c r="IV18" s="6"/>
    </row>
    <row r="19" spans="1:256" s="66" customFormat="1">
      <c r="A19" s="960" t="s">
        <v>212</v>
      </c>
      <c r="B19" s="89"/>
      <c r="C19" s="87"/>
      <c r="D19" s="88"/>
      <c r="E19" s="88"/>
      <c r="F19" s="88"/>
      <c r="G19" s="89"/>
      <c r="H19" s="87"/>
      <c r="I19" s="88"/>
      <c r="J19" s="88"/>
      <c r="K19" s="91"/>
      <c r="L19" s="44"/>
      <c r="M19" s="87"/>
      <c r="N19" s="88"/>
      <c r="O19" s="92"/>
      <c r="P19" s="88"/>
      <c r="Q19" s="89"/>
      <c r="R19" s="88"/>
      <c r="S19" s="88"/>
      <c r="T19" s="88"/>
      <c r="U19" s="91"/>
      <c r="V19" s="47"/>
      <c r="W19" s="88"/>
      <c r="X19" s="88"/>
      <c r="Y19" s="88"/>
      <c r="Z19" s="88"/>
      <c r="AA19" s="99"/>
      <c r="AB19" s="88"/>
      <c r="AC19" s="88"/>
      <c r="AD19" s="88"/>
      <c r="AE19" s="88"/>
      <c r="AF19" s="89"/>
      <c r="AG19" s="88"/>
      <c r="AH19" s="88"/>
      <c r="AI19" s="88"/>
      <c r="AJ19" s="88"/>
      <c r="AK19" s="540"/>
      <c r="AL19" s="88"/>
      <c r="AM19" s="88"/>
      <c r="AN19" s="88"/>
      <c r="AO19" s="88"/>
      <c r="AP19" s="540"/>
      <c r="AQ19" s="88"/>
      <c r="AR19" s="88"/>
      <c r="AS19" s="88"/>
      <c r="AT19" s="88"/>
      <c r="AU19" s="540"/>
      <c r="AV19" s="93"/>
      <c r="AW19" s="88"/>
      <c r="AX19" s="88"/>
      <c r="AY19" s="88"/>
      <c r="AZ19" s="540"/>
      <c r="BA19" s="93"/>
      <c r="BB19" s="93"/>
      <c r="BC19" s="93"/>
      <c r="BD19" s="93"/>
      <c r="BE19" s="540"/>
      <c r="BF19" s="88"/>
      <c r="BG19" s="93"/>
      <c r="BH19" s="93"/>
      <c r="BI19" s="93"/>
      <c r="BJ19" s="540"/>
      <c r="BK19" s="88"/>
      <c r="BL19" s="88"/>
      <c r="BM19" s="88"/>
      <c r="BN19" s="88"/>
      <c r="BO19" s="540"/>
      <c r="BP19" s="88"/>
      <c r="BQ19" s="88"/>
      <c r="BR19" s="88"/>
      <c r="BS19" s="88"/>
      <c r="BT19" s="540"/>
      <c r="BU19" s="88"/>
      <c r="BV19" s="88"/>
      <c r="BW19" s="88"/>
      <c r="BX19" s="88"/>
      <c r="BY19" s="540"/>
      <c r="BZ19" s="93"/>
      <c r="CA19" s="93"/>
      <c r="CB19" s="93"/>
      <c r="CC19" s="93"/>
      <c r="CD19" s="540"/>
      <c r="CE19" s="93"/>
      <c r="CF19" s="93"/>
      <c r="CG19" s="93"/>
      <c r="CH19" s="93"/>
      <c r="CI19" s="540"/>
      <c r="CJ19" s="93"/>
      <c r="CK19" s="93"/>
      <c r="CL19" s="93"/>
      <c r="CM19" s="93"/>
      <c r="CN19" s="540"/>
      <c r="CO19" s="45"/>
      <c r="CP19" s="1076"/>
      <c r="CQ19" s="593"/>
      <c r="CR19" s="960" t="s">
        <v>212</v>
      </c>
      <c r="CS19" s="88"/>
      <c r="CT19" s="93"/>
      <c r="CU19" s="121"/>
      <c r="CV19" s="88"/>
      <c r="CW19" s="121"/>
      <c r="CX19" s="41"/>
      <c r="CY19" s="41"/>
      <c r="CZ19" s="41"/>
      <c r="DA19" s="593"/>
      <c r="DB19"/>
      <c r="DC19"/>
      <c r="DD19"/>
      <c r="DE19"/>
      <c r="DF19"/>
      <c r="DG19"/>
      <c r="DH19" s="593"/>
      <c r="DI19" s="593"/>
      <c r="DJ19" s="593"/>
      <c r="DK19" s="593"/>
      <c r="DL19" s="593"/>
      <c r="DM19" s="593"/>
      <c r="DN19" s="593"/>
      <c r="DO19" s="593"/>
      <c r="DP19" s="593"/>
      <c r="DQ19" s="593"/>
      <c r="DR19" s="593"/>
      <c r="DS19" s="593"/>
      <c r="DT19" s="593"/>
      <c r="DU19" s="593"/>
      <c r="DV19" s="593"/>
      <c r="DW19" s="593"/>
      <c r="DX19" s="593"/>
      <c r="DY19" s="593"/>
      <c r="DZ19" s="593"/>
      <c r="EA19" s="593"/>
      <c r="EB19" s="593"/>
      <c r="EC19" s="593"/>
      <c r="ED19" s="593"/>
      <c r="EE19" s="593"/>
      <c r="EF19" s="593"/>
      <c r="EG19" s="593"/>
      <c r="EH19" s="593"/>
      <c r="EI19" s="593"/>
      <c r="EJ19" s="593"/>
      <c r="EK19" s="593"/>
      <c r="EL19" s="593"/>
      <c r="EM19" s="593"/>
      <c r="EN19" s="593"/>
      <c r="EO19" s="593"/>
      <c r="EP19" s="593"/>
      <c r="EQ19" s="593"/>
      <c r="ER19" s="593"/>
      <c r="ES19" s="593"/>
      <c r="ET19" s="593"/>
      <c r="EU19" s="593"/>
      <c r="EV19" s="593"/>
      <c r="EW19" s="593"/>
      <c r="EX19" s="593"/>
      <c r="EY19" s="593"/>
      <c r="EZ19" s="593"/>
      <c r="FA19" s="593"/>
      <c r="FB19" s="593"/>
      <c r="FC19" s="593"/>
      <c r="FD19" s="593"/>
      <c r="FE19" s="593"/>
      <c r="FF19" s="593"/>
      <c r="FG19" s="593"/>
      <c r="FH19" s="593"/>
      <c r="FI19" s="593"/>
      <c r="FJ19" s="593"/>
      <c r="FK19" s="593"/>
      <c r="FL19" s="593"/>
      <c r="FM19" s="593"/>
      <c r="FN19" s="593"/>
      <c r="FO19" s="593"/>
      <c r="FP19" s="593"/>
      <c r="FQ19" s="593"/>
      <c r="FR19" s="593"/>
      <c r="FS19" s="593"/>
      <c r="FT19" s="593"/>
      <c r="FU19" s="593"/>
      <c r="FV19" s="593"/>
      <c r="FW19" s="593"/>
      <c r="FX19" s="593"/>
      <c r="FY19" s="593"/>
      <c r="FZ19" s="593"/>
      <c r="GA19" s="593"/>
      <c r="GB19" s="593"/>
      <c r="GC19" s="593"/>
      <c r="GD19" s="593"/>
      <c r="GE19" s="593"/>
      <c r="GF19" s="593"/>
      <c r="GG19" s="593"/>
      <c r="GH19" s="593"/>
      <c r="GI19" s="593"/>
      <c r="GJ19" s="593"/>
      <c r="GK19" s="593"/>
      <c r="GL19" s="593"/>
      <c r="GM19" s="593"/>
      <c r="GN19" s="593"/>
      <c r="GO19" s="593"/>
      <c r="GP19" s="593"/>
      <c r="GQ19" s="593"/>
      <c r="GR19" s="593"/>
      <c r="GS19" s="593"/>
      <c r="GT19" s="593"/>
      <c r="GU19" s="593"/>
      <c r="GV19" s="593"/>
      <c r="GW19" s="593"/>
      <c r="GX19" s="593"/>
      <c r="GY19" s="593"/>
      <c r="GZ19" s="593"/>
      <c r="HA19" s="593"/>
      <c r="HB19" s="593"/>
      <c r="HC19" s="593"/>
      <c r="HD19" s="593"/>
      <c r="HE19" s="593"/>
      <c r="HF19" s="593"/>
      <c r="HG19" s="593"/>
      <c r="HH19" s="593"/>
      <c r="HI19" s="593"/>
      <c r="HJ19" s="593"/>
      <c r="HK19" s="593"/>
      <c r="HL19" s="593"/>
      <c r="HM19" s="593"/>
      <c r="HN19" s="593"/>
      <c r="HO19" s="593"/>
      <c r="HP19" s="593"/>
      <c r="HQ19" s="6"/>
      <c r="HR19" s="6"/>
      <c r="HS19" s="6"/>
      <c r="HT19" s="6"/>
      <c r="HU19" s="6"/>
      <c r="HV19" s="6"/>
      <c r="HW19" s="6"/>
      <c r="HX19" s="6"/>
      <c r="HY19" s="6"/>
      <c r="HZ19" s="6"/>
      <c r="IA19" s="6"/>
      <c r="IB19" s="6"/>
      <c r="IC19" s="6"/>
      <c r="ID19" s="6"/>
      <c r="IE19" s="6"/>
      <c r="IF19" s="6"/>
      <c r="IG19" s="6"/>
      <c r="IH19" s="6"/>
      <c r="II19" s="6"/>
      <c r="IJ19" s="6"/>
      <c r="IK19" s="6"/>
      <c r="IL19" s="6"/>
      <c r="IM19" s="6"/>
      <c r="IN19" s="6"/>
      <c r="IO19" s="6"/>
      <c r="IP19" s="6"/>
      <c r="IQ19" s="6"/>
      <c r="IR19" s="6"/>
      <c r="IS19" s="6"/>
      <c r="IT19" s="6"/>
      <c r="IU19" s="6"/>
      <c r="IV19" s="6"/>
    </row>
    <row r="20" spans="1:256" s="66" customFormat="1" ht="12.75" hidden="1" customHeight="1" outlineLevel="1">
      <c r="A20" s="938" t="s">
        <v>461</v>
      </c>
      <c r="B20" s="89"/>
      <c r="C20" s="87"/>
      <c r="D20" s="88"/>
      <c r="E20" s="88"/>
      <c r="F20" s="88"/>
      <c r="G20" s="89"/>
      <c r="H20" s="87"/>
      <c r="I20" s="88"/>
      <c r="J20" s="88"/>
      <c r="K20" s="91"/>
      <c r="L20" s="44"/>
      <c r="M20" s="87"/>
      <c r="N20" s="88"/>
      <c r="O20" s="92"/>
      <c r="P20" s="88"/>
      <c r="Q20" s="89"/>
      <c r="R20" s="88"/>
      <c r="S20" s="88"/>
      <c r="T20" s="88"/>
      <c r="U20" s="91"/>
      <c r="V20" s="47"/>
      <c r="W20" s="88"/>
      <c r="X20" s="88"/>
      <c r="Y20" s="88"/>
      <c r="Z20" s="88"/>
      <c r="AA20" s="99"/>
      <c r="AB20" s="88"/>
      <c r="AC20" s="88"/>
      <c r="AD20" s="88"/>
      <c r="AE20" s="88"/>
      <c r="AF20" s="89"/>
      <c r="AG20" s="88"/>
      <c r="AH20" s="88"/>
      <c r="AI20" s="88"/>
      <c r="AJ20" s="88"/>
      <c r="AK20" s="540"/>
      <c r="AL20" s="88"/>
      <c r="AM20" s="88"/>
      <c r="AN20" s="88"/>
      <c r="AO20" s="88"/>
      <c r="AP20" s="540"/>
      <c r="AQ20" s="88">
        <v>157.30000000000001</v>
      </c>
      <c r="AR20" s="88">
        <f t="shared" ref="AR20:AT22" si="22">AR$12*AR70</f>
        <v>176.10950000000003</v>
      </c>
      <c r="AS20" s="88">
        <f t="shared" si="22"/>
        <v>174.20519999999999</v>
      </c>
      <c r="AT20" s="88">
        <f t="shared" si="22"/>
        <v>171.88529999999997</v>
      </c>
      <c r="AU20" s="545">
        <f>SUM(AQ20:AT20)</f>
        <v>679.5</v>
      </c>
      <c r="AV20" s="88">
        <v>168.7</v>
      </c>
      <c r="AW20" s="88">
        <v>181.4</v>
      </c>
      <c r="AX20" s="88">
        <v>179.8</v>
      </c>
      <c r="AY20" s="88">
        <v>177.4</v>
      </c>
      <c r="AZ20" s="545">
        <f t="shared" si="1"/>
        <v>707.30000000000007</v>
      </c>
      <c r="BA20" s="88">
        <v>169.8</v>
      </c>
      <c r="BB20" s="88">
        <v>181.9</v>
      </c>
      <c r="BC20" s="88">
        <v>178</v>
      </c>
      <c r="BD20" s="88">
        <f>BE20-SUM(BA20:BC20)</f>
        <v>160.29999999999995</v>
      </c>
      <c r="BE20" s="545">
        <v>690</v>
      </c>
      <c r="BF20" s="88">
        <v>134.1</v>
      </c>
      <c r="BG20" s="88">
        <v>132.80000000000001</v>
      </c>
      <c r="BH20" s="88">
        <v>128.80000000000001</v>
      </c>
      <c r="BI20" s="88">
        <f>BJ20-SUM(BF20:BH20)</f>
        <v>129.90000000000003</v>
      </c>
      <c r="BJ20" s="545">
        <v>525.6</v>
      </c>
      <c r="BK20" s="88">
        <v>115.6</v>
      </c>
      <c r="BL20" s="88">
        <v>122.4</v>
      </c>
      <c r="BM20" s="88">
        <v>113.3</v>
      </c>
      <c r="BN20" s="88">
        <f>460-SUM(BK20:BM20)</f>
        <v>108.69999999999999</v>
      </c>
      <c r="BO20" s="857">
        <f>SUM(BK20:BN20)</f>
        <v>460</v>
      </c>
      <c r="BP20" s="88">
        <v>79.2</v>
      </c>
      <c r="BQ20" s="961">
        <v>78.400000000000006</v>
      </c>
      <c r="BR20" s="961">
        <v>69.3</v>
      </c>
      <c r="BS20" s="961">
        <f>BT20-SUM(BP20:BR20)</f>
        <v>51.699999999999989</v>
      </c>
      <c r="BT20" s="857">
        <v>278.60000000000002</v>
      </c>
      <c r="BU20" s="961">
        <v>45</v>
      </c>
      <c r="BV20" s="961">
        <v>50.3</v>
      </c>
      <c r="BW20" s="961">
        <v>51.8</v>
      </c>
      <c r="BX20" s="961">
        <f>BY20-SUM(BU20:BW20)</f>
        <v>49.300000000000011</v>
      </c>
      <c r="BY20" s="857">
        <v>196.4</v>
      </c>
      <c r="BZ20" s="961">
        <f t="shared" ref="BZ20:CC22" si="23">BZ$12*BZ70</f>
        <v>49.052362587140692</v>
      </c>
      <c r="CA20" s="961">
        <f t="shared" si="23"/>
        <v>54.486594407877639</v>
      </c>
      <c r="CB20" s="961">
        <f t="shared" si="23"/>
        <v>57.29217161679216</v>
      </c>
      <c r="CC20" s="961">
        <f t="shared" si="23"/>
        <v>53.7018420755821</v>
      </c>
      <c r="CD20" s="857">
        <f>SUM(BZ20:CC20)</f>
        <v>214.53297068739261</v>
      </c>
      <c r="CE20" s="961">
        <f t="shared" ref="CE20:CH22" si="24">CE$12*CE70</f>
        <v>52.1917137927177</v>
      </c>
      <c r="CF20" s="961">
        <f t="shared" si="24"/>
        <v>57.586777002547429</v>
      </c>
      <c r="CG20" s="961">
        <f t="shared" si="24"/>
        <v>60.724639277132518</v>
      </c>
      <c r="CH20" s="961">
        <f t="shared" si="24"/>
        <v>57.628937134853736</v>
      </c>
      <c r="CI20" s="857">
        <f>SUM(CE20:CH20)</f>
        <v>228.1320672072514</v>
      </c>
      <c r="CJ20" s="961">
        <f t="shared" ref="CJ20:CM22" si="25">CJ$12*CJ70</f>
        <v>56.163320083523189</v>
      </c>
      <c r="CK20" s="961">
        <f t="shared" si="25"/>
        <v>61.544193887257372</v>
      </c>
      <c r="CL20" s="961">
        <f t="shared" si="25"/>
        <v>65.07013658494121</v>
      </c>
      <c r="CM20" s="961">
        <f t="shared" si="25"/>
        <v>62.510008749939402</v>
      </c>
      <c r="CN20" s="857">
        <f>SUM(CJ20:CM20)</f>
        <v>245.28765930566118</v>
      </c>
      <c r="CO20" s="45"/>
      <c r="CP20" s="961"/>
      <c r="CQ20" s="1078"/>
      <c r="CR20" s="938" t="s">
        <v>461</v>
      </c>
      <c r="CS20" s="88">
        <f t="shared" ref="CS20:CS40" si="26">BX20</f>
        <v>49.300000000000011</v>
      </c>
      <c r="CT20" s="93">
        <v>50.81712353887054</v>
      </c>
      <c r="CU20" s="121">
        <f t="shared" ref="CU20:CU36" si="27">CS20-CT20</f>
        <v>-1.5171235388705284</v>
      </c>
      <c r="CV20" s="88">
        <f>BS20</f>
        <v>51.699999999999989</v>
      </c>
      <c r="CW20" s="153">
        <f t="shared" ref="CW20:CW67" si="28">CS20/CV20-1</f>
        <v>-4.6421663442939631E-2</v>
      </c>
      <c r="CX20" s="41"/>
      <c r="CY20" s="41"/>
      <c r="CZ20" s="41"/>
      <c r="DA20" s="593"/>
      <c r="DB20"/>
      <c r="DC20"/>
      <c r="DD20"/>
      <c r="DE20"/>
      <c r="DF20"/>
      <c r="DG20"/>
      <c r="DH20" s="593"/>
      <c r="DI20" s="593"/>
      <c r="DJ20" s="593"/>
      <c r="DK20" s="593"/>
      <c r="DL20" s="593"/>
      <c r="DM20" s="593"/>
      <c r="DN20" s="593"/>
      <c r="DO20" s="593"/>
      <c r="DP20" s="593"/>
      <c r="DQ20" s="593"/>
      <c r="DR20" s="593"/>
      <c r="DS20" s="593"/>
      <c r="DT20" s="593"/>
      <c r="DU20" s="593"/>
      <c r="DV20" s="593"/>
      <c r="DW20" s="593"/>
      <c r="DX20" s="593"/>
      <c r="DY20" s="593"/>
      <c r="DZ20" s="593"/>
      <c r="EA20" s="593"/>
      <c r="EB20" s="593"/>
      <c r="EC20" s="593"/>
      <c r="ED20" s="593"/>
      <c r="EE20" s="593"/>
      <c r="EF20" s="593"/>
      <c r="EG20" s="593"/>
      <c r="EH20" s="593"/>
      <c r="EI20" s="593"/>
      <c r="EJ20" s="593"/>
      <c r="EK20" s="593"/>
      <c r="EL20" s="593"/>
      <c r="EM20" s="593"/>
      <c r="EN20" s="593"/>
      <c r="EO20" s="593"/>
      <c r="EP20" s="593"/>
      <c r="EQ20" s="593"/>
      <c r="ER20" s="593"/>
      <c r="ES20" s="593"/>
      <c r="ET20" s="593"/>
      <c r="EU20" s="593"/>
      <c r="EV20" s="593"/>
      <c r="EW20" s="593"/>
      <c r="EX20" s="593"/>
      <c r="EY20" s="593"/>
      <c r="EZ20" s="593"/>
      <c r="FA20" s="593"/>
      <c r="FB20" s="593"/>
      <c r="FC20" s="593"/>
      <c r="FD20" s="593"/>
      <c r="FE20" s="593"/>
      <c r="FF20" s="593"/>
      <c r="FG20" s="593"/>
      <c r="FH20" s="593"/>
      <c r="FI20" s="593"/>
      <c r="FJ20" s="593"/>
      <c r="FK20" s="593"/>
      <c r="FL20" s="593"/>
      <c r="FM20" s="593"/>
      <c r="FN20" s="593"/>
      <c r="FO20" s="593"/>
      <c r="FP20" s="593"/>
      <c r="FQ20" s="593"/>
      <c r="FR20" s="593"/>
      <c r="FS20" s="593"/>
      <c r="FT20" s="593"/>
      <c r="FU20" s="593"/>
      <c r="FV20" s="593"/>
      <c r="FW20" s="593"/>
      <c r="FX20" s="593"/>
      <c r="FY20" s="593"/>
      <c r="FZ20" s="593"/>
      <c r="GA20" s="593"/>
      <c r="GB20" s="593"/>
      <c r="GC20" s="593"/>
      <c r="GD20" s="593"/>
      <c r="GE20" s="593"/>
      <c r="GF20" s="593"/>
      <c r="GG20" s="593"/>
      <c r="GH20" s="593"/>
      <c r="GI20" s="593"/>
      <c r="GJ20" s="593"/>
      <c r="GK20" s="593"/>
      <c r="GL20" s="593"/>
      <c r="GM20" s="593"/>
      <c r="GN20" s="593"/>
      <c r="GO20" s="593"/>
      <c r="GP20" s="593"/>
      <c r="GQ20" s="593"/>
      <c r="GR20" s="593"/>
      <c r="GS20" s="593"/>
      <c r="GT20" s="593"/>
      <c r="GU20" s="593"/>
      <c r="GV20" s="593"/>
      <c r="GW20" s="593"/>
      <c r="GX20" s="593"/>
      <c r="GY20" s="593"/>
      <c r="GZ20" s="593"/>
      <c r="HA20" s="593"/>
      <c r="HB20" s="593"/>
      <c r="HC20" s="593"/>
      <c r="HD20" s="593"/>
      <c r="HE20" s="593"/>
      <c r="HF20" s="593"/>
      <c r="HG20" s="593"/>
      <c r="HH20" s="593"/>
      <c r="HI20" s="593"/>
      <c r="HJ20" s="593"/>
      <c r="HK20" s="593"/>
      <c r="HL20" s="593"/>
      <c r="HM20" s="593"/>
      <c r="HN20" s="593"/>
      <c r="HO20" s="593"/>
      <c r="HP20" s="593"/>
      <c r="HQ20" s="6"/>
      <c r="HR20" s="6"/>
      <c r="HS20" s="6"/>
      <c r="HT20" s="6"/>
      <c r="HU20" s="6"/>
      <c r="HV20" s="6"/>
      <c r="HW20" s="6"/>
      <c r="HX20" s="6"/>
      <c r="HY20" s="6"/>
      <c r="HZ20" s="6"/>
      <c r="IA20" s="6"/>
      <c r="IB20" s="6"/>
      <c r="IC20" s="6"/>
      <c r="ID20" s="6"/>
      <c r="IE20" s="6"/>
      <c r="IF20" s="6"/>
      <c r="IG20" s="6"/>
      <c r="IH20" s="6"/>
      <c r="II20" s="6"/>
      <c r="IJ20" s="6"/>
      <c r="IK20" s="6"/>
      <c r="IL20" s="6"/>
      <c r="IM20" s="6"/>
      <c r="IN20" s="6"/>
      <c r="IO20" s="6"/>
      <c r="IP20" s="6"/>
      <c r="IQ20" s="6"/>
      <c r="IR20" s="6"/>
      <c r="IS20" s="6"/>
      <c r="IT20" s="6"/>
      <c r="IU20" s="6"/>
      <c r="IV20" s="6"/>
    </row>
    <row r="21" spans="1:256" s="66" customFormat="1" ht="12.75" hidden="1" customHeight="1" outlineLevel="1">
      <c r="A21" s="938" t="s">
        <v>489</v>
      </c>
      <c r="B21" s="89"/>
      <c r="C21" s="87"/>
      <c r="D21" s="88"/>
      <c r="E21" s="88"/>
      <c r="F21" s="88"/>
      <c r="G21" s="89"/>
      <c r="H21" s="87"/>
      <c r="I21" s="88"/>
      <c r="J21" s="88"/>
      <c r="K21" s="91"/>
      <c r="L21" s="44"/>
      <c r="M21" s="87"/>
      <c r="N21" s="88"/>
      <c r="O21" s="92"/>
      <c r="P21" s="88"/>
      <c r="Q21" s="89"/>
      <c r="R21" s="88"/>
      <c r="S21" s="88"/>
      <c r="T21" s="88"/>
      <c r="U21" s="91"/>
      <c r="V21" s="47"/>
      <c r="W21" s="88"/>
      <c r="X21" s="88"/>
      <c r="Y21" s="88"/>
      <c r="Z21" s="88"/>
      <c r="AA21" s="99"/>
      <c r="AB21" s="88"/>
      <c r="AC21" s="88"/>
      <c r="AD21" s="88"/>
      <c r="AE21" s="88"/>
      <c r="AF21" s="89"/>
      <c r="AG21" s="88"/>
      <c r="AH21" s="88"/>
      <c r="AI21" s="88"/>
      <c r="AJ21" s="88"/>
      <c r="AK21" s="540"/>
      <c r="AL21" s="88"/>
      <c r="AM21" s="88"/>
      <c r="AN21" s="88"/>
      <c r="AO21" s="88"/>
      <c r="AP21" s="540"/>
      <c r="AQ21" s="88">
        <v>151.1</v>
      </c>
      <c r="AR21" s="88">
        <f t="shared" si="22"/>
        <v>155.60720000000001</v>
      </c>
      <c r="AS21" s="88">
        <f t="shared" si="22"/>
        <v>150.49679999999998</v>
      </c>
      <c r="AT21" s="88">
        <f t="shared" si="22"/>
        <v>155.99600000000001</v>
      </c>
      <c r="AU21" s="545">
        <f>SUM(AQ21:AT21)</f>
        <v>613.19999999999993</v>
      </c>
      <c r="AV21" s="88">
        <v>154.69999999999999</v>
      </c>
      <c r="AW21" s="88">
        <v>162.9</v>
      </c>
      <c r="AX21" s="88">
        <v>162.69999999999999</v>
      </c>
      <c r="AY21" s="88">
        <v>161</v>
      </c>
      <c r="AZ21" s="545">
        <f t="shared" si="1"/>
        <v>641.29999999999995</v>
      </c>
      <c r="BA21" s="88">
        <v>158.80000000000001</v>
      </c>
      <c r="BB21" s="88">
        <v>161.6</v>
      </c>
      <c r="BC21" s="88">
        <v>157.80000000000001</v>
      </c>
      <c r="BD21" s="88">
        <f>BE21-SUM(BA21:BC21)</f>
        <v>145.40000000000003</v>
      </c>
      <c r="BE21" s="545">
        <v>623.6</v>
      </c>
      <c r="BF21" s="88">
        <v>128.4</v>
      </c>
      <c r="BG21" s="88">
        <v>115</v>
      </c>
      <c r="BH21" s="88">
        <v>112.7</v>
      </c>
      <c r="BI21" s="88">
        <f>BJ21-SUM(BF21:BH21)</f>
        <v>110.69999999999999</v>
      </c>
      <c r="BJ21" s="545">
        <v>466.8</v>
      </c>
      <c r="BK21" s="88">
        <v>105.2</v>
      </c>
      <c r="BL21" s="88">
        <v>107.1</v>
      </c>
      <c r="BM21" s="88">
        <v>99</v>
      </c>
      <c r="BN21" s="88">
        <f>406.4-SUM(BK21:BM21)</f>
        <v>95.099999999999966</v>
      </c>
      <c r="BO21" s="857">
        <f>SUM(BK21:BN21)</f>
        <v>406.4</v>
      </c>
      <c r="BP21" s="88">
        <v>76</v>
      </c>
      <c r="BQ21" s="961">
        <v>70.8</v>
      </c>
      <c r="BR21" s="961">
        <v>64.8</v>
      </c>
      <c r="BS21" s="961">
        <f>BT21-SUM(BP21:BR21)</f>
        <v>50</v>
      </c>
      <c r="BT21" s="857">
        <v>261.60000000000002</v>
      </c>
      <c r="BU21" s="961">
        <v>44.3</v>
      </c>
      <c r="BV21" s="961">
        <v>45.8</v>
      </c>
      <c r="BW21" s="961">
        <v>45.6</v>
      </c>
      <c r="BX21" s="961">
        <f>BY21-SUM(BU21:BW21)</f>
        <v>45.5</v>
      </c>
      <c r="BY21" s="857">
        <v>181.2</v>
      </c>
      <c r="BZ21" s="961">
        <f t="shared" si="23"/>
        <v>48.616747781391823</v>
      </c>
      <c r="CA21" s="961">
        <f t="shared" si="23"/>
        <v>50.50872903029078</v>
      </c>
      <c r="CB21" s="961">
        <f t="shared" si="23"/>
        <v>51.175061537123497</v>
      </c>
      <c r="CC21" s="961">
        <f t="shared" si="23"/>
        <v>50.259054584955216</v>
      </c>
      <c r="CD21" s="857">
        <f>SUM(BZ21:CC21)</f>
        <v>200.55959293376131</v>
      </c>
      <c r="CE21" s="961">
        <f t="shared" si="24"/>
        <v>51.898436390276551</v>
      </c>
      <c r="CF21" s="961">
        <f t="shared" si="24"/>
        <v>53.565570366685193</v>
      </c>
      <c r="CG21" s="961">
        <f t="shared" si="24"/>
        <v>54.426118192855427</v>
      </c>
      <c r="CH21" s="961">
        <f t="shared" si="24"/>
        <v>54.114311166017899</v>
      </c>
      <c r="CI21" s="857">
        <f>SUM(CE21:CH21)</f>
        <v>214.00443611583506</v>
      </c>
      <c r="CJ21" s="961">
        <f t="shared" si="25"/>
        <v>55.847725299799784</v>
      </c>
      <c r="CK21" s="961">
        <f t="shared" si="25"/>
        <v>57.24664619072135</v>
      </c>
      <c r="CL21" s="961">
        <f t="shared" si="25"/>
        <v>58.320888962956879</v>
      </c>
      <c r="CM21" s="961">
        <f t="shared" si="25"/>
        <v>58.697700021243122</v>
      </c>
      <c r="CN21" s="857">
        <f>SUM(CJ21:CM21)</f>
        <v>230.11296047472112</v>
      </c>
      <c r="CO21" s="45"/>
      <c r="CP21" s="961"/>
      <c r="CQ21" s="1078"/>
      <c r="CR21" s="938" t="s">
        <v>489</v>
      </c>
      <c r="CS21" s="88">
        <f t="shared" si="26"/>
        <v>45.5</v>
      </c>
      <c r="CT21" s="93">
        <v>46.929781585461249</v>
      </c>
      <c r="CU21" s="121">
        <f t="shared" si="27"/>
        <v>-1.4297815854612494</v>
      </c>
      <c r="CV21" s="88">
        <f>BS21</f>
        <v>50</v>
      </c>
      <c r="CW21" s="153">
        <f t="shared" si="28"/>
        <v>-8.9999999999999969E-2</v>
      </c>
      <c r="CX21" s="41"/>
      <c r="CY21" s="41"/>
      <c r="CZ21" s="41"/>
      <c r="DA21" s="593"/>
      <c r="DB21"/>
      <c r="DC21"/>
      <c r="DD21"/>
      <c r="DE21"/>
      <c r="DF21"/>
      <c r="DG21"/>
      <c r="DH21" s="593"/>
      <c r="DI21" s="593"/>
      <c r="DJ21" s="593"/>
      <c r="DK21" s="593"/>
      <c r="DL21" s="593"/>
      <c r="DM21" s="593"/>
      <c r="DN21" s="593"/>
      <c r="DO21" s="593"/>
      <c r="DP21" s="593"/>
      <c r="DQ21" s="593"/>
      <c r="DR21" s="593"/>
      <c r="DS21" s="593"/>
      <c r="DT21" s="593"/>
      <c r="DU21" s="593"/>
      <c r="DV21" s="593"/>
      <c r="DW21" s="593"/>
      <c r="DX21" s="593"/>
      <c r="DY21" s="593"/>
      <c r="DZ21" s="593"/>
      <c r="EA21" s="593"/>
      <c r="EB21" s="593"/>
      <c r="EC21" s="593"/>
      <c r="ED21" s="593"/>
      <c r="EE21" s="593"/>
      <c r="EF21" s="593"/>
      <c r="EG21" s="593"/>
      <c r="EH21" s="593"/>
      <c r="EI21" s="593"/>
      <c r="EJ21" s="593"/>
      <c r="EK21" s="593"/>
      <c r="EL21" s="593"/>
      <c r="EM21" s="593"/>
      <c r="EN21" s="593"/>
      <c r="EO21" s="593"/>
      <c r="EP21" s="593"/>
      <c r="EQ21" s="593"/>
      <c r="ER21" s="593"/>
      <c r="ES21" s="593"/>
      <c r="ET21" s="593"/>
      <c r="EU21" s="593"/>
      <c r="EV21" s="593"/>
      <c r="EW21" s="593"/>
      <c r="EX21" s="593"/>
      <c r="EY21" s="593"/>
      <c r="EZ21" s="593"/>
      <c r="FA21" s="593"/>
      <c r="FB21" s="593"/>
      <c r="FC21" s="593"/>
      <c r="FD21" s="593"/>
      <c r="FE21" s="593"/>
      <c r="FF21" s="593"/>
      <c r="FG21" s="593"/>
      <c r="FH21" s="593"/>
      <c r="FI21" s="593"/>
      <c r="FJ21" s="593"/>
      <c r="FK21" s="593"/>
      <c r="FL21" s="593"/>
      <c r="FM21" s="593"/>
      <c r="FN21" s="593"/>
      <c r="FO21" s="593"/>
      <c r="FP21" s="593"/>
      <c r="FQ21" s="593"/>
      <c r="FR21" s="593"/>
      <c r="FS21" s="593"/>
      <c r="FT21" s="593"/>
      <c r="FU21" s="593"/>
      <c r="FV21" s="593"/>
      <c r="FW21" s="593"/>
      <c r="FX21" s="593"/>
      <c r="FY21" s="593"/>
      <c r="FZ21" s="593"/>
      <c r="GA21" s="593"/>
      <c r="GB21" s="593"/>
      <c r="GC21" s="593"/>
      <c r="GD21" s="593"/>
      <c r="GE21" s="593"/>
      <c r="GF21" s="593"/>
      <c r="GG21" s="593"/>
      <c r="GH21" s="593"/>
      <c r="GI21" s="593"/>
      <c r="GJ21" s="593"/>
      <c r="GK21" s="593"/>
      <c r="GL21" s="593"/>
      <c r="GM21" s="593"/>
      <c r="GN21" s="593"/>
      <c r="GO21" s="593"/>
      <c r="GP21" s="593"/>
      <c r="GQ21" s="593"/>
      <c r="GR21" s="593"/>
      <c r="GS21" s="593"/>
      <c r="GT21" s="593"/>
      <c r="GU21" s="593"/>
      <c r="GV21" s="593"/>
      <c r="GW21" s="593"/>
      <c r="GX21" s="593"/>
      <c r="GY21" s="593"/>
      <c r="GZ21" s="593"/>
      <c r="HA21" s="593"/>
      <c r="HB21" s="593"/>
      <c r="HC21" s="593"/>
      <c r="HD21" s="593"/>
      <c r="HE21" s="593"/>
      <c r="HF21" s="593"/>
      <c r="HG21" s="593"/>
      <c r="HH21" s="593"/>
      <c r="HI21" s="593"/>
      <c r="HJ21" s="593"/>
      <c r="HK21" s="593"/>
      <c r="HL21" s="593"/>
      <c r="HM21" s="593"/>
      <c r="HN21" s="593"/>
      <c r="HO21" s="593"/>
      <c r="HP21" s="593"/>
      <c r="HQ21" s="6"/>
      <c r="HR21" s="6"/>
      <c r="HS21" s="6"/>
      <c r="HT21" s="6"/>
      <c r="HU21" s="6"/>
      <c r="HV21" s="6"/>
      <c r="HW21" s="6"/>
      <c r="HX21" s="6"/>
      <c r="HY21" s="6"/>
      <c r="HZ21" s="6"/>
      <c r="IA21" s="6"/>
      <c r="IB21" s="6"/>
      <c r="IC21" s="6"/>
      <c r="ID21" s="6"/>
      <c r="IE21" s="6"/>
      <c r="IF21" s="6"/>
      <c r="IG21" s="6"/>
      <c r="IH21" s="6"/>
      <c r="II21" s="6"/>
      <c r="IJ21" s="6"/>
      <c r="IK21" s="6"/>
      <c r="IL21" s="6"/>
      <c r="IM21" s="6"/>
      <c r="IN21" s="6"/>
      <c r="IO21" s="6"/>
      <c r="IP21" s="6"/>
      <c r="IQ21" s="6"/>
      <c r="IR21" s="6"/>
      <c r="IS21" s="6"/>
      <c r="IT21" s="6"/>
      <c r="IU21" s="6"/>
      <c r="IV21" s="6"/>
    </row>
    <row r="22" spans="1:256" s="66" customFormat="1" ht="12.75" hidden="1" customHeight="1" outlineLevel="1">
      <c r="A22" s="938" t="s">
        <v>48</v>
      </c>
      <c r="B22" s="89"/>
      <c r="C22" s="87"/>
      <c r="D22" s="88"/>
      <c r="E22" s="88"/>
      <c r="F22" s="88"/>
      <c r="G22" s="89"/>
      <c r="H22" s="87"/>
      <c r="I22" s="88"/>
      <c r="J22" s="88"/>
      <c r="K22" s="91"/>
      <c r="L22" s="44"/>
      <c r="M22" s="87"/>
      <c r="N22" s="88"/>
      <c r="O22" s="92"/>
      <c r="P22" s="88"/>
      <c r="Q22" s="89"/>
      <c r="R22" s="88"/>
      <c r="S22" s="88"/>
      <c r="T22" s="88"/>
      <c r="U22" s="91"/>
      <c r="V22" s="47"/>
      <c r="W22" s="88"/>
      <c r="X22" s="88"/>
      <c r="Y22" s="88"/>
      <c r="Z22" s="88"/>
      <c r="AA22" s="99"/>
      <c r="AB22" s="88"/>
      <c r="AC22" s="88"/>
      <c r="AD22" s="88"/>
      <c r="AE22" s="88"/>
      <c r="AF22" s="89"/>
      <c r="AG22" s="88"/>
      <c r="AH22" s="88"/>
      <c r="AI22" s="88"/>
      <c r="AJ22" s="88"/>
      <c r="AK22" s="540"/>
      <c r="AL22" s="88"/>
      <c r="AM22" s="88"/>
      <c r="AN22" s="88"/>
      <c r="AO22" s="88"/>
      <c r="AP22" s="540"/>
      <c r="AQ22" s="88">
        <v>116.2</v>
      </c>
      <c r="AR22" s="88">
        <f t="shared" si="22"/>
        <v>120.91100000000002</v>
      </c>
      <c r="AS22" s="88">
        <f t="shared" si="22"/>
        <v>120.0882</v>
      </c>
      <c r="AT22" s="88">
        <f t="shared" si="22"/>
        <v>113.40079999999999</v>
      </c>
      <c r="AU22" s="545">
        <f>SUM(AQ22:AT22)</f>
        <v>470.6</v>
      </c>
      <c r="AV22" s="88">
        <v>119.4</v>
      </c>
      <c r="AW22" s="88">
        <v>126.4</v>
      </c>
      <c r="AX22" s="88">
        <v>124.3</v>
      </c>
      <c r="AY22" s="88">
        <v>113.5</v>
      </c>
      <c r="AZ22" s="545">
        <f t="shared" si="1"/>
        <v>483.6</v>
      </c>
      <c r="BA22" s="88">
        <v>121.1</v>
      </c>
      <c r="BB22" s="88">
        <v>118.9</v>
      </c>
      <c r="BC22" s="88">
        <v>121.6</v>
      </c>
      <c r="BD22" s="88">
        <f>BE22-SUM(BA22:BC22)</f>
        <v>105.69999999999999</v>
      </c>
      <c r="BE22" s="545">
        <v>467.3</v>
      </c>
      <c r="BF22" s="88">
        <v>100.9</v>
      </c>
      <c r="BG22" s="88">
        <v>87.3</v>
      </c>
      <c r="BH22" s="88">
        <v>91.1</v>
      </c>
      <c r="BI22" s="88">
        <f>BJ22-SUM(BF22:BH22)</f>
        <v>83.400000000000034</v>
      </c>
      <c r="BJ22" s="545">
        <v>362.7</v>
      </c>
      <c r="BK22" s="88">
        <v>84.3</v>
      </c>
      <c r="BL22" s="88">
        <v>85.6</v>
      </c>
      <c r="BM22" s="88">
        <v>79.2</v>
      </c>
      <c r="BN22" s="88">
        <f>317.7-SUM(BK22:BM22)</f>
        <v>68.600000000000023</v>
      </c>
      <c r="BO22" s="857">
        <f>SUM(BK22:BN22)</f>
        <v>317.7</v>
      </c>
      <c r="BP22" s="88">
        <v>59.5</v>
      </c>
      <c r="BQ22" s="961">
        <v>53.4</v>
      </c>
      <c r="BR22" s="961">
        <v>52.4</v>
      </c>
      <c r="BS22" s="961">
        <f>BT22-SUM(BP22:BR22)</f>
        <v>39.199999999999989</v>
      </c>
      <c r="BT22" s="857">
        <v>204.5</v>
      </c>
      <c r="BU22" s="961">
        <v>34.1</v>
      </c>
      <c r="BV22" s="961">
        <v>33.299999999999997</v>
      </c>
      <c r="BW22" s="961">
        <v>35</v>
      </c>
      <c r="BX22" s="961">
        <f>BY22-SUM(BU22:BW22)</f>
        <v>32.900000000000006</v>
      </c>
      <c r="BY22" s="857">
        <v>135.30000000000001</v>
      </c>
      <c r="BZ22" s="961">
        <f t="shared" si="23"/>
        <v>36.647128507261726</v>
      </c>
      <c r="CA22" s="961">
        <f t="shared" si="23"/>
        <v>35.66925434439954</v>
      </c>
      <c r="CB22" s="961">
        <f t="shared" si="23"/>
        <v>38.300348679555718</v>
      </c>
      <c r="CC22" s="961">
        <f t="shared" si="23"/>
        <v>36.116750799940306</v>
      </c>
      <c r="CD22" s="857">
        <f>SUM(BZ22:CC22)</f>
        <v>146.73348233115729</v>
      </c>
      <c r="CE22" s="961">
        <f t="shared" si="24"/>
        <v>38.822327980850837</v>
      </c>
      <c r="CF22" s="961">
        <f t="shared" si="24"/>
        <v>37.515774779929906</v>
      </c>
      <c r="CG22" s="961">
        <f t="shared" si="24"/>
        <v>40.40991012045783</v>
      </c>
      <c r="CH22" s="961">
        <f t="shared" si="24"/>
        <v>38.577962806495528</v>
      </c>
      <c r="CI22" s="857">
        <f>SUM(CE22:CH22)</f>
        <v>155.32597568773409</v>
      </c>
      <c r="CJ22" s="961">
        <f t="shared" si="25"/>
        <v>41.410231624767867</v>
      </c>
      <c r="CK22" s="961">
        <f t="shared" si="25"/>
        <v>39.702759722766203</v>
      </c>
      <c r="CL22" s="961">
        <f t="shared" si="25"/>
        <v>42.905032998792294</v>
      </c>
      <c r="CM22" s="961">
        <f t="shared" si="25"/>
        <v>41.455121423507464</v>
      </c>
      <c r="CN22" s="857">
        <f>SUM(CJ22:CM22)</f>
        <v>165.47314576983382</v>
      </c>
      <c r="CO22" s="72"/>
      <c r="CP22" s="961"/>
      <c r="CQ22" s="1078"/>
      <c r="CR22" s="938" t="s">
        <v>48</v>
      </c>
      <c r="CS22" s="88">
        <f t="shared" si="26"/>
        <v>32.900000000000006</v>
      </c>
      <c r="CT22" s="93">
        <v>35.330000174643324</v>
      </c>
      <c r="CU22" s="121">
        <f t="shared" si="27"/>
        <v>-2.4300001746433182</v>
      </c>
      <c r="CV22" s="88">
        <f>BS22</f>
        <v>39.199999999999989</v>
      </c>
      <c r="CW22" s="153">
        <f t="shared" si="28"/>
        <v>-0.16071428571428537</v>
      </c>
      <c r="CX22" s="41"/>
      <c r="CY22" s="41"/>
      <c r="CZ22" s="41"/>
      <c r="DA22" s="593"/>
      <c r="DB22"/>
      <c r="DC22"/>
      <c r="DD22"/>
      <c r="DE22"/>
      <c r="DF22"/>
      <c r="DG22"/>
      <c r="DH22" s="593"/>
      <c r="DI22" s="593"/>
      <c r="DJ22" s="593"/>
      <c r="DK22" s="593"/>
      <c r="DL22" s="593"/>
      <c r="DM22" s="593"/>
      <c r="DN22" s="593"/>
      <c r="DO22" s="593"/>
      <c r="DP22" s="593"/>
      <c r="DQ22" s="593"/>
      <c r="DR22" s="593"/>
      <c r="DS22" s="593"/>
      <c r="DT22" s="593"/>
      <c r="DU22" s="593"/>
      <c r="DV22" s="593"/>
      <c r="DW22" s="593"/>
      <c r="DX22" s="593"/>
      <c r="DY22" s="593"/>
      <c r="DZ22" s="593"/>
      <c r="EA22" s="593"/>
      <c r="EB22" s="593"/>
      <c r="EC22" s="593"/>
      <c r="ED22" s="593"/>
      <c r="EE22" s="593"/>
      <c r="EF22" s="593"/>
      <c r="EG22" s="593"/>
      <c r="EH22" s="593"/>
      <c r="EI22" s="593"/>
      <c r="EJ22" s="593"/>
      <c r="EK22" s="593"/>
      <c r="EL22" s="593"/>
      <c r="EM22" s="593"/>
      <c r="EN22" s="593"/>
      <c r="EO22" s="593"/>
      <c r="EP22" s="593"/>
      <c r="EQ22" s="593"/>
      <c r="ER22" s="593"/>
      <c r="ES22" s="593"/>
      <c r="ET22" s="593"/>
      <c r="EU22" s="593"/>
      <c r="EV22" s="593"/>
      <c r="EW22" s="593"/>
      <c r="EX22" s="593"/>
      <c r="EY22" s="593"/>
      <c r="EZ22" s="593"/>
      <c r="FA22" s="593"/>
      <c r="FB22" s="593"/>
      <c r="FC22" s="593"/>
      <c r="FD22" s="593"/>
      <c r="FE22" s="593"/>
      <c r="FF22" s="593"/>
      <c r="FG22" s="593"/>
      <c r="FH22" s="593"/>
      <c r="FI22" s="593"/>
      <c r="FJ22" s="593"/>
      <c r="FK22" s="593"/>
      <c r="FL22" s="593"/>
      <c r="FM22" s="593"/>
      <c r="FN22" s="593"/>
      <c r="FO22" s="593"/>
      <c r="FP22" s="593"/>
      <c r="FQ22" s="593"/>
      <c r="FR22" s="593"/>
      <c r="FS22" s="593"/>
      <c r="FT22" s="593"/>
      <c r="FU22" s="593"/>
      <c r="FV22" s="593"/>
      <c r="FW22" s="593"/>
      <c r="FX22" s="593"/>
      <c r="FY22" s="593"/>
      <c r="FZ22" s="593"/>
      <c r="GA22" s="593"/>
      <c r="GB22" s="593"/>
      <c r="GC22" s="593"/>
      <c r="GD22" s="593"/>
      <c r="GE22" s="593"/>
      <c r="GF22" s="593"/>
      <c r="GG22" s="593"/>
      <c r="GH22" s="593"/>
      <c r="GI22" s="593"/>
      <c r="GJ22" s="593"/>
      <c r="GK22" s="593"/>
      <c r="GL22" s="593"/>
      <c r="GM22" s="593"/>
      <c r="GN22" s="593"/>
      <c r="GO22" s="593"/>
      <c r="GP22" s="593"/>
      <c r="GQ22" s="593"/>
      <c r="GR22" s="593"/>
      <c r="GS22" s="593"/>
      <c r="GT22" s="593"/>
      <c r="GU22" s="593"/>
      <c r="GV22" s="593"/>
      <c r="GW22" s="593"/>
      <c r="GX22" s="593"/>
      <c r="GY22" s="593"/>
      <c r="GZ22" s="593"/>
      <c r="HA22" s="593"/>
      <c r="HB22" s="593"/>
      <c r="HC22" s="593"/>
      <c r="HD22" s="593"/>
      <c r="HE22" s="593"/>
      <c r="HF22" s="593"/>
      <c r="HG22" s="593"/>
      <c r="HH22" s="593"/>
      <c r="HI22" s="593"/>
      <c r="HJ22" s="593"/>
      <c r="HK22" s="593"/>
      <c r="HL22" s="593"/>
      <c r="HM22" s="593"/>
      <c r="HN22" s="593"/>
      <c r="HO22" s="593"/>
      <c r="HP22" s="593"/>
      <c r="HQ22" s="6"/>
      <c r="HR22" s="6"/>
      <c r="HS22" s="6"/>
      <c r="HT22" s="6"/>
      <c r="HU22" s="6"/>
      <c r="HV22" s="6"/>
      <c r="HW22" s="6"/>
      <c r="HX22" s="6"/>
      <c r="HY22" s="6"/>
      <c r="HZ22" s="6"/>
      <c r="IA22" s="6"/>
      <c r="IB22" s="6"/>
      <c r="IC22" s="6"/>
      <c r="ID22" s="6"/>
      <c r="IE22" s="6"/>
      <c r="IF22" s="6"/>
      <c r="IG22" s="6"/>
      <c r="IH22" s="6"/>
      <c r="II22" s="6"/>
      <c r="IJ22" s="6"/>
      <c r="IK22" s="6"/>
      <c r="IL22" s="6"/>
      <c r="IM22" s="6"/>
      <c r="IN22" s="6"/>
      <c r="IO22" s="6"/>
      <c r="IP22" s="6"/>
      <c r="IQ22" s="6"/>
      <c r="IR22" s="6"/>
      <c r="IS22" s="6"/>
      <c r="IT22" s="6"/>
      <c r="IU22" s="6"/>
      <c r="IV22" s="6"/>
    </row>
    <row r="23" spans="1:256" s="66" customFormat="1" ht="15" collapsed="1">
      <c r="A23" s="1182" t="s">
        <v>154</v>
      </c>
      <c r="B23" s="89"/>
      <c r="C23" s="87"/>
      <c r="D23" s="88"/>
      <c r="E23" s="88"/>
      <c r="F23" s="88"/>
      <c r="G23" s="89"/>
      <c r="H23" s="87"/>
      <c r="I23" s="88"/>
      <c r="J23" s="88"/>
      <c r="K23" s="91"/>
      <c r="L23" s="44"/>
      <c r="M23" s="87"/>
      <c r="N23" s="88"/>
      <c r="O23" s="92"/>
      <c r="P23" s="88"/>
      <c r="Q23" s="89"/>
      <c r="R23" s="88"/>
      <c r="S23" s="88"/>
      <c r="T23" s="88"/>
      <c r="U23" s="91"/>
      <c r="V23" s="47"/>
      <c r="W23" s="88"/>
      <c r="X23" s="88"/>
      <c r="Y23" s="88"/>
      <c r="Z23" s="88"/>
      <c r="AA23" s="99"/>
      <c r="AB23" s="88"/>
      <c r="AC23" s="88"/>
      <c r="AD23" s="88"/>
      <c r="AE23" s="88"/>
      <c r="AF23" s="89"/>
      <c r="AG23" s="88"/>
      <c r="AH23" s="88"/>
      <c r="AI23" s="88"/>
      <c r="AJ23" s="88"/>
      <c r="AK23" s="540"/>
      <c r="AL23" s="88"/>
      <c r="AM23" s="88"/>
      <c r="AN23" s="88"/>
      <c r="AO23" s="88"/>
      <c r="AP23" s="540"/>
      <c r="AQ23" s="88">
        <f t="shared" ref="AQ23:BJ23" si="29">SUM(AQ20:AQ22)</f>
        <v>424.59999999999997</v>
      </c>
      <c r="AR23" s="88">
        <f t="shared" si="29"/>
        <v>452.62770000000006</v>
      </c>
      <c r="AS23" s="88">
        <f t="shared" si="29"/>
        <v>444.79020000000003</v>
      </c>
      <c r="AT23" s="88">
        <f t="shared" si="29"/>
        <v>441.28210000000001</v>
      </c>
      <c r="AU23" s="1183">
        <f t="shared" si="29"/>
        <v>1763.2999999999997</v>
      </c>
      <c r="AV23" s="102">
        <f t="shared" si="29"/>
        <v>442.79999999999995</v>
      </c>
      <c r="AW23" s="102">
        <f t="shared" si="29"/>
        <v>470.70000000000005</v>
      </c>
      <c r="AX23" s="102">
        <f t="shared" si="29"/>
        <v>466.8</v>
      </c>
      <c r="AY23" s="102">
        <f t="shared" si="29"/>
        <v>451.9</v>
      </c>
      <c r="AZ23" s="1183">
        <f t="shared" si="1"/>
        <v>1832.1999999999998</v>
      </c>
      <c r="BA23" s="102">
        <f>SUM(BA20:BA22)</f>
        <v>449.70000000000005</v>
      </c>
      <c r="BB23" s="102">
        <f>SUM(BB20:BB22)</f>
        <v>462.4</v>
      </c>
      <c r="BC23" s="102">
        <f t="shared" si="29"/>
        <v>457.4</v>
      </c>
      <c r="BD23" s="102">
        <f>BD12*0.837</f>
        <v>411.05070000000012</v>
      </c>
      <c r="BE23" s="1183">
        <f t="shared" si="29"/>
        <v>1780.8999999999999</v>
      </c>
      <c r="BF23" s="102">
        <f>SUM(BF20:BF22)</f>
        <v>363.4</v>
      </c>
      <c r="BG23" s="102">
        <f>SUM(BG20:BG22)</f>
        <v>335.1</v>
      </c>
      <c r="BH23" s="102">
        <f>SUM(BH20:BH22)</f>
        <v>332.6</v>
      </c>
      <c r="BI23" s="102">
        <f t="shared" si="29"/>
        <v>324.00000000000006</v>
      </c>
      <c r="BJ23" s="1183">
        <f t="shared" si="29"/>
        <v>1355.1000000000001</v>
      </c>
      <c r="BK23" s="102">
        <f t="shared" ref="BK23:BN23" si="30">SUM(BK20:BK22)</f>
        <v>305.10000000000002</v>
      </c>
      <c r="BL23" s="102">
        <f t="shared" si="30"/>
        <v>315.10000000000002</v>
      </c>
      <c r="BM23" s="102">
        <f t="shared" si="30"/>
        <v>291.5</v>
      </c>
      <c r="BN23" s="102">
        <f t="shared" si="30"/>
        <v>272.39999999999998</v>
      </c>
      <c r="BO23" s="1183">
        <f>SUM(BO20:BO22)</f>
        <v>1184.0999999999999</v>
      </c>
      <c r="BP23" s="102">
        <v>214.73599999999999</v>
      </c>
      <c r="BQ23" s="102">
        <v>202.554</v>
      </c>
      <c r="BR23" s="102">
        <v>186.54599999999999</v>
      </c>
      <c r="BS23" s="102">
        <v>140.86500000000001</v>
      </c>
      <c r="BT23" s="541">
        <f>SUM(BP23:BS23)</f>
        <v>744.70100000000002</v>
      </c>
      <c r="BU23" s="102">
        <v>123.407</v>
      </c>
      <c r="BV23" s="102">
        <v>129.36000000000001</v>
      </c>
      <c r="BW23" s="102">
        <v>132.387</v>
      </c>
      <c r="BX23" s="102">
        <v>127.79300000000001</v>
      </c>
      <c r="BY23" s="1183">
        <f t="shared" ref="BY23:CD23" si="31">SUM(BY20:BY22)</f>
        <v>512.90000000000009</v>
      </c>
      <c r="BZ23" s="102">
        <f t="shared" si="31"/>
        <v>134.31623887579423</v>
      </c>
      <c r="CA23" s="102">
        <f t="shared" si="31"/>
        <v>140.66457778256796</v>
      </c>
      <c r="CB23" s="102">
        <f t="shared" si="31"/>
        <v>146.76758183347138</v>
      </c>
      <c r="CC23" s="102">
        <f t="shared" si="31"/>
        <v>140.07764746047764</v>
      </c>
      <c r="CD23" s="1183">
        <f t="shared" si="31"/>
        <v>561.82604595231123</v>
      </c>
      <c r="CE23" s="102">
        <f t="shared" ref="CE23:CN23" si="32">SUM(CE20:CE22)</f>
        <v>142.91247816384509</v>
      </c>
      <c r="CF23" s="102">
        <f t="shared" si="32"/>
        <v>148.66812214916251</v>
      </c>
      <c r="CG23" s="102">
        <f t="shared" si="32"/>
        <v>155.56066759044577</v>
      </c>
      <c r="CH23" s="102">
        <f t="shared" si="32"/>
        <v>150.32121110736716</v>
      </c>
      <c r="CI23" s="1183">
        <f t="shared" si="32"/>
        <v>597.46247901082052</v>
      </c>
      <c r="CJ23" s="102">
        <f t="shared" si="32"/>
        <v>153.42127700809084</v>
      </c>
      <c r="CK23" s="102">
        <f t="shared" si="32"/>
        <v>158.4935998007449</v>
      </c>
      <c r="CL23" s="102">
        <f t="shared" si="32"/>
        <v>166.2960585466904</v>
      </c>
      <c r="CM23" s="102">
        <f t="shared" si="32"/>
        <v>162.66283019469</v>
      </c>
      <c r="CN23" s="1183">
        <f t="shared" si="32"/>
        <v>640.87376555021615</v>
      </c>
      <c r="CO23" s="45"/>
      <c r="CP23" s="1077"/>
      <c r="CQ23" s="593"/>
      <c r="CR23" s="938" t="s">
        <v>213</v>
      </c>
      <c r="CS23" s="88">
        <f t="shared" si="26"/>
        <v>127.79300000000001</v>
      </c>
      <c r="CT23" s="93">
        <v>133.07690529897511</v>
      </c>
      <c r="CU23" s="121">
        <f t="shared" si="27"/>
        <v>-5.2839052989750996</v>
      </c>
      <c r="CV23" s="88">
        <f>BS23</f>
        <v>140.86500000000001</v>
      </c>
      <c r="CW23" s="153">
        <f t="shared" si="28"/>
        <v>-9.2798069073226186E-2</v>
      </c>
      <c r="CX23" s="41"/>
      <c r="CY23" s="41"/>
      <c r="CZ23" s="41"/>
      <c r="DA23" s="593"/>
      <c r="DB23"/>
      <c r="DC23"/>
      <c r="DD23"/>
      <c r="DE23"/>
      <c r="DF23"/>
      <c r="DG23"/>
      <c r="DH23" s="593"/>
      <c r="DI23" s="593"/>
      <c r="DJ23" s="593"/>
      <c r="DK23" s="593"/>
      <c r="DL23" s="593"/>
      <c r="DM23" s="593"/>
      <c r="DN23" s="593"/>
      <c r="DO23" s="593"/>
      <c r="DP23" s="593"/>
      <c r="DQ23" s="593"/>
      <c r="DR23" s="593"/>
      <c r="DS23" s="593"/>
      <c r="DT23" s="593"/>
      <c r="DU23" s="593"/>
      <c r="DV23" s="593"/>
      <c r="DW23" s="593"/>
      <c r="DX23" s="593"/>
      <c r="DY23" s="593"/>
      <c r="DZ23" s="593"/>
      <c r="EA23" s="593"/>
      <c r="EB23" s="593"/>
      <c r="EC23" s="593"/>
      <c r="ED23" s="593"/>
      <c r="EE23" s="593"/>
      <c r="EF23" s="593"/>
      <c r="EG23" s="593"/>
      <c r="EH23" s="593"/>
      <c r="EI23" s="593"/>
      <c r="EJ23" s="593"/>
      <c r="EK23" s="593"/>
      <c r="EL23" s="593"/>
      <c r="EM23" s="593"/>
      <c r="EN23" s="593"/>
      <c r="EO23" s="593"/>
      <c r="EP23" s="593"/>
      <c r="EQ23" s="593"/>
      <c r="ER23" s="593"/>
      <c r="ES23" s="593"/>
      <c r="ET23" s="593"/>
      <c r="EU23" s="593"/>
      <c r="EV23" s="593"/>
      <c r="EW23" s="593"/>
      <c r="EX23" s="593"/>
      <c r="EY23" s="593"/>
      <c r="EZ23" s="593"/>
      <c r="FA23" s="593"/>
      <c r="FB23" s="593"/>
      <c r="FC23" s="593"/>
      <c r="FD23" s="593"/>
      <c r="FE23" s="593"/>
      <c r="FF23" s="593"/>
      <c r="FG23" s="593"/>
      <c r="FH23" s="593"/>
      <c r="FI23" s="593"/>
      <c r="FJ23" s="593"/>
      <c r="FK23" s="593"/>
      <c r="FL23" s="593"/>
      <c r="FM23" s="593"/>
      <c r="FN23" s="593"/>
      <c r="FO23" s="593"/>
      <c r="FP23" s="593"/>
      <c r="FQ23" s="593"/>
      <c r="FR23" s="593"/>
      <c r="FS23" s="593"/>
      <c r="FT23" s="593"/>
      <c r="FU23" s="593"/>
      <c r="FV23" s="593"/>
      <c r="FW23" s="593"/>
      <c r="FX23" s="593"/>
      <c r="FY23" s="593"/>
      <c r="FZ23" s="593"/>
      <c r="GA23" s="593"/>
      <c r="GB23" s="593"/>
      <c r="GC23" s="593"/>
      <c r="GD23" s="593"/>
      <c r="GE23" s="593"/>
      <c r="GF23" s="593"/>
      <c r="GG23" s="593"/>
      <c r="GH23" s="593"/>
      <c r="GI23" s="593"/>
      <c r="GJ23" s="593"/>
      <c r="GK23" s="593"/>
      <c r="GL23" s="593"/>
      <c r="GM23" s="593"/>
      <c r="GN23" s="593"/>
      <c r="GO23" s="593"/>
      <c r="GP23" s="593"/>
      <c r="GQ23" s="593"/>
      <c r="GR23" s="593"/>
      <c r="GS23" s="593"/>
      <c r="GT23" s="593"/>
      <c r="GU23" s="593"/>
      <c r="GV23" s="593"/>
      <c r="GW23" s="593"/>
      <c r="GX23" s="593"/>
      <c r="GY23" s="593"/>
      <c r="GZ23" s="593"/>
      <c r="HA23" s="593"/>
      <c r="HB23" s="593"/>
      <c r="HC23" s="593"/>
      <c r="HD23" s="593"/>
      <c r="HE23" s="593"/>
      <c r="HF23" s="593"/>
      <c r="HG23" s="593"/>
      <c r="HH23" s="593"/>
      <c r="HI23" s="593"/>
      <c r="HJ23" s="593"/>
      <c r="HK23" s="593"/>
      <c r="HL23" s="593"/>
      <c r="HM23" s="593"/>
      <c r="HN23" s="593"/>
      <c r="HO23" s="593"/>
      <c r="HP23" s="593"/>
      <c r="HQ23" s="6"/>
      <c r="HR23" s="6"/>
      <c r="HS23" s="6"/>
      <c r="HT23" s="6"/>
      <c r="HU23" s="6"/>
      <c r="HV23" s="6"/>
      <c r="HW23" s="6"/>
      <c r="HX23" s="6"/>
      <c r="HY23" s="6"/>
      <c r="HZ23" s="6"/>
      <c r="IA23" s="6"/>
      <c r="IB23" s="6"/>
      <c r="IC23" s="6"/>
      <c r="ID23" s="6"/>
      <c r="IE23" s="6"/>
      <c r="IF23" s="6"/>
      <c r="IG23" s="6"/>
      <c r="IH23" s="6"/>
      <c r="II23" s="6"/>
      <c r="IJ23" s="6"/>
      <c r="IK23" s="6"/>
      <c r="IL23" s="6"/>
      <c r="IM23" s="6"/>
      <c r="IN23" s="6"/>
      <c r="IO23" s="6"/>
      <c r="IP23" s="6"/>
      <c r="IQ23" s="6"/>
      <c r="IR23" s="6"/>
      <c r="IS23" s="6"/>
      <c r="IT23" s="6"/>
      <c r="IU23" s="6"/>
      <c r="IV23" s="6"/>
    </row>
    <row r="24" spans="1:256" s="59" customFormat="1">
      <c r="A24" s="578" t="s">
        <v>517</v>
      </c>
      <c r="B24" s="175"/>
      <c r="C24" s="109"/>
      <c r="D24" s="110"/>
      <c r="E24" s="110"/>
      <c r="F24" s="110"/>
      <c r="G24" s="175"/>
      <c r="H24" s="109"/>
      <c r="I24" s="110"/>
      <c r="J24" s="110"/>
      <c r="K24" s="113"/>
      <c r="L24" s="56"/>
      <c r="M24" s="109"/>
      <c r="N24" s="110"/>
      <c r="O24" s="114"/>
      <c r="P24" s="110"/>
      <c r="Q24" s="175"/>
      <c r="R24" s="110"/>
      <c r="S24" s="110"/>
      <c r="T24" s="110"/>
      <c r="U24" s="113"/>
      <c r="V24" s="574"/>
      <c r="W24" s="110"/>
      <c r="X24" s="110"/>
      <c r="Y24" s="110"/>
      <c r="Z24" s="110"/>
      <c r="AA24" s="111"/>
      <c r="AB24" s="110"/>
      <c r="AC24" s="110"/>
      <c r="AD24" s="110"/>
      <c r="AE24" s="110"/>
      <c r="AF24" s="175"/>
      <c r="AG24" s="110"/>
      <c r="AH24" s="110"/>
      <c r="AI24" s="110"/>
      <c r="AJ24" s="110"/>
      <c r="AK24" s="1084"/>
      <c r="AL24" s="110"/>
      <c r="AM24" s="110"/>
      <c r="AN24" s="110"/>
      <c r="AO24" s="110"/>
      <c r="AP24" s="1084"/>
      <c r="AQ24" s="110">
        <f>AQ12-AQ23</f>
        <v>65.800000000000011</v>
      </c>
      <c r="AR24" s="110">
        <f t="shared" ref="AR24:BJ24" si="33">AR12-AR23</f>
        <v>73.072299999999984</v>
      </c>
      <c r="AS24" s="110">
        <f t="shared" si="33"/>
        <v>70.60979999999995</v>
      </c>
      <c r="AT24" s="110">
        <f t="shared" si="33"/>
        <v>77.317899999999781</v>
      </c>
      <c r="AU24" s="1072">
        <f t="shared" si="33"/>
        <v>286.80000000000018</v>
      </c>
      <c r="AV24" s="1076">
        <f t="shared" si="33"/>
        <v>59.000000000000057</v>
      </c>
      <c r="AW24" s="1076">
        <f t="shared" si="33"/>
        <v>77.20799999999997</v>
      </c>
      <c r="AX24" s="1076">
        <f t="shared" si="33"/>
        <v>75.599999999999966</v>
      </c>
      <c r="AY24" s="1076">
        <f t="shared" si="33"/>
        <v>85.250999999999976</v>
      </c>
      <c r="AZ24" s="1072">
        <f t="shared" si="1"/>
        <v>297.05899999999997</v>
      </c>
      <c r="BA24" s="1076">
        <f t="shared" si="33"/>
        <v>66</v>
      </c>
      <c r="BB24" s="1076">
        <f>BB12-BB23</f>
        <v>92.399999999999977</v>
      </c>
      <c r="BC24" s="1076">
        <f t="shared" si="33"/>
        <v>83.899999999999977</v>
      </c>
      <c r="BD24" s="1076">
        <f>BD12-BD23</f>
        <v>80.049300000000017</v>
      </c>
      <c r="BE24" s="1072">
        <f>BE12-BE23</f>
        <v>322.00000000000023</v>
      </c>
      <c r="BF24" s="1076">
        <f>BF12-BF23</f>
        <v>54.600000000000023</v>
      </c>
      <c r="BG24" s="1076">
        <f>BG12-BG23</f>
        <v>72.599999999999966</v>
      </c>
      <c r="BH24" s="1076">
        <f>BH12-BH23</f>
        <v>60.899999999999977</v>
      </c>
      <c r="BI24" s="1076">
        <f t="shared" si="33"/>
        <v>65.299999999999898</v>
      </c>
      <c r="BJ24" s="1072">
        <f t="shared" si="33"/>
        <v>253.39999999999986</v>
      </c>
      <c r="BK24" s="1076">
        <f t="shared" ref="BK24:BT24" si="34">BK12-BK23</f>
        <v>52.468999999999994</v>
      </c>
      <c r="BL24" s="1076">
        <f t="shared" si="34"/>
        <v>69.947999999999979</v>
      </c>
      <c r="BM24" s="1076">
        <f t="shared" si="34"/>
        <v>67.514999999999986</v>
      </c>
      <c r="BN24" s="110">
        <f t="shared" si="34"/>
        <v>64.770000000000039</v>
      </c>
      <c r="BO24" s="1072">
        <f>BO12-BO23</f>
        <v>254.70200000000023</v>
      </c>
      <c r="BP24" s="1076">
        <f>BP12-BP23</f>
        <v>44.596000000000004</v>
      </c>
      <c r="BQ24" s="1076">
        <f t="shared" si="34"/>
        <v>56.681000000000012</v>
      </c>
      <c r="BR24" s="1076">
        <f t="shared" si="34"/>
        <v>42.098000000000013</v>
      </c>
      <c r="BS24" s="1076">
        <f t="shared" si="34"/>
        <v>32.681999999999988</v>
      </c>
      <c r="BT24" s="1072">
        <f t="shared" si="34"/>
        <v>176.05700000000002</v>
      </c>
      <c r="BU24" s="1076">
        <f t="shared" ref="BU24:CD24" si="35">BU12-BU23</f>
        <v>24.804999999999993</v>
      </c>
      <c r="BV24" s="1076">
        <f t="shared" si="35"/>
        <v>31.498999999999995</v>
      </c>
      <c r="BW24" s="1076">
        <f>BW12-BW23</f>
        <v>26.455999999999989</v>
      </c>
      <c r="BX24" s="1076">
        <f t="shared" si="35"/>
        <v>27.094999999999999</v>
      </c>
      <c r="BY24" s="1072">
        <f t="shared" si="35"/>
        <v>109.90199999999993</v>
      </c>
      <c r="BZ24" s="1076">
        <f t="shared" si="35"/>
        <v>25.66191044341906</v>
      </c>
      <c r="CA24" s="1076">
        <f t="shared" si="35"/>
        <v>32.475715280120852</v>
      </c>
      <c r="CB24" s="1076">
        <f t="shared" si="35"/>
        <v>27.846088008396066</v>
      </c>
      <c r="CC24" s="1076">
        <f t="shared" si="35"/>
        <v>27.586300778328336</v>
      </c>
      <c r="CD24" s="1072">
        <f t="shared" si="35"/>
        <v>113.5700145102644</v>
      </c>
      <c r="CE24" s="1076">
        <f t="shared" ref="CE24:CN24" si="36">CE12-CE23</f>
        <v>27.304272711797864</v>
      </c>
      <c r="CF24" s="1076">
        <f t="shared" si="36"/>
        <v>34.323521118511195</v>
      </c>
      <c r="CG24" s="1076">
        <f t="shared" si="36"/>
        <v>29.514392662566252</v>
      </c>
      <c r="CH24" s="1076">
        <f t="shared" si="36"/>
        <v>29.603624976214917</v>
      </c>
      <c r="CI24" s="1072">
        <f t="shared" si="36"/>
        <v>120.74581146909031</v>
      </c>
      <c r="CJ24" s="1076">
        <f t="shared" si="36"/>
        <v>29.748371357431068</v>
      </c>
      <c r="CK24" s="1076">
        <f t="shared" si="36"/>
        <v>37.073399417067776</v>
      </c>
      <c r="CL24" s="1076">
        <f t="shared" si="36"/>
        <v>32.023101393791535</v>
      </c>
      <c r="CM24" s="1076">
        <f t="shared" si="36"/>
        <v>32.501329289936848</v>
      </c>
      <c r="CN24" s="1072">
        <f t="shared" si="36"/>
        <v>131.34620145822737</v>
      </c>
      <c r="CO24" s="110"/>
      <c r="CP24" s="406"/>
      <c r="CR24" s="1083" t="s">
        <v>517</v>
      </c>
      <c r="CS24" s="110">
        <f t="shared" si="26"/>
        <v>27.094999999999999</v>
      </c>
      <c r="CT24" s="115">
        <v>28.247296411725017</v>
      </c>
      <c r="CU24" s="236">
        <f t="shared" si="27"/>
        <v>-1.1522964117250183</v>
      </c>
      <c r="CV24" s="110">
        <f>BS24</f>
        <v>32.681999999999988</v>
      </c>
      <c r="CW24" s="167">
        <f t="shared" si="28"/>
        <v>-0.17095037023437953</v>
      </c>
      <c r="CX24" s="49"/>
      <c r="CY24" s="49"/>
      <c r="CZ24" s="49"/>
      <c r="DB24"/>
      <c r="DC24"/>
      <c r="DD24"/>
      <c r="DE24"/>
      <c r="DF24"/>
      <c r="DG24"/>
      <c r="HQ24" s="4"/>
      <c r="HR24" s="4"/>
      <c r="HS24" s="4"/>
      <c r="HT24" s="4"/>
      <c r="HU24" s="4"/>
      <c r="HV24" s="4"/>
      <c r="HW24" s="4"/>
      <c r="HX24" s="4"/>
      <c r="HY24" s="4"/>
      <c r="HZ24" s="4"/>
      <c r="IA24" s="4"/>
      <c r="IB24" s="4"/>
      <c r="IC24" s="4"/>
      <c r="ID24" s="4"/>
      <c r="IE24" s="4"/>
      <c r="IF24" s="4"/>
      <c r="IG24" s="4"/>
      <c r="IH24" s="4"/>
      <c r="II24" s="4"/>
      <c r="IJ24" s="4"/>
      <c r="IK24" s="4"/>
      <c r="IL24" s="4"/>
      <c r="IM24" s="4"/>
      <c r="IN24" s="4"/>
      <c r="IO24" s="4"/>
      <c r="IP24" s="4"/>
      <c r="IQ24" s="4"/>
      <c r="IR24" s="4"/>
      <c r="IS24" s="4"/>
      <c r="IT24" s="4"/>
      <c r="IU24" s="4"/>
      <c r="IV24" s="4"/>
    </row>
    <row r="25" spans="1:256" s="117" customFormat="1">
      <c r="A25" s="577" t="s">
        <v>616</v>
      </c>
      <c r="B25" s="89"/>
      <c r="C25" s="87"/>
      <c r="D25" s="88"/>
      <c r="E25" s="88"/>
      <c r="F25" s="88"/>
      <c r="G25" s="89"/>
      <c r="H25" s="87"/>
      <c r="I25" s="88"/>
      <c r="J25" s="88"/>
      <c r="K25" s="91"/>
      <c r="L25" s="44"/>
      <c r="M25" s="87"/>
      <c r="N25" s="88"/>
      <c r="O25" s="92"/>
      <c r="P25" s="88"/>
      <c r="Q25" s="89"/>
      <c r="R25" s="88"/>
      <c r="S25" s="88"/>
      <c r="T25" s="88"/>
      <c r="U25" s="91"/>
      <c r="V25" s="47"/>
      <c r="W25" s="88"/>
      <c r="X25" s="88"/>
      <c r="Y25" s="88"/>
      <c r="Z25" s="88"/>
      <c r="AA25" s="99"/>
      <c r="AB25" s="88"/>
      <c r="AC25" s="88"/>
      <c r="AD25" s="88"/>
      <c r="AE25" s="88"/>
      <c r="AF25" s="89"/>
      <c r="AG25" s="88"/>
      <c r="AH25" s="88"/>
      <c r="AI25" s="88"/>
      <c r="AJ25" s="88"/>
      <c r="AK25" s="540"/>
      <c r="AL25" s="88"/>
      <c r="AM25" s="88"/>
      <c r="AN25" s="88"/>
      <c r="AO25" s="88"/>
      <c r="AP25" s="540"/>
      <c r="AQ25" s="88"/>
      <c r="AR25" s="88"/>
      <c r="AS25" s="88"/>
      <c r="AT25" s="88"/>
      <c r="AU25" s="857"/>
      <c r="AV25" s="961"/>
      <c r="AW25" s="961"/>
      <c r="AX25" s="961"/>
      <c r="AY25" s="961"/>
      <c r="AZ25" s="857"/>
      <c r="BA25" s="961"/>
      <c r="BB25" s="961"/>
      <c r="BC25" s="961"/>
      <c r="BD25" s="961"/>
      <c r="BE25" s="857"/>
      <c r="BF25" s="961"/>
      <c r="BG25" s="961"/>
      <c r="BH25" s="961"/>
      <c r="BI25" s="961"/>
      <c r="BJ25" s="857"/>
      <c r="BK25" s="961"/>
      <c r="BL25" s="961"/>
      <c r="BM25" s="961"/>
      <c r="BN25" s="88"/>
      <c r="BO25" s="857"/>
      <c r="BP25" s="961"/>
      <c r="BQ25" s="961"/>
      <c r="BR25" s="961"/>
      <c r="BS25" s="961">
        <v>18.076000000000001</v>
      </c>
      <c r="BT25" s="857">
        <f>SUM(BP25:BS25)</f>
        <v>18.076000000000001</v>
      </c>
      <c r="BU25" s="961">
        <v>18.867999999999999</v>
      </c>
      <c r="BV25" s="961">
        <v>21.896999999999998</v>
      </c>
      <c r="BW25" s="961">
        <v>24.076000000000001</v>
      </c>
      <c r="BX25" s="961">
        <v>23.173999999999999</v>
      </c>
      <c r="BY25" s="857">
        <f>SUM(BU25:BX25)</f>
        <v>88.015000000000015</v>
      </c>
      <c r="BZ25" s="961">
        <f>BZ167</f>
        <v>21.091835030335545</v>
      </c>
      <c r="CA25" s="961">
        <f t="shared" ref="CA25:CC25" si="37">CA167</f>
        <v>22.676145711049209</v>
      </c>
      <c r="CB25" s="961">
        <f t="shared" si="37"/>
        <v>22.901679170645181</v>
      </c>
      <c r="CC25" s="961">
        <f t="shared" si="37"/>
        <v>22.756443413486242</v>
      </c>
      <c r="CD25" s="857">
        <f>SUM(BZ25:CC25)</f>
        <v>89.426103325516181</v>
      </c>
      <c r="CE25" s="961">
        <f>CE167</f>
        <v>22.22016884903957</v>
      </c>
      <c r="CF25" s="961">
        <f t="shared" ref="CF25:CH25" si="38">CF167</f>
        <v>23.690962191026831</v>
      </c>
      <c r="CG25" s="961">
        <f t="shared" si="38"/>
        <v>23.950843059570527</v>
      </c>
      <c r="CH25" s="961">
        <f t="shared" si="38"/>
        <v>23.831825420790114</v>
      </c>
      <c r="CI25" s="857">
        <f>SUM(CE25:CH25)</f>
        <v>93.693799520427035</v>
      </c>
      <c r="CJ25" s="961">
        <f>CJ167</f>
        <v>23.547872549228675</v>
      </c>
      <c r="CK25" s="961">
        <f t="shared" ref="CK25:CM25" si="39">CK167</f>
        <v>24.913889659327626</v>
      </c>
      <c r="CL25" s="961">
        <f t="shared" si="39"/>
        <v>25.247486469649662</v>
      </c>
      <c r="CM25" s="961">
        <f t="shared" si="39"/>
        <v>25.180903122962221</v>
      </c>
      <c r="CN25" s="857">
        <f>SUM(CJ25:CM25)</f>
        <v>98.890151801168187</v>
      </c>
      <c r="CO25" s="88"/>
      <c r="CP25" s="206"/>
      <c r="CR25" s="577" t="s">
        <v>616</v>
      </c>
      <c r="CS25" s="88">
        <f t="shared" si="26"/>
        <v>23.173999999999999</v>
      </c>
      <c r="CT25" s="93">
        <v>23.706028260277971</v>
      </c>
      <c r="CU25" s="121"/>
      <c r="CV25" s="88"/>
      <c r="CW25" s="153"/>
      <c r="CX25" s="41"/>
      <c r="CY25" s="41"/>
      <c r="CZ25" s="41"/>
      <c r="DB25"/>
      <c r="DC25"/>
      <c r="DD25"/>
      <c r="DE25"/>
      <c r="DF25"/>
      <c r="DG25"/>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c r="IS25" s="3"/>
      <c r="IT25" s="3"/>
      <c r="IU25" s="3"/>
      <c r="IV25" s="3"/>
    </row>
    <row r="26" spans="1:256" s="66" customFormat="1" ht="12.75" hidden="1" customHeight="1" outlineLevel="1">
      <c r="A26" s="595" t="s">
        <v>214</v>
      </c>
      <c r="B26" s="89"/>
      <c r="C26" s="87"/>
      <c r="D26" s="88"/>
      <c r="E26" s="88"/>
      <c r="F26" s="88"/>
      <c r="G26" s="89"/>
      <c r="H26" s="87"/>
      <c r="I26" s="88"/>
      <c r="J26" s="88"/>
      <c r="K26" s="91"/>
      <c r="L26" s="44"/>
      <c r="M26" s="87"/>
      <c r="N26" s="88"/>
      <c r="O26" s="92"/>
      <c r="P26" s="88"/>
      <c r="Q26" s="89"/>
      <c r="R26" s="88"/>
      <c r="S26" s="88"/>
      <c r="T26" s="88"/>
      <c r="U26" s="91"/>
      <c r="V26" s="47"/>
      <c r="W26" s="88"/>
      <c r="X26" s="88"/>
      <c r="Y26" s="88"/>
      <c r="Z26" s="88"/>
      <c r="AA26" s="99"/>
      <c r="AB26" s="88"/>
      <c r="AC26" s="88"/>
      <c r="AD26" s="88"/>
      <c r="AE26" s="88"/>
      <c r="AF26" s="89"/>
      <c r="AG26" s="88"/>
      <c r="AH26" s="88"/>
      <c r="AI26" s="88"/>
      <c r="AJ26" s="88"/>
      <c r="AK26" s="540"/>
      <c r="AL26" s="88"/>
      <c r="AM26" s="88"/>
      <c r="AN26" s="88"/>
      <c r="AO26" s="88"/>
      <c r="AP26" s="540"/>
      <c r="AQ26" s="776">
        <v>14.3</v>
      </c>
      <c r="AR26" s="776">
        <f>AR27-AR23</f>
        <v>12.17229999999995</v>
      </c>
      <c r="AS26" s="776">
        <f>AS27-AS23</f>
        <v>13.209799999999973</v>
      </c>
      <c r="AT26" s="776">
        <f>AU26-AS26-AR26-AQ26</f>
        <v>13.117900000000073</v>
      </c>
      <c r="AU26" s="778">
        <v>52.8</v>
      </c>
      <c r="AV26" s="776">
        <v>12.7</v>
      </c>
      <c r="AW26" s="776">
        <v>12.38</v>
      </c>
      <c r="AX26" s="776">
        <v>11.6</v>
      </c>
      <c r="AY26" s="776">
        <v>12.375999999999999</v>
      </c>
      <c r="AZ26" s="778">
        <f t="shared" si="1"/>
        <v>49.055999999999997</v>
      </c>
      <c r="BA26" s="776">
        <v>11.1</v>
      </c>
      <c r="BB26" s="776">
        <v>10.9</v>
      </c>
      <c r="BC26" s="776">
        <v>11.8</v>
      </c>
      <c r="BD26" s="776">
        <f>BE26-SUM(BA26:BC26)</f>
        <v>11.5</v>
      </c>
      <c r="BE26" s="778">
        <f>58.8-13.5</f>
        <v>45.3</v>
      </c>
      <c r="BF26" s="776">
        <v>10.8</v>
      </c>
      <c r="BG26" s="776">
        <v>12.7</v>
      </c>
      <c r="BH26" s="776">
        <v>11.2</v>
      </c>
      <c r="BI26" s="776">
        <f>BJ26-SUM(BF26:BH26)</f>
        <v>11</v>
      </c>
      <c r="BJ26" s="778">
        <f>45.7</f>
        <v>45.7</v>
      </c>
      <c r="BK26" s="776">
        <v>0</v>
      </c>
      <c r="BL26" s="776">
        <v>0</v>
      </c>
      <c r="BM26" s="776">
        <v>0</v>
      </c>
      <c r="BN26" s="776">
        <v>0</v>
      </c>
      <c r="BO26" s="778">
        <f>SUM(BK26:BN26)</f>
        <v>0</v>
      </c>
      <c r="BP26" s="776">
        <v>0</v>
      </c>
      <c r="BQ26" s="776">
        <f>(1-BQ82)*BQ13</f>
        <v>0</v>
      </c>
      <c r="BR26" s="776">
        <f>(1-BR82)*BR13</f>
        <v>0</v>
      </c>
      <c r="BS26" s="776">
        <f>(1-BS82)*BS13</f>
        <v>0</v>
      </c>
      <c r="BT26" s="778">
        <f>SUM(BP26:BS26)</f>
        <v>0</v>
      </c>
      <c r="BU26" s="776">
        <f>(1-BU82)*BU13</f>
        <v>0</v>
      </c>
      <c r="BV26" s="776">
        <f>(1-BV82)*BV13</f>
        <v>0</v>
      </c>
      <c r="BW26" s="776">
        <f>(1-BW82)*BW13</f>
        <v>0</v>
      </c>
      <c r="BX26" s="776">
        <f>(1-BX82)*BX13</f>
        <v>0</v>
      </c>
      <c r="BY26" s="778">
        <f>SUM(BU26:BX26)</f>
        <v>0</v>
      </c>
      <c r="BZ26" s="777">
        <f>(1-BZ82)*BZ13</f>
        <v>0</v>
      </c>
      <c r="CA26" s="777">
        <f>(1-CA82)*CA13</f>
        <v>0</v>
      </c>
      <c r="CB26" s="777">
        <f>(1-CB82)*CB13</f>
        <v>0</v>
      </c>
      <c r="CC26" s="777">
        <f>(1-CC82)*CC13</f>
        <v>0</v>
      </c>
      <c r="CD26" s="778">
        <f>SUM(BZ26:CC26)</f>
        <v>0</v>
      </c>
      <c r="CE26" s="777">
        <f>(1-CE82)*CE13</f>
        <v>0</v>
      </c>
      <c r="CF26" s="777">
        <f>(1-CF82)*CF13</f>
        <v>0</v>
      </c>
      <c r="CG26" s="777">
        <f>(1-CG82)*CG13</f>
        <v>0</v>
      </c>
      <c r="CH26" s="777">
        <f>(1-CH82)*CH13</f>
        <v>0</v>
      </c>
      <c r="CI26" s="778">
        <f>SUM(CE26:CH26)</f>
        <v>0</v>
      </c>
      <c r="CJ26" s="777">
        <f>(1-CJ82)*CJ13</f>
        <v>0</v>
      </c>
      <c r="CK26" s="777">
        <f>(1-CK82)*CK13</f>
        <v>0</v>
      </c>
      <c r="CL26" s="777">
        <f>(1-CL82)*CL13</f>
        <v>0</v>
      </c>
      <c r="CM26" s="777">
        <f>(1-CM82)*CM13</f>
        <v>0</v>
      </c>
      <c r="CN26" s="778">
        <f>SUM(CJ26:CM26)</f>
        <v>0</v>
      </c>
      <c r="CO26" s="96"/>
      <c r="CP26" s="961"/>
      <c r="CQ26" s="593"/>
      <c r="CR26" s="595" t="s">
        <v>214</v>
      </c>
      <c r="CS26" s="88">
        <f t="shared" si="26"/>
        <v>0</v>
      </c>
      <c r="CT26" s="93">
        <v>0</v>
      </c>
      <c r="CU26" s="121">
        <f t="shared" si="27"/>
        <v>0</v>
      </c>
      <c r="CV26" s="88">
        <f>BS26</f>
        <v>0</v>
      </c>
      <c r="CW26" s="153"/>
      <c r="CX26" s="402"/>
      <c r="CY26" s="41"/>
      <c r="CZ26" s="41"/>
      <c r="DA26" s="593"/>
      <c r="DB26"/>
      <c r="DC26"/>
      <c r="DD26"/>
      <c r="DE26"/>
      <c r="DF26"/>
      <c r="DG26"/>
      <c r="DH26" s="593"/>
      <c r="DI26" s="593"/>
      <c r="DJ26" s="593"/>
      <c r="DK26" s="593"/>
      <c r="DL26" s="593"/>
      <c r="DM26" s="593"/>
      <c r="DN26" s="593"/>
      <c r="DO26" s="593"/>
      <c r="DP26" s="593"/>
      <c r="DQ26" s="593"/>
      <c r="DR26" s="593"/>
      <c r="DS26" s="593"/>
      <c r="DT26" s="593"/>
      <c r="DU26" s="593"/>
      <c r="DV26" s="593"/>
      <c r="DW26" s="593"/>
      <c r="DX26" s="593"/>
      <c r="DY26" s="593"/>
      <c r="DZ26" s="593"/>
      <c r="EA26" s="593"/>
      <c r="EB26" s="593"/>
      <c r="EC26" s="593"/>
      <c r="ED26" s="593"/>
      <c r="EE26" s="593"/>
      <c r="EF26" s="593"/>
      <c r="EG26" s="593"/>
      <c r="EH26" s="593"/>
      <c r="EI26" s="593"/>
      <c r="EJ26" s="593"/>
      <c r="EK26" s="593"/>
      <c r="EL26" s="593"/>
      <c r="EM26" s="593"/>
      <c r="EN26" s="593"/>
      <c r="EO26" s="593"/>
      <c r="EP26" s="593"/>
      <c r="EQ26" s="593"/>
      <c r="ER26" s="593"/>
      <c r="ES26" s="593"/>
      <c r="ET26" s="593"/>
      <c r="EU26" s="593"/>
      <c r="EV26" s="593"/>
      <c r="EW26" s="593"/>
      <c r="EX26" s="593"/>
      <c r="EY26" s="593"/>
      <c r="EZ26" s="593"/>
      <c r="FA26" s="593"/>
      <c r="FB26" s="593"/>
      <c r="FC26" s="593"/>
      <c r="FD26" s="593"/>
      <c r="FE26" s="593"/>
      <c r="FF26" s="593"/>
      <c r="FG26" s="593"/>
      <c r="FH26" s="593"/>
      <c r="FI26" s="593"/>
      <c r="FJ26" s="593"/>
      <c r="FK26" s="593"/>
      <c r="FL26" s="593"/>
      <c r="FM26" s="593"/>
      <c r="FN26" s="593"/>
      <c r="FO26" s="593"/>
      <c r="FP26" s="593"/>
      <c r="FQ26" s="593"/>
      <c r="FR26" s="593"/>
      <c r="FS26" s="593"/>
      <c r="FT26" s="593"/>
      <c r="FU26" s="593"/>
      <c r="FV26" s="593"/>
      <c r="FW26" s="593"/>
      <c r="FX26" s="593"/>
      <c r="FY26" s="593"/>
      <c r="FZ26" s="593"/>
      <c r="GA26" s="593"/>
      <c r="GB26" s="593"/>
      <c r="GC26" s="593"/>
      <c r="GD26" s="593"/>
      <c r="GE26" s="593"/>
      <c r="GF26" s="593"/>
      <c r="GG26" s="593"/>
      <c r="GH26" s="593"/>
      <c r="GI26" s="593"/>
      <c r="GJ26" s="593"/>
      <c r="GK26" s="593"/>
      <c r="GL26" s="593"/>
      <c r="GM26" s="593"/>
      <c r="GN26" s="593"/>
      <c r="GO26" s="593"/>
      <c r="GP26" s="593"/>
      <c r="GQ26" s="593"/>
      <c r="GR26" s="593"/>
      <c r="GS26" s="593"/>
      <c r="GT26" s="593"/>
      <c r="GU26" s="593"/>
      <c r="GV26" s="593"/>
      <c r="GW26" s="593"/>
      <c r="GX26" s="593"/>
      <c r="GY26" s="593"/>
      <c r="GZ26" s="593"/>
      <c r="HA26" s="593"/>
      <c r="HB26" s="593"/>
      <c r="HC26" s="593"/>
      <c r="HD26" s="593"/>
      <c r="HE26" s="593"/>
      <c r="HF26" s="593"/>
      <c r="HG26" s="593"/>
      <c r="HH26" s="593"/>
      <c r="HI26" s="593"/>
      <c r="HJ26" s="593"/>
      <c r="HK26" s="593"/>
      <c r="HL26" s="593"/>
      <c r="HM26" s="593"/>
      <c r="HN26" s="593"/>
      <c r="HO26" s="593"/>
      <c r="HP26" s="593"/>
      <c r="HQ26" s="6"/>
      <c r="HR26" s="6"/>
      <c r="HS26" s="6"/>
      <c r="HT26" s="6"/>
      <c r="HU26" s="6"/>
      <c r="HV26" s="6"/>
      <c r="HW26" s="6"/>
      <c r="HX26" s="6"/>
      <c r="HY26" s="6"/>
      <c r="HZ26" s="6"/>
      <c r="IA26" s="6"/>
      <c r="IB26" s="6"/>
      <c r="IC26" s="6"/>
      <c r="ID26" s="6"/>
      <c r="IE26" s="6"/>
      <c r="IF26" s="6"/>
      <c r="IG26" s="6"/>
      <c r="IH26" s="6"/>
      <c r="II26" s="6"/>
      <c r="IJ26" s="6"/>
      <c r="IK26" s="6"/>
      <c r="IL26" s="6"/>
      <c r="IM26" s="6"/>
      <c r="IN26" s="6"/>
      <c r="IO26" s="6"/>
      <c r="IP26" s="6"/>
      <c r="IQ26" s="6"/>
      <c r="IR26" s="6"/>
      <c r="IS26" s="6"/>
      <c r="IT26" s="6"/>
      <c r="IU26" s="6"/>
      <c r="IV26" s="6"/>
    </row>
    <row r="27" spans="1:256" s="66" customFormat="1" collapsed="1">
      <c r="A27" s="578" t="s">
        <v>339</v>
      </c>
      <c r="B27" s="111"/>
      <c r="C27" s="109"/>
      <c r="D27" s="110"/>
      <c r="E27" s="110"/>
      <c r="F27" s="110"/>
      <c r="G27" s="111"/>
      <c r="H27" s="109"/>
      <c r="I27" s="110"/>
      <c r="J27" s="110"/>
      <c r="K27" s="113"/>
      <c r="L27" s="270"/>
      <c r="M27" s="109"/>
      <c r="N27" s="110"/>
      <c r="O27" s="114"/>
      <c r="P27" s="110"/>
      <c r="Q27" s="111">
        <f>SUM(M27:P27)</f>
        <v>0</v>
      </c>
      <c r="R27" s="110"/>
      <c r="S27" s="110"/>
      <c r="T27" s="110"/>
      <c r="U27" s="113"/>
      <c r="V27" s="271">
        <f>SUM(R27:U27)</f>
        <v>0</v>
      </c>
      <c r="W27" s="110"/>
      <c r="X27" s="110"/>
      <c r="Y27" s="110"/>
      <c r="Z27" s="110"/>
      <c r="AA27" s="111">
        <v>2584.0639999999999</v>
      </c>
      <c r="AB27" s="110">
        <v>693.80600000000004</v>
      </c>
      <c r="AC27" s="110">
        <v>732.98299999999995</v>
      </c>
      <c r="AD27" s="110">
        <v>718.51800000000003</v>
      </c>
      <c r="AE27" s="110">
        <v>697.21699999999998</v>
      </c>
      <c r="AF27" s="111">
        <f t="shared" ref="AF27:AF37" si="40">SUM(AB27:AE27)</f>
        <v>2842.5239999999999</v>
      </c>
      <c r="AG27" s="110">
        <v>675.94200000000001</v>
      </c>
      <c r="AH27" s="110">
        <v>686.46199999999999</v>
      </c>
      <c r="AI27" s="110">
        <v>684.07100000000003</v>
      </c>
      <c r="AJ27" s="110">
        <v>682.00900000000001</v>
      </c>
      <c r="AK27" s="543">
        <f t="shared" ref="AK27:AK37" si="41">SUM(AG27:AJ27)</f>
        <v>2728.4839999999999</v>
      </c>
      <c r="AL27" s="110">
        <v>641.42200000000003</v>
      </c>
      <c r="AM27" s="110">
        <v>659.08399999999995</v>
      </c>
      <c r="AN27" s="110">
        <v>667.06299999999999</v>
      </c>
      <c r="AO27" s="110">
        <v>643.19200000000001</v>
      </c>
      <c r="AP27" s="543">
        <f>SUM(AL27:AO27)</f>
        <v>2610.761</v>
      </c>
      <c r="AQ27" s="779">
        <f>AQ26+AQ23</f>
        <v>438.9</v>
      </c>
      <c r="AR27" s="779">
        <v>464.8</v>
      </c>
      <c r="AS27" s="779">
        <v>458</v>
      </c>
      <c r="AT27" s="779">
        <v>454.44</v>
      </c>
      <c r="AU27" s="781">
        <f>AU26+AU23</f>
        <v>1816.0999999999997</v>
      </c>
      <c r="AV27" s="779">
        <f>AV26+AV23</f>
        <v>455.49999999999994</v>
      </c>
      <c r="AW27" s="779">
        <f>AW26+AW23</f>
        <v>483.08000000000004</v>
      </c>
      <c r="AX27" s="779">
        <f>AX26+AX23</f>
        <v>478.40000000000003</v>
      </c>
      <c r="AY27" s="779">
        <f>AY26+AY23</f>
        <v>464.27599999999995</v>
      </c>
      <c r="AZ27" s="781">
        <f t="shared" si="1"/>
        <v>1881.2559999999999</v>
      </c>
      <c r="BA27" s="779">
        <v>460.82799999999997</v>
      </c>
      <c r="BB27" s="779">
        <v>473.298</v>
      </c>
      <c r="BC27" s="779">
        <v>469.17700000000002</v>
      </c>
      <c r="BD27" s="779">
        <f>436.437-13.5</f>
        <v>422.93700000000001</v>
      </c>
      <c r="BE27" s="781">
        <f>BE26+BE23</f>
        <v>1826.1999999999998</v>
      </c>
      <c r="BF27" s="779">
        <v>374.19</v>
      </c>
      <c r="BG27" s="779">
        <v>347.78</v>
      </c>
      <c r="BH27" s="779">
        <v>343.80700000000002</v>
      </c>
      <c r="BI27" s="779">
        <v>335.01900000000001</v>
      </c>
      <c r="BJ27" s="781">
        <f>SUM(BF27:BI27)</f>
        <v>1400.796</v>
      </c>
      <c r="BK27" s="779">
        <v>305.11099999999999</v>
      </c>
      <c r="BL27" s="779">
        <v>315.12200000000001</v>
      </c>
      <c r="BM27" s="779">
        <v>291.524</v>
      </c>
      <c r="BN27" s="110">
        <v>272.31599999999997</v>
      </c>
      <c r="BO27" s="781">
        <f t="shared" ref="BO27:BT27" si="42">BO26+BO23</f>
        <v>1184.0999999999999</v>
      </c>
      <c r="BP27" s="779">
        <f t="shared" si="42"/>
        <v>214.73599999999999</v>
      </c>
      <c r="BQ27" s="779">
        <f t="shared" si="42"/>
        <v>202.554</v>
      </c>
      <c r="BR27" s="779">
        <f t="shared" si="42"/>
        <v>186.54599999999999</v>
      </c>
      <c r="BS27" s="779">
        <f t="shared" si="42"/>
        <v>140.86500000000001</v>
      </c>
      <c r="BT27" s="781">
        <f t="shared" si="42"/>
        <v>744.70100000000002</v>
      </c>
      <c r="BU27" s="779">
        <f t="shared" ref="BU27:CD27" si="43">BU26+BU23</f>
        <v>123.407</v>
      </c>
      <c r="BV27" s="779">
        <f t="shared" si="43"/>
        <v>129.36000000000001</v>
      </c>
      <c r="BW27" s="779">
        <f>BW26+BW23</f>
        <v>132.387</v>
      </c>
      <c r="BX27" s="779">
        <f>BX26+BX23</f>
        <v>127.79300000000001</v>
      </c>
      <c r="BY27" s="781">
        <f t="shared" si="43"/>
        <v>512.90000000000009</v>
      </c>
      <c r="BZ27" s="780">
        <f t="shared" si="43"/>
        <v>134.31623887579423</v>
      </c>
      <c r="CA27" s="780">
        <f t="shared" si="43"/>
        <v>140.66457778256796</v>
      </c>
      <c r="CB27" s="780">
        <f t="shared" si="43"/>
        <v>146.76758183347138</v>
      </c>
      <c r="CC27" s="780">
        <f t="shared" si="43"/>
        <v>140.07764746047764</v>
      </c>
      <c r="CD27" s="781">
        <f t="shared" si="43"/>
        <v>561.82604595231123</v>
      </c>
      <c r="CE27" s="780">
        <f t="shared" ref="CE27:CN27" si="44">CE26+CE23</f>
        <v>142.91247816384509</v>
      </c>
      <c r="CF27" s="780">
        <f t="shared" si="44"/>
        <v>148.66812214916251</v>
      </c>
      <c r="CG27" s="780">
        <f t="shared" si="44"/>
        <v>155.56066759044577</v>
      </c>
      <c r="CH27" s="780">
        <f t="shared" si="44"/>
        <v>150.32121110736716</v>
      </c>
      <c r="CI27" s="781">
        <f t="shared" si="44"/>
        <v>597.46247901082052</v>
      </c>
      <c r="CJ27" s="780">
        <f t="shared" si="44"/>
        <v>153.42127700809084</v>
      </c>
      <c r="CK27" s="780">
        <f t="shared" si="44"/>
        <v>158.4935998007449</v>
      </c>
      <c r="CL27" s="780">
        <f t="shared" si="44"/>
        <v>166.2960585466904</v>
      </c>
      <c r="CM27" s="780">
        <f t="shared" si="44"/>
        <v>162.66283019469</v>
      </c>
      <c r="CN27" s="781">
        <f t="shared" si="44"/>
        <v>640.87376555021615</v>
      </c>
      <c r="CO27" s="72"/>
      <c r="CP27" s="961"/>
      <c r="CQ27" s="961"/>
      <c r="CR27" s="578" t="s">
        <v>158</v>
      </c>
      <c r="CS27" s="88">
        <f t="shared" si="26"/>
        <v>127.79300000000001</v>
      </c>
      <c r="CT27" s="93">
        <v>133.07690529897511</v>
      </c>
      <c r="CU27" s="121">
        <f t="shared" si="27"/>
        <v>-5.2839052989750996</v>
      </c>
      <c r="CV27" s="88">
        <f>BS27</f>
        <v>140.86500000000001</v>
      </c>
      <c r="CW27" s="153">
        <f t="shared" si="28"/>
        <v>-9.2798069073226186E-2</v>
      </c>
      <c r="CX27" s="402">
        <f>CU17-CU27</f>
        <v>0.99710930087084648</v>
      </c>
      <c r="CY27" s="836">
        <f>BA14-BA27</f>
        <v>69.872000000000071</v>
      </c>
      <c r="CZ27" s="200">
        <f>CT14-CT27</f>
        <v>28.247296411725017</v>
      </c>
      <c r="DA27" s="593"/>
      <c r="DB27"/>
      <c r="DC27"/>
      <c r="DD27"/>
      <c r="DE27"/>
      <c r="DF27"/>
      <c r="DG27"/>
      <c r="DH27" s="593"/>
      <c r="DI27" s="593"/>
      <c r="DJ27" s="593"/>
      <c r="DK27" s="593"/>
      <c r="DL27" s="593"/>
      <c r="DM27" s="593"/>
      <c r="DN27" s="593"/>
      <c r="DO27" s="593"/>
      <c r="DP27" s="593"/>
      <c r="DQ27" s="593"/>
      <c r="DR27" s="593"/>
      <c r="DS27" s="593"/>
      <c r="DT27" s="593"/>
      <c r="DU27" s="593"/>
      <c r="DV27" s="593"/>
      <c r="DW27" s="593"/>
      <c r="DX27" s="593"/>
      <c r="DY27" s="593"/>
      <c r="DZ27" s="593"/>
      <c r="EA27" s="593"/>
      <c r="EB27" s="593"/>
      <c r="EC27" s="593"/>
      <c r="ED27" s="593"/>
      <c r="EE27" s="593"/>
      <c r="EF27" s="593"/>
      <c r="EG27" s="593"/>
      <c r="EH27" s="593"/>
      <c r="EI27" s="593"/>
      <c r="EJ27" s="593"/>
      <c r="EK27" s="593"/>
      <c r="EL27" s="593"/>
      <c r="EM27" s="593"/>
      <c r="EN27" s="593"/>
      <c r="EO27" s="593"/>
      <c r="EP27" s="593"/>
      <c r="EQ27" s="593"/>
      <c r="ER27" s="593"/>
      <c r="ES27" s="593"/>
      <c r="ET27" s="593"/>
      <c r="EU27" s="593"/>
      <c r="EV27" s="593"/>
      <c r="EW27" s="593"/>
      <c r="EX27" s="593"/>
      <c r="EY27" s="593"/>
      <c r="EZ27" s="593"/>
      <c r="FA27" s="593"/>
      <c r="FB27" s="593"/>
      <c r="FC27" s="593"/>
      <c r="FD27" s="593"/>
      <c r="FE27" s="593"/>
      <c r="FF27" s="593"/>
      <c r="FG27" s="593"/>
      <c r="FH27" s="593"/>
      <c r="FI27" s="593"/>
      <c r="FJ27" s="593"/>
      <c r="FK27" s="593"/>
      <c r="FL27" s="593"/>
      <c r="FM27" s="593"/>
      <c r="FN27" s="593"/>
      <c r="FO27" s="593"/>
      <c r="FP27" s="593"/>
      <c r="FQ27" s="593"/>
      <c r="FR27" s="593"/>
      <c r="FS27" s="593"/>
      <c r="FT27" s="593"/>
      <c r="FU27" s="593"/>
      <c r="FV27" s="593"/>
      <c r="FW27" s="593"/>
      <c r="FX27" s="593"/>
      <c r="FY27" s="593"/>
      <c r="FZ27" s="593"/>
      <c r="GA27" s="593"/>
      <c r="GB27" s="593"/>
      <c r="GC27" s="593"/>
      <c r="GD27" s="593"/>
      <c r="GE27" s="593"/>
      <c r="GF27" s="593"/>
      <c r="GG27" s="593"/>
      <c r="GH27" s="593"/>
      <c r="GI27" s="593"/>
      <c r="GJ27" s="593"/>
      <c r="GK27" s="593"/>
      <c r="GL27" s="593"/>
      <c r="GM27" s="593"/>
      <c r="GN27" s="593"/>
      <c r="GO27" s="593"/>
      <c r="GP27" s="593"/>
      <c r="GQ27" s="593"/>
      <c r="GR27" s="593"/>
      <c r="GS27" s="593"/>
      <c r="GT27" s="593"/>
      <c r="GU27" s="593"/>
      <c r="GV27" s="593"/>
      <c r="GW27" s="593"/>
      <c r="GX27" s="593"/>
      <c r="GY27" s="593"/>
      <c r="GZ27" s="593"/>
      <c r="HA27" s="593"/>
      <c r="HB27" s="593"/>
      <c r="HC27" s="593"/>
      <c r="HD27" s="593"/>
      <c r="HE27" s="593"/>
      <c r="HF27" s="593"/>
      <c r="HG27" s="593"/>
      <c r="HH27" s="593"/>
      <c r="HI27" s="593"/>
      <c r="HJ27" s="593"/>
      <c r="HK27" s="593"/>
      <c r="HL27" s="593"/>
      <c r="HM27" s="593"/>
      <c r="HN27" s="593"/>
      <c r="HO27" s="593"/>
      <c r="HP27" s="593"/>
      <c r="HQ27" s="6"/>
      <c r="HR27" s="6"/>
      <c r="HS27" s="6"/>
      <c r="HT27" s="6"/>
      <c r="HU27" s="6"/>
      <c r="HV27" s="6"/>
      <c r="HW27" s="6"/>
      <c r="HX27" s="6"/>
      <c r="HY27" s="6"/>
      <c r="HZ27" s="6"/>
      <c r="IA27" s="6"/>
      <c r="IB27" s="6"/>
      <c r="IC27" s="6"/>
      <c r="ID27" s="6"/>
      <c r="IE27" s="6"/>
      <c r="IF27" s="6"/>
      <c r="IG27" s="6"/>
      <c r="IH27" s="6"/>
      <c r="II27" s="6"/>
      <c r="IJ27" s="6"/>
      <c r="IK27" s="6"/>
      <c r="IL27" s="6"/>
      <c r="IM27" s="6"/>
      <c r="IN27" s="6"/>
      <c r="IO27" s="6"/>
      <c r="IP27" s="6"/>
      <c r="IQ27" s="6"/>
      <c r="IR27" s="6"/>
      <c r="IS27" s="6"/>
      <c r="IT27" s="6"/>
      <c r="IU27" s="6"/>
      <c r="IV27" s="6"/>
    </row>
    <row r="28" spans="1:256" s="66" customFormat="1" ht="11.25" customHeight="1">
      <c r="A28" s="595" t="s">
        <v>16</v>
      </c>
      <c r="B28" s="99"/>
      <c r="C28" s="87"/>
      <c r="D28" s="88"/>
      <c r="E28" s="88"/>
      <c r="F28" s="88"/>
      <c r="G28" s="99"/>
      <c r="H28" s="87"/>
      <c r="I28" s="88"/>
      <c r="J28" s="88"/>
      <c r="K28" s="91"/>
      <c r="L28" s="272"/>
      <c r="M28" s="87"/>
      <c r="N28" s="88"/>
      <c r="O28" s="92"/>
      <c r="P28" s="88"/>
      <c r="Q28" s="99">
        <f>SUM(M28:P28)</f>
        <v>0</v>
      </c>
      <c r="R28" s="88"/>
      <c r="S28" s="88"/>
      <c r="T28" s="88"/>
      <c r="U28" s="91"/>
      <c r="V28" s="143">
        <f>SUM(R28:U28)</f>
        <v>0</v>
      </c>
      <c r="W28" s="88"/>
      <c r="X28" s="88"/>
      <c r="Y28" s="88"/>
      <c r="Z28" s="88"/>
      <c r="AA28" s="99">
        <v>446.54199999999997</v>
      </c>
      <c r="AB28" s="88">
        <v>116.676</v>
      </c>
      <c r="AC28" s="88">
        <v>109.563</v>
      </c>
      <c r="AD28" s="88">
        <v>102.955</v>
      </c>
      <c r="AE28" s="88">
        <v>125.61</v>
      </c>
      <c r="AF28" s="99">
        <f t="shared" si="40"/>
        <v>454.80400000000003</v>
      </c>
      <c r="AG28" s="88">
        <f>109.878</f>
        <v>109.878</v>
      </c>
      <c r="AH28" s="88">
        <v>112.746</v>
      </c>
      <c r="AI28" s="88">
        <v>97.909000000000006</v>
      </c>
      <c r="AJ28" s="88">
        <v>132.18</v>
      </c>
      <c r="AK28" s="541">
        <f t="shared" si="41"/>
        <v>452.71300000000002</v>
      </c>
      <c r="AL28" s="88">
        <v>110.482</v>
      </c>
      <c r="AM28" s="88">
        <v>97.512</v>
      </c>
      <c r="AN28" s="88">
        <v>97.947999999999993</v>
      </c>
      <c r="AO28" s="88">
        <v>110.664</v>
      </c>
      <c r="AP28" s="541">
        <f>SUM(AL28:AO28)</f>
        <v>416.60599999999999</v>
      </c>
      <c r="AQ28" s="88">
        <v>74.685000000000002</v>
      </c>
      <c r="AR28" s="88">
        <v>74.456000000000003</v>
      </c>
      <c r="AS28" s="88">
        <v>66.006</v>
      </c>
      <c r="AT28" s="88">
        <v>77.242999999999995</v>
      </c>
      <c r="AU28" s="541">
        <f t="shared" ref="AU28:AU37" si="45">SUM(AQ28:AT28)</f>
        <v>292.39</v>
      </c>
      <c r="AV28" s="88">
        <v>72.304000000000002</v>
      </c>
      <c r="AW28" s="88">
        <v>73.344999999999999</v>
      </c>
      <c r="AX28" s="88">
        <v>72.174999999999997</v>
      </c>
      <c r="AY28" s="88">
        <v>69.983999999999995</v>
      </c>
      <c r="AZ28" s="541">
        <f t="shared" si="1"/>
        <v>287.80799999999999</v>
      </c>
      <c r="BA28" s="88">
        <v>65.31</v>
      </c>
      <c r="BB28" s="88">
        <v>74.795000000000002</v>
      </c>
      <c r="BC28" s="88">
        <v>76.518000000000001</v>
      </c>
      <c r="BD28" s="88">
        <v>77.168999999999997</v>
      </c>
      <c r="BE28" s="541">
        <f t="shared" ref="BE28:BE37" si="46">SUM(BA28:BD28)</f>
        <v>293.79200000000003</v>
      </c>
      <c r="BF28" s="88">
        <v>70.366</v>
      </c>
      <c r="BG28" s="88">
        <v>66.981999999999999</v>
      </c>
      <c r="BH28" s="88">
        <v>65.774000000000001</v>
      </c>
      <c r="BI28" s="88">
        <v>60.134999999999998</v>
      </c>
      <c r="BJ28" s="541">
        <f t="shared" ref="BJ28:BJ37" si="47">SUM(BF28:BI28)</f>
        <v>263.25700000000001</v>
      </c>
      <c r="BK28" s="88">
        <v>59.698</v>
      </c>
      <c r="BL28" s="88">
        <v>60.771000000000001</v>
      </c>
      <c r="BM28" s="88">
        <v>63.683</v>
      </c>
      <c r="BN28" s="88">
        <v>72.400999999999996</v>
      </c>
      <c r="BO28" s="541">
        <f t="shared" ref="BO28:BO33" si="48">SUM(BK28:BN28)</f>
        <v>256.553</v>
      </c>
      <c r="BP28" s="88">
        <v>64.646000000000001</v>
      </c>
      <c r="BQ28" s="88">
        <v>61.124000000000002</v>
      </c>
      <c r="BR28" s="88">
        <v>58.938000000000002</v>
      </c>
      <c r="BS28" s="88">
        <v>61.161000000000001</v>
      </c>
      <c r="BT28" s="541">
        <f t="shared" ref="BT28:BT37" si="49">SUM(BP28:BS28)</f>
        <v>245.86900000000003</v>
      </c>
      <c r="BU28" s="88">
        <v>52.45</v>
      </c>
      <c r="BV28" s="88">
        <v>51.28</v>
      </c>
      <c r="BW28" s="88">
        <v>52.96</v>
      </c>
      <c r="BX28" s="88">
        <v>51.890999999999998</v>
      </c>
      <c r="BY28" s="541">
        <f t="shared" ref="BY28:BY37" si="50">SUM(BU28:BX28)</f>
        <v>208.58099999999999</v>
      </c>
      <c r="BZ28" s="93">
        <f>BZ177</f>
        <v>49.979720000000007</v>
      </c>
      <c r="CA28" s="93">
        <f>CA177</f>
        <v>49.33634</v>
      </c>
      <c r="CB28" s="93">
        <f>CB177</f>
        <v>48.178400000000003</v>
      </c>
      <c r="CC28" s="93">
        <f>CC177</f>
        <v>47.587100000000007</v>
      </c>
      <c r="CD28" s="541">
        <f t="shared" ref="CD28:CD37" si="51">SUM(BZ28:CC28)</f>
        <v>195.08156000000002</v>
      </c>
      <c r="CE28" s="93">
        <f>CE177</f>
        <v>48.180531200000004</v>
      </c>
      <c r="CF28" s="93">
        <f>CF177</f>
        <v>47.562886399999996</v>
      </c>
      <c r="CG28" s="93">
        <f>CG177</f>
        <v>46.451264000000002</v>
      </c>
      <c r="CH28" s="93">
        <f>CH177</f>
        <v>45.883616000000004</v>
      </c>
      <c r="CI28" s="541">
        <f>SUM(CE28:CH28)</f>
        <v>188.07829759999998</v>
      </c>
      <c r="CJ28" s="93">
        <f>CJ177</f>
        <v>46.021504640000003</v>
      </c>
      <c r="CK28" s="93">
        <f>CK177</f>
        <v>45.434742079999992</v>
      </c>
      <c r="CL28" s="93">
        <f>CL177</f>
        <v>44.378700799999997</v>
      </c>
      <c r="CM28" s="93">
        <f>CM177</f>
        <v>43.839435200000004</v>
      </c>
      <c r="CN28" s="541">
        <f>SUM(CJ28:CM28)</f>
        <v>179.67438271999998</v>
      </c>
      <c r="CO28" s="142"/>
      <c r="CP28" s="406"/>
      <c r="CQ28" s="593"/>
      <c r="CR28" s="595" t="s">
        <v>16</v>
      </c>
      <c r="CS28" s="88">
        <f t="shared" si="26"/>
        <v>51.890999999999998</v>
      </c>
      <c r="CT28" s="93">
        <v>53.688000000000002</v>
      </c>
      <c r="CU28" s="121">
        <f t="shared" si="27"/>
        <v>-1.7970000000000041</v>
      </c>
      <c r="CV28" s="88">
        <f>BS28</f>
        <v>61.161000000000001</v>
      </c>
      <c r="CW28" s="153">
        <f t="shared" si="28"/>
        <v>-0.15156717516064167</v>
      </c>
      <c r="CX28" s="200">
        <f>-CU28</f>
        <v>1.7970000000000041</v>
      </c>
      <c r="CY28" s="41"/>
      <c r="CZ28" s="41"/>
      <c r="DA28" s="593"/>
      <c r="DB28"/>
      <c r="DC28"/>
      <c r="DD28"/>
      <c r="DE28"/>
      <c r="DF28"/>
      <c r="DG28"/>
      <c r="DH28" s="593"/>
      <c r="DI28" s="593"/>
      <c r="DJ28" s="593"/>
      <c r="DK28" s="593"/>
      <c r="DL28" s="593"/>
      <c r="DM28" s="593"/>
      <c r="DN28" s="593"/>
      <c r="DO28" s="593"/>
      <c r="DP28" s="593"/>
      <c r="DQ28" s="593"/>
      <c r="DR28" s="593"/>
      <c r="DS28" s="593"/>
      <c r="DT28" s="593"/>
      <c r="DU28" s="593"/>
      <c r="DV28" s="593"/>
      <c r="DW28" s="593"/>
      <c r="DX28" s="593"/>
      <c r="DY28" s="593"/>
      <c r="DZ28" s="593"/>
      <c r="EA28" s="593"/>
      <c r="EB28" s="593"/>
      <c r="EC28" s="593"/>
      <c r="ED28" s="593"/>
      <c r="EE28" s="593"/>
      <c r="EF28" s="593"/>
      <c r="EG28" s="593"/>
      <c r="EH28" s="593"/>
      <c r="EI28" s="593"/>
      <c r="EJ28" s="593"/>
      <c r="EK28" s="593"/>
      <c r="EL28" s="593"/>
      <c r="EM28" s="593"/>
      <c r="EN28" s="593"/>
      <c r="EO28" s="593"/>
      <c r="EP28" s="593"/>
      <c r="EQ28" s="593"/>
      <c r="ER28" s="593"/>
      <c r="ES28" s="593"/>
      <c r="ET28" s="593"/>
      <c r="EU28" s="593"/>
      <c r="EV28" s="593"/>
      <c r="EW28" s="593"/>
      <c r="EX28" s="593"/>
      <c r="EY28" s="593"/>
      <c r="EZ28" s="593"/>
      <c r="FA28" s="593"/>
      <c r="FB28" s="593"/>
      <c r="FC28" s="593"/>
      <c r="FD28" s="593"/>
      <c r="FE28" s="593"/>
      <c r="FF28" s="593"/>
      <c r="FG28" s="593"/>
      <c r="FH28" s="593"/>
      <c r="FI28" s="593"/>
      <c r="FJ28" s="593"/>
      <c r="FK28" s="593"/>
      <c r="FL28" s="593"/>
      <c r="FM28" s="593"/>
      <c r="FN28" s="593"/>
      <c r="FO28" s="593"/>
      <c r="FP28" s="593"/>
      <c r="FQ28" s="593"/>
      <c r="FR28" s="593"/>
      <c r="FS28" s="593"/>
      <c r="FT28" s="593"/>
      <c r="FU28" s="593"/>
      <c r="FV28" s="593"/>
      <c r="FW28" s="593"/>
      <c r="FX28" s="593"/>
      <c r="FY28" s="593"/>
      <c r="FZ28" s="593"/>
      <c r="GA28" s="593"/>
      <c r="GB28" s="593"/>
      <c r="GC28" s="593"/>
      <c r="GD28" s="593"/>
      <c r="GE28" s="593"/>
      <c r="GF28" s="593"/>
      <c r="GG28" s="593"/>
      <c r="GH28" s="593"/>
      <c r="GI28" s="593"/>
      <c r="GJ28" s="593"/>
      <c r="GK28" s="593"/>
      <c r="GL28" s="593"/>
      <c r="GM28" s="593"/>
      <c r="GN28" s="593"/>
      <c r="GO28" s="593"/>
      <c r="GP28" s="593"/>
      <c r="GQ28" s="593"/>
      <c r="GR28" s="593"/>
      <c r="GS28" s="593"/>
      <c r="GT28" s="593"/>
      <c r="GU28" s="593"/>
      <c r="GV28" s="593"/>
      <c r="GW28" s="593"/>
      <c r="GX28" s="593"/>
      <c r="GY28" s="593"/>
      <c r="GZ28" s="593"/>
      <c r="HA28" s="593"/>
      <c r="HB28" s="593"/>
      <c r="HC28" s="593"/>
      <c r="HD28" s="593"/>
      <c r="HE28" s="593"/>
      <c r="HF28" s="593"/>
      <c r="HG28" s="593"/>
      <c r="HH28" s="593"/>
      <c r="HI28" s="593"/>
      <c r="HJ28" s="593"/>
      <c r="HK28" s="593"/>
      <c r="HL28" s="593"/>
      <c r="HM28" s="593"/>
      <c r="HN28" s="593"/>
      <c r="HO28" s="593"/>
      <c r="HP28" s="593"/>
      <c r="HQ28" s="6"/>
      <c r="HR28" s="6"/>
      <c r="HS28" s="6"/>
      <c r="HT28" s="6"/>
      <c r="HU28" s="6"/>
      <c r="HV28" s="6"/>
      <c r="HW28" s="6"/>
      <c r="HX28" s="6"/>
      <c r="HY28" s="6"/>
      <c r="HZ28" s="6"/>
      <c r="IA28" s="6"/>
      <c r="IB28" s="6"/>
      <c r="IC28" s="6"/>
      <c r="ID28" s="6"/>
      <c r="IE28" s="6"/>
      <c r="IF28" s="6"/>
      <c r="IG28" s="6"/>
      <c r="IH28" s="6"/>
      <c r="II28" s="6"/>
      <c r="IJ28" s="6"/>
      <c r="IK28" s="6"/>
      <c r="IL28" s="6"/>
      <c r="IM28" s="6"/>
      <c r="IN28" s="6"/>
      <c r="IO28" s="6"/>
      <c r="IP28" s="6"/>
      <c r="IQ28" s="6"/>
      <c r="IR28" s="6"/>
      <c r="IS28" s="6"/>
      <c r="IT28" s="6"/>
      <c r="IU28" s="6"/>
      <c r="IV28" s="6"/>
    </row>
    <row r="29" spans="1:256" s="117" customFormat="1" ht="11.25" customHeight="1">
      <c r="A29" s="595" t="s">
        <v>44</v>
      </c>
      <c r="B29" s="99"/>
      <c r="C29" s="87"/>
      <c r="D29" s="88"/>
      <c r="E29" s="88"/>
      <c r="F29" s="91"/>
      <c r="G29" s="99"/>
      <c r="H29" s="87"/>
      <c r="I29" s="88"/>
      <c r="J29" s="88"/>
      <c r="K29" s="91"/>
      <c r="L29" s="272"/>
      <c r="M29" s="87"/>
      <c r="N29" s="88"/>
      <c r="O29" s="92"/>
      <c r="P29" s="88"/>
      <c r="Q29" s="99">
        <v>154</v>
      </c>
      <c r="R29" s="88"/>
      <c r="S29" s="88"/>
      <c r="T29" s="88"/>
      <c r="U29" s="91"/>
      <c r="V29" s="143">
        <v>177</v>
      </c>
      <c r="W29" s="88"/>
      <c r="X29" s="88"/>
      <c r="Y29" s="88"/>
      <c r="Z29" s="88"/>
      <c r="AA29" s="99">
        <v>181.583</v>
      </c>
      <c r="AB29" s="88">
        <v>47.634999999999998</v>
      </c>
      <c r="AC29" s="88">
        <v>46.723999999999997</v>
      </c>
      <c r="AD29" s="88">
        <v>46.225000000000001</v>
      </c>
      <c r="AE29" s="88">
        <v>46.017000000000003</v>
      </c>
      <c r="AF29" s="99">
        <f t="shared" si="40"/>
        <v>186.601</v>
      </c>
      <c r="AG29" s="88">
        <f>51.662</f>
        <v>51.661999999999999</v>
      </c>
      <c r="AH29" s="88">
        <v>44.686999999999998</v>
      </c>
      <c r="AI29" s="88">
        <v>47.02</v>
      </c>
      <c r="AJ29" s="88">
        <v>46.881999999999998</v>
      </c>
      <c r="AK29" s="541">
        <f t="shared" si="41"/>
        <v>190.251</v>
      </c>
      <c r="AL29" s="88">
        <v>46.326000000000001</v>
      </c>
      <c r="AM29" s="88">
        <v>44.944000000000003</v>
      </c>
      <c r="AN29" s="88">
        <v>46.177999999999997</v>
      </c>
      <c r="AO29" s="88">
        <v>44.723999999999997</v>
      </c>
      <c r="AP29" s="541">
        <f>SUM(AL29:AO29)</f>
        <v>182.172</v>
      </c>
      <c r="AQ29" s="88">
        <v>30.314</v>
      </c>
      <c r="AR29" s="88">
        <v>29.841999999999999</v>
      </c>
      <c r="AS29" s="88">
        <v>30.815999999999999</v>
      </c>
      <c r="AT29" s="88">
        <v>32.020000000000003</v>
      </c>
      <c r="AU29" s="541">
        <f t="shared" si="45"/>
        <v>122.99199999999999</v>
      </c>
      <c r="AV29" s="88">
        <v>32.311</v>
      </c>
      <c r="AW29" s="88">
        <v>35.947000000000003</v>
      </c>
      <c r="AX29" s="88">
        <v>41.878</v>
      </c>
      <c r="AY29" s="88">
        <v>36.840000000000003</v>
      </c>
      <c r="AZ29" s="541">
        <f t="shared" si="1"/>
        <v>146.976</v>
      </c>
      <c r="BA29" s="88">
        <f>51.797</f>
        <v>51.796999999999997</v>
      </c>
      <c r="BB29" s="88">
        <v>38.719000000000001</v>
      </c>
      <c r="BC29" s="88">
        <v>44.325000000000003</v>
      </c>
      <c r="BD29" s="88">
        <v>47.518000000000001</v>
      </c>
      <c r="BE29" s="541">
        <f t="shared" si="46"/>
        <v>182.35900000000001</v>
      </c>
      <c r="BF29" s="88">
        <v>42.021000000000001</v>
      </c>
      <c r="BG29" s="88">
        <v>39.494999999999997</v>
      </c>
      <c r="BH29" s="88">
        <v>36.274000000000001</v>
      </c>
      <c r="BI29" s="88">
        <v>41.563000000000002</v>
      </c>
      <c r="BJ29" s="541">
        <f t="shared" si="47"/>
        <v>159.35300000000001</v>
      </c>
      <c r="BK29" s="88">
        <v>35.545000000000002</v>
      </c>
      <c r="BL29" s="88">
        <v>39.335000000000001</v>
      </c>
      <c r="BM29" s="88">
        <v>36.42</v>
      </c>
      <c r="BN29" s="88">
        <v>33.750999999999998</v>
      </c>
      <c r="BO29" s="541">
        <f t="shared" si="48"/>
        <v>145.05099999999999</v>
      </c>
      <c r="BP29" s="88">
        <v>32.344999999999999</v>
      </c>
      <c r="BQ29" s="88">
        <v>30.748999999999999</v>
      </c>
      <c r="BR29" s="88">
        <v>29.361999999999998</v>
      </c>
      <c r="BS29" s="88">
        <v>30.248000000000001</v>
      </c>
      <c r="BT29" s="541">
        <f t="shared" si="49"/>
        <v>122.70399999999999</v>
      </c>
      <c r="BU29" s="88">
        <v>29.164999999999999</v>
      </c>
      <c r="BV29" s="88">
        <v>31.309000000000001</v>
      </c>
      <c r="BW29" s="88">
        <v>31.216000000000001</v>
      </c>
      <c r="BX29" s="88">
        <v>33.997</v>
      </c>
      <c r="BY29" s="541">
        <f t="shared" si="50"/>
        <v>125.687</v>
      </c>
      <c r="BZ29" s="93">
        <f>BZ150</f>
        <v>30.769074999999997</v>
      </c>
      <c r="CA29" s="93">
        <f>CA150</f>
        <v>33.030994999999997</v>
      </c>
      <c r="CB29" s="93">
        <f>CB150</f>
        <v>32.932879999999997</v>
      </c>
      <c r="CC29" s="93">
        <f>CC150</f>
        <v>31.714154549999996</v>
      </c>
      <c r="CD29" s="541">
        <f t="shared" si="51"/>
        <v>128.44710454999998</v>
      </c>
      <c r="CE29" s="93">
        <f>CE150</f>
        <v>31.384456499999999</v>
      </c>
      <c r="CF29" s="93">
        <f>CF150</f>
        <v>33.691614899999998</v>
      </c>
      <c r="CG29" s="93">
        <f>CG150</f>
        <v>33.591537599999995</v>
      </c>
      <c r="CH29" s="93">
        <f>CH150</f>
        <v>32.348437640999997</v>
      </c>
      <c r="CI29" s="541">
        <f>SUM(CE29:CH29)</f>
        <v>131.01604664099997</v>
      </c>
      <c r="CJ29" s="93">
        <f>CJ150</f>
        <v>32.012145629999999</v>
      </c>
      <c r="CK29" s="93">
        <f>CK150</f>
        <v>34.365447197999998</v>
      </c>
      <c r="CL29" s="93">
        <f>CL150</f>
        <v>34.263368351999993</v>
      </c>
      <c r="CM29" s="93">
        <f>CM150</f>
        <v>32.995406393819998</v>
      </c>
      <c r="CN29" s="541">
        <f>SUM(CJ29:CM29)</f>
        <v>133.63636757381997</v>
      </c>
      <c r="CO29" s="72"/>
      <c r="CP29" s="406"/>
      <c r="CQ29" s="406"/>
      <c r="CR29" s="595" t="s">
        <v>44</v>
      </c>
      <c r="CS29" s="88">
        <f t="shared" si="26"/>
        <v>33.997</v>
      </c>
      <c r="CT29" s="93">
        <v>30.06081</v>
      </c>
      <c r="CU29" s="121">
        <f t="shared" si="27"/>
        <v>3.9361899999999999</v>
      </c>
      <c r="CV29" s="88">
        <f>BS29</f>
        <v>30.248000000000001</v>
      </c>
      <c r="CW29" s="153">
        <f t="shared" si="28"/>
        <v>0.1239420788151282</v>
      </c>
      <c r="CX29" s="402">
        <f>SUM(CX27:CX28)-CU37</f>
        <v>1.8151093008708505</v>
      </c>
      <c r="CY29" s="41"/>
      <c r="CZ29" s="41"/>
      <c r="DB29"/>
      <c r="DC29"/>
      <c r="DD29"/>
      <c r="DE29"/>
      <c r="DF29"/>
      <c r="DG29"/>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c r="IS29" s="3"/>
      <c r="IT29" s="3"/>
      <c r="IU29" s="3"/>
      <c r="IV29" s="3"/>
    </row>
    <row r="30" spans="1:256" s="117" customFormat="1" ht="11.25" customHeight="1">
      <c r="A30" s="595" t="s">
        <v>556</v>
      </c>
      <c r="B30" s="99"/>
      <c r="C30" s="87"/>
      <c r="D30" s="88"/>
      <c r="E30" s="88"/>
      <c r="F30" s="91"/>
      <c r="G30" s="99"/>
      <c r="H30" s="87"/>
      <c r="I30" s="88"/>
      <c r="J30" s="88"/>
      <c r="K30" s="91"/>
      <c r="L30" s="272"/>
      <c r="M30" s="87"/>
      <c r="N30" s="88"/>
      <c r="O30" s="92"/>
      <c r="P30" s="88"/>
      <c r="Q30" s="99"/>
      <c r="R30" s="88"/>
      <c r="S30" s="88"/>
      <c r="T30" s="88"/>
      <c r="U30" s="91"/>
      <c r="V30" s="143"/>
      <c r="W30" s="88"/>
      <c r="X30" s="88"/>
      <c r="Y30" s="88"/>
      <c r="Z30" s="88"/>
      <c r="AA30" s="99"/>
      <c r="AB30" s="88"/>
      <c r="AC30" s="88"/>
      <c r="AD30" s="88"/>
      <c r="AE30" s="88"/>
      <c r="AF30" s="99"/>
      <c r="AG30" s="88"/>
      <c r="AH30" s="88"/>
      <c r="AI30" s="88"/>
      <c r="AJ30" s="88"/>
      <c r="AK30" s="541"/>
      <c r="AL30" s="88"/>
      <c r="AM30" s="88"/>
      <c r="AN30" s="88"/>
      <c r="AO30" s="88"/>
      <c r="AP30" s="541"/>
      <c r="AQ30" s="88"/>
      <c r="AR30" s="88"/>
      <c r="AS30" s="88"/>
      <c r="AT30" s="88"/>
      <c r="AU30" s="541"/>
      <c r="AV30" s="88"/>
      <c r="AW30" s="88"/>
      <c r="AX30" s="88"/>
      <c r="AY30" s="88"/>
      <c r="AZ30" s="541"/>
      <c r="BA30" s="88"/>
      <c r="BB30" s="88"/>
      <c r="BC30" s="88"/>
      <c r="BD30" s="88"/>
      <c r="BE30" s="541"/>
      <c r="BF30" s="1207">
        <v>-72.992000000000004</v>
      </c>
      <c r="BG30" s="88"/>
      <c r="BH30" s="88"/>
      <c r="BI30" s="88"/>
      <c r="BJ30" s="541">
        <f>SUM(BF30:BI30)</f>
        <v>-72.992000000000004</v>
      </c>
      <c r="BK30" s="88">
        <v>0.80500000000000005</v>
      </c>
      <c r="BL30" s="88">
        <v>-15.654</v>
      </c>
      <c r="BM30" s="88">
        <v>9.8000000000000004E-2</v>
      </c>
      <c r="BN30" s="88">
        <v>-59.258000000000003</v>
      </c>
      <c r="BO30" s="541">
        <f t="shared" si="48"/>
        <v>-74.009</v>
      </c>
      <c r="BP30" s="88">
        <v>-8.4260000000000002</v>
      </c>
      <c r="BQ30" s="88">
        <v>-1.9239999999999999</v>
      </c>
      <c r="BR30" s="88">
        <v>-37.756</v>
      </c>
      <c r="BS30" s="88">
        <v>-23.824999999999999</v>
      </c>
      <c r="BT30" s="541">
        <f>SUM(BP30:BS30)</f>
        <v>-71.930999999999997</v>
      </c>
      <c r="BU30" s="88">
        <v>-1.407</v>
      </c>
      <c r="BV30" s="88">
        <v>41.05</v>
      </c>
      <c r="BW30" s="88">
        <v>0.106</v>
      </c>
      <c r="BX30" s="88">
        <v>-0.67300000000000004</v>
      </c>
      <c r="BY30" s="541">
        <f>SUM(BU30:BX30)</f>
        <v>39.076000000000001</v>
      </c>
      <c r="BZ30" s="93"/>
      <c r="CA30" s="93"/>
      <c r="CB30" s="93"/>
      <c r="CC30" s="93"/>
      <c r="CD30" s="541"/>
      <c r="CE30" s="93"/>
      <c r="CF30" s="93"/>
      <c r="CG30" s="93"/>
      <c r="CH30" s="93"/>
      <c r="CI30" s="541"/>
      <c r="CJ30" s="93"/>
      <c r="CK30" s="93"/>
      <c r="CL30" s="93"/>
      <c r="CM30" s="93"/>
      <c r="CN30" s="541"/>
      <c r="CO30" s="72"/>
      <c r="CP30" s="406"/>
      <c r="CQ30" s="406"/>
      <c r="CR30" s="595" t="s">
        <v>556</v>
      </c>
      <c r="CS30" s="88">
        <f t="shared" si="26"/>
        <v>-0.67300000000000004</v>
      </c>
      <c r="CT30" s="93">
        <v>0</v>
      </c>
      <c r="CU30" s="121"/>
      <c r="CV30" s="88"/>
      <c r="CW30" s="153"/>
      <c r="DB30"/>
      <c r="DC30"/>
      <c r="DD30"/>
      <c r="DE30"/>
      <c r="DF30"/>
      <c r="DG30"/>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c r="IS30" s="3"/>
      <c r="IT30" s="3"/>
      <c r="IU30" s="3"/>
      <c r="IV30" s="3"/>
    </row>
    <row r="31" spans="1:256" s="117" customFormat="1" ht="11.25" customHeight="1">
      <c r="A31" s="595" t="s">
        <v>557</v>
      </c>
      <c r="B31" s="99"/>
      <c r="C31" s="87"/>
      <c r="D31" s="88"/>
      <c r="E31" s="88"/>
      <c r="F31" s="91"/>
      <c r="G31" s="99"/>
      <c r="H31" s="87"/>
      <c r="I31" s="88"/>
      <c r="J31" s="88"/>
      <c r="K31" s="91"/>
      <c r="L31" s="272"/>
      <c r="M31" s="87"/>
      <c r="N31" s="88"/>
      <c r="O31" s="92"/>
      <c r="P31" s="88"/>
      <c r="Q31" s="99"/>
      <c r="R31" s="88"/>
      <c r="S31" s="88"/>
      <c r="T31" s="88"/>
      <c r="U31" s="91"/>
      <c r="V31" s="143"/>
      <c r="W31" s="88"/>
      <c r="X31" s="88"/>
      <c r="Y31" s="88"/>
      <c r="Z31" s="88"/>
      <c r="AA31" s="99">
        <v>95.174000000000007</v>
      </c>
      <c r="AB31" s="88">
        <v>1.141</v>
      </c>
      <c r="AC31" s="88">
        <v>1.446</v>
      </c>
      <c r="AD31" s="88">
        <v>0.747</v>
      </c>
      <c r="AE31" s="88">
        <v>3.101</v>
      </c>
      <c r="AF31" s="99">
        <f>SUM(AB31:AE31)</f>
        <v>6.4349999999999996</v>
      </c>
      <c r="AG31" s="88">
        <v>4.1609999999999996</v>
      </c>
      <c r="AH31" s="88">
        <v>3.0129999999999999</v>
      </c>
      <c r="AI31" s="88">
        <v>1.7250000000000001</v>
      </c>
      <c r="AJ31" s="88">
        <v>2.125</v>
      </c>
      <c r="AK31" s="541">
        <f>SUM(AG31:AJ31)</f>
        <v>11.023999999999999</v>
      </c>
      <c r="AL31" s="88">
        <v>0</v>
      </c>
      <c r="AM31" s="88">
        <v>0</v>
      </c>
      <c r="AN31" s="88">
        <v>0</v>
      </c>
      <c r="AO31" s="88">
        <v>0</v>
      </c>
      <c r="AP31" s="541">
        <f>SUM(AL31:AO31)</f>
        <v>0</v>
      </c>
      <c r="AQ31" s="88"/>
      <c r="AR31" s="88"/>
      <c r="AS31" s="88">
        <v>0</v>
      </c>
      <c r="AT31" s="88">
        <v>0</v>
      </c>
      <c r="AU31" s="541">
        <f>SUM(AQ31:AT31)</f>
        <v>0</v>
      </c>
      <c r="AV31" s="88">
        <v>5.5309999999999997</v>
      </c>
      <c r="AW31" s="88">
        <v>9.4260000000000002</v>
      </c>
      <c r="AX31" s="88">
        <v>11.285</v>
      </c>
      <c r="AY31" s="88">
        <v>13.47</v>
      </c>
      <c r="AZ31" s="541">
        <f>SUM(AV31:AY31)</f>
        <v>39.712000000000003</v>
      </c>
      <c r="BA31" s="88">
        <v>3.0379999999999998</v>
      </c>
      <c r="BB31" s="88">
        <v>6.3769999999999998</v>
      </c>
      <c r="BC31" s="88">
        <v>22.274999999999999</v>
      </c>
      <c r="BD31" s="88">
        <f>-20.834+13.5</f>
        <v>-7.3339999999999996</v>
      </c>
      <c r="BE31" s="541">
        <f>SUM(BA31:BD31)</f>
        <v>24.355999999999998</v>
      </c>
      <c r="BF31" s="1207">
        <v>14.711</v>
      </c>
      <c r="BG31" s="88">
        <v>0.88300000000000001</v>
      </c>
      <c r="BH31" s="88">
        <v>7.52</v>
      </c>
      <c r="BI31" s="88">
        <v>6.53</v>
      </c>
      <c r="BJ31" s="541">
        <f>SUM(BF31:BI31)</f>
        <v>29.644000000000002</v>
      </c>
      <c r="BK31" s="88">
        <f>4.613</f>
        <v>4.6130000000000004</v>
      </c>
      <c r="BL31" s="88">
        <v>6.2789999999999999</v>
      </c>
      <c r="BM31" s="88">
        <v>5.7539999999999996</v>
      </c>
      <c r="BN31" s="88">
        <v>5.2640000000000002</v>
      </c>
      <c r="BO31" s="541">
        <f t="shared" si="48"/>
        <v>21.91</v>
      </c>
      <c r="BP31" s="88">
        <v>3.25</v>
      </c>
      <c r="BQ31" s="88">
        <v>2.4870000000000001</v>
      </c>
      <c r="BR31" s="88">
        <v>2.129</v>
      </c>
      <c r="BS31" s="88">
        <v>2.2170000000000001</v>
      </c>
      <c r="BT31" s="541">
        <f>SUM(BP31:BS31)</f>
        <v>10.083</v>
      </c>
      <c r="BU31" s="88">
        <v>0.18099999999999999</v>
      </c>
      <c r="BV31" s="88">
        <v>17.699000000000002</v>
      </c>
      <c r="BW31" s="88">
        <v>2.8879999999999999</v>
      </c>
      <c r="BX31" s="88">
        <v>1.806</v>
      </c>
      <c r="BY31" s="541">
        <f t="shared" ref="BY31:BY36" si="52">SUM(BU31:BX31)</f>
        <v>22.574000000000002</v>
      </c>
      <c r="BZ31" s="93">
        <v>3.125</v>
      </c>
      <c r="CA31" s="93">
        <v>3.125</v>
      </c>
      <c r="CB31" s="93">
        <v>3.125</v>
      </c>
      <c r="CC31" s="93">
        <v>3.125</v>
      </c>
      <c r="CD31" s="541">
        <f>SUM(BZ31:CC31)</f>
        <v>12.5</v>
      </c>
      <c r="CE31" s="93"/>
      <c r="CF31" s="93"/>
      <c r="CG31" s="93"/>
      <c r="CH31" s="93"/>
      <c r="CI31" s="541">
        <f>SUM(CE31:CH31)</f>
        <v>0</v>
      </c>
      <c r="CJ31" s="93"/>
      <c r="CK31" s="93"/>
      <c r="CL31" s="93"/>
      <c r="CM31" s="93"/>
      <c r="CN31" s="541">
        <f>SUM(CJ31:CM31)</f>
        <v>0</v>
      </c>
      <c r="CO31" s="45"/>
      <c r="CR31" s="595" t="s">
        <v>414</v>
      </c>
      <c r="CS31" s="88">
        <f t="shared" si="26"/>
        <v>1.806</v>
      </c>
      <c r="CT31" s="93">
        <v>0</v>
      </c>
      <c r="CU31" s="121">
        <f>CS31-CT31</f>
        <v>1.806</v>
      </c>
      <c r="CV31" s="88">
        <f>BS31</f>
        <v>2.2170000000000001</v>
      </c>
      <c r="CW31" s="153"/>
      <c r="DB31"/>
      <c r="DC31"/>
      <c r="DD31"/>
      <c r="DE31"/>
      <c r="DF31"/>
      <c r="DG31"/>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c r="IS31" s="3"/>
      <c r="IT31" s="3"/>
      <c r="IU31" s="3"/>
      <c r="IV31" s="3"/>
    </row>
    <row r="32" spans="1:256" s="117" customFormat="1" ht="11.25" hidden="1" customHeight="1" outlineLevel="1">
      <c r="A32" s="595" t="s">
        <v>51</v>
      </c>
      <c r="B32" s="99"/>
      <c r="C32" s="87"/>
      <c r="D32" s="88"/>
      <c r="E32" s="88"/>
      <c r="F32" s="91"/>
      <c r="G32" s="99"/>
      <c r="H32" s="87"/>
      <c r="I32" s="88"/>
      <c r="J32" s="88"/>
      <c r="K32" s="91"/>
      <c r="L32" s="272"/>
      <c r="M32" s="87"/>
      <c r="N32" s="88"/>
      <c r="O32" s="92"/>
      <c r="P32" s="88"/>
      <c r="Q32" s="99"/>
      <c r="R32" s="88"/>
      <c r="S32" s="88"/>
      <c r="T32" s="88"/>
      <c r="U32" s="91"/>
      <c r="V32" s="143"/>
      <c r="W32" s="88"/>
      <c r="X32" s="88"/>
      <c r="Y32" s="88"/>
      <c r="Z32" s="88"/>
      <c r="AA32" s="99"/>
      <c r="AB32" s="88"/>
      <c r="AC32" s="88"/>
      <c r="AD32" s="88">
        <v>0</v>
      </c>
      <c r="AE32" s="88">
        <v>460.07499999999999</v>
      </c>
      <c r="AF32" s="99">
        <f>SUM(AB32:AE32)</f>
        <v>460.07499999999999</v>
      </c>
      <c r="AG32" s="88"/>
      <c r="AH32" s="88"/>
      <c r="AI32" s="88"/>
      <c r="AJ32" s="88">
        <v>0</v>
      </c>
      <c r="AK32" s="541"/>
      <c r="AL32" s="88"/>
      <c r="AM32" s="88">
        <v>0</v>
      </c>
      <c r="AN32" s="88">
        <v>0</v>
      </c>
      <c r="AO32" s="88">
        <v>0</v>
      </c>
      <c r="AP32" s="541"/>
      <c r="AQ32" s="88"/>
      <c r="AR32" s="88"/>
      <c r="AS32" s="88"/>
      <c r="AT32" s="88">
        <v>0</v>
      </c>
      <c r="AU32" s="541"/>
      <c r="AV32" s="88"/>
      <c r="AW32" s="88"/>
      <c r="AX32" s="88">
        <v>0</v>
      </c>
      <c r="AY32" s="88"/>
      <c r="AZ32" s="541"/>
      <c r="BA32" s="88"/>
      <c r="BB32" s="88"/>
      <c r="BC32" s="88"/>
      <c r="BD32" s="88">
        <v>9.3970000000000002</v>
      </c>
      <c r="BE32" s="541">
        <f t="shared" si="46"/>
        <v>9.3970000000000002</v>
      </c>
      <c r="BF32" s="1207">
        <v>0</v>
      </c>
      <c r="BG32" s="88">
        <v>0</v>
      </c>
      <c r="BH32" s="88">
        <v>0</v>
      </c>
      <c r="BI32" s="88"/>
      <c r="BJ32" s="541">
        <f t="shared" si="47"/>
        <v>0</v>
      </c>
      <c r="BK32" s="88"/>
      <c r="BL32" s="88"/>
      <c r="BM32" s="88"/>
      <c r="BN32" s="88"/>
      <c r="BO32" s="541">
        <f t="shared" si="48"/>
        <v>0</v>
      </c>
      <c r="BP32" s="88"/>
      <c r="BQ32" s="88"/>
      <c r="BR32" s="88"/>
      <c r="BS32" s="88"/>
      <c r="BT32" s="541">
        <f t="shared" si="49"/>
        <v>0</v>
      </c>
      <c r="BU32" s="88"/>
      <c r="BV32" s="88"/>
      <c r="BW32" s="88"/>
      <c r="BX32" s="88"/>
      <c r="BY32" s="541">
        <f t="shared" si="52"/>
        <v>0</v>
      </c>
      <c r="BZ32" s="88"/>
      <c r="CA32" s="88"/>
      <c r="CB32" s="88"/>
      <c r="CC32" s="88"/>
      <c r="CD32" s="541">
        <f t="shared" si="51"/>
        <v>0</v>
      </c>
      <c r="CE32" s="88"/>
      <c r="CF32" s="88"/>
      <c r="CG32" s="88"/>
      <c r="CH32" s="88"/>
      <c r="CI32" s="541">
        <f>SUM(CE32:CH32)</f>
        <v>0</v>
      </c>
      <c r="CJ32" s="88"/>
      <c r="CK32" s="88"/>
      <c r="CL32" s="88"/>
      <c r="CM32" s="88"/>
      <c r="CN32" s="541">
        <f>SUM(CJ32:CM32)</f>
        <v>0</v>
      </c>
      <c r="CO32" s="96"/>
      <c r="CR32" s="595" t="s">
        <v>51</v>
      </c>
      <c r="CS32" s="88">
        <f t="shared" si="26"/>
        <v>0</v>
      </c>
      <c r="CT32" s="93">
        <v>0</v>
      </c>
      <c r="CU32" s="121">
        <f t="shared" si="27"/>
        <v>0</v>
      </c>
      <c r="CV32" s="88">
        <f>BS32</f>
        <v>0</v>
      </c>
      <c r="CW32" s="153"/>
      <c r="DB32"/>
      <c r="DC32"/>
      <c r="DD32"/>
      <c r="DE32"/>
      <c r="DF32"/>
      <c r="DG32"/>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c r="IS32" s="3"/>
      <c r="IT32" s="3"/>
      <c r="IU32" s="3"/>
      <c r="IV32" s="3"/>
    </row>
    <row r="33" spans="1:256" s="117" customFormat="1" ht="11.25" customHeight="1" collapsed="1">
      <c r="A33" s="595" t="s">
        <v>558</v>
      </c>
      <c r="B33" s="99"/>
      <c r="C33" s="87"/>
      <c r="D33" s="88"/>
      <c r="E33" s="88"/>
      <c r="F33" s="91"/>
      <c r="G33" s="99"/>
      <c r="H33" s="87"/>
      <c r="I33" s="88"/>
      <c r="J33" s="88"/>
      <c r="K33" s="91"/>
      <c r="L33" s="272"/>
      <c r="M33" s="87"/>
      <c r="N33" s="88"/>
      <c r="O33" s="92"/>
      <c r="P33" s="88"/>
      <c r="Q33" s="99"/>
      <c r="R33" s="88"/>
      <c r="S33" s="88"/>
      <c r="T33" s="88"/>
      <c r="U33" s="91"/>
      <c r="V33" s="143"/>
      <c r="W33" s="88"/>
      <c r="X33" s="88"/>
      <c r="Y33" s="88"/>
      <c r="Z33" s="88"/>
      <c r="AA33" s="99"/>
      <c r="AB33" s="88">
        <v>0.20200000000000001</v>
      </c>
      <c r="AC33" s="88">
        <v>1.363</v>
      </c>
      <c r="AD33" s="88">
        <v>15.445</v>
      </c>
      <c r="AE33" s="88">
        <v>3.5819999999999999</v>
      </c>
      <c r="AF33" s="99">
        <f>SUM(AB33:AE33)</f>
        <v>20.592000000000002</v>
      </c>
      <c r="AG33" s="88">
        <v>6.88</v>
      </c>
      <c r="AH33" s="88">
        <v>8.6999999999999993</v>
      </c>
      <c r="AI33" s="88">
        <v>15.528</v>
      </c>
      <c r="AJ33" s="88">
        <v>51.024000000000001</v>
      </c>
      <c r="AK33" s="541">
        <f>SUM(AG33:AJ33)</f>
        <v>82.132000000000005</v>
      </c>
      <c r="AL33" s="88">
        <v>11.601000000000001</v>
      </c>
      <c r="AM33" s="88">
        <v>2.4140000000000001</v>
      </c>
      <c r="AN33" s="88">
        <v>27.408999999999999</v>
      </c>
      <c r="AO33" s="88">
        <v>28.053000000000001</v>
      </c>
      <c r="AP33" s="541">
        <f>SUM(AL33:AO33)</f>
        <v>69.477000000000004</v>
      </c>
      <c r="AQ33" s="88">
        <v>9.6120000000000001</v>
      </c>
      <c r="AR33" s="88">
        <v>0.36499999999999999</v>
      </c>
      <c r="AS33" s="88">
        <v>0</v>
      </c>
      <c r="AT33" s="88">
        <v>4.6210000000000004</v>
      </c>
      <c r="AU33" s="541">
        <f>SUM(AQ33:AT33)</f>
        <v>14.598000000000001</v>
      </c>
      <c r="AV33" s="88">
        <v>4.5110000000000001</v>
      </c>
      <c r="AW33" s="88">
        <v>3.27</v>
      </c>
      <c r="AX33" s="88">
        <v>0</v>
      </c>
      <c r="AY33" s="88">
        <v>13.316000000000001</v>
      </c>
      <c r="AZ33" s="541">
        <f t="shared" ref="AZ33:AZ46" si="53">SUM(AV33:AY33)</f>
        <v>21.097000000000001</v>
      </c>
      <c r="BA33" s="88"/>
      <c r="BB33" s="88"/>
      <c r="BC33" s="88">
        <v>5.327</v>
      </c>
      <c r="BD33" s="88">
        <v>10.552</v>
      </c>
      <c r="BE33" s="541">
        <f t="shared" si="46"/>
        <v>15.879</v>
      </c>
      <c r="BF33" s="1207">
        <v>2.5289999999999999</v>
      </c>
      <c r="BG33" s="88">
        <v>0</v>
      </c>
      <c r="BH33" s="88">
        <v>3.4079999999999999</v>
      </c>
      <c r="BI33" s="88">
        <v>7.2450000000000001</v>
      </c>
      <c r="BJ33" s="541">
        <f t="shared" si="47"/>
        <v>13.181999999999999</v>
      </c>
      <c r="BK33" s="88">
        <v>1.9370000000000001</v>
      </c>
      <c r="BL33" s="88">
        <v>10.018000000000001</v>
      </c>
      <c r="BM33" s="88">
        <v>1.5129999999999999</v>
      </c>
      <c r="BN33" s="88">
        <v>11.532999999999999</v>
      </c>
      <c r="BO33" s="541">
        <f t="shared" si="48"/>
        <v>25.000999999999998</v>
      </c>
      <c r="BP33" s="88">
        <v>7.1050000000000004</v>
      </c>
      <c r="BQ33" s="88">
        <v>5.5250000000000004</v>
      </c>
      <c r="BR33" s="88">
        <v>0.36099999999999999</v>
      </c>
      <c r="BS33" s="88">
        <v>3.25</v>
      </c>
      <c r="BT33" s="541">
        <f t="shared" si="49"/>
        <v>16.241</v>
      </c>
      <c r="BU33" s="88">
        <v>0.51</v>
      </c>
      <c r="BV33" s="88">
        <v>0.253</v>
      </c>
      <c r="BW33" s="88">
        <v>1.0409999999999999</v>
      </c>
      <c r="BX33" s="88">
        <v>2.2930000000000001</v>
      </c>
      <c r="BY33" s="541">
        <f t="shared" si="52"/>
        <v>4.0969999999999995</v>
      </c>
      <c r="BZ33" s="93"/>
      <c r="CA33" s="93"/>
      <c r="CB33" s="93"/>
      <c r="CC33" s="93"/>
      <c r="CD33" s="541">
        <f t="shared" si="51"/>
        <v>0</v>
      </c>
      <c r="CE33" s="93"/>
      <c r="CF33" s="93"/>
      <c r="CG33" s="93"/>
      <c r="CH33" s="93"/>
      <c r="CI33" s="541">
        <f>SUM(CE33:CH33)</f>
        <v>0</v>
      </c>
      <c r="CJ33" s="93"/>
      <c r="CK33" s="93"/>
      <c r="CL33" s="93"/>
      <c r="CM33" s="93"/>
      <c r="CN33" s="541">
        <f>SUM(CJ33:CM33)</f>
        <v>0</v>
      </c>
      <c r="CO33" s="45"/>
      <c r="CR33" s="595" t="s">
        <v>52</v>
      </c>
      <c r="CS33" s="88">
        <f t="shared" si="26"/>
        <v>2.2930000000000001</v>
      </c>
      <c r="CT33" s="93">
        <v>0</v>
      </c>
      <c r="CU33" s="121">
        <f t="shared" si="27"/>
        <v>2.2930000000000001</v>
      </c>
      <c r="CV33" s="88">
        <f>BS33</f>
        <v>3.25</v>
      </c>
      <c r="CW33" s="153"/>
      <c r="DB33"/>
      <c r="DC33"/>
      <c r="DD33"/>
      <c r="DE33"/>
      <c r="DF33"/>
      <c r="DG3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c r="IS33" s="3"/>
      <c r="IT33" s="3"/>
      <c r="IU33" s="3"/>
      <c r="IV33" s="3"/>
    </row>
    <row r="34" spans="1:256" ht="0.75" customHeight="1">
      <c r="BF34" s="1204"/>
      <c r="BN34" s="96"/>
      <c r="BY34" s="541">
        <f t="shared" si="52"/>
        <v>0</v>
      </c>
      <c r="CS34" s="88">
        <f t="shared" si="26"/>
        <v>0</v>
      </c>
      <c r="CT34" s="45">
        <v>0</v>
      </c>
    </row>
    <row r="35" spans="1:256" s="117" customFormat="1" ht="11.25" hidden="1" customHeight="1" outlineLevel="1">
      <c r="A35" s="595" t="s">
        <v>340</v>
      </c>
      <c r="B35" s="99"/>
      <c r="C35" s="87"/>
      <c r="D35" s="88"/>
      <c r="E35" s="88"/>
      <c r="F35" s="91"/>
      <c r="G35" s="99"/>
      <c r="H35" s="87"/>
      <c r="I35" s="88"/>
      <c r="J35" s="88"/>
      <c r="K35" s="91"/>
      <c r="L35" s="272"/>
      <c r="M35" s="87"/>
      <c r="N35" s="88"/>
      <c r="O35" s="92"/>
      <c r="P35" s="88"/>
      <c r="Q35" s="99"/>
      <c r="R35" s="88"/>
      <c r="S35" s="88"/>
      <c r="T35" s="88"/>
      <c r="U35" s="91"/>
      <c r="V35" s="143"/>
      <c r="W35" s="88"/>
      <c r="X35" s="88"/>
      <c r="Y35" s="88"/>
      <c r="Z35" s="88"/>
      <c r="AA35" s="99">
        <v>24.67</v>
      </c>
      <c r="AB35" s="88">
        <v>6.657</v>
      </c>
      <c r="AC35" s="88">
        <v>8.5660000000000007</v>
      </c>
      <c r="AD35" s="88">
        <v>69.007999999999996</v>
      </c>
      <c r="AE35" s="88">
        <v>0</v>
      </c>
      <c r="AF35" s="99">
        <f t="shared" si="40"/>
        <v>84.230999999999995</v>
      </c>
      <c r="AG35" s="88"/>
      <c r="AH35" s="88"/>
      <c r="AI35" s="88"/>
      <c r="AJ35" s="88"/>
      <c r="AK35" s="541">
        <f t="shared" si="41"/>
        <v>0</v>
      </c>
      <c r="AL35" s="88"/>
      <c r="AM35" s="88"/>
      <c r="AN35" s="88">
        <v>0</v>
      </c>
      <c r="AO35" s="88">
        <v>0</v>
      </c>
      <c r="AP35" s="541">
        <f>SUM(AL35:AO35)</f>
        <v>0</v>
      </c>
      <c r="AQ35" s="88"/>
      <c r="AR35" s="88">
        <v>5.0389999999999997</v>
      </c>
      <c r="AS35" s="88">
        <v>23.838999999999999</v>
      </c>
      <c r="AT35" s="88">
        <v>14.949</v>
      </c>
      <c r="AU35" s="541">
        <f t="shared" si="45"/>
        <v>43.826999999999998</v>
      </c>
      <c r="AV35" s="88">
        <v>0.61199999999999999</v>
      </c>
      <c r="AW35" s="88">
        <v>0.56200000000000006</v>
      </c>
      <c r="AX35" s="88">
        <v>0.14499999999999999</v>
      </c>
      <c r="AY35" s="88"/>
      <c r="AZ35" s="541">
        <f t="shared" si="53"/>
        <v>1.319</v>
      </c>
      <c r="BA35" s="88"/>
      <c r="BB35" s="88">
        <v>0</v>
      </c>
      <c r="BC35" s="88">
        <v>0</v>
      </c>
      <c r="BD35" s="88">
        <v>0</v>
      </c>
      <c r="BE35" s="541">
        <f t="shared" si="46"/>
        <v>0</v>
      </c>
      <c r="BF35" s="1207">
        <v>0</v>
      </c>
      <c r="BG35" s="88">
        <v>0</v>
      </c>
      <c r="BH35" s="88">
        <v>0</v>
      </c>
      <c r="BI35" s="88"/>
      <c r="BJ35" s="541">
        <f t="shared" si="47"/>
        <v>0</v>
      </c>
      <c r="BK35" s="88"/>
      <c r="BL35" s="88"/>
      <c r="BM35" s="88"/>
      <c r="BN35" s="88"/>
      <c r="BO35" s="541">
        <f>SUM(BK35:BN35)</f>
        <v>0</v>
      </c>
      <c r="BP35" s="88"/>
      <c r="BQ35" s="88"/>
      <c r="BR35" s="88"/>
      <c r="BS35" s="88"/>
      <c r="BT35" s="541">
        <f t="shared" si="49"/>
        <v>0</v>
      </c>
      <c r="BU35" s="88"/>
      <c r="BV35" s="88"/>
      <c r="BW35" s="88"/>
      <c r="BX35" s="88"/>
      <c r="BY35" s="541">
        <f t="shared" si="52"/>
        <v>0</v>
      </c>
      <c r="BZ35" s="93"/>
      <c r="CA35" s="93"/>
      <c r="CB35" s="93"/>
      <c r="CC35" s="93"/>
      <c r="CD35" s="541">
        <f t="shared" si="51"/>
        <v>0</v>
      </c>
      <c r="CE35" s="93"/>
      <c r="CF35" s="93"/>
      <c r="CG35" s="93"/>
      <c r="CH35" s="93"/>
      <c r="CI35" s="541">
        <f>SUM(CE35:CH35)</f>
        <v>0</v>
      </c>
      <c r="CJ35" s="93"/>
      <c r="CK35" s="93"/>
      <c r="CL35" s="93"/>
      <c r="CM35" s="93"/>
      <c r="CN35" s="541">
        <f>SUM(CJ35:CM35)</f>
        <v>0</v>
      </c>
      <c r="CO35" s="45"/>
      <c r="CR35" s="595" t="s">
        <v>415</v>
      </c>
      <c r="CS35" s="88">
        <f t="shared" si="26"/>
        <v>0</v>
      </c>
      <c r="CT35" s="93">
        <v>0</v>
      </c>
      <c r="CU35" s="121">
        <f t="shared" si="27"/>
        <v>0</v>
      </c>
      <c r="CV35" s="88">
        <f>BS35</f>
        <v>0</v>
      </c>
      <c r="CW35" s="153"/>
      <c r="DB35"/>
      <c r="DC35"/>
      <c r="DD35"/>
      <c r="DE35"/>
      <c r="DF35"/>
      <c r="DG35"/>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c r="IS35" s="3"/>
      <c r="IT35" s="3"/>
      <c r="IU35" s="3"/>
      <c r="IV35" s="3"/>
    </row>
    <row r="36" spans="1:256" s="117" customFormat="1" ht="11.25" hidden="1" customHeight="1" outlineLevel="1">
      <c r="A36" s="595" t="s">
        <v>416</v>
      </c>
      <c r="B36" s="99"/>
      <c r="C36" s="87"/>
      <c r="D36" s="88"/>
      <c r="E36" s="88"/>
      <c r="F36" s="91"/>
      <c r="G36" s="99"/>
      <c r="H36" s="87"/>
      <c r="I36" s="88"/>
      <c r="J36" s="88"/>
      <c r="K36" s="91"/>
      <c r="L36" s="272"/>
      <c r="M36" s="87"/>
      <c r="N36" s="88"/>
      <c r="O36" s="92"/>
      <c r="P36" s="88"/>
      <c r="Q36" s="99"/>
      <c r="R36" s="88"/>
      <c r="S36" s="88"/>
      <c r="T36" s="88"/>
      <c r="U36" s="91"/>
      <c r="V36" s="143"/>
      <c r="W36" s="88"/>
      <c r="X36" s="88"/>
      <c r="Y36" s="88"/>
      <c r="Z36" s="88"/>
      <c r="AA36" s="99">
        <v>0.26300000000000001</v>
      </c>
      <c r="AB36" s="88">
        <v>0</v>
      </c>
      <c r="AC36" s="88">
        <v>0</v>
      </c>
      <c r="AD36" s="88">
        <f>0-AC36-AB36</f>
        <v>0</v>
      </c>
      <c r="AE36" s="88">
        <v>0</v>
      </c>
      <c r="AF36" s="99">
        <f t="shared" si="40"/>
        <v>0</v>
      </c>
      <c r="AG36" s="88"/>
      <c r="AH36" s="88"/>
      <c r="AI36" s="88"/>
      <c r="AJ36" s="88"/>
      <c r="AK36" s="541">
        <f t="shared" si="41"/>
        <v>0</v>
      </c>
      <c r="AL36" s="88"/>
      <c r="AM36" s="88"/>
      <c r="AN36" s="88">
        <v>0</v>
      </c>
      <c r="AO36" s="88">
        <v>0</v>
      </c>
      <c r="AP36" s="541">
        <f>SUM(AL36:AO36)</f>
        <v>0</v>
      </c>
      <c r="AQ36" s="88"/>
      <c r="AR36" s="88"/>
      <c r="AS36" s="88"/>
      <c r="AT36" s="88"/>
      <c r="AU36" s="541">
        <f t="shared" si="45"/>
        <v>0</v>
      </c>
      <c r="AV36" s="88"/>
      <c r="AW36" s="88"/>
      <c r="AX36" s="88"/>
      <c r="AY36" s="88"/>
      <c r="AZ36" s="541">
        <f t="shared" si="53"/>
        <v>0</v>
      </c>
      <c r="BA36" s="88"/>
      <c r="BB36" s="88">
        <v>0</v>
      </c>
      <c r="BC36" s="88">
        <v>0</v>
      </c>
      <c r="BD36" s="88">
        <v>0</v>
      </c>
      <c r="BE36" s="541">
        <f t="shared" si="46"/>
        <v>0</v>
      </c>
      <c r="BF36" s="1207">
        <v>0</v>
      </c>
      <c r="BG36" s="88">
        <v>0</v>
      </c>
      <c r="BH36" s="88">
        <v>0</v>
      </c>
      <c r="BI36" s="88"/>
      <c r="BJ36" s="541">
        <f t="shared" si="47"/>
        <v>0</v>
      </c>
      <c r="BK36" s="88"/>
      <c r="BL36" s="88"/>
      <c r="BM36" s="88"/>
      <c r="BN36" s="88"/>
      <c r="BO36" s="541">
        <f>SUM(BK36:BN36)</f>
        <v>0</v>
      </c>
      <c r="BP36" s="88"/>
      <c r="BQ36" s="88"/>
      <c r="BR36" s="88"/>
      <c r="BS36" s="88"/>
      <c r="BT36" s="541">
        <f t="shared" si="49"/>
        <v>0</v>
      </c>
      <c r="BU36" s="88"/>
      <c r="BV36" s="88"/>
      <c r="BW36" s="88"/>
      <c r="BX36" s="88"/>
      <c r="BY36" s="541">
        <f t="shared" si="52"/>
        <v>0</v>
      </c>
      <c r="BZ36" s="93"/>
      <c r="CA36" s="93"/>
      <c r="CB36" s="93"/>
      <c r="CC36" s="93"/>
      <c r="CD36" s="541">
        <f t="shared" si="51"/>
        <v>0</v>
      </c>
      <c r="CE36" s="93"/>
      <c r="CF36" s="93"/>
      <c r="CG36" s="93"/>
      <c r="CH36" s="93"/>
      <c r="CI36" s="541">
        <f>SUM(CE36:CH36)</f>
        <v>0</v>
      </c>
      <c r="CJ36" s="93"/>
      <c r="CK36" s="93"/>
      <c r="CL36" s="93"/>
      <c r="CM36" s="93"/>
      <c r="CN36" s="541">
        <f>SUM(CJ36:CM36)</f>
        <v>0</v>
      </c>
      <c r="CO36" s="45"/>
      <c r="CR36" s="595" t="s">
        <v>416</v>
      </c>
      <c r="CS36" s="88">
        <f t="shared" si="26"/>
        <v>0</v>
      </c>
      <c r="CT36" s="93">
        <v>0</v>
      </c>
      <c r="CU36" s="121">
        <f t="shared" si="27"/>
        <v>0</v>
      </c>
      <c r="CV36" s="88">
        <f>BS36</f>
        <v>0</v>
      </c>
      <c r="CW36" s="153"/>
      <c r="DB36"/>
      <c r="DC36"/>
      <c r="DD36"/>
      <c r="DE36"/>
      <c r="DF36"/>
      <c r="DG36"/>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c r="IS36" s="3"/>
      <c r="IT36" s="3"/>
      <c r="IU36" s="3"/>
      <c r="IV36" s="3"/>
    </row>
    <row r="37" spans="1:256" s="637" customFormat="1" ht="11.25" customHeight="1" collapsed="1">
      <c r="A37" s="624" t="s">
        <v>523</v>
      </c>
      <c r="B37" s="627"/>
      <c r="C37" s="625"/>
      <c r="D37" s="626"/>
      <c r="E37" s="626"/>
      <c r="F37" s="629"/>
      <c r="G37" s="627"/>
      <c r="H37" s="625"/>
      <c r="I37" s="626"/>
      <c r="J37" s="626"/>
      <c r="K37" s="629"/>
      <c r="L37" s="631"/>
      <c r="M37" s="625"/>
      <c r="N37" s="626"/>
      <c r="O37" s="628"/>
      <c r="P37" s="626"/>
      <c r="Q37" s="627">
        <f>SUM(M37:P37)</f>
        <v>0</v>
      </c>
      <c r="R37" s="626"/>
      <c r="S37" s="626"/>
      <c r="T37" s="626"/>
      <c r="U37" s="629"/>
      <c r="V37" s="632">
        <f>SUM(R37:U37)</f>
        <v>0</v>
      </c>
      <c r="W37" s="626"/>
      <c r="X37" s="626"/>
      <c r="Y37" s="626"/>
      <c r="Z37" s="626"/>
      <c r="AA37" s="627">
        <v>-10.993</v>
      </c>
      <c r="AB37" s="626">
        <v>0.253</v>
      </c>
      <c r="AC37" s="626">
        <f>-0.778</f>
        <v>-0.77800000000000002</v>
      </c>
      <c r="AD37" s="626">
        <v>-0.38200000000000001</v>
      </c>
      <c r="AE37" s="626">
        <v>1.1399999999999999</v>
      </c>
      <c r="AF37" s="627">
        <f t="shared" si="40"/>
        <v>0.23299999999999987</v>
      </c>
      <c r="AG37" s="626">
        <v>1.5269999999999999</v>
      </c>
      <c r="AH37" s="626">
        <v>0.57199999999999995</v>
      </c>
      <c r="AI37" s="626">
        <v>0.14599999999999999</v>
      </c>
      <c r="AJ37" s="626">
        <v>2.0099999999999998</v>
      </c>
      <c r="AK37" s="634">
        <f t="shared" si="41"/>
        <v>4.254999999999999</v>
      </c>
      <c r="AL37" s="626">
        <v>1.2829999999999999</v>
      </c>
      <c r="AM37" s="626">
        <v>0.40400000000000003</v>
      </c>
      <c r="AN37" s="626">
        <v>2.2709999999999999</v>
      </c>
      <c r="AO37" s="626">
        <v>1.052</v>
      </c>
      <c r="AP37" s="634">
        <f>SUM(AL37:AO37)</f>
        <v>5.01</v>
      </c>
      <c r="AQ37" s="626">
        <v>0.79700000000000004</v>
      </c>
      <c r="AR37" s="626">
        <v>0.52500000000000002</v>
      </c>
      <c r="AS37" s="626">
        <v>0.36499999999999999</v>
      </c>
      <c r="AT37" s="626">
        <v>2.4649999999999999</v>
      </c>
      <c r="AU37" s="634">
        <f t="shared" si="45"/>
        <v>4.1520000000000001</v>
      </c>
      <c r="AV37" s="626">
        <v>1.5349999999999999</v>
      </c>
      <c r="AW37" s="626">
        <v>1.847</v>
      </c>
      <c r="AX37" s="626">
        <v>1.2170000000000001</v>
      </c>
      <c r="AY37" s="626">
        <v>-0.26400000000000001</v>
      </c>
      <c r="AZ37" s="634">
        <f t="shared" si="53"/>
        <v>4.335</v>
      </c>
      <c r="BA37" s="626">
        <v>0.245</v>
      </c>
      <c r="BB37" s="626">
        <v>0.36499999999999999</v>
      </c>
      <c r="BC37" s="626">
        <v>-3.653</v>
      </c>
      <c r="BD37" s="626">
        <v>3.2879999999999998</v>
      </c>
      <c r="BE37" s="634">
        <f t="shared" si="46"/>
        <v>0.24499999999999966</v>
      </c>
      <c r="BF37" s="1208">
        <v>3.3570000000000002</v>
      </c>
      <c r="BG37" s="626">
        <v>4.4329999999999998</v>
      </c>
      <c r="BH37" s="626">
        <v>8.7829999999999995</v>
      </c>
      <c r="BI37" s="626">
        <v>-0.25800000000000001</v>
      </c>
      <c r="BJ37" s="634">
        <f t="shared" si="47"/>
        <v>16.315000000000001</v>
      </c>
      <c r="BK37" s="626">
        <f>6.149</f>
        <v>6.149</v>
      </c>
      <c r="BL37" s="626">
        <v>9.3550000000000004</v>
      </c>
      <c r="BM37" s="626">
        <v>9.6980000000000004</v>
      </c>
      <c r="BN37" s="626">
        <v>12.045999999999999</v>
      </c>
      <c r="BO37" s="634">
        <f>SUM(BK37:BN37)</f>
        <v>37.248000000000005</v>
      </c>
      <c r="BP37" s="626">
        <v>1.302</v>
      </c>
      <c r="BQ37" s="626">
        <v>16.555</v>
      </c>
      <c r="BR37" s="626">
        <v>18.344000000000001</v>
      </c>
      <c r="BS37" s="626">
        <v>-1.306</v>
      </c>
      <c r="BT37" s="634">
        <f t="shared" si="49"/>
        <v>34.895000000000003</v>
      </c>
      <c r="BU37" s="626">
        <v>1.925</v>
      </c>
      <c r="BV37" s="626">
        <v>1.7</v>
      </c>
      <c r="BW37" s="626">
        <v>1.669</v>
      </c>
      <c r="BX37" s="626">
        <v>2.379</v>
      </c>
      <c r="BY37" s="634">
        <f t="shared" si="50"/>
        <v>7.673</v>
      </c>
      <c r="BZ37" s="633">
        <f>BZ161</f>
        <v>-0.89999999999999991</v>
      </c>
      <c r="CA37" s="633">
        <f>CA161</f>
        <v>-0.89999999999999991</v>
      </c>
      <c r="CB37" s="633">
        <f>CB161</f>
        <v>-0.89999999999999991</v>
      </c>
      <c r="CC37" s="633">
        <f>CC161</f>
        <v>-0.89999999999999991</v>
      </c>
      <c r="CD37" s="634">
        <f t="shared" si="51"/>
        <v>-3.5999999999999996</v>
      </c>
      <c r="CE37" s="633">
        <f>CE161</f>
        <v>-0.89999999999999991</v>
      </c>
      <c r="CF37" s="633">
        <f>CF161</f>
        <v>-0.89999999999999991</v>
      </c>
      <c r="CG37" s="633">
        <f>CG161</f>
        <v>-0.89999999999999991</v>
      </c>
      <c r="CH37" s="633">
        <f>CH161</f>
        <v>-0.89999999999999991</v>
      </c>
      <c r="CI37" s="634">
        <f>SUM(CE37:CH37)</f>
        <v>-3.5999999999999996</v>
      </c>
      <c r="CJ37" s="633">
        <f>CJ161</f>
        <v>-0.89999999999999991</v>
      </c>
      <c r="CK37" s="633">
        <f>CK161</f>
        <v>-0.89999999999999991</v>
      </c>
      <c r="CL37" s="633">
        <f>CL161</f>
        <v>-0.89999999999999991</v>
      </c>
      <c r="CM37" s="633">
        <f>CM161</f>
        <v>-0.89999999999999991</v>
      </c>
      <c r="CN37" s="634">
        <f>SUM(CJ37:CM37)</f>
        <v>-3.5999999999999996</v>
      </c>
      <c r="CO37" s="635"/>
      <c r="CP37" s="636"/>
      <c r="CQ37" s="636"/>
      <c r="CR37" s="624" t="s">
        <v>18</v>
      </c>
      <c r="CS37" s="626">
        <f t="shared" si="26"/>
        <v>2.379</v>
      </c>
      <c r="CT37" s="633">
        <v>1.4</v>
      </c>
      <c r="CU37" s="630">
        <f t="shared" si="21"/>
        <v>0.97900000000000009</v>
      </c>
      <c r="CV37" s="626">
        <f>BS37</f>
        <v>-1.306</v>
      </c>
      <c r="CW37" s="1037">
        <f t="shared" si="28"/>
        <v>-2.8215926493108725</v>
      </c>
      <c r="CX37" s="636"/>
      <c r="CY37" s="636"/>
      <c r="CZ37" s="636"/>
      <c r="DA37" s="636"/>
      <c r="DB37"/>
      <c r="DC37"/>
      <c r="DD37"/>
      <c r="DE37"/>
      <c r="DF37"/>
      <c r="DG37"/>
      <c r="DH37" s="636"/>
      <c r="DI37" s="636"/>
      <c r="DJ37" s="636"/>
      <c r="DK37" s="636"/>
      <c r="DL37" s="636"/>
      <c r="DM37" s="636"/>
      <c r="DN37" s="636"/>
      <c r="DO37" s="636"/>
      <c r="DP37" s="636"/>
      <c r="DQ37" s="636"/>
      <c r="DR37" s="636"/>
      <c r="DS37" s="636"/>
      <c r="DT37" s="636"/>
      <c r="DU37" s="636"/>
      <c r="DV37" s="636"/>
      <c r="DW37" s="636"/>
      <c r="DX37" s="636"/>
      <c r="DY37" s="636"/>
      <c r="DZ37" s="636"/>
      <c r="EA37" s="636"/>
      <c r="EB37" s="636"/>
      <c r="EC37" s="636"/>
      <c r="ED37" s="636"/>
      <c r="EE37" s="636"/>
      <c r="EF37" s="636"/>
      <c r="EG37" s="636"/>
      <c r="EH37" s="636"/>
      <c r="EI37" s="636"/>
      <c r="EJ37" s="636"/>
      <c r="EK37" s="636"/>
      <c r="EL37" s="636"/>
      <c r="EM37" s="636"/>
      <c r="EN37" s="636"/>
      <c r="EO37" s="636"/>
      <c r="EP37" s="636"/>
      <c r="EQ37" s="636"/>
      <c r="ER37" s="636"/>
      <c r="ES37" s="636"/>
      <c r="ET37" s="636"/>
      <c r="EU37" s="636"/>
      <c r="EV37" s="636"/>
      <c r="EW37" s="636"/>
      <c r="EX37" s="636"/>
      <c r="EY37" s="636"/>
      <c r="EZ37" s="636"/>
      <c r="FA37" s="636"/>
      <c r="FB37" s="636"/>
      <c r="FC37" s="636"/>
      <c r="FD37" s="636"/>
      <c r="FE37" s="636"/>
      <c r="FF37" s="636"/>
      <c r="FG37" s="636"/>
      <c r="FH37" s="636"/>
      <c r="FI37" s="636"/>
      <c r="FJ37" s="636"/>
      <c r="FK37" s="636"/>
      <c r="FL37" s="636"/>
      <c r="FM37" s="636"/>
      <c r="FN37" s="636"/>
      <c r="FO37" s="636"/>
      <c r="FP37" s="636"/>
      <c r="FQ37" s="636"/>
      <c r="FR37" s="636"/>
      <c r="FS37" s="636"/>
      <c r="FT37" s="636"/>
      <c r="FU37" s="636"/>
      <c r="FV37" s="636"/>
      <c r="FW37" s="636"/>
      <c r="FX37" s="636"/>
      <c r="FY37" s="636"/>
      <c r="FZ37" s="636"/>
      <c r="GA37" s="636"/>
      <c r="GB37" s="636"/>
      <c r="GC37" s="636"/>
      <c r="GD37" s="636"/>
      <c r="GE37" s="636"/>
      <c r="GF37" s="636"/>
      <c r="GG37" s="636"/>
      <c r="GH37" s="636"/>
      <c r="GI37" s="636"/>
      <c r="GJ37" s="636"/>
      <c r="GK37" s="636"/>
      <c r="GL37" s="636"/>
      <c r="GM37" s="636"/>
      <c r="GN37" s="636"/>
      <c r="GO37" s="636"/>
      <c r="GP37" s="636"/>
      <c r="GQ37" s="636"/>
      <c r="GR37" s="636"/>
      <c r="GS37" s="636"/>
      <c r="GT37" s="636"/>
      <c r="GU37" s="636"/>
      <c r="GV37" s="636"/>
      <c r="GW37" s="636"/>
      <c r="GX37" s="636"/>
      <c r="GY37" s="636"/>
      <c r="GZ37" s="636"/>
      <c r="HA37" s="636"/>
      <c r="HB37" s="636"/>
      <c r="HC37" s="636"/>
      <c r="HD37" s="636"/>
      <c r="HE37" s="636"/>
      <c r="HF37" s="636"/>
      <c r="HG37" s="636"/>
      <c r="HH37" s="636"/>
      <c r="HI37" s="636"/>
      <c r="HJ37" s="636"/>
      <c r="HK37" s="636"/>
      <c r="HL37" s="636"/>
      <c r="HM37" s="636"/>
      <c r="HN37" s="636"/>
      <c r="HO37" s="636"/>
      <c r="HP37" s="636"/>
      <c r="HQ37" s="866"/>
      <c r="HR37" s="866"/>
      <c r="HS37" s="866"/>
      <c r="HT37" s="866"/>
      <c r="HU37" s="866"/>
      <c r="HV37" s="866"/>
      <c r="HW37" s="866"/>
      <c r="HX37" s="866"/>
      <c r="HY37" s="866"/>
      <c r="HZ37" s="866"/>
      <c r="IA37" s="866"/>
      <c r="IB37" s="866"/>
      <c r="IC37" s="866"/>
      <c r="ID37" s="866"/>
      <c r="IE37" s="866"/>
      <c r="IF37" s="866"/>
      <c r="IG37" s="866"/>
      <c r="IH37" s="866"/>
      <c r="II37" s="866"/>
      <c r="IJ37" s="866"/>
      <c r="IK37" s="866"/>
      <c r="IL37" s="866"/>
      <c r="IM37" s="866"/>
      <c r="IN37" s="866"/>
      <c r="IO37" s="866"/>
      <c r="IP37" s="866"/>
      <c r="IQ37" s="866"/>
      <c r="IR37" s="866"/>
      <c r="IS37" s="866"/>
      <c r="IT37" s="866"/>
      <c r="IU37" s="866"/>
      <c r="IV37" s="866"/>
    </row>
    <row r="38" spans="1:256" s="117" customFormat="1" ht="11.25" customHeight="1">
      <c r="A38" s="577" t="s">
        <v>539</v>
      </c>
      <c r="B38" s="99">
        <f>B17-SUM(B27:B37)</f>
        <v>0</v>
      </c>
      <c r="C38" s="87"/>
      <c r="D38" s="88"/>
      <c r="E38" s="88"/>
      <c r="F38" s="88"/>
      <c r="G38" s="99">
        <f>G17-SUM(G27:G37)</f>
        <v>0</v>
      </c>
      <c r="H38" s="87"/>
      <c r="I38" s="88"/>
      <c r="J38" s="88"/>
      <c r="K38" s="91"/>
      <c r="L38" s="272">
        <f>L17-SUM(L27:L37)</f>
        <v>0</v>
      </c>
      <c r="M38" s="87"/>
      <c r="N38" s="88"/>
      <c r="O38" s="92"/>
      <c r="P38" s="88"/>
      <c r="Q38" s="99">
        <v>229</v>
      </c>
      <c r="R38" s="87"/>
      <c r="S38" s="88"/>
      <c r="T38" s="88"/>
      <c r="U38" s="91"/>
      <c r="V38" s="143">
        <v>168</v>
      </c>
      <c r="W38" s="87"/>
      <c r="X38" s="88"/>
      <c r="Y38" s="88"/>
      <c r="Z38" s="91"/>
      <c r="AA38" s="99">
        <f t="shared" ref="AA38:AY38" si="54">AA17-SUM(AA27:AA37)</f>
        <v>326.72399999999971</v>
      </c>
      <c r="AB38" s="87">
        <f t="shared" si="54"/>
        <v>19.409999999999854</v>
      </c>
      <c r="AC38" s="88">
        <f t="shared" si="54"/>
        <v>45.380999999999858</v>
      </c>
      <c r="AD38" s="88">
        <f t="shared" si="54"/>
        <v>-17.425000000000296</v>
      </c>
      <c r="AE38" s="91">
        <f t="shared" si="54"/>
        <v>-440.22000000000025</v>
      </c>
      <c r="AF38" s="99">
        <f t="shared" si="54"/>
        <v>-392.4399999999996</v>
      </c>
      <c r="AG38" s="87">
        <f t="shared" si="54"/>
        <v>13.933999999999969</v>
      </c>
      <c r="AH38" s="88">
        <f t="shared" si="54"/>
        <v>56.506999999999948</v>
      </c>
      <c r="AI38" s="88">
        <f t="shared" si="54"/>
        <v>56.822000000000003</v>
      </c>
      <c r="AJ38" s="91">
        <f t="shared" si="54"/>
        <v>-15.287000000000035</v>
      </c>
      <c r="AK38" s="541">
        <f t="shared" si="54"/>
        <v>111.97599999999966</v>
      </c>
      <c r="AL38" s="88">
        <f t="shared" si="54"/>
        <v>26.33299999999997</v>
      </c>
      <c r="AM38" s="88">
        <f t="shared" si="54"/>
        <v>72.663000000000011</v>
      </c>
      <c r="AN38" s="88">
        <f t="shared" si="54"/>
        <v>20.345000000000141</v>
      </c>
      <c r="AO38" s="91">
        <f t="shared" si="54"/>
        <v>13.046999999999912</v>
      </c>
      <c r="AP38" s="541">
        <f t="shared" si="54"/>
        <v>132.38800000000037</v>
      </c>
      <c r="AQ38" s="88">
        <f t="shared" si="54"/>
        <v>28.157000000000039</v>
      </c>
      <c r="AR38" s="88">
        <f t="shared" si="54"/>
        <v>47.473000000000184</v>
      </c>
      <c r="AS38" s="88">
        <f t="shared" si="54"/>
        <v>32.389999999999873</v>
      </c>
      <c r="AT38" s="91">
        <f t="shared" si="54"/>
        <v>29.280000000000086</v>
      </c>
      <c r="AU38" s="541">
        <f t="shared" si="54"/>
        <v>137.33299999999963</v>
      </c>
      <c r="AV38" s="88">
        <f t="shared" si="54"/>
        <v>20.854000000000156</v>
      </c>
      <c r="AW38" s="88">
        <f t="shared" si="54"/>
        <v>38.390999999999849</v>
      </c>
      <c r="AX38" s="88">
        <f t="shared" si="54"/>
        <v>31.172999999999888</v>
      </c>
      <c r="AY38" s="91">
        <f t="shared" si="54"/>
        <v>32.256999999999948</v>
      </c>
      <c r="AZ38" s="541">
        <f t="shared" si="53"/>
        <v>122.67499999999984</v>
      </c>
      <c r="BA38" s="88">
        <f t="shared" ref="BA38:BR38" si="55">BA17-SUM(BA27:BA37)</f>
        <v>22.491000000000099</v>
      </c>
      <c r="BB38" s="88">
        <f t="shared" si="55"/>
        <v>56.991999999999962</v>
      </c>
      <c r="BC38" s="88">
        <f t="shared" si="55"/>
        <v>26.809999999999945</v>
      </c>
      <c r="BD38" s="91">
        <f t="shared" si="55"/>
        <v>28.877999999999815</v>
      </c>
      <c r="BE38" s="541">
        <f t="shared" si="55"/>
        <v>135.1530000000007</v>
      </c>
      <c r="BF38" s="123">
        <f t="shared" si="55"/>
        <v>89.01400000000001</v>
      </c>
      <c r="BG38" s="88">
        <f t="shared" si="55"/>
        <v>63.854000000000099</v>
      </c>
      <c r="BH38" s="88">
        <f t="shared" si="55"/>
        <v>46.923000000000002</v>
      </c>
      <c r="BI38" s="91">
        <f t="shared" si="55"/>
        <v>51.717000000000041</v>
      </c>
      <c r="BJ38" s="541">
        <f t="shared" si="55"/>
        <v>251.56099999999969</v>
      </c>
      <c r="BK38" s="88">
        <f t="shared" si="55"/>
        <v>37.911000000000001</v>
      </c>
      <c r="BL38" s="88">
        <f t="shared" si="55"/>
        <v>64.307999999999993</v>
      </c>
      <c r="BM38" s="88">
        <f t="shared" si="55"/>
        <v>55.939000000000021</v>
      </c>
      <c r="BN38" s="91">
        <f t="shared" si="55"/>
        <v>116.31200000000001</v>
      </c>
      <c r="BO38" s="541">
        <f t="shared" si="55"/>
        <v>274.44300000000021</v>
      </c>
      <c r="BP38" s="88">
        <f t="shared" si="55"/>
        <v>63.829000000000008</v>
      </c>
      <c r="BQ38" s="88">
        <f t="shared" si="55"/>
        <v>65.647999999999968</v>
      </c>
      <c r="BR38" s="88">
        <f t="shared" si="55"/>
        <v>106.08799999999997</v>
      </c>
      <c r="BS38" s="88">
        <f>BS17-SUM(BS25:BS37)</f>
        <v>79.215000000000003</v>
      </c>
      <c r="BT38" s="121">
        <f>BT17-SUM(BT25:BT37)</f>
        <v>314.77999999999975</v>
      </c>
      <c r="BU38" s="88">
        <f>BU17-SUM(BU25:BU37)</f>
        <v>60.719999999999942</v>
      </c>
      <c r="BV38" s="88">
        <f t="shared" ref="BV38" si="56">BV17-SUM(BV25:BV37)</f>
        <v>25.79400000000004</v>
      </c>
      <c r="BW38" s="88">
        <f>BW17-SUM(BW25:BW37)</f>
        <v>61.656999999999982</v>
      </c>
      <c r="BX38" s="88">
        <f>BX17-SUM(BX25:BX37)</f>
        <v>66.586999999999989</v>
      </c>
      <c r="BY38" s="121">
        <f>BY17-SUM(BY25:BY37)</f>
        <v>214.80199999999991</v>
      </c>
      <c r="BZ38" s="93">
        <f>BZ17-SUM(BZ25:BZ37)</f>
        <v>60.753501931349291</v>
      </c>
      <c r="CA38" s="93">
        <f t="shared" ref="CA38" si="57">CA17-SUM(CA25:CA37)</f>
        <v>80.177037173550531</v>
      </c>
      <c r="CB38" s="93">
        <f t="shared" ref="CB38" si="58">CB17-SUM(CB25:CB37)</f>
        <v>73.575009781719331</v>
      </c>
      <c r="CC38" s="93">
        <f>CC17-SUM(CC25:CC37)</f>
        <v>75.989554950569044</v>
      </c>
      <c r="CD38" s="121">
        <f>CD17-SUM(CD25:CD37)</f>
        <v>290.49510383718837</v>
      </c>
      <c r="CE38" s="93">
        <f>CE17-SUM(CE25:CE37)</f>
        <v>72.917226386863405</v>
      </c>
      <c r="CF38" s="93">
        <f t="shared" ref="CF38" si="59">CF17-SUM(CF25:CF37)</f>
        <v>91.879176957407964</v>
      </c>
      <c r="CG38" s="93">
        <f t="shared" ref="CG38" si="60">CG17-SUM(CG25:CG37)</f>
        <v>85.237804184599327</v>
      </c>
      <c r="CH38" s="93">
        <f t="shared" ref="CH38" si="61">CH17-SUM(CH25:CH37)</f>
        <v>88.170432712545733</v>
      </c>
      <c r="CI38" s="121">
        <f>CI17-SUM(CI25:CI37)</f>
        <v>338.20464024141654</v>
      </c>
      <c r="CJ38" s="93">
        <f>CJ17-SUM(CJ25:CJ37)</f>
        <v>84.217463908417244</v>
      </c>
      <c r="CK38" s="93">
        <f t="shared" ref="CK38" si="62">CK17-SUM(CK25:CK37)</f>
        <v>102.85907049947434</v>
      </c>
      <c r="CL38" s="93">
        <f t="shared" ref="CL38" si="63">CL17-SUM(CL25:CL37)</f>
        <v>96.332693804793564</v>
      </c>
      <c r="CM38" s="93">
        <f t="shared" ref="CM38" si="64">CM17-SUM(CM25:CM37)</f>
        <v>99.946219680621482</v>
      </c>
      <c r="CN38" s="121">
        <f>CN17-SUM(CN25:CN37)</f>
        <v>383.35544789330675</v>
      </c>
      <c r="CO38" s="45"/>
      <c r="CR38" s="577" t="s">
        <v>19</v>
      </c>
      <c r="CS38" s="88">
        <f t="shared" si="26"/>
        <v>66.586999999999989</v>
      </c>
      <c r="CT38" s="93">
        <v>71.602052438851189</v>
      </c>
      <c r="CU38" s="121">
        <f t="shared" si="21"/>
        <v>-5.0150524388511997</v>
      </c>
      <c r="CV38" s="88">
        <f>BS38</f>
        <v>79.215000000000003</v>
      </c>
      <c r="CW38" s="153">
        <f t="shared" si="28"/>
        <v>-0.15941425235119633</v>
      </c>
      <c r="DB38"/>
      <c r="DC38"/>
      <c r="DD38"/>
      <c r="DE38"/>
      <c r="DF38"/>
      <c r="DG38"/>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c r="IS38" s="3"/>
      <c r="IT38" s="3"/>
      <c r="IU38" s="3"/>
      <c r="IV38" s="3"/>
    </row>
    <row r="39" spans="1:256" s="66" customFormat="1" ht="11.25" customHeight="1">
      <c r="A39" s="578" t="s">
        <v>625</v>
      </c>
      <c r="B39" s="111"/>
      <c r="C39" s="109"/>
      <c r="D39" s="110"/>
      <c r="E39" s="110"/>
      <c r="F39" s="110"/>
      <c r="G39" s="111"/>
      <c r="H39" s="109"/>
      <c r="I39" s="110"/>
      <c r="J39" s="110"/>
      <c r="K39" s="113"/>
      <c r="L39" s="270"/>
      <c r="M39" s="109"/>
      <c r="N39" s="110"/>
      <c r="O39" s="114"/>
      <c r="P39" s="110"/>
      <c r="Q39" s="543">
        <f>Q38+Q31+Q33</f>
        <v>229</v>
      </c>
      <c r="R39" s="110"/>
      <c r="S39" s="110"/>
      <c r="T39" s="110"/>
      <c r="U39" s="113"/>
      <c r="V39" s="543">
        <f t="shared" ref="V39:AE39" si="65">V38+V31+V33</f>
        <v>168</v>
      </c>
      <c r="W39" s="110">
        <f t="shared" si="65"/>
        <v>0</v>
      </c>
      <c r="X39" s="110">
        <f t="shared" si="65"/>
        <v>0</v>
      </c>
      <c r="Y39" s="110">
        <f t="shared" si="65"/>
        <v>0</v>
      </c>
      <c r="Z39" s="110">
        <f t="shared" si="65"/>
        <v>0</v>
      </c>
      <c r="AA39" s="543">
        <f t="shared" si="65"/>
        <v>421.89799999999968</v>
      </c>
      <c r="AB39" s="110">
        <f t="shared" si="65"/>
        <v>20.752999999999854</v>
      </c>
      <c r="AC39" s="110">
        <f t="shared" si="65"/>
        <v>48.189999999999856</v>
      </c>
      <c r="AD39" s="110">
        <f t="shared" si="65"/>
        <v>-1.2330000000002954</v>
      </c>
      <c r="AE39" s="110">
        <f t="shared" si="65"/>
        <v>-433.53700000000026</v>
      </c>
      <c r="AF39" s="543">
        <f>SUM(AB39:AE39)</f>
        <v>-365.82700000000085</v>
      </c>
      <c r="AG39" s="110">
        <f>AG38+AG31+AG33</f>
        <v>24.974999999999969</v>
      </c>
      <c r="AH39" s="110">
        <f>AH38+AH31+AH33</f>
        <v>68.219999999999942</v>
      </c>
      <c r="AI39" s="110">
        <f>AI38+AI31+AI33</f>
        <v>74.075000000000003</v>
      </c>
      <c r="AJ39" s="110">
        <f>AJ38+AJ31+AJ33</f>
        <v>37.861999999999966</v>
      </c>
      <c r="AK39" s="543">
        <f>SUM(AG39:AJ39)</f>
        <v>205.13199999999989</v>
      </c>
      <c r="AL39" s="110">
        <f>AL38+AL31+AL33</f>
        <v>37.933999999999969</v>
      </c>
      <c r="AM39" s="110">
        <f>AM38+AM31+AM33</f>
        <v>75.077000000000012</v>
      </c>
      <c r="AN39" s="110">
        <f>AN38+AN31+AN33</f>
        <v>47.75400000000014</v>
      </c>
      <c r="AO39" s="110">
        <f>AO38+AO31+AO33</f>
        <v>41.099999999999909</v>
      </c>
      <c r="AP39" s="543">
        <f>SUM(AL39:AO39)</f>
        <v>201.86500000000004</v>
      </c>
      <c r="AQ39" s="110">
        <f>AQ38+AQ31+AQ33</f>
        <v>37.769000000000041</v>
      </c>
      <c r="AR39" s="110">
        <f>AR38+AR31+AR33</f>
        <v>47.838000000000186</v>
      </c>
      <c r="AS39" s="110">
        <f>AS38+AS31+AS33</f>
        <v>32.389999999999873</v>
      </c>
      <c r="AT39" s="110">
        <f>AT38+AT31+AT33</f>
        <v>33.901000000000089</v>
      </c>
      <c r="AU39" s="543">
        <f>SUM(AQ39:AT39)</f>
        <v>151.8980000000002</v>
      </c>
      <c r="AV39" s="110">
        <f>AV38+AV31+AV33</f>
        <v>30.896000000000154</v>
      </c>
      <c r="AW39" s="110">
        <f>AW38+AW31+AW33</f>
        <v>51.086999999999854</v>
      </c>
      <c r="AX39" s="110">
        <f>AX38+AX31+AX33</f>
        <v>42.457999999999885</v>
      </c>
      <c r="AY39" s="110">
        <f>AY38+AY31+AY33</f>
        <v>59.04299999999995</v>
      </c>
      <c r="AZ39" s="543">
        <f>SUM(AV39:AY39)</f>
        <v>183.48399999999984</v>
      </c>
      <c r="BA39" s="110">
        <f>BA38+BA31+BA33</f>
        <v>25.529000000000099</v>
      </c>
      <c r="BB39" s="110">
        <f>BB38+BB31+BB33</f>
        <v>63.368999999999964</v>
      </c>
      <c r="BC39" s="110">
        <f>BC38+BC31+BC33</f>
        <v>54.411999999999942</v>
      </c>
      <c r="BD39" s="110">
        <f>BD38+BD31+BD33</f>
        <v>32.095999999999819</v>
      </c>
      <c r="BE39" s="543">
        <f>SUM(BA39:BD39)</f>
        <v>175.40599999999984</v>
      </c>
      <c r="BF39" s="110">
        <f>BF38+BF31+BF33</f>
        <v>106.254</v>
      </c>
      <c r="BG39" s="110">
        <f>BG38+BG31+BG33</f>
        <v>64.737000000000094</v>
      </c>
      <c r="BH39" s="110">
        <f>BH38+BH31+BH33</f>
        <v>57.850999999999999</v>
      </c>
      <c r="BI39" s="110">
        <f>BI38+BI31+BI33</f>
        <v>65.492000000000047</v>
      </c>
      <c r="BJ39" s="543">
        <f>SUM(BF39:BI39)</f>
        <v>294.33400000000017</v>
      </c>
      <c r="BK39" s="110">
        <f>BK38+BK31+BK33</f>
        <v>44.460999999999999</v>
      </c>
      <c r="BL39" s="110">
        <f>BL38+BL31+BL33</f>
        <v>80.60499999999999</v>
      </c>
      <c r="BM39" s="110">
        <f>BM38+BM31+BM33</f>
        <v>63.206000000000017</v>
      </c>
      <c r="BN39" s="110">
        <f>BN38+BN31+BN33</f>
        <v>133.10900000000001</v>
      </c>
      <c r="BO39" s="543">
        <f>SUM(BK39:BN39)</f>
        <v>321.38099999999997</v>
      </c>
      <c r="BP39" s="110">
        <f>BP38+BP31+BP33</f>
        <v>74.184000000000012</v>
      </c>
      <c r="BQ39" s="110">
        <f>BQ38+BQ31+BQ33</f>
        <v>73.659999999999968</v>
      </c>
      <c r="BR39" s="110">
        <f>BR38+BR31+BR33</f>
        <v>108.57799999999997</v>
      </c>
      <c r="BS39" s="110">
        <f>BS38+BS31+BS33</f>
        <v>84.682000000000002</v>
      </c>
      <c r="BT39" s="543">
        <f>SUM(BP39:BS39)</f>
        <v>341.10399999999998</v>
      </c>
      <c r="BU39" s="110">
        <f>BU38+BU31+BU33</f>
        <v>61.410999999999937</v>
      </c>
      <c r="BV39" s="110">
        <f>BV38+BV31+BV33</f>
        <v>43.746000000000038</v>
      </c>
      <c r="BW39" s="110">
        <f>BW38+BW31+BW33</f>
        <v>65.585999999999984</v>
      </c>
      <c r="BX39" s="110">
        <f>BX38+BX31+BX33</f>
        <v>70.685999999999993</v>
      </c>
      <c r="BY39" s="543">
        <f>SUM(BU39:BX39)</f>
        <v>241.42899999999997</v>
      </c>
      <c r="BZ39" s="1168">
        <f>BZ38+BZ31+BZ33</f>
        <v>63.878501931349291</v>
      </c>
      <c r="CA39" s="1168">
        <f>CA38+CA31+CA33</f>
        <v>83.302037173550531</v>
      </c>
      <c r="CB39" s="1168">
        <f>CB38+CB31+CB33</f>
        <v>76.700009781719331</v>
      </c>
      <c r="CC39" s="1168">
        <f>CC38+CC31+CC33</f>
        <v>79.114554950569044</v>
      </c>
      <c r="CD39" s="543">
        <f>SUM(BZ39:CC39)</f>
        <v>302.9951038371882</v>
      </c>
      <c r="CE39" s="1168">
        <f>CE38+CE31+CE33</f>
        <v>72.917226386863405</v>
      </c>
      <c r="CF39" s="1168">
        <f>CF38+CF31+CF33</f>
        <v>91.879176957407964</v>
      </c>
      <c r="CG39" s="1168">
        <f>CG38+CG31+CG33</f>
        <v>85.237804184599327</v>
      </c>
      <c r="CH39" s="1168">
        <f>CH38+CH31+CH33</f>
        <v>88.170432712545733</v>
      </c>
      <c r="CI39" s="543">
        <f>SUM(CE39:CH39)</f>
        <v>338.20464024141643</v>
      </c>
      <c r="CJ39" s="1168">
        <f>CJ38+CJ31+CJ33</f>
        <v>84.217463908417244</v>
      </c>
      <c r="CK39" s="1168">
        <f>CK38+CK31+CK33</f>
        <v>102.85907049947434</v>
      </c>
      <c r="CL39" s="1168">
        <f>CL38+CL31+CL33</f>
        <v>96.332693804793564</v>
      </c>
      <c r="CM39" s="1168">
        <f>CM38+CM31+CM33</f>
        <v>99.946219680621482</v>
      </c>
      <c r="CN39" s="543">
        <f>SUM(CJ39:CM39)</f>
        <v>383.35544789330663</v>
      </c>
      <c r="CO39" s="80"/>
      <c r="CP39" s="593"/>
      <c r="CQ39" s="593"/>
      <c r="CR39" s="578"/>
      <c r="CS39" s="110">
        <f t="shared" si="26"/>
        <v>70.685999999999993</v>
      </c>
      <c r="CT39" s="115">
        <v>71.602052438851189</v>
      </c>
      <c r="CU39" s="236"/>
      <c r="CV39" s="110"/>
      <c r="CW39" s="167"/>
      <c r="CX39" s="593"/>
      <c r="CY39" s="593"/>
      <c r="CZ39" s="593"/>
      <c r="DA39" s="593"/>
      <c r="DB39"/>
      <c r="DC39"/>
      <c r="DD39"/>
      <c r="DE39"/>
      <c r="DF39"/>
      <c r="DG39"/>
      <c r="DH39" s="593"/>
      <c r="DI39" s="593"/>
      <c r="DJ39" s="593"/>
      <c r="DK39" s="593"/>
      <c r="DL39" s="593"/>
      <c r="DM39" s="593"/>
      <c r="DN39" s="593"/>
      <c r="DO39" s="593"/>
      <c r="DP39" s="593"/>
      <c r="DQ39" s="593"/>
      <c r="DR39" s="593"/>
      <c r="DS39" s="593"/>
      <c r="DT39" s="593"/>
      <c r="DU39" s="593"/>
      <c r="DV39" s="593"/>
      <c r="DW39" s="593"/>
      <c r="DX39" s="593"/>
      <c r="DY39" s="593"/>
      <c r="DZ39" s="593"/>
      <c r="EA39" s="593"/>
      <c r="EB39" s="593"/>
      <c r="EC39" s="593"/>
      <c r="ED39" s="593"/>
      <c r="EE39" s="593"/>
      <c r="EF39" s="593"/>
      <c r="EG39" s="593"/>
      <c r="EH39" s="593"/>
      <c r="EI39" s="593"/>
      <c r="EJ39" s="593"/>
      <c r="EK39" s="593"/>
      <c r="EL39" s="593"/>
      <c r="EM39" s="593"/>
      <c r="EN39" s="593"/>
      <c r="EO39" s="593"/>
      <c r="EP39" s="593"/>
      <c r="EQ39" s="593"/>
      <c r="ER39" s="593"/>
      <c r="ES39" s="593"/>
      <c r="ET39" s="593"/>
      <c r="EU39" s="593"/>
      <c r="EV39" s="593"/>
      <c r="EW39" s="593"/>
      <c r="EX39" s="593"/>
      <c r="EY39" s="593"/>
      <c r="EZ39" s="593"/>
      <c r="FA39" s="593"/>
      <c r="FB39" s="593"/>
      <c r="FC39" s="593"/>
      <c r="FD39" s="593"/>
      <c r="FE39" s="593"/>
      <c r="FF39" s="593"/>
      <c r="FG39" s="593"/>
      <c r="FH39" s="593"/>
      <c r="FI39" s="593"/>
      <c r="FJ39" s="593"/>
      <c r="FK39" s="593"/>
      <c r="FL39" s="593"/>
      <c r="FM39" s="593"/>
      <c r="FN39" s="593"/>
      <c r="FO39" s="593"/>
      <c r="FP39" s="593"/>
      <c r="FQ39" s="593"/>
      <c r="FR39" s="593"/>
      <c r="FS39" s="593"/>
      <c r="FT39" s="593"/>
      <c r="FU39" s="593"/>
      <c r="FV39" s="593"/>
      <c r="FW39" s="593"/>
      <c r="FX39" s="593"/>
      <c r="FY39" s="593"/>
      <c r="FZ39" s="593"/>
      <c r="GA39" s="593"/>
      <c r="GB39" s="593"/>
      <c r="GC39" s="593"/>
      <c r="GD39" s="593"/>
      <c r="GE39" s="593"/>
      <c r="GF39" s="593"/>
      <c r="GG39" s="593"/>
      <c r="GH39" s="593"/>
      <c r="GI39" s="593"/>
      <c r="GJ39" s="593"/>
      <c r="GK39" s="593"/>
      <c r="GL39" s="593"/>
      <c r="GM39" s="593"/>
      <c r="GN39" s="593"/>
      <c r="GO39" s="593"/>
      <c r="GP39" s="593"/>
      <c r="GQ39" s="593"/>
      <c r="GR39" s="593"/>
      <c r="GS39" s="593"/>
      <c r="GT39" s="593"/>
      <c r="GU39" s="593"/>
      <c r="GV39" s="593"/>
      <c r="GW39" s="593"/>
      <c r="GX39" s="593"/>
      <c r="GY39" s="593"/>
      <c r="GZ39" s="593"/>
      <c r="HA39" s="593"/>
      <c r="HB39" s="593"/>
      <c r="HC39" s="593"/>
      <c r="HD39" s="593"/>
      <c r="HE39" s="593"/>
      <c r="HF39" s="593"/>
      <c r="HG39" s="593"/>
      <c r="HH39" s="593"/>
      <c r="HI39" s="593"/>
      <c r="HJ39" s="593"/>
      <c r="HK39" s="593"/>
      <c r="HL39" s="593"/>
      <c r="HM39" s="593"/>
      <c r="HN39" s="593"/>
      <c r="HO39" s="593"/>
      <c r="HP39" s="593"/>
      <c r="HQ39" s="6"/>
      <c r="HR39" s="6"/>
      <c r="HS39" s="6"/>
      <c r="HT39" s="6"/>
      <c r="HU39" s="6"/>
      <c r="HV39" s="6"/>
      <c r="HW39" s="6"/>
      <c r="HX39" s="6"/>
      <c r="HY39" s="6"/>
      <c r="HZ39" s="6"/>
      <c r="IA39" s="6"/>
      <c r="IB39" s="6"/>
      <c r="IC39" s="6"/>
      <c r="ID39" s="6"/>
      <c r="IE39" s="6"/>
      <c r="IF39" s="6"/>
      <c r="IG39" s="6"/>
      <c r="IH39" s="6"/>
      <c r="II39" s="6"/>
      <c r="IJ39" s="6"/>
      <c r="IK39" s="6"/>
      <c r="IL39" s="6"/>
      <c r="IM39" s="6"/>
      <c r="IN39" s="6"/>
      <c r="IO39" s="6"/>
      <c r="IP39" s="6"/>
      <c r="IQ39" s="6"/>
      <c r="IR39" s="6"/>
      <c r="IS39" s="6"/>
      <c r="IT39" s="6"/>
      <c r="IU39" s="6"/>
      <c r="IV39" s="6"/>
    </row>
    <row r="40" spans="1:256" s="117" customFormat="1" ht="11.25" customHeight="1">
      <c r="A40" s="577" t="s">
        <v>439</v>
      </c>
      <c r="B40" s="99">
        <f>B38+B29</f>
        <v>0</v>
      </c>
      <c r="C40" s="87"/>
      <c r="D40" s="88"/>
      <c r="E40" s="88"/>
      <c r="F40" s="88"/>
      <c r="G40" s="99">
        <f>G38+G29</f>
        <v>0</v>
      </c>
      <c r="H40" s="87"/>
      <c r="I40" s="88"/>
      <c r="J40" s="88"/>
      <c r="K40" s="91"/>
      <c r="L40" s="272">
        <f>L38+L29</f>
        <v>0</v>
      </c>
      <c r="M40" s="87"/>
      <c r="N40" s="88"/>
      <c r="O40" s="92"/>
      <c r="P40" s="88"/>
      <c r="Q40" s="99"/>
      <c r="R40" s="88"/>
      <c r="S40" s="88"/>
      <c r="T40" s="88"/>
      <c r="U40" s="91"/>
      <c r="V40" s="143">
        <f>V38+V29</f>
        <v>345</v>
      </c>
      <c r="W40" s="88"/>
      <c r="X40" s="88"/>
      <c r="Y40" s="88"/>
      <c r="Z40" s="88"/>
      <c r="AA40" s="99">
        <f>AA38+AA29</f>
        <v>508.30699999999968</v>
      </c>
      <c r="AB40" s="88">
        <f>AB38+AB29+AB33</f>
        <v>67.246999999999844</v>
      </c>
      <c r="AC40" s="88">
        <f>AC38+AC33+AC29</f>
        <v>93.467999999999847</v>
      </c>
      <c r="AD40" s="88">
        <f>AD38+AD33+AD29</f>
        <v>44.244999999999706</v>
      </c>
      <c r="AE40" s="88">
        <f>AE38+AE33+AE32+AE29</f>
        <v>69.453999999999724</v>
      </c>
      <c r="AF40" s="99">
        <f>SUM(AB40:AE40)</f>
        <v>274.41399999999913</v>
      </c>
      <c r="AG40" s="88">
        <f>AG38+AG29</f>
        <v>65.595999999999975</v>
      </c>
      <c r="AH40" s="88">
        <f>AH38+AH33+AH29</f>
        <v>109.89399999999995</v>
      </c>
      <c r="AI40" s="88">
        <f>AI38+AI29</f>
        <v>103.84200000000001</v>
      </c>
      <c r="AJ40" s="88">
        <v>82.619</v>
      </c>
      <c r="AK40" s="541">
        <f>AK38+AK29</f>
        <v>302.22699999999963</v>
      </c>
      <c r="AL40" s="88">
        <f t="shared" ref="AL40:AQ40" si="66">AL38+AL29+AL33</f>
        <v>84.259999999999962</v>
      </c>
      <c r="AM40" s="88">
        <f t="shared" si="66"/>
        <v>120.02100000000002</v>
      </c>
      <c r="AN40" s="88">
        <f t="shared" si="66"/>
        <v>93.93200000000013</v>
      </c>
      <c r="AO40" s="88">
        <f t="shared" si="66"/>
        <v>85.823999999999913</v>
      </c>
      <c r="AP40" s="541">
        <f t="shared" si="66"/>
        <v>384.03700000000038</v>
      </c>
      <c r="AQ40" s="88">
        <f t="shared" si="66"/>
        <v>68.083000000000041</v>
      </c>
      <c r="AR40" s="88">
        <f>AR55-AR54-AR51+AR44+AR29</f>
        <v>77.652000000000186</v>
      </c>
      <c r="AS40" s="391">
        <f>AS38+AS29+AS33</f>
        <v>63.205999999999875</v>
      </c>
      <c r="AT40" s="88">
        <f>AT38+AT29+AT33</f>
        <v>65.921000000000092</v>
      </c>
      <c r="AU40" s="541">
        <f t="shared" ref="AU40:CN40" si="67">AU38+AU29</f>
        <v>260.32499999999959</v>
      </c>
      <c r="AV40" s="88">
        <f t="shared" si="67"/>
        <v>53.165000000000155</v>
      </c>
      <c r="AW40" s="88">
        <f t="shared" si="67"/>
        <v>74.337999999999852</v>
      </c>
      <c r="AX40" s="88">
        <f t="shared" si="67"/>
        <v>73.050999999999888</v>
      </c>
      <c r="AY40" s="88">
        <f t="shared" si="67"/>
        <v>69.096999999999952</v>
      </c>
      <c r="AZ40" s="541">
        <f t="shared" si="67"/>
        <v>269.65099999999984</v>
      </c>
      <c r="BA40" s="88">
        <f t="shared" si="67"/>
        <v>74.288000000000096</v>
      </c>
      <c r="BB40" s="88">
        <f t="shared" si="67"/>
        <v>95.710999999999956</v>
      </c>
      <c r="BC40" s="88">
        <f t="shared" si="67"/>
        <v>71.134999999999948</v>
      </c>
      <c r="BD40" s="88">
        <f t="shared" si="67"/>
        <v>76.395999999999816</v>
      </c>
      <c r="BE40" s="541">
        <f t="shared" si="67"/>
        <v>317.51200000000074</v>
      </c>
      <c r="BF40" s="88">
        <f t="shared" si="67"/>
        <v>131.03500000000003</v>
      </c>
      <c r="BG40" s="88">
        <f t="shared" si="67"/>
        <v>103.3490000000001</v>
      </c>
      <c r="BH40" s="88">
        <f t="shared" si="67"/>
        <v>83.197000000000003</v>
      </c>
      <c r="BI40" s="88">
        <f t="shared" si="67"/>
        <v>93.280000000000044</v>
      </c>
      <c r="BJ40" s="541">
        <f t="shared" si="67"/>
        <v>410.9139999999997</v>
      </c>
      <c r="BK40" s="88">
        <f t="shared" si="67"/>
        <v>73.456000000000003</v>
      </c>
      <c r="BL40" s="88">
        <f t="shared" si="67"/>
        <v>103.643</v>
      </c>
      <c r="BM40" s="88">
        <f t="shared" si="67"/>
        <v>92.359000000000023</v>
      </c>
      <c r="BN40" s="88">
        <f t="shared" si="67"/>
        <v>150.06300000000002</v>
      </c>
      <c r="BO40" s="99">
        <f t="shared" si="67"/>
        <v>419.4940000000002</v>
      </c>
      <c r="BP40" s="88">
        <f t="shared" si="67"/>
        <v>96.174000000000007</v>
      </c>
      <c r="BQ40" s="88">
        <f t="shared" si="67"/>
        <v>96.396999999999963</v>
      </c>
      <c r="BR40" s="88">
        <f t="shared" si="67"/>
        <v>135.44999999999996</v>
      </c>
      <c r="BS40" s="88">
        <f t="shared" si="67"/>
        <v>109.46300000000001</v>
      </c>
      <c r="BT40" s="541">
        <f t="shared" si="67"/>
        <v>437.48399999999975</v>
      </c>
      <c r="BU40" s="88">
        <f t="shared" si="67"/>
        <v>89.884999999999934</v>
      </c>
      <c r="BV40" s="88">
        <f t="shared" si="67"/>
        <v>57.103000000000037</v>
      </c>
      <c r="BW40" s="88">
        <f>BW38+BW29</f>
        <v>92.87299999999999</v>
      </c>
      <c r="BX40" s="88">
        <f>BX38+BX29</f>
        <v>100.58399999999999</v>
      </c>
      <c r="BY40" s="541">
        <f t="shared" si="67"/>
        <v>340.48899999999992</v>
      </c>
      <c r="BZ40" s="93">
        <f t="shared" si="67"/>
        <v>91.522576931349292</v>
      </c>
      <c r="CA40" s="93">
        <f t="shared" si="67"/>
        <v>113.20803217355052</v>
      </c>
      <c r="CB40" s="93">
        <f t="shared" si="67"/>
        <v>106.50788978171933</v>
      </c>
      <c r="CC40" s="93">
        <f t="shared" si="67"/>
        <v>107.70370950056903</v>
      </c>
      <c r="CD40" s="541">
        <f t="shared" si="67"/>
        <v>418.94220838718832</v>
      </c>
      <c r="CE40" s="93">
        <f t="shared" si="67"/>
        <v>104.3016828868634</v>
      </c>
      <c r="CF40" s="93">
        <f t="shared" si="67"/>
        <v>125.57079185740795</v>
      </c>
      <c r="CG40" s="93">
        <f t="shared" si="67"/>
        <v>118.82934178459932</v>
      </c>
      <c r="CH40" s="93">
        <f t="shared" si="67"/>
        <v>120.51887035354574</v>
      </c>
      <c r="CI40" s="541">
        <f t="shared" si="67"/>
        <v>469.22068688241654</v>
      </c>
      <c r="CJ40" s="93">
        <f t="shared" si="67"/>
        <v>116.22960953841724</v>
      </c>
      <c r="CK40" s="93">
        <f t="shared" si="67"/>
        <v>137.22451769747434</v>
      </c>
      <c r="CL40" s="93">
        <f t="shared" si="67"/>
        <v>130.59606215679355</v>
      </c>
      <c r="CM40" s="93">
        <f t="shared" si="67"/>
        <v>132.94162607444147</v>
      </c>
      <c r="CN40" s="541">
        <f t="shared" si="67"/>
        <v>516.99181546712668</v>
      </c>
      <c r="CO40" s="45"/>
      <c r="CR40" s="577" t="s">
        <v>433</v>
      </c>
      <c r="CS40" s="88">
        <f t="shared" si="26"/>
        <v>100.58399999999999</v>
      </c>
      <c r="CT40" s="93">
        <v>101.66286243885119</v>
      </c>
      <c r="CU40" s="121">
        <f t="shared" si="21"/>
        <v>-1.0788624388512034</v>
      </c>
      <c r="CV40" s="88">
        <f>BS40</f>
        <v>109.46300000000001</v>
      </c>
      <c r="CW40" s="153">
        <f t="shared" si="28"/>
        <v>-8.1114166430666268E-2</v>
      </c>
      <c r="DB40"/>
      <c r="DC40"/>
      <c r="DD40"/>
      <c r="DE40"/>
      <c r="DF40"/>
      <c r="DG40"/>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c r="IS40" s="3"/>
      <c r="IT40" s="3"/>
      <c r="IU40" s="3"/>
      <c r="IV40" s="3"/>
    </row>
    <row r="41" spans="1:256" s="117" customFormat="1" ht="11.25" hidden="1" customHeight="1" outlineLevel="2">
      <c r="A41" s="577" t="s">
        <v>564</v>
      </c>
      <c r="B41" s="99"/>
      <c r="C41" s="87"/>
      <c r="D41" s="88"/>
      <c r="E41" s="88"/>
      <c r="F41" s="88"/>
      <c r="G41" s="99"/>
      <c r="H41" s="87"/>
      <c r="I41" s="88"/>
      <c r="J41" s="88"/>
      <c r="K41" s="91"/>
      <c r="L41" s="272"/>
      <c r="M41" s="87"/>
      <c r="N41" s="88"/>
      <c r="O41" s="92"/>
      <c r="P41" s="88"/>
      <c r="Q41" s="99"/>
      <c r="R41" s="88"/>
      <c r="S41" s="88"/>
      <c r="T41" s="88"/>
      <c r="U41" s="91"/>
      <c r="V41" s="143"/>
      <c r="W41" s="88"/>
      <c r="X41" s="88"/>
      <c r="Y41" s="88"/>
      <c r="Z41" s="88"/>
      <c r="AA41" s="99"/>
      <c r="AB41" s="88"/>
      <c r="AC41" s="88"/>
      <c r="AD41" s="88"/>
      <c r="AE41" s="88"/>
      <c r="AF41" s="99"/>
      <c r="AG41" s="88"/>
      <c r="AH41" s="88"/>
      <c r="AI41" s="88"/>
      <c r="AJ41" s="88"/>
      <c r="AK41" s="541"/>
      <c r="AL41" s="88"/>
      <c r="AM41" s="88"/>
      <c r="AN41" s="88"/>
      <c r="AO41" s="88"/>
      <c r="AP41" s="1209"/>
      <c r="AQ41" s="1210"/>
      <c r="AR41" s="1210"/>
      <c r="AS41" s="1210"/>
      <c r="AT41" s="1207"/>
      <c r="AU41" s="1211"/>
      <c r="AV41" s="1207"/>
      <c r="AW41" s="1210"/>
      <c r="AX41" s="1210"/>
      <c r="AY41" s="1207"/>
      <c r="AZ41" s="1211"/>
      <c r="BA41" s="1210"/>
      <c r="BB41" s="1207"/>
      <c r="BC41" s="88"/>
      <c r="BD41" s="88"/>
      <c r="BE41" s="1211"/>
      <c r="BF41" s="88"/>
      <c r="BG41" s="88"/>
      <c r="BH41" s="88"/>
      <c r="BI41" s="88"/>
      <c r="BJ41" s="541"/>
      <c r="BK41" s="88">
        <v>-12.486000000000001</v>
      </c>
      <c r="BL41" s="88"/>
      <c r="BM41" s="88"/>
      <c r="BN41" s="88"/>
      <c r="BO41" s="99">
        <f>SUM(BK41:BN41)</f>
        <v>-12.486000000000001</v>
      </c>
      <c r="BP41" s="88"/>
      <c r="BQ41" s="88"/>
      <c r="BR41" s="88"/>
      <c r="BS41" s="88"/>
      <c r="BT41" s="541"/>
      <c r="BU41" s="88"/>
      <c r="BV41" s="88"/>
      <c r="BW41" s="88"/>
      <c r="BX41" s="88"/>
      <c r="BY41" s="541"/>
      <c r="BZ41" s="93"/>
      <c r="CA41" s="93"/>
      <c r="CB41" s="93"/>
      <c r="CC41" s="93"/>
      <c r="CD41" s="541"/>
      <c r="CE41" s="93"/>
      <c r="CF41" s="93"/>
      <c r="CG41" s="93"/>
      <c r="CH41" s="93"/>
      <c r="CI41" s="541"/>
      <c r="CJ41" s="93"/>
      <c r="CK41" s="93"/>
      <c r="CL41" s="93"/>
      <c r="CM41" s="93"/>
      <c r="CN41" s="541"/>
      <c r="CO41" s="96"/>
      <c r="CR41" s="577"/>
      <c r="CS41" s="88"/>
      <c r="CT41" s="93"/>
      <c r="CU41" s="121"/>
      <c r="CV41" s="88"/>
      <c r="CW41" s="153"/>
      <c r="DB41"/>
      <c r="DC41"/>
      <c r="DD41"/>
      <c r="DE41"/>
      <c r="DF41"/>
      <c r="DG41"/>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c r="IS41" s="3"/>
      <c r="IT41" s="3"/>
      <c r="IU41" s="3"/>
      <c r="IV41" s="3"/>
    </row>
    <row r="42" spans="1:256" s="229" customFormat="1" ht="13.5" customHeight="1" collapsed="1">
      <c r="A42" s="594" t="s">
        <v>115</v>
      </c>
      <c r="B42" s="470"/>
      <c r="C42" s="468"/>
      <c r="D42" s="469"/>
      <c r="E42" s="469"/>
      <c r="F42" s="469"/>
      <c r="G42" s="470"/>
      <c r="H42" s="468"/>
      <c r="I42" s="469"/>
      <c r="J42" s="469"/>
      <c r="K42" s="471"/>
      <c r="L42" s="472"/>
      <c r="M42" s="468"/>
      <c r="N42" s="469"/>
      <c r="O42" s="473"/>
      <c r="P42" s="469"/>
      <c r="Q42" s="470"/>
      <c r="R42" s="469"/>
      <c r="S42" s="469"/>
      <c r="T42" s="469"/>
      <c r="U42" s="471"/>
      <c r="V42" s="474"/>
      <c r="W42" s="469"/>
      <c r="X42" s="469"/>
      <c r="Y42" s="469"/>
      <c r="Z42" s="469"/>
      <c r="AA42" s="470">
        <f>AA38+AA29+AA31+AA35+AA36</f>
        <v>628.41399999999965</v>
      </c>
      <c r="AB42" s="469">
        <f>AB40+AB31+AB35</f>
        <v>75.044999999999845</v>
      </c>
      <c r="AC42" s="469">
        <f>AC40+AC35+AC31</f>
        <v>103.47999999999985</v>
      </c>
      <c r="AD42" s="469">
        <f>AD40+AD31+AD35</f>
        <v>113.9999999999997</v>
      </c>
      <c r="AE42" s="469">
        <f>AE40+AE31+1.857</f>
        <v>74.411999999999722</v>
      </c>
      <c r="AF42" s="470">
        <f>SUM(AB42:AE42)</f>
        <v>366.9369999999991</v>
      </c>
      <c r="AG42" s="469">
        <f>AG38+AG29+AG33+3.653+4.161</f>
        <v>80.289999999999978</v>
      </c>
      <c r="AH42" s="469">
        <f>AH40+3.013+4.266</f>
        <v>117.17299999999996</v>
      </c>
      <c r="AI42" s="469">
        <v>124.4</v>
      </c>
      <c r="AJ42" s="469">
        <v>103.342</v>
      </c>
      <c r="AK42" s="544">
        <f>SUM(AG42:AJ42)</f>
        <v>425.20499999999993</v>
      </c>
      <c r="AL42" s="469">
        <v>92.054000000000002</v>
      </c>
      <c r="AM42" s="469">
        <f>AM40+0.856</f>
        <v>120.87700000000001</v>
      </c>
      <c r="AN42" s="469">
        <f>AN38+AN29+AN31+AN35+AN36+AN33+0.579</f>
        <v>94.511000000000124</v>
      </c>
      <c r="AO42" s="469">
        <f>85.824+1.185+0.245-4.975</f>
        <v>82.279000000000011</v>
      </c>
      <c r="AP42" s="544">
        <f t="shared" ref="AP42:AP47" si="68">SUM(AL42:AO42)</f>
        <v>389.72100000000012</v>
      </c>
      <c r="AQ42" s="469">
        <v>73.724999999999994</v>
      </c>
      <c r="AR42" s="469">
        <f>AR40+AR35+6.735</f>
        <v>89.426000000000187</v>
      </c>
      <c r="AS42" s="469">
        <f>AS40+AS35</f>
        <v>87.044999999999874</v>
      </c>
      <c r="AT42" s="469">
        <f>AT38+AT29+AT31+AT35+AT36+AT33</f>
        <v>80.87000000000009</v>
      </c>
      <c r="AU42" s="544">
        <f>SUM(AQ42:AT42)</f>
        <v>331.06600000000014</v>
      </c>
      <c r="AV42" s="469">
        <f>AV40+AV31+AV35</f>
        <v>59.308000000000156</v>
      </c>
      <c r="AW42" s="469">
        <f>AW38+AW29+AW33+AW31+AW35+AW36+1.477</f>
        <v>89.072999999999851</v>
      </c>
      <c r="AX42" s="469">
        <f>AX38+AX29+AX33+AX31+AX35+AX36</f>
        <v>84.480999999999881</v>
      </c>
      <c r="AY42" s="469">
        <f>AY38+AY29+AY33+AY31+AY35+AY36</f>
        <v>95.882999999999953</v>
      </c>
      <c r="AZ42" s="544">
        <f t="shared" si="53"/>
        <v>328.74499999999983</v>
      </c>
      <c r="BA42" s="469">
        <f>BA38+BA29+BA33+BA31+BA35+BA36</f>
        <v>77.326000000000093</v>
      </c>
      <c r="BB42" s="469">
        <f>BB38+BB29+BB33+BB31+BB35+BB36</f>
        <v>102.08799999999995</v>
      </c>
      <c r="BC42" s="469">
        <f>BC38+BC29+BC33+BC31+BC35+BC36</f>
        <v>98.736999999999938</v>
      </c>
      <c r="BD42" s="469">
        <f>BD38+BD29+BD32+BD33+BD31+BD35+BD36</f>
        <v>89.010999999999825</v>
      </c>
      <c r="BE42" s="544">
        <f>BE38+BE29+BE32+BE33+BE31+BE35+BE36</f>
        <v>367.14400000000074</v>
      </c>
      <c r="BF42" s="469">
        <f>BF38+BF29+BF32+BF33+BF31+BF35+BF36-12.051</f>
        <v>136.22400000000005</v>
      </c>
      <c r="BG42" s="469">
        <f>BG38+BG29+BG32+BG33+BG31+BG35+BG36-0.97 - 4.16</f>
        <v>99.102000000000103</v>
      </c>
      <c r="BH42" s="469">
        <f>BH38+BH29+BH32+BH33+BH31+BH35+BH36</f>
        <v>94.125</v>
      </c>
      <c r="BI42" s="469">
        <f>BI38+BI29+BI32+BI33+BI31+BI35+BI36</f>
        <v>107.05500000000005</v>
      </c>
      <c r="BJ42" s="544">
        <f t="shared" ref="BJ42:CN42" si="69">BJ38+BJ29+BJ32+BJ33+BJ31+BJ35+BJ36+BJ30</f>
        <v>380.74799999999971</v>
      </c>
      <c r="BK42" s="1227">
        <f t="shared" si="69"/>
        <v>80.811000000000007</v>
      </c>
      <c r="BL42" s="1227">
        <f t="shared" si="69"/>
        <v>104.286</v>
      </c>
      <c r="BM42" s="1227">
        <f t="shared" si="69"/>
        <v>99.724000000000032</v>
      </c>
      <c r="BN42" s="1227">
        <f t="shared" si="69"/>
        <v>107.602</v>
      </c>
      <c r="BO42" s="1228">
        <f t="shared" si="69"/>
        <v>392.39600000000019</v>
      </c>
      <c r="BP42" s="469">
        <f t="shared" si="69"/>
        <v>98.103000000000009</v>
      </c>
      <c r="BQ42" s="469">
        <f t="shared" si="69"/>
        <v>102.48499999999996</v>
      </c>
      <c r="BR42" s="469">
        <f t="shared" si="69"/>
        <v>100.18399999999994</v>
      </c>
      <c r="BS42" s="469">
        <f t="shared" si="69"/>
        <v>91.105000000000004</v>
      </c>
      <c r="BT42" s="921">
        <f t="shared" si="69"/>
        <v>391.87699999999978</v>
      </c>
      <c r="BU42" s="469">
        <f t="shared" si="69"/>
        <v>89.16899999999994</v>
      </c>
      <c r="BV42" s="469">
        <f t="shared" si="69"/>
        <v>116.10500000000003</v>
      </c>
      <c r="BW42" s="469">
        <f t="shared" si="69"/>
        <v>96.907999999999987</v>
      </c>
      <c r="BX42" s="469">
        <f t="shared" si="69"/>
        <v>104.00999999999999</v>
      </c>
      <c r="BY42" s="544">
        <f t="shared" si="69"/>
        <v>406.23599999999993</v>
      </c>
      <c r="BZ42" s="475">
        <f t="shared" si="69"/>
        <v>94.647576931349292</v>
      </c>
      <c r="CA42" s="475">
        <f t="shared" si="69"/>
        <v>116.33303217355052</v>
      </c>
      <c r="CB42" s="475">
        <f t="shared" si="69"/>
        <v>109.63288978171933</v>
      </c>
      <c r="CC42" s="475">
        <f t="shared" si="69"/>
        <v>110.82870950056903</v>
      </c>
      <c r="CD42" s="544">
        <f>CD38+CD29+CD32+CD33+CD31+CD35+CD36+CD30</f>
        <v>431.44220838718832</v>
      </c>
      <c r="CE42" s="475">
        <f t="shared" si="69"/>
        <v>104.3016828868634</v>
      </c>
      <c r="CF42" s="475">
        <f t="shared" si="69"/>
        <v>125.57079185740795</v>
      </c>
      <c r="CG42" s="475">
        <f t="shared" si="69"/>
        <v>118.82934178459932</v>
      </c>
      <c r="CH42" s="475">
        <f t="shared" si="69"/>
        <v>120.51887035354574</v>
      </c>
      <c r="CI42" s="544">
        <f t="shared" si="69"/>
        <v>469.22068688241654</v>
      </c>
      <c r="CJ42" s="475">
        <f t="shared" si="69"/>
        <v>116.22960953841724</v>
      </c>
      <c r="CK42" s="475">
        <f t="shared" si="69"/>
        <v>137.22451769747434</v>
      </c>
      <c r="CL42" s="475">
        <f t="shared" si="69"/>
        <v>130.59606215679355</v>
      </c>
      <c r="CM42" s="475">
        <f t="shared" si="69"/>
        <v>132.94162607444147</v>
      </c>
      <c r="CN42" s="544">
        <f t="shared" si="69"/>
        <v>516.99181546712668</v>
      </c>
      <c r="CO42" s="1163"/>
      <c r="CR42" s="594" t="s">
        <v>115</v>
      </c>
      <c r="CS42" s="469">
        <f t="shared" ref="CS42:CS60" si="70">BX42</f>
        <v>104.00999999999999</v>
      </c>
      <c r="CT42" s="475">
        <v>101.66286243885119</v>
      </c>
      <c r="CU42" s="921">
        <f t="shared" si="21"/>
        <v>2.3471375611487986</v>
      </c>
      <c r="CV42" s="469">
        <f t="shared" ref="CV42:CV67" si="71">BS42</f>
        <v>91.105000000000004</v>
      </c>
      <c r="CW42" s="782">
        <f t="shared" si="28"/>
        <v>0.14164974479995585</v>
      </c>
      <c r="DB42"/>
      <c r="DC42"/>
      <c r="DD42"/>
      <c r="DE42"/>
      <c r="DF42"/>
      <c r="DG42"/>
      <c r="HQ42" s="867"/>
      <c r="HR42" s="867"/>
      <c r="HS42" s="867"/>
      <c r="HT42" s="867"/>
      <c r="HU42" s="867"/>
      <c r="HV42" s="867"/>
      <c r="HW42" s="867"/>
      <c r="HX42" s="867"/>
      <c r="HY42" s="867"/>
      <c r="HZ42" s="867"/>
      <c r="IA42" s="867"/>
      <c r="IB42" s="867"/>
      <c r="IC42" s="867"/>
      <c r="ID42" s="867"/>
      <c r="IE42" s="867"/>
      <c r="IF42" s="867"/>
      <c r="IG42" s="867"/>
      <c r="IH42" s="867"/>
      <c r="II42" s="867"/>
      <c r="IJ42" s="867"/>
      <c r="IK42" s="867"/>
      <c r="IL42" s="867"/>
      <c r="IM42" s="867"/>
      <c r="IN42" s="867"/>
      <c r="IO42" s="867"/>
      <c r="IP42" s="867"/>
      <c r="IQ42" s="867"/>
      <c r="IR42" s="867"/>
      <c r="IS42" s="867"/>
      <c r="IT42" s="867"/>
      <c r="IU42" s="867"/>
      <c r="IV42" s="867"/>
    </row>
    <row r="43" spans="1:256" s="229" customFormat="1" ht="13.5" hidden="1" customHeight="1" outlineLevel="1">
      <c r="A43" s="594" t="s">
        <v>639</v>
      </c>
      <c r="B43" s="470"/>
      <c r="C43" s="468"/>
      <c r="D43" s="469"/>
      <c r="E43" s="469"/>
      <c r="F43" s="469"/>
      <c r="G43" s="470"/>
      <c r="H43" s="468"/>
      <c r="I43" s="469"/>
      <c r="J43" s="469"/>
      <c r="K43" s="471"/>
      <c r="L43" s="472"/>
      <c r="M43" s="468"/>
      <c r="N43" s="469"/>
      <c r="O43" s="473"/>
      <c r="P43" s="469"/>
      <c r="Q43" s="470"/>
      <c r="R43" s="469"/>
      <c r="S43" s="469"/>
      <c r="T43" s="469"/>
      <c r="U43" s="471"/>
      <c r="V43" s="474"/>
      <c r="W43" s="469"/>
      <c r="X43" s="469"/>
      <c r="Y43" s="469"/>
      <c r="Z43" s="469"/>
      <c r="AA43" s="470"/>
      <c r="AB43" s="469"/>
      <c r="AC43" s="469"/>
      <c r="AD43" s="469"/>
      <c r="AE43" s="469"/>
      <c r="AF43" s="470"/>
      <c r="AG43" s="469"/>
      <c r="AH43" s="469"/>
      <c r="AI43" s="469"/>
      <c r="AJ43" s="469"/>
      <c r="AK43" s="544"/>
      <c r="AL43" s="469">
        <f>186.901-AM43</f>
        <v>87.533000000000015</v>
      </c>
      <c r="AM43" s="469">
        <f>90.81+7.702+0.856</f>
        <v>99.367999999999995</v>
      </c>
      <c r="AN43" s="469">
        <v>81.751999999999995</v>
      </c>
      <c r="AO43" s="469">
        <v>73.216999999999999</v>
      </c>
      <c r="AP43" s="544">
        <f t="shared" si="68"/>
        <v>341.87</v>
      </c>
      <c r="AQ43" s="469">
        <v>73.724999999999994</v>
      </c>
      <c r="AR43" s="469">
        <f>AR42</f>
        <v>89.426000000000187</v>
      </c>
      <c r="AS43" s="469">
        <f>AS42</f>
        <v>87.044999999999874</v>
      </c>
      <c r="AT43" s="469">
        <f>AT42</f>
        <v>80.87000000000009</v>
      </c>
      <c r="AU43" s="544">
        <f>SUM(AQ43:AT43)</f>
        <v>331.06600000000014</v>
      </c>
      <c r="AV43" s="469">
        <f>AV42</f>
        <v>59.308000000000156</v>
      </c>
      <c r="AW43" s="469">
        <f>AW42</f>
        <v>89.072999999999851</v>
      </c>
      <c r="AX43" s="469">
        <f>AX42</f>
        <v>84.480999999999881</v>
      </c>
      <c r="AY43" s="469">
        <f>AY42</f>
        <v>95.882999999999953</v>
      </c>
      <c r="AZ43" s="544">
        <f t="shared" si="53"/>
        <v>328.74499999999983</v>
      </c>
      <c r="BA43" s="469">
        <f>BA42</f>
        <v>77.326000000000093</v>
      </c>
      <c r="BB43" s="469">
        <f>BB42</f>
        <v>102.08799999999995</v>
      </c>
      <c r="BC43" s="469">
        <f>BC42</f>
        <v>98.736999999999938</v>
      </c>
      <c r="BD43" s="469">
        <f>BD42</f>
        <v>89.010999999999825</v>
      </c>
      <c r="BE43" s="544">
        <f>SUM(BA43:BD43)</f>
        <v>367.16199999999981</v>
      </c>
      <c r="BF43" s="469">
        <f>BF42</f>
        <v>136.22400000000005</v>
      </c>
      <c r="BG43" s="469">
        <f>BG42</f>
        <v>99.102000000000103</v>
      </c>
      <c r="BH43" s="469">
        <f>BH42</f>
        <v>94.125</v>
      </c>
      <c r="BI43" s="469">
        <f>BI42</f>
        <v>107.05500000000005</v>
      </c>
      <c r="BJ43" s="544">
        <f>SUM(BF43:BI43)</f>
        <v>436.5060000000002</v>
      </c>
      <c r="BK43" s="469">
        <f>BK42</f>
        <v>80.811000000000007</v>
      </c>
      <c r="BL43" s="469">
        <f>BL42</f>
        <v>104.286</v>
      </c>
      <c r="BM43" s="469">
        <f>BM42</f>
        <v>99.724000000000032</v>
      </c>
      <c r="BN43" s="469">
        <f>BN42</f>
        <v>107.602</v>
      </c>
      <c r="BO43" s="470">
        <f>SUM(BK43:BN43)</f>
        <v>392.423</v>
      </c>
      <c r="BP43" s="469">
        <f>BP42</f>
        <v>98.103000000000009</v>
      </c>
      <c r="BQ43" s="469">
        <f>BQ42</f>
        <v>102.48499999999996</v>
      </c>
      <c r="BR43" s="469">
        <f>BR42</f>
        <v>100.18399999999994</v>
      </c>
      <c r="BS43" s="469">
        <f>BS42</f>
        <v>91.105000000000004</v>
      </c>
      <c r="BT43" s="544">
        <f>SUM(BP43:BS43)</f>
        <v>391.87699999999995</v>
      </c>
      <c r="BU43" s="469">
        <f>BU42</f>
        <v>89.16899999999994</v>
      </c>
      <c r="BV43" s="469">
        <f>BV42</f>
        <v>116.10500000000003</v>
      </c>
      <c r="BW43" s="469">
        <f>BW42</f>
        <v>96.907999999999987</v>
      </c>
      <c r="BX43" s="469">
        <f>BX42</f>
        <v>104.00999999999999</v>
      </c>
      <c r="BY43" s="544">
        <f>SUM(BU43:BX43)</f>
        <v>406.19199999999995</v>
      </c>
      <c r="BZ43" s="475">
        <f>BZ42</f>
        <v>94.647576931349292</v>
      </c>
      <c r="CA43" s="475">
        <f>CA42</f>
        <v>116.33303217355052</v>
      </c>
      <c r="CB43" s="475">
        <f>CB42</f>
        <v>109.63288978171933</v>
      </c>
      <c r="CC43" s="475">
        <f>CC42</f>
        <v>110.82870950056903</v>
      </c>
      <c r="CD43" s="544">
        <f>SUM(BZ43:CC43)</f>
        <v>431.4422083871882</v>
      </c>
      <c r="CE43" s="475">
        <f>CE42</f>
        <v>104.3016828868634</v>
      </c>
      <c r="CF43" s="475">
        <f>CF42</f>
        <v>125.57079185740795</v>
      </c>
      <c r="CG43" s="475">
        <f>CG42</f>
        <v>118.82934178459932</v>
      </c>
      <c r="CH43" s="475">
        <f>CH42</f>
        <v>120.51887035354574</v>
      </c>
      <c r="CI43" s="544">
        <f>SUM(CE43:CH43)</f>
        <v>469.22068688241643</v>
      </c>
      <c r="CJ43" s="475">
        <f>CJ42</f>
        <v>116.22960953841724</v>
      </c>
      <c r="CK43" s="475">
        <f>CK42</f>
        <v>137.22451769747434</v>
      </c>
      <c r="CL43" s="475">
        <f>CL42</f>
        <v>130.59606215679355</v>
      </c>
      <c r="CM43" s="475">
        <f>CM42</f>
        <v>132.94162607444147</v>
      </c>
      <c r="CN43" s="544">
        <f>SUM(CJ43:CM43)</f>
        <v>516.99181546712657</v>
      </c>
      <c r="CO43" s="208"/>
      <c r="CR43" s="594" t="s">
        <v>639</v>
      </c>
      <c r="CS43" s="469">
        <f t="shared" si="70"/>
        <v>104.00999999999999</v>
      </c>
      <c r="CT43" s="475">
        <v>101.66286243885119</v>
      </c>
      <c r="CU43" s="921">
        <f t="shared" si="21"/>
        <v>2.3471375611487986</v>
      </c>
      <c r="CV43" s="469">
        <f t="shared" si="71"/>
        <v>91.105000000000004</v>
      </c>
      <c r="CW43" s="782">
        <f t="shared" si="28"/>
        <v>0.14164974479995585</v>
      </c>
      <c r="DB43"/>
      <c r="DC43"/>
      <c r="DD43"/>
      <c r="DE43"/>
      <c r="DF43"/>
      <c r="DG43"/>
      <c r="HQ43" s="867"/>
      <c r="HR43" s="867"/>
      <c r="HS43" s="867"/>
      <c r="HT43" s="867"/>
      <c r="HU43" s="867"/>
      <c r="HV43" s="867"/>
      <c r="HW43" s="867"/>
      <c r="HX43" s="867"/>
      <c r="HY43" s="867"/>
      <c r="HZ43" s="867"/>
      <c r="IA43" s="867"/>
      <c r="IB43" s="867"/>
      <c r="IC43" s="867"/>
      <c r="ID43" s="867"/>
      <c r="IE43" s="867"/>
      <c r="IF43" s="867"/>
      <c r="IG43" s="867"/>
      <c r="IH43" s="867"/>
      <c r="II43" s="867"/>
      <c r="IJ43" s="867"/>
      <c r="IK43" s="867"/>
      <c r="IL43" s="867"/>
      <c r="IM43" s="867"/>
      <c r="IN43" s="867"/>
      <c r="IO43" s="867"/>
      <c r="IP43" s="867"/>
      <c r="IQ43" s="867"/>
      <c r="IR43" s="867"/>
      <c r="IS43" s="867"/>
      <c r="IT43" s="867"/>
      <c r="IU43" s="867"/>
      <c r="IV43" s="867"/>
    </row>
    <row r="44" spans="1:256" s="117" customFormat="1" ht="15.75" customHeight="1" collapsed="1">
      <c r="A44" s="1060" t="s">
        <v>428</v>
      </c>
      <c r="B44" s="99"/>
      <c r="C44" s="87"/>
      <c r="D44" s="88"/>
      <c r="E44" s="88"/>
      <c r="F44" s="88"/>
      <c r="G44" s="99"/>
      <c r="H44" s="87"/>
      <c r="I44" s="88"/>
      <c r="J44" s="88"/>
      <c r="K44" s="91"/>
      <c r="L44" s="272"/>
      <c r="M44" s="87"/>
      <c r="N44" s="88"/>
      <c r="O44" s="92"/>
      <c r="P44" s="88"/>
      <c r="Q44" s="99"/>
      <c r="R44" s="88"/>
      <c r="S44" s="88"/>
      <c r="T44" s="88"/>
      <c r="U44" s="91"/>
      <c r="V44" s="143">
        <f>SUM(R44:U44)</f>
        <v>0</v>
      </c>
      <c r="W44" s="88"/>
      <c r="X44" s="88"/>
      <c r="Y44" s="88"/>
      <c r="Z44" s="88"/>
      <c r="AA44" s="99">
        <v>100.104</v>
      </c>
      <c r="AB44" s="88">
        <v>24.536000000000001</v>
      </c>
      <c r="AC44" s="88">
        <v>24.913</v>
      </c>
      <c r="AD44" s="88">
        <v>24.974</v>
      </c>
      <c r="AE44" s="88">
        <v>25.989000000000001</v>
      </c>
      <c r="AF44" s="99">
        <f>SUM(AB44:AE44)</f>
        <v>100.41200000000001</v>
      </c>
      <c r="AG44" s="88">
        <v>22.149000000000001</v>
      </c>
      <c r="AH44" s="88">
        <v>31.065000000000001</v>
      </c>
      <c r="AI44" s="88">
        <v>36.457000000000001</v>
      </c>
      <c r="AJ44" s="88">
        <v>37.036999999999999</v>
      </c>
      <c r="AK44" s="541">
        <f>SUM(AG44:AJ44)</f>
        <v>126.708</v>
      </c>
      <c r="AL44" s="88">
        <v>36.277999999999999</v>
      </c>
      <c r="AM44" s="88">
        <v>34.389000000000003</v>
      </c>
      <c r="AN44" s="88">
        <v>33.868000000000002</v>
      </c>
      <c r="AO44" s="88">
        <v>32.694000000000003</v>
      </c>
      <c r="AP44" s="541">
        <f t="shared" si="68"/>
        <v>137.22899999999998</v>
      </c>
      <c r="AQ44" s="88">
        <v>29.442</v>
      </c>
      <c r="AR44" s="88">
        <v>28.088999999999999</v>
      </c>
      <c r="AS44" s="88">
        <v>28.384</v>
      </c>
      <c r="AT44" s="88">
        <v>28.195</v>
      </c>
      <c r="AU44" s="541">
        <f>SUM(AQ44:AT44)</f>
        <v>114.10999999999999</v>
      </c>
      <c r="AV44" s="88">
        <v>28.234999999999999</v>
      </c>
      <c r="AW44" s="88">
        <v>28.001999999999999</v>
      </c>
      <c r="AX44" s="88">
        <v>21.565999999999999</v>
      </c>
      <c r="AY44" s="88">
        <v>20.800999999999998</v>
      </c>
      <c r="AZ44" s="541">
        <f t="shared" si="53"/>
        <v>98.603999999999999</v>
      </c>
      <c r="BA44" s="88">
        <v>20.963999999999999</v>
      </c>
      <c r="BB44" s="88">
        <v>18.963999999999999</v>
      </c>
      <c r="BC44" s="88">
        <v>15.62</v>
      </c>
      <c r="BD44" s="88">
        <v>13.464</v>
      </c>
      <c r="BE44" s="541">
        <f t="shared" ref="BE44:BE49" si="72">SUM(BA44:BD44)</f>
        <v>69.012</v>
      </c>
      <c r="BF44" s="88">
        <v>12.994</v>
      </c>
      <c r="BG44" s="88">
        <v>13.13</v>
      </c>
      <c r="BH44" s="88">
        <v>13.204000000000001</v>
      </c>
      <c r="BI44" s="88">
        <v>12.864000000000001</v>
      </c>
      <c r="BJ44" s="541">
        <f>SUM(BF44:BI44)</f>
        <v>52.192000000000007</v>
      </c>
      <c r="BK44" s="88">
        <v>12.743</v>
      </c>
      <c r="BL44" s="88">
        <v>17.201000000000001</v>
      </c>
      <c r="BM44" s="88">
        <v>27.937999999999999</v>
      </c>
      <c r="BN44" s="88">
        <v>28.184999999999999</v>
      </c>
      <c r="BO44" s="99">
        <f>SUM(BK44:BN44)</f>
        <v>86.067000000000007</v>
      </c>
      <c r="BP44" s="88">
        <v>28.109000000000002</v>
      </c>
      <c r="BQ44" s="88">
        <v>28.643000000000001</v>
      </c>
      <c r="BR44" s="88">
        <v>28.731000000000002</v>
      </c>
      <c r="BS44" s="88">
        <v>29.318999999999999</v>
      </c>
      <c r="BT44" s="541">
        <f>SUM(BP44:BS44)</f>
        <v>114.80200000000001</v>
      </c>
      <c r="BU44" s="88">
        <v>28.975000000000001</v>
      </c>
      <c r="BV44" s="88">
        <v>28.934999999999999</v>
      </c>
      <c r="BW44" s="88">
        <v>29.977</v>
      </c>
      <c r="BX44" s="88">
        <v>30.172000000000001</v>
      </c>
      <c r="BY44" s="541">
        <f>SUM(BU44:BX44)</f>
        <v>118.059</v>
      </c>
      <c r="BZ44" s="93">
        <f>BZ192</f>
        <v>29.954121749999999</v>
      </c>
      <c r="CA44" s="93">
        <f>CA192</f>
        <v>29.954121749999999</v>
      </c>
      <c r="CB44" s="93">
        <f>CB192</f>
        <v>29.954121749999999</v>
      </c>
      <c r="CC44" s="93">
        <f>CC192</f>
        <v>29.954121749999999</v>
      </c>
      <c r="CD44" s="541">
        <f>SUM(BZ44:CC44)</f>
        <v>119.816487</v>
      </c>
      <c r="CE44" s="93">
        <f>CE192</f>
        <v>29.954121749999999</v>
      </c>
      <c r="CF44" s="93">
        <f>CF192</f>
        <v>29.954121749999999</v>
      </c>
      <c r="CG44" s="93">
        <f>CG192</f>
        <v>29.954121749999999</v>
      </c>
      <c r="CH44" s="93">
        <f>CH192</f>
        <v>29.954121749999999</v>
      </c>
      <c r="CI44" s="541">
        <f>SUM(CE44:CH44)</f>
        <v>119.816487</v>
      </c>
      <c r="CJ44" s="93">
        <f>CJ192</f>
        <v>29.954121749999999</v>
      </c>
      <c r="CK44" s="93">
        <f>CK192</f>
        <v>29.954121749999999</v>
      </c>
      <c r="CL44" s="93">
        <f>CL192</f>
        <v>29.954121749999999</v>
      </c>
      <c r="CM44" s="93">
        <f>CM192</f>
        <v>29.954121749999999</v>
      </c>
      <c r="CN44" s="541">
        <f>SUM(CJ44:CM44)</f>
        <v>119.816487</v>
      </c>
      <c r="CO44" s="45"/>
      <c r="CR44" s="595" t="s">
        <v>428</v>
      </c>
      <c r="CS44" s="88">
        <f t="shared" si="70"/>
        <v>30.172000000000001</v>
      </c>
      <c r="CT44" s="93">
        <v>30.303381685654102</v>
      </c>
      <c r="CU44" s="121">
        <f t="shared" si="21"/>
        <v>-0.13138168565410169</v>
      </c>
      <c r="CV44" s="88">
        <f t="shared" si="71"/>
        <v>29.318999999999999</v>
      </c>
      <c r="CW44" s="153">
        <f t="shared" si="28"/>
        <v>2.9093761724479084E-2</v>
      </c>
      <c r="DB44"/>
      <c r="DC44"/>
      <c r="DD44"/>
      <c r="DE44"/>
      <c r="DF44"/>
      <c r="DG44"/>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c r="IS44" s="3"/>
      <c r="IT44" s="3"/>
      <c r="IU44" s="3"/>
      <c r="IV44" s="3"/>
    </row>
    <row r="45" spans="1:256" s="117" customFormat="1" ht="12.75" hidden="1" customHeight="1" outlineLevel="1">
      <c r="A45" s="595" t="s">
        <v>412</v>
      </c>
      <c r="B45" s="99"/>
      <c r="C45" s="87"/>
      <c r="D45" s="88"/>
      <c r="E45" s="88"/>
      <c r="F45" s="88"/>
      <c r="G45" s="99"/>
      <c r="H45" s="87"/>
      <c r="I45" s="88"/>
      <c r="J45" s="88"/>
      <c r="K45" s="91"/>
      <c r="L45" s="272"/>
      <c r="M45" s="87"/>
      <c r="N45" s="88"/>
      <c r="O45" s="92"/>
      <c r="P45" s="88"/>
      <c r="Q45" s="99"/>
      <c r="R45" s="88"/>
      <c r="S45" s="88"/>
      <c r="T45" s="88"/>
      <c r="U45" s="91"/>
      <c r="V45" s="143"/>
      <c r="W45" s="88"/>
      <c r="X45" s="88"/>
      <c r="Y45" s="88"/>
      <c r="Z45" s="88"/>
      <c r="AA45" s="99"/>
      <c r="AB45" s="88">
        <v>0</v>
      </c>
      <c r="AC45" s="88"/>
      <c r="AD45" s="88"/>
      <c r="AE45" s="88">
        <v>3.6560000000000001</v>
      </c>
      <c r="AF45" s="99">
        <f>SUM(AB45:AE45)</f>
        <v>3.6560000000000001</v>
      </c>
      <c r="AG45" s="88"/>
      <c r="AH45" s="88"/>
      <c r="AI45" s="88"/>
      <c r="AJ45" s="88">
        <v>0</v>
      </c>
      <c r="AK45" s="541"/>
      <c r="AL45" s="88"/>
      <c r="AM45" s="88">
        <v>26.196999999999999</v>
      </c>
      <c r="AN45" s="88">
        <v>0</v>
      </c>
      <c r="AO45" s="88">
        <v>0</v>
      </c>
      <c r="AP45" s="541">
        <f t="shared" si="68"/>
        <v>26.196999999999999</v>
      </c>
      <c r="AQ45" s="88"/>
      <c r="AR45" s="88"/>
      <c r="AS45" s="88"/>
      <c r="AT45" s="88">
        <v>0</v>
      </c>
      <c r="AU45" s="541"/>
      <c r="AV45" s="88"/>
      <c r="AW45" s="88">
        <v>25.195</v>
      </c>
      <c r="AX45" s="88">
        <v>49.881</v>
      </c>
      <c r="AY45" s="88">
        <v>0</v>
      </c>
      <c r="AZ45" s="541">
        <f t="shared" si="53"/>
        <v>75.075999999999993</v>
      </c>
      <c r="BA45" s="88"/>
      <c r="BB45" s="88">
        <v>21.018999999999998</v>
      </c>
      <c r="BC45" s="88"/>
      <c r="BD45" s="88">
        <v>7.5439999999999996</v>
      </c>
      <c r="BE45" s="541">
        <f t="shared" si="72"/>
        <v>28.562999999999999</v>
      </c>
      <c r="BF45" s="88"/>
      <c r="BG45" s="88"/>
      <c r="BH45" s="88"/>
      <c r="BI45" s="88"/>
      <c r="BJ45" s="541"/>
      <c r="BK45" s="88"/>
      <c r="BL45" s="88">
        <v>7.2949999999999999</v>
      </c>
      <c r="BM45" s="88"/>
      <c r="BN45" s="88"/>
      <c r="BO45" s="541">
        <f>SUM(BK45:BN45)</f>
        <v>7.2949999999999999</v>
      </c>
      <c r="BP45" s="88"/>
      <c r="BQ45" s="88"/>
      <c r="BR45" s="88"/>
      <c r="BS45" s="88">
        <v>-0.375</v>
      </c>
      <c r="BT45" s="541">
        <f>SUM(BP45:BS45)</f>
        <v>-0.375</v>
      </c>
      <c r="BU45" s="88"/>
      <c r="BV45" s="88"/>
      <c r="BW45" s="88"/>
      <c r="BX45" s="88">
        <v>-0.61699999999999999</v>
      </c>
      <c r="BY45" s="541"/>
      <c r="BZ45" s="93"/>
      <c r="CA45" s="93"/>
      <c r="CB45" s="93"/>
      <c r="CC45" s="93"/>
      <c r="CD45" s="541"/>
      <c r="CE45" s="93"/>
      <c r="CF45" s="93"/>
      <c r="CG45" s="93"/>
      <c r="CH45" s="93"/>
      <c r="CI45" s="541"/>
      <c r="CJ45" s="93"/>
      <c r="CK45" s="93"/>
      <c r="CL45" s="93"/>
      <c r="CM45" s="93"/>
      <c r="CN45" s="541"/>
      <c r="CO45" s="45"/>
      <c r="CR45" s="595" t="s">
        <v>53</v>
      </c>
      <c r="CS45" s="88">
        <f t="shared" si="70"/>
        <v>-0.61699999999999999</v>
      </c>
      <c r="CT45" s="93">
        <v>0</v>
      </c>
      <c r="CU45" s="121">
        <f t="shared" si="21"/>
        <v>-0.61699999999999999</v>
      </c>
      <c r="CV45" s="88">
        <f t="shared" si="71"/>
        <v>-0.375</v>
      </c>
      <c r="CW45" s="153"/>
      <c r="DB45"/>
      <c r="DC45"/>
      <c r="DD45"/>
      <c r="DE45"/>
      <c r="DF45"/>
      <c r="DG45"/>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c r="IS45" s="3"/>
      <c r="IT45" s="3"/>
      <c r="IU45" s="3"/>
      <c r="IV45" s="3"/>
    </row>
    <row r="46" spans="1:256" s="117" customFormat="1" ht="12.75" hidden="1" customHeight="1" outlineLevel="1">
      <c r="A46" s="595" t="s">
        <v>420</v>
      </c>
      <c r="B46" s="103"/>
      <c r="C46" s="101"/>
      <c r="D46" s="102"/>
      <c r="E46" s="102"/>
      <c r="F46" s="102"/>
      <c r="G46" s="103"/>
      <c r="H46" s="101"/>
      <c r="I46" s="102"/>
      <c r="J46" s="102"/>
      <c r="K46" s="104"/>
      <c r="L46" s="414"/>
      <c r="M46" s="101"/>
      <c r="N46" s="102"/>
      <c r="O46" s="105"/>
      <c r="P46" s="102"/>
      <c r="Q46" s="103"/>
      <c r="R46" s="102"/>
      <c r="S46" s="102"/>
      <c r="T46" s="102"/>
      <c r="U46" s="104"/>
      <c r="V46" s="143">
        <f>SUM(R46:U46)</f>
        <v>0</v>
      </c>
      <c r="W46" s="88"/>
      <c r="X46" s="88"/>
      <c r="Y46" s="88"/>
      <c r="Z46" s="88"/>
      <c r="AA46" s="99">
        <v>59.076999999999998</v>
      </c>
      <c r="AB46" s="88">
        <v>3.8690000000000002</v>
      </c>
      <c r="AC46" s="88">
        <v>-3.383</v>
      </c>
      <c r="AD46" s="88">
        <v>8.8249999999999993</v>
      </c>
      <c r="AE46" s="88">
        <v>6.2489999999999997</v>
      </c>
      <c r="AF46" s="99">
        <f>SUM(AB46:AE46)</f>
        <v>15.559999999999999</v>
      </c>
      <c r="AG46" s="88">
        <v>-1.794</v>
      </c>
      <c r="AH46" s="88">
        <v>-2.7930000000000001</v>
      </c>
      <c r="AI46" s="88">
        <v>0.73699999999999999</v>
      </c>
      <c r="AJ46" s="88">
        <v>0.84199999999999997</v>
      </c>
      <c r="AK46" s="541">
        <f>SUM(AG46:AJ46)</f>
        <v>-3.0079999999999996</v>
      </c>
      <c r="AL46" s="88">
        <v>0.13</v>
      </c>
      <c r="AM46" s="88">
        <v>5.0490000000000004</v>
      </c>
      <c r="AN46" s="88">
        <v>7.6999999999999999E-2</v>
      </c>
      <c r="AO46" s="88">
        <v>5.0000000000000001E-3</v>
      </c>
      <c r="AP46" s="541">
        <f t="shared" si="68"/>
        <v>5.2610000000000001</v>
      </c>
      <c r="AQ46" s="88">
        <v>0</v>
      </c>
      <c r="AR46" s="88">
        <v>0.14799999999999999</v>
      </c>
      <c r="AS46" s="88">
        <v>3.0000000000000001E-3</v>
      </c>
      <c r="AT46" s="88">
        <v>0.29599999999999999</v>
      </c>
      <c r="AU46" s="541">
        <f>SUM(AQ46:AT46)</f>
        <v>0.44699999999999995</v>
      </c>
      <c r="AV46" s="88">
        <v>27.407</v>
      </c>
      <c r="AW46" s="88">
        <v>0</v>
      </c>
      <c r="AX46" s="88">
        <v>0</v>
      </c>
      <c r="AY46" s="88">
        <v>6.7859999999999996</v>
      </c>
      <c r="AZ46" s="541">
        <f t="shared" si="53"/>
        <v>34.192999999999998</v>
      </c>
      <c r="BA46" s="88"/>
      <c r="BB46" s="88"/>
      <c r="BC46" s="88"/>
      <c r="BD46" s="88">
        <v>21.202000000000002</v>
      </c>
      <c r="BE46" s="541">
        <f t="shared" si="72"/>
        <v>21.202000000000002</v>
      </c>
      <c r="BF46" s="88">
        <f>-BF194</f>
        <v>0</v>
      </c>
      <c r="BG46" s="88">
        <f>-BG194</f>
        <v>0</v>
      </c>
      <c r="BH46" s="88">
        <v>0</v>
      </c>
      <c r="BI46" s="88">
        <f>-BI194</f>
        <v>0</v>
      </c>
      <c r="BJ46" s="541">
        <f>SUM(BF46:BI46)</f>
        <v>0</v>
      </c>
      <c r="BK46" s="88">
        <f>-BK194</f>
        <v>0</v>
      </c>
      <c r="BL46" s="88">
        <f>-BL194</f>
        <v>0</v>
      </c>
      <c r="BM46" s="88">
        <f>-BM194</f>
        <v>0</v>
      </c>
      <c r="BN46" s="88">
        <v>52.034999999999997</v>
      </c>
      <c r="BO46" s="541">
        <f>SUM(BK46:BN46)</f>
        <v>52.034999999999997</v>
      </c>
      <c r="BP46" s="88">
        <f>-BP194</f>
        <v>0</v>
      </c>
      <c r="BQ46" s="88">
        <f>-BQ194</f>
        <v>0</v>
      </c>
      <c r="BR46" s="88">
        <f>-BR194</f>
        <v>0</v>
      </c>
      <c r="BS46" s="88">
        <f>-BS194</f>
        <v>0</v>
      </c>
      <c r="BT46" s="541">
        <f>SUM(BP46:BS46)</f>
        <v>0</v>
      </c>
      <c r="BU46" s="88">
        <f>-BU194</f>
        <v>0</v>
      </c>
      <c r="BV46" s="88">
        <f>-BV194</f>
        <v>0</v>
      </c>
      <c r="BW46" s="88">
        <f>-BW194</f>
        <v>0</v>
      </c>
      <c r="BX46" s="88">
        <f>-BX194</f>
        <v>0</v>
      </c>
      <c r="BY46" s="541">
        <f>SUM(BU46:BX46)</f>
        <v>0</v>
      </c>
      <c r="BZ46" s="93">
        <f>-BZ194</f>
        <v>0</v>
      </c>
      <c r="CA46" s="93">
        <f>-CA194</f>
        <v>0</v>
      </c>
      <c r="CB46" s="93">
        <f>-CB194</f>
        <v>0</v>
      </c>
      <c r="CC46" s="93">
        <f>-CC194</f>
        <v>0</v>
      </c>
      <c r="CD46" s="541">
        <f>SUM(BZ46:CC46)</f>
        <v>0</v>
      </c>
      <c r="CE46" s="93">
        <f>-CE194</f>
        <v>0</v>
      </c>
      <c r="CF46" s="93">
        <f>-CF194</f>
        <v>0</v>
      </c>
      <c r="CG46" s="93">
        <f>-CG194</f>
        <v>0</v>
      </c>
      <c r="CH46" s="93">
        <f>-CH194</f>
        <v>0</v>
      </c>
      <c r="CI46" s="541">
        <f>SUM(CE46:CH46)</f>
        <v>0</v>
      </c>
      <c r="CJ46" s="93">
        <f>-CJ194</f>
        <v>0</v>
      </c>
      <c r="CK46" s="93">
        <f>-CK194</f>
        <v>0</v>
      </c>
      <c r="CL46" s="93">
        <f>-CL194</f>
        <v>0</v>
      </c>
      <c r="CM46" s="93">
        <f>-CM194</f>
        <v>0</v>
      </c>
      <c r="CN46" s="541">
        <f>SUM(CJ46:CM46)</f>
        <v>0</v>
      </c>
      <c r="CO46" s="45"/>
      <c r="CR46" s="595" t="s">
        <v>420</v>
      </c>
      <c r="CS46" s="88">
        <f t="shared" si="70"/>
        <v>0</v>
      </c>
      <c r="CT46" s="93">
        <v>0</v>
      </c>
      <c r="CU46" s="121">
        <f t="shared" si="21"/>
        <v>0</v>
      </c>
      <c r="CV46" s="88">
        <f t="shared" si="71"/>
        <v>0</v>
      </c>
      <c r="CW46" s="153"/>
      <c r="DB46"/>
      <c r="DC46"/>
      <c r="DD46"/>
      <c r="DE46"/>
      <c r="DF46"/>
      <c r="DG46"/>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c r="IS46" s="3"/>
      <c r="IT46" s="3"/>
      <c r="IU46" s="3"/>
      <c r="IV46" s="3"/>
    </row>
    <row r="47" spans="1:256" s="117" customFormat="1" ht="15" hidden="1" customHeight="1" outlineLevel="1">
      <c r="A47" s="595" t="s">
        <v>300</v>
      </c>
      <c r="B47" s="103"/>
      <c r="C47" s="101"/>
      <c r="D47" s="102"/>
      <c r="E47" s="102"/>
      <c r="F47" s="102"/>
      <c r="G47" s="103"/>
      <c r="H47" s="101"/>
      <c r="I47" s="102"/>
      <c r="J47" s="102"/>
      <c r="K47" s="104"/>
      <c r="L47" s="414"/>
      <c r="M47" s="101"/>
      <c r="N47" s="102"/>
      <c r="O47" s="105"/>
      <c r="P47" s="102"/>
      <c r="Q47" s="103"/>
      <c r="R47" s="102"/>
      <c r="S47" s="102"/>
      <c r="T47" s="102"/>
      <c r="U47" s="104"/>
      <c r="V47" s="143"/>
      <c r="W47" s="88"/>
      <c r="X47" s="88"/>
      <c r="Y47" s="88"/>
      <c r="Z47" s="88"/>
      <c r="AA47" s="99"/>
      <c r="AB47" s="88">
        <v>-68.085999999999999</v>
      </c>
      <c r="AC47" s="88">
        <v>-3.5</v>
      </c>
      <c r="AD47" s="88">
        <v>-8.1</v>
      </c>
      <c r="AE47" s="88">
        <v>-33.055</v>
      </c>
      <c r="AF47" s="99">
        <f>AE47</f>
        <v>-33.055</v>
      </c>
      <c r="AG47" s="88">
        <v>-3.1269999999999998</v>
      </c>
      <c r="AH47" s="88">
        <v>-0.78900000000000003</v>
      </c>
      <c r="AI47" s="88">
        <v>0</v>
      </c>
      <c r="AJ47" s="88">
        <v>0</v>
      </c>
      <c r="AK47" s="541">
        <f>SUM(AG47:AJ47)</f>
        <v>-3.9159999999999999</v>
      </c>
      <c r="AL47" s="88">
        <v>0</v>
      </c>
      <c r="AM47" s="88">
        <v>0</v>
      </c>
      <c r="AN47" s="88">
        <v>0</v>
      </c>
      <c r="AO47" s="88">
        <v>0</v>
      </c>
      <c r="AP47" s="541">
        <f t="shared" si="68"/>
        <v>0</v>
      </c>
      <c r="AQ47" s="88"/>
      <c r="AR47" s="88"/>
      <c r="AS47" s="88"/>
      <c r="AT47" s="88">
        <v>0</v>
      </c>
      <c r="AU47" s="541"/>
      <c r="AV47" s="93"/>
      <c r="AW47" s="88"/>
      <c r="AX47" s="88">
        <v>0</v>
      </c>
      <c r="AY47" s="88">
        <v>0</v>
      </c>
      <c r="AZ47" s="541"/>
      <c r="BA47" s="88"/>
      <c r="BB47" s="88"/>
      <c r="BC47" s="88"/>
      <c r="BD47" s="88"/>
      <c r="BE47" s="541">
        <f t="shared" si="72"/>
        <v>0</v>
      </c>
      <c r="BF47" s="88"/>
      <c r="BG47" s="88"/>
      <c r="BH47" s="88"/>
      <c r="BI47" s="88"/>
      <c r="BJ47" s="541"/>
      <c r="BK47" s="88"/>
      <c r="BL47" s="88"/>
      <c r="BM47" s="88"/>
      <c r="BN47" s="88"/>
      <c r="BO47" s="541"/>
      <c r="BP47" s="88"/>
      <c r="BQ47" s="88"/>
      <c r="BR47" s="88"/>
      <c r="BS47" s="88"/>
      <c r="BT47" s="541"/>
      <c r="BU47" s="88"/>
      <c r="BV47" s="88"/>
      <c r="BW47" s="88"/>
      <c r="BX47" s="88"/>
      <c r="BY47" s="541"/>
      <c r="BZ47" s="93"/>
      <c r="CA47" s="93"/>
      <c r="CB47" s="93"/>
      <c r="CC47" s="93"/>
      <c r="CD47" s="541"/>
      <c r="CE47" s="93"/>
      <c r="CF47" s="93"/>
      <c r="CG47" s="93"/>
      <c r="CH47" s="93"/>
      <c r="CI47" s="541"/>
      <c r="CJ47" s="93"/>
      <c r="CK47" s="93"/>
      <c r="CL47" s="93"/>
      <c r="CM47" s="93"/>
      <c r="CN47" s="541"/>
      <c r="CO47" s="45"/>
      <c r="CR47" s="595" t="s">
        <v>300</v>
      </c>
      <c r="CS47" s="88">
        <f t="shared" si="70"/>
        <v>0</v>
      </c>
      <c r="CT47" s="93">
        <v>0</v>
      </c>
      <c r="CU47" s="121">
        <f t="shared" si="21"/>
        <v>0</v>
      </c>
      <c r="CV47" s="88">
        <f t="shared" si="71"/>
        <v>0</v>
      </c>
      <c r="CW47" s="153"/>
      <c r="DB47"/>
      <c r="DC47"/>
      <c r="DD47"/>
      <c r="DE47"/>
      <c r="DF47"/>
      <c r="DG47"/>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c r="IS47" s="3"/>
      <c r="IT47" s="3"/>
      <c r="IU47" s="3"/>
      <c r="IV47" s="3"/>
    </row>
    <row r="48" spans="1:256" s="66" customFormat="1" ht="15" hidden="1" customHeight="1" outlineLevel="1">
      <c r="A48" s="577" t="s">
        <v>87</v>
      </c>
      <c r="B48" s="99"/>
      <c r="C48" s="87"/>
      <c r="D48" s="88"/>
      <c r="E48" s="88"/>
      <c r="F48" s="88"/>
      <c r="G48" s="99"/>
      <c r="H48" s="87"/>
      <c r="I48" s="88"/>
      <c r="J48" s="88"/>
      <c r="K48" s="91"/>
      <c r="L48" s="272"/>
      <c r="M48" s="87"/>
      <c r="N48" s="88"/>
      <c r="O48" s="92"/>
      <c r="P48" s="88"/>
      <c r="Q48" s="99"/>
      <c r="R48" s="88"/>
      <c r="S48" s="88"/>
      <c r="T48" s="88"/>
      <c r="U48" s="91"/>
      <c r="V48" s="143"/>
      <c r="W48" s="88"/>
      <c r="X48" s="88"/>
      <c r="Y48" s="88"/>
      <c r="Z48" s="88"/>
      <c r="AA48" s="99">
        <v>-0.314</v>
      </c>
      <c r="AB48" s="88">
        <v>0</v>
      </c>
      <c r="AC48" s="88">
        <v>0</v>
      </c>
      <c r="AD48" s="88"/>
      <c r="AE48" s="88"/>
      <c r="AF48" s="99"/>
      <c r="AG48" s="88"/>
      <c r="AH48" s="88"/>
      <c r="AI48" s="88"/>
      <c r="AJ48" s="88">
        <v>0</v>
      </c>
      <c r="AK48" s="541">
        <v>0</v>
      </c>
      <c r="AL48" s="88"/>
      <c r="AM48" s="88"/>
      <c r="AN48" s="88">
        <v>0</v>
      </c>
      <c r="AO48" s="88">
        <v>0</v>
      </c>
      <c r="AP48" s="541">
        <v>0</v>
      </c>
      <c r="AQ48" s="88"/>
      <c r="AR48" s="88"/>
      <c r="AS48" s="88"/>
      <c r="AT48" s="88">
        <v>0</v>
      </c>
      <c r="AU48" s="541">
        <v>0</v>
      </c>
      <c r="AV48" s="93"/>
      <c r="AW48" s="88"/>
      <c r="AX48" s="88">
        <v>0</v>
      </c>
      <c r="AY48" s="88">
        <v>0</v>
      </c>
      <c r="AZ48" s="541">
        <f t="shared" ref="AZ48:AZ54" si="73">SUM(AV48:AY48)</f>
        <v>0</v>
      </c>
      <c r="BA48" s="88">
        <v>0</v>
      </c>
      <c r="BB48" s="88"/>
      <c r="BC48" s="88"/>
      <c r="BD48" s="88"/>
      <c r="BE48" s="541">
        <f t="shared" si="72"/>
        <v>0</v>
      </c>
      <c r="BF48" s="88"/>
      <c r="BG48" s="88"/>
      <c r="BH48" s="88"/>
      <c r="BI48" s="88"/>
      <c r="BJ48" s="541">
        <v>0</v>
      </c>
      <c r="BK48" s="88"/>
      <c r="BL48" s="88"/>
      <c r="BM48" s="88"/>
      <c r="BN48" s="88"/>
      <c r="BO48" s="541">
        <v>0</v>
      </c>
      <c r="BP48" s="88"/>
      <c r="BQ48" s="88"/>
      <c r="BR48" s="88"/>
      <c r="BS48" s="88"/>
      <c r="BT48" s="541">
        <v>0</v>
      </c>
      <c r="BU48" s="88"/>
      <c r="BV48" s="88"/>
      <c r="BW48" s="88"/>
      <c r="BX48" s="88"/>
      <c r="BY48" s="541">
        <v>0</v>
      </c>
      <c r="BZ48" s="93"/>
      <c r="CA48" s="93"/>
      <c r="CB48" s="93"/>
      <c r="CC48" s="93"/>
      <c r="CD48" s="541">
        <v>0</v>
      </c>
      <c r="CE48" s="93"/>
      <c r="CF48" s="93"/>
      <c r="CG48" s="93"/>
      <c r="CH48" s="93"/>
      <c r="CI48" s="541">
        <v>0</v>
      </c>
      <c r="CJ48" s="93"/>
      <c r="CK48" s="93"/>
      <c r="CL48" s="93"/>
      <c r="CM48" s="93"/>
      <c r="CN48" s="541">
        <v>0</v>
      </c>
      <c r="CO48" s="45"/>
      <c r="CP48" s="593"/>
      <c r="CQ48" s="593"/>
      <c r="CR48" s="577" t="s">
        <v>109</v>
      </c>
      <c r="CS48" s="88">
        <f t="shared" si="70"/>
        <v>0</v>
      </c>
      <c r="CT48" s="93">
        <v>0</v>
      </c>
      <c r="CU48" s="121">
        <f t="shared" si="21"/>
        <v>0</v>
      </c>
      <c r="CV48" s="88">
        <f t="shared" si="71"/>
        <v>0</v>
      </c>
      <c r="CW48" s="153"/>
      <c r="CX48" s="593"/>
      <c r="CY48" s="593"/>
      <c r="CZ48" s="593"/>
      <c r="DA48" s="593"/>
      <c r="DB48"/>
      <c r="DC48"/>
      <c r="DD48"/>
      <c r="DE48"/>
      <c r="DF48"/>
      <c r="DG48"/>
      <c r="DH48" s="593"/>
      <c r="DI48" s="593"/>
      <c r="DJ48" s="593"/>
      <c r="DK48" s="593"/>
      <c r="DL48" s="593"/>
      <c r="DM48" s="593"/>
      <c r="DN48" s="593"/>
      <c r="DO48" s="593"/>
      <c r="DP48" s="593"/>
      <c r="DQ48" s="593"/>
      <c r="DR48" s="593"/>
      <c r="DS48" s="593"/>
      <c r="DT48" s="593"/>
      <c r="DU48" s="593"/>
      <c r="DV48" s="593"/>
      <c r="DW48" s="593"/>
      <c r="DX48" s="593"/>
      <c r="DY48" s="593"/>
      <c r="DZ48" s="593"/>
      <c r="EA48" s="593"/>
      <c r="EB48" s="593"/>
      <c r="EC48" s="593"/>
      <c r="ED48" s="593"/>
      <c r="EE48" s="593"/>
      <c r="EF48" s="593"/>
      <c r="EG48" s="593"/>
      <c r="EH48" s="593"/>
      <c r="EI48" s="593"/>
      <c r="EJ48" s="593"/>
      <c r="EK48" s="593"/>
      <c r="EL48" s="593"/>
      <c r="EM48" s="593"/>
      <c r="EN48" s="593"/>
      <c r="EO48" s="593"/>
      <c r="EP48" s="593"/>
      <c r="EQ48" s="593"/>
      <c r="ER48" s="593"/>
      <c r="ES48" s="593"/>
      <c r="ET48" s="593"/>
      <c r="EU48" s="593"/>
      <c r="EV48" s="593"/>
      <c r="EW48" s="593"/>
      <c r="EX48" s="593"/>
      <c r="EY48" s="593"/>
      <c r="EZ48" s="593"/>
      <c r="FA48" s="593"/>
      <c r="FB48" s="593"/>
      <c r="FC48" s="593"/>
      <c r="FD48" s="593"/>
      <c r="FE48" s="593"/>
      <c r="FF48" s="593"/>
      <c r="FG48" s="593"/>
      <c r="FH48" s="593"/>
      <c r="FI48" s="593"/>
      <c r="FJ48" s="593"/>
      <c r="FK48" s="593"/>
      <c r="FL48" s="593"/>
      <c r="FM48" s="593"/>
      <c r="FN48" s="593"/>
      <c r="FO48" s="593"/>
      <c r="FP48" s="593"/>
      <c r="FQ48" s="593"/>
      <c r="FR48" s="593"/>
      <c r="FS48" s="593"/>
      <c r="FT48" s="593"/>
      <c r="FU48" s="593"/>
      <c r="FV48" s="593"/>
      <c r="FW48" s="593"/>
      <c r="FX48" s="593"/>
      <c r="FY48" s="593"/>
      <c r="FZ48" s="593"/>
      <c r="GA48" s="593"/>
      <c r="GB48" s="593"/>
      <c r="GC48" s="593"/>
      <c r="GD48" s="593"/>
      <c r="GE48" s="593"/>
      <c r="GF48" s="593"/>
      <c r="GG48" s="593"/>
      <c r="GH48" s="593"/>
      <c r="GI48" s="593"/>
      <c r="GJ48" s="593"/>
      <c r="GK48" s="593"/>
      <c r="GL48" s="593"/>
      <c r="GM48" s="593"/>
      <c r="GN48" s="593"/>
      <c r="GO48" s="593"/>
      <c r="GP48" s="593"/>
      <c r="GQ48" s="593"/>
      <c r="GR48" s="593"/>
      <c r="GS48" s="593"/>
      <c r="GT48" s="593"/>
      <c r="GU48" s="593"/>
      <c r="GV48" s="593"/>
      <c r="GW48" s="593"/>
      <c r="GX48" s="593"/>
      <c r="GY48" s="593"/>
      <c r="GZ48" s="593"/>
      <c r="HA48" s="593"/>
      <c r="HB48" s="593"/>
      <c r="HC48" s="593"/>
      <c r="HD48" s="593"/>
      <c r="HE48" s="593"/>
      <c r="HF48" s="593"/>
      <c r="HG48" s="593"/>
      <c r="HH48" s="593"/>
      <c r="HI48" s="593"/>
      <c r="HJ48" s="593"/>
      <c r="HK48" s="593"/>
      <c r="HL48" s="593"/>
      <c r="HM48" s="593"/>
      <c r="HN48" s="593"/>
      <c r="HO48" s="593"/>
      <c r="HP48" s="593"/>
      <c r="HQ48" s="6"/>
      <c r="HR48" s="6"/>
      <c r="HS48" s="6"/>
      <c r="HT48" s="6"/>
      <c r="HU48" s="6"/>
      <c r="HV48" s="6"/>
      <c r="HW48" s="6"/>
      <c r="HX48" s="6"/>
      <c r="HY48" s="6"/>
      <c r="HZ48" s="6"/>
      <c r="IA48" s="6"/>
      <c r="IB48" s="6"/>
      <c r="IC48" s="6"/>
      <c r="ID48" s="6"/>
      <c r="IE48" s="6"/>
      <c r="IF48" s="6"/>
      <c r="IG48" s="6"/>
      <c r="IH48" s="6"/>
      <c r="II48" s="6"/>
      <c r="IJ48" s="6"/>
      <c r="IK48" s="6"/>
      <c r="IL48" s="6"/>
      <c r="IM48" s="6"/>
      <c r="IN48" s="6"/>
      <c r="IO48" s="6"/>
      <c r="IP48" s="6"/>
      <c r="IQ48" s="6"/>
      <c r="IR48" s="6"/>
      <c r="IS48" s="6"/>
      <c r="IT48" s="6"/>
      <c r="IU48" s="6"/>
      <c r="IV48" s="6"/>
    </row>
    <row r="49" spans="1:256" s="66" customFormat="1" ht="15" customHeight="1" collapsed="1">
      <c r="A49" s="577" t="s">
        <v>110</v>
      </c>
      <c r="B49" s="99"/>
      <c r="C49" s="87"/>
      <c r="D49" s="88"/>
      <c r="E49" s="88"/>
      <c r="F49" s="88"/>
      <c r="G49" s="99"/>
      <c r="H49" s="87"/>
      <c r="I49" s="88"/>
      <c r="J49" s="88"/>
      <c r="K49" s="91"/>
      <c r="L49" s="272"/>
      <c r="M49" s="87"/>
      <c r="N49" s="88"/>
      <c r="O49" s="92"/>
      <c r="P49" s="88"/>
      <c r="Q49" s="99"/>
      <c r="R49" s="88"/>
      <c r="S49" s="88"/>
      <c r="T49" s="88"/>
      <c r="U49" s="91"/>
      <c r="V49" s="143"/>
      <c r="W49" s="88"/>
      <c r="X49" s="88"/>
      <c r="Y49" s="88"/>
      <c r="Z49" s="88"/>
      <c r="AA49" s="99">
        <v>-1.68</v>
      </c>
      <c r="AB49" s="88">
        <v>-4.7960000000000003</v>
      </c>
      <c r="AC49" s="88">
        <v>1.32</v>
      </c>
      <c r="AD49" s="88">
        <v>-2.5670000000000002</v>
      </c>
      <c r="AE49" s="88">
        <v>1.673</v>
      </c>
      <c r="AF49" s="99">
        <f>SUM(AB49:AE49)</f>
        <v>-4.37</v>
      </c>
      <c r="AG49" s="88">
        <v>-2.597</v>
      </c>
      <c r="AH49" s="88">
        <v>1.581</v>
      </c>
      <c r="AI49" s="88">
        <v>1.319</v>
      </c>
      <c r="AJ49" s="88">
        <v>1.22</v>
      </c>
      <c r="AK49" s="541">
        <f>SUM(AG49:AJ49)</f>
        <v>1.5229999999999999</v>
      </c>
      <c r="AL49" s="88">
        <v>1.278</v>
      </c>
      <c r="AM49" s="88">
        <v>1.4279999999999999</v>
      </c>
      <c r="AN49" s="88">
        <v>0.26800000000000002</v>
      </c>
      <c r="AO49" s="88">
        <v>0.80800000000000005</v>
      </c>
      <c r="AP49" s="541">
        <f>SUM(AL49:AO49)</f>
        <v>3.782</v>
      </c>
      <c r="AQ49" s="88">
        <v>0.253</v>
      </c>
      <c r="AR49" s="88">
        <v>0.189</v>
      </c>
      <c r="AS49" s="88">
        <v>0.30099999999999999</v>
      </c>
      <c r="AT49" s="88">
        <v>0.23899999999999999</v>
      </c>
      <c r="AU49" s="541">
        <f>SUM(AQ49:AT49)</f>
        <v>0.98199999999999998</v>
      </c>
      <c r="AV49" s="88">
        <v>1.524</v>
      </c>
      <c r="AW49" s="88">
        <v>0.64</v>
      </c>
      <c r="AX49" s="88">
        <v>0.9</v>
      </c>
      <c r="AY49" s="88">
        <v>0.55100000000000005</v>
      </c>
      <c r="AZ49" s="541">
        <f t="shared" si="73"/>
        <v>3.6150000000000002</v>
      </c>
      <c r="BA49" s="88">
        <v>-2.2709999999999999</v>
      </c>
      <c r="BB49" s="88">
        <v>4.8000000000000001E-2</v>
      </c>
      <c r="BC49" s="88">
        <v>2.2730000000000001</v>
      </c>
      <c r="BD49" s="88">
        <v>0.23300000000000001</v>
      </c>
      <c r="BE49" s="541">
        <f t="shared" si="72"/>
        <v>0.28300000000000025</v>
      </c>
      <c r="BF49" s="88">
        <v>0.52300000000000002</v>
      </c>
      <c r="BG49" s="88">
        <v>0.85699999999999998</v>
      </c>
      <c r="BH49" s="88">
        <v>0.373</v>
      </c>
      <c r="BI49" s="88">
        <f>0.023+0.177</f>
        <v>0.19999999999999998</v>
      </c>
      <c r="BJ49" s="541">
        <f>SUM(BF49:BI49)</f>
        <v>1.9529999999999998</v>
      </c>
      <c r="BK49" s="88">
        <v>0.23899999999999999</v>
      </c>
      <c r="BL49" s="88">
        <v>0.27200000000000002</v>
      </c>
      <c r="BM49" s="88">
        <v>0.214</v>
      </c>
      <c r="BN49" s="88">
        <v>0.26</v>
      </c>
      <c r="BO49" s="541">
        <f>SUM(BK49:BN49)</f>
        <v>0.98499999999999999</v>
      </c>
      <c r="BP49" s="88">
        <v>0.26200000000000001</v>
      </c>
      <c r="BQ49" s="88">
        <v>0.27600000000000002</v>
      </c>
      <c r="BR49" s="88">
        <v>0.498</v>
      </c>
      <c r="BS49" s="88">
        <v>0.3</v>
      </c>
      <c r="BT49" s="541">
        <f>SUM(BP49:BS49)</f>
        <v>1.3360000000000001</v>
      </c>
      <c r="BU49" s="88">
        <v>0.38900000000000001</v>
      </c>
      <c r="BV49" s="88">
        <v>2.8439999999999999</v>
      </c>
      <c r="BW49" s="88">
        <v>-0.125</v>
      </c>
      <c r="BX49" s="88">
        <v>0.59499999999999997</v>
      </c>
      <c r="BY49" s="541">
        <f>SUM(BU49:BX49)</f>
        <v>3.7029999999999994</v>
      </c>
      <c r="BZ49" s="93">
        <v>0.5</v>
      </c>
      <c r="CA49" s="93">
        <v>0.5</v>
      </c>
      <c r="CB49" s="93">
        <v>0.5</v>
      </c>
      <c r="CC49" s="93">
        <v>0.5</v>
      </c>
      <c r="CD49" s="541">
        <f>SUM(BZ49:CC49)</f>
        <v>2</v>
      </c>
      <c r="CE49" s="93">
        <f>BZ49</f>
        <v>0.5</v>
      </c>
      <c r="CF49" s="93">
        <f>CA49</f>
        <v>0.5</v>
      </c>
      <c r="CG49" s="93">
        <f>CB49</f>
        <v>0.5</v>
      </c>
      <c r="CH49" s="93">
        <f>CC49</f>
        <v>0.5</v>
      </c>
      <c r="CI49" s="541">
        <f>SUM(CE49:CH49)</f>
        <v>2</v>
      </c>
      <c r="CJ49" s="93">
        <f>CE49</f>
        <v>0.5</v>
      </c>
      <c r="CK49" s="93">
        <f>CF49</f>
        <v>0.5</v>
      </c>
      <c r="CL49" s="93">
        <f>CG49</f>
        <v>0.5</v>
      </c>
      <c r="CM49" s="93">
        <f>CH49</f>
        <v>0.5</v>
      </c>
      <c r="CN49" s="541">
        <f>SUM(CJ49:CM49)</f>
        <v>2</v>
      </c>
      <c r="CO49" s="45"/>
      <c r="CP49" s="593"/>
      <c r="CQ49" s="593"/>
      <c r="CR49" s="577" t="s">
        <v>110</v>
      </c>
      <c r="CS49" s="88">
        <f t="shared" si="70"/>
        <v>0.59499999999999997</v>
      </c>
      <c r="CT49" s="93">
        <v>0.3</v>
      </c>
      <c r="CU49" s="121">
        <f t="shared" si="21"/>
        <v>0.29499999999999998</v>
      </c>
      <c r="CV49" s="88">
        <f t="shared" si="71"/>
        <v>0.3</v>
      </c>
      <c r="CW49" s="153">
        <f t="shared" si="28"/>
        <v>0.98333333333333339</v>
      </c>
      <c r="CX49" s="593"/>
      <c r="CY49" s="593"/>
      <c r="CZ49" s="593"/>
      <c r="DA49" s="593"/>
      <c r="DB49"/>
      <c r="DC49"/>
      <c r="DD49"/>
      <c r="DE49"/>
      <c r="DF49"/>
      <c r="DG49"/>
      <c r="DH49" s="593"/>
      <c r="DI49" s="593"/>
      <c r="DJ49" s="593"/>
      <c r="DK49" s="593"/>
      <c r="DL49" s="593"/>
      <c r="DM49" s="593"/>
      <c r="DN49" s="593"/>
      <c r="DO49" s="593"/>
      <c r="DP49" s="593"/>
      <c r="DQ49" s="593"/>
      <c r="DR49" s="593"/>
      <c r="DS49" s="593"/>
      <c r="DT49" s="593"/>
      <c r="DU49" s="593"/>
      <c r="DV49" s="593"/>
      <c r="DW49" s="593"/>
      <c r="DX49" s="593"/>
      <c r="DY49" s="593"/>
      <c r="DZ49" s="593"/>
      <c r="EA49" s="593"/>
      <c r="EB49" s="593"/>
      <c r="EC49" s="593"/>
      <c r="ED49" s="593"/>
      <c r="EE49" s="593"/>
      <c r="EF49" s="593"/>
      <c r="EG49" s="593"/>
      <c r="EH49" s="593"/>
      <c r="EI49" s="593"/>
      <c r="EJ49" s="593"/>
      <c r="EK49" s="593"/>
      <c r="EL49" s="593"/>
      <c r="EM49" s="593"/>
      <c r="EN49" s="593"/>
      <c r="EO49" s="593"/>
      <c r="EP49" s="593"/>
      <c r="EQ49" s="593"/>
      <c r="ER49" s="593"/>
      <c r="ES49" s="593"/>
      <c r="ET49" s="593"/>
      <c r="EU49" s="593"/>
      <c r="EV49" s="593"/>
      <c r="EW49" s="593"/>
      <c r="EX49" s="593"/>
      <c r="EY49" s="593"/>
      <c r="EZ49" s="593"/>
      <c r="FA49" s="593"/>
      <c r="FB49" s="593"/>
      <c r="FC49" s="593"/>
      <c r="FD49" s="593"/>
      <c r="FE49" s="593"/>
      <c r="FF49" s="593"/>
      <c r="FG49" s="593"/>
      <c r="FH49" s="593"/>
      <c r="FI49" s="593"/>
      <c r="FJ49" s="593"/>
      <c r="FK49" s="593"/>
      <c r="FL49" s="593"/>
      <c r="FM49" s="593"/>
      <c r="FN49" s="593"/>
      <c r="FO49" s="593"/>
      <c r="FP49" s="593"/>
      <c r="FQ49" s="593"/>
      <c r="FR49" s="593"/>
      <c r="FS49" s="593"/>
      <c r="FT49" s="593"/>
      <c r="FU49" s="593"/>
      <c r="FV49" s="593"/>
      <c r="FW49" s="593"/>
      <c r="FX49" s="593"/>
      <c r="FY49" s="593"/>
      <c r="FZ49" s="593"/>
      <c r="GA49" s="593"/>
      <c r="GB49" s="593"/>
      <c r="GC49" s="593"/>
      <c r="GD49" s="593"/>
      <c r="GE49" s="593"/>
      <c r="GF49" s="593"/>
      <c r="GG49" s="593"/>
      <c r="GH49" s="593"/>
      <c r="GI49" s="593"/>
      <c r="GJ49" s="593"/>
      <c r="GK49" s="593"/>
      <c r="GL49" s="593"/>
      <c r="GM49" s="593"/>
      <c r="GN49" s="593"/>
      <c r="GO49" s="593"/>
      <c r="GP49" s="593"/>
      <c r="GQ49" s="593"/>
      <c r="GR49" s="593"/>
      <c r="GS49" s="593"/>
      <c r="GT49" s="593"/>
      <c r="GU49" s="593"/>
      <c r="GV49" s="593"/>
      <c r="GW49" s="593"/>
      <c r="GX49" s="593"/>
      <c r="GY49" s="593"/>
      <c r="GZ49" s="593"/>
      <c r="HA49" s="593"/>
      <c r="HB49" s="593"/>
      <c r="HC49" s="593"/>
      <c r="HD49" s="593"/>
      <c r="HE49" s="593"/>
      <c r="HF49" s="593"/>
      <c r="HG49" s="593"/>
      <c r="HH49" s="593"/>
      <c r="HI49" s="593"/>
      <c r="HJ49" s="593"/>
      <c r="HK49" s="593"/>
      <c r="HL49" s="593"/>
      <c r="HM49" s="593"/>
      <c r="HN49" s="593"/>
      <c r="HO49" s="593"/>
      <c r="HP49" s="593"/>
      <c r="HQ49" s="6"/>
      <c r="HR49" s="6"/>
      <c r="HS49" s="6"/>
      <c r="HT49" s="6"/>
      <c r="HU49" s="6"/>
      <c r="HV49" s="6"/>
      <c r="HW49" s="6"/>
      <c r="HX49" s="6"/>
      <c r="HY49" s="6"/>
      <c r="HZ49" s="6"/>
      <c r="IA49" s="6"/>
      <c r="IB49" s="6"/>
      <c r="IC49" s="6"/>
      <c r="ID49" s="6"/>
      <c r="IE49" s="6"/>
      <c r="IF49" s="6"/>
      <c r="IG49" s="6"/>
      <c r="IH49" s="6"/>
      <c r="II49" s="6"/>
      <c r="IJ49" s="6"/>
      <c r="IK49" s="6"/>
      <c r="IL49" s="6"/>
      <c r="IM49" s="6"/>
      <c r="IN49" s="6"/>
      <c r="IO49" s="6"/>
      <c r="IP49" s="6"/>
      <c r="IQ49" s="6"/>
      <c r="IR49" s="6"/>
      <c r="IS49" s="6"/>
      <c r="IT49" s="6"/>
      <c r="IU49" s="6"/>
      <c r="IV49" s="6"/>
    </row>
    <row r="50" spans="1:256" s="66" customFormat="1" ht="15" customHeight="1">
      <c r="A50" s="577" t="s">
        <v>20</v>
      </c>
      <c r="B50" s="99"/>
      <c r="C50" s="87"/>
      <c r="D50" s="88"/>
      <c r="E50" s="88"/>
      <c r="F50" s="88"/>
      <c r="G50" s="99"/>
      <c r="H50" s="87"/>
      <c r="I50" s="88"/>
      <c r="J50" s="88"/>
      <c r="K50" s="91"/>
      <c r="L50" s="272"/>
      <c r="M50" s="101"/>
      <c r="N50" s="102"/>
      <c r="O50" s="105"/>
      <c r="P50" s="102"/>
      <c r="Q50" s="99">
        <f t="shared" ref="Q50:Q55" si="74">SUM(M50:P50)</f>
        <v>0</v>
      </c>
      <c r="R50" s="87"/>
      <c r="S50" s="88"/>
      <c r="T50" s="88"/>
      <c r="U50" s="91"/>
      <c r="V50" s="143">
        <f>SUM(R50:U50)</f>
        <v>0</v>
      </c>
      <c r="W50" s="87"/>
      <c r="X50" s="88"/>
      <c r="Y50" s="88"/>
      <c r="Z50" s="88"/>
      <c r="AA50" s="99">
        <f>AA49+AA38-AA44+AA46+AA48</f>
        <v>283.70299999999969</v>
      </c>
      <c r="AB50" s="87">
        <f>AB49+AB38-AB44+AB46+AB47+AB45</f>
        <v>-74.139000000000152</v>
      </c>
      <c r="AC50" s="88">
        <f>AC49+AC38-AC44+AC46+AC47+AC45</f>
        <v>14.904999999999859</v>
      </c>
      <c r="AD50" s="88">
        <f>AD49+AD38-AD44+AD46+AD47+AD45</f>
        <v>-44.241000000000291</v>
      </c>
      <c r="AE50" s="88">
        <f>AE49+AE38-AE44+AE46+AE47+AE45</f>
        <v>-487.68600000000021</v>
      </c>
      <c r="AF50" s="99">
        <f>SUM(AB50:AE50)</f>
        <v>-591.16100000000074</v>
      </c>
      <c r="AG50" s="87">
        <f>AG49+AG38-AG44+AG46+AG47+AG45</f>
        <v>-15.733000000000033</v>
      </c>
      <c r="AH50" s="88">
        <f>AH49+AH38-AH44+AH46+AH47+AH45</f>
        <v>23.440999999999949</v>
      </c>
      <c r="AI50" s="88">
        <f>AI49+AI38-AI44+AI46+AI47+AI45</f>
        <v>22.421000000000003</v>
      </c>
      <c r="AJ50" s="88">
        <f>AJ49+AJ38-AJ44+AJ46+AJ47+AJ45</f>
        <v>-50.262000000000036</v>
      </c>
      <c r="AK50" s="541">
        <f>AK49+AK38-AK44+AK46+AK47+AK45</f>
        <v>-20.133000000000344</v>
      </c>
      <c r="AL50" s="88">
        <f>AL49+AL38-AL44+AL46+AL48</f>
        <v>-8.5370000000000292</v>
      </c>
      <c r="AM50" s="88">
        <f t="shared" ref="AM50:AY50" si="75">AM49+AM38-AM44+AM46+AM48-AM45</f>
        <v>18.554000000000006</v>
      </c>
      <c r="AN50" s="88">
        <f t="shared" si="75"/>
        <v>-13.17799999999986</v>
      </c>
      <c r="AO50" s="88">
        <f t="shared" si="75"/>
        <v>-18.834000000000092</v>
      </c>
      <c r="AP50" s="541">
        <f t="shared" si="75"/>
        <v>-21.9949999999996</v>
      </c>
      <c r="AQ50" s="88">
        <f t="shared" si="75"/>
        <v>-1.0319999999999609</v>
      </c>
      <c r="AR50" s="88">
        <f t="shared" si="75"/>
        <v>19.721000000000185</v>
      </c>
      <c r="AS50" s="88">
        <f t="shared" si="75"/>
        <v>4.3099999999998744</v>
      </c>
      <c r="AT50" s="123">
        <f t="shared" si="75"/>
        <v>1.6200000000000869</v>
      </c>
      <c r="AU50" s="541">
        <f t="shared" si="75"/>
        <v>24.651999999999642</v>
      </c>
      <c r="AV50" s="88">
        <f t="shared" si="75"/>
        <v>21.550000000000157</v>
      </c>
      <c r="AW50" s="88">
        <f t="shared" si="75"/>
        <v>-14.16600000000015</v>
      </c>
      <c r="AX50" s="88">
        <f t="shared" si="75"/>
        <v>-39.374000000000109</v>
      </c>
      <c r="AY50" s="88">
        <f t="shared" si="75"/>
        <v>18.79299999999995</v>
      </c>
      <c r="AZ50" s="541">
        <f t="shared" si="73"/>
        <v>-13.197000000000152</v>
      </c>
      <c r="BA50" s="88">
        <f t="shared" ref="BA50:CD50" si="76">BA49+BA38-BA44+BA46+BA48-BA45</f>
        <v>-0.7439999999999003</v>
      </c>
      <c r="BB50" s="88">
        <f t="shared" si="76"/>
        <v>17.056999999999967</v>
      </c>
      <c r="BC50" s="88">
        <f t="shared" si="76"/>
        <v>13.462999999999946</v>
      </c>
      <c r="BD50" s="88">
        <f t="shared" si="76"/>
        <v>29.304999999999819</v>
      </c>
      <c r="BE50" s="541">
        <f t="shared" si="76"/>
        <v>59.063000000000685</v>
      </c>
      <c r="BF50" s="88">
        <f t="shared" si="76"/>
        <v>76.543000000000006</v>
      </c>
      <c r="BG50" s="88">
        <f t="shared" si="76"/>
        <v>51.581000000000095</v>
      </c>
      <c r="BH50" s="88">
        <f t="shared" si="76"/>
        <v>34.091999999999999</v>
      </c>
      <c r="BI50" s="88">
        <f t="shared" si="76"/>
        <v>39.05300000000004</v>
      </c>
      <c r="BJ50" s="541">
        <f t="shared" si="76"/>
        <v>201.32199999999969</v>
      </c>
      <c r="BK50" s="88">
        <f>BK49+BK38-BK44+BK46+BK48-BK45</f>
        <v>25.406999999999996</v>
      </c>
      <c r="BL50" s="88">
        <f>BL49+BL38-BL44+BL46+BL48-BL45</f>
        <v>40.083999999999996</v>
      </c>
      <c r="BM50" s="88">
        <f t="shared" si="76"/>
        <v>28.215000000000021</v>
      </c>
      <c r="BN50" s="88">
        <f>BN49+BN38-BN44+BN46+BN48-BN45</f>
        <v>140.42200000000003</v>
      </c>
      <c r="BO50" s="541">
        <f t="shared" si="76"/>
        <v>234.10100000000023</v>
      </c>
      <c r="BP50" s="88">
        <f t="shared" si="76"/>
        <v>35.982000000000006</v>
      </c>
      <c r="BQ50" s="88">
        <f t="shared" si="76"/>
        <v>37.280999999999963</v>
      </c>
      <c r="BR50" s="88">
        <f>BR49+BR38-BR44+BR46+BR48-BR45</f>
        <v>77.854999999999961</v>
      </c>
      <c r="BS50" s="88">
        <f>BS49+BS38-BS44+BS46+BS48-BS45</f>
        <v>50.570999999999998</v>
      </c>
      <c r="BT50" s="541">
        <f t="shared" si="76"/>
        <v>201.68899999999974</v>
      </c>
      <c r="BU50" s="88">
        <f t="shared" si="76"/>
        <v>32.133999999999943</v>
      </c>
      <c r="BV50" s="88">
        <f t="shared" si="76"/>
        <v>-0.29699999999995796</v>
      </c>
      <c r="BW50" s="88">
        <f>BW49+BW38-BW44+BW46+BW48-BW45</f>
        <v>31.554999999999982</v>
      </c>
      <c r="BX50" s="88">
        <f>BX49+BX38-BX44+BX46+BX48-BX45</f>
        <v>37.626999999999988</v>
      </c>
      <c r="BY50" s="541">
        <f t="shared" si="76"/>
        <v>100.44599999999991</v>
      </c>
      <c r="BZ50" s="93">
        <f t="shared" si="76"/>
        <v>31.299380181349292</v>
      </c>
      <c r="CA50" s="93">
        <f t="shared" si="76"/>
        <v>50.722915423550532</v>
      </c>
      <c r="CB50" s="93">
        <f t="shared" si="76"/>
        <v>44.120888031719332</v>
      </c>
      <c r="CC50" s="93">
        <f t="shared" si="76"/>
        <v>46.535433200569045</v>
      </c>
      <c r="CD50" s="541">
        <f t="shared" si="76"/>
        <v>172.67861683718837</v>
      </c>
      <c r="CE50" s="93">
        <f t="shared" ref="CE50:CN50" si="77">CE49+CE38-CE44+CE46+CE48-CE45</f>
        <v>43.463104636863406</v>
      </c>
      <c r="CF50" s="93">
        <f t="shared" si="77"/>
        <v>62.425055207407965</v>
      </c>
      <c r="CG50" s="93">
        <f t="shared" si="77"/>
        <v>55.783682434599328</v>
      </c>
      <c r="CH50" s="93">
        <f t="shared" si="77"/>
        <v>58.716310962545734</v>
      </c>
      <c r="CI50" s="541">
        <f t="shared" si="77"/>
        <v>220.38815324141655</v>
      </c>
      <c r="CJ50" s="93">
        <f t="shared" si="77"/>
        <v>54.763342158417245</v>
      </c>
      <c r="CK50" s="93">
        <f t="shared" si="77"/>
        <v>73.404948749474343</v>
      </c>
      <c r="CL50" s="93">
        <f t="shared" si="77"/>
        <v>66.878572054793565</v>
      </c>
      <c r="CM50" s="93">
        <f t="shared" si="77"/>
        <v>70.492097930621483</v>
      </c>
      <c r="CN50" s="541">
        <f t="shared" si="77"/>
        <v>265.53896089330675</v>
      </c>
      <c r="CO50" s="45"/>
      <c r="CP50" s="593"/>
      <c r="CQ50" s="593"/>
      <c r="CR50" s="577" t="s">
        <v>20</v>
      </c>
      <c r="CS50" s="88">
        <f t="shared" si="70"/>
        <v>37.626999999999988</v>
      </c>
      <c r="CT50" s="93">
        <v>41.598670753197084</v>
      </c>
      <c r="CU50" s="121">
        <f t="shared" si="21"/>
        <v>-3.9716707531970954</v>
      </c>
      <c r="CV50" s="88">
        <f t="shared" si="71"/>
        <v>50.570999999999998</v>
      </c>
      <c r="CW50" s="153">
        <f t="shared" si="28"/>
        <v>-0.25595697138676332</v>
      </c>
      <c r="CX50" s="593"/>
      <c r="CY50" s="593"/>
      <c r="CZ50" s="593"/>
      <c r="DA50" s="593"/>
      <c r="DB50"/>
      <c r="DC50"/>
      <c r="DD50"/>
      <c r="DE50"/>
      <c r="DF50"/>
      <c r="DG50"/>
      <c r="DH50" s="593"/>
      <c r="DI50" s="593"/>
      <c r="DJ50" s="593"/>
      <c r="DK50" s="593"/>
      <c r="DL50" s="593"/>
      <c r="DM50" s="593"/>
      <c r="DN50" s="593"/>
      <c r="DO50" s="593"/>
      <c r="DP50" s="593"/>
      <c r="DQ50" s="593"/>
      <c r="DR50" s="593"/>
      <c r="DS50" s="593"/>
      <c r="DT50" s="593"/>
      <c r="DU50" s="593"/>
      <c r="DV50" s="593"/>
      <c r="DW50" s="593"/>
      <c r="DX50" s="593"/>
      <c r="DY50" s="593"/>
      <c r="DZ50" s="593"/>
      <c r="EA50" s="593"/>
      <c r="EB50" s="593"/>
      <c r="EC50" s="593"/>
      <c r="ED50" s="593"/>
      <c r="EE50" s="593"/>
      <c r="EF50" s="593"/>
      <c r="EG50" s="593"/>
      <c r="EH50" s="593"/>
      <c r="EI50" s="593"/>
      <c r="EJ50" s="593"/>
      <c r="EK50" s="593"/>
      <c r="EL50" s="593"/>
      <c r="EM50" s="593"/>
      <c r="EN50" s="593"/>
      <c r="EO50" s="593"/>
      <c r="EP50" s="593"/>
      <c r="EQ50" s="593"/>
      <c r="ER50" s="593"/>
      <c r="ES50" s="593"/>
      <c r="ET50" s="593"/>
      <c r="EU50" s="593"/>
      <c r="EV50" s="593"/>
      <c r="EW50" s="593"/>
      <c r="EX50" s="593"/>
      <c r="EY50" s="593"/>
      <c r="EZ50" s="593"/>
      <c r="FA50" s="593"/>
      <c r="FB50" s="593"/>
      <c r="FC50" s="593"/>
      <c r="FD50" s="593"/>
      <c r="FE50" s="593"/>
      <c r="FF50" s="593"/>
      <c r="FG50" s="593"/>
      <c r="FH50" s="593"/>
      <c r="FI50" s="593"/>
      <c r="FJ50" s="593"/>
      <c r="FK50" s="593"/>
      <c r="FL50" s="593"/>
      <c r="FM50" s="593"/>
      <c r="FN50" s="593"/>
      <c r="FO50" s="593"/>
      <c r="FP50" s="593"/>
      <c r="FQ50" s="593"/>
      <c r="FR50" s="593"/>
      <c r="FS50" s="593"/>
      <c r="FT50" s="593"/>
      <c r="FU50" s="593"/>
      <c r="FV50" s="593"/>
      <c r="FW50" s="593"/>
      <c r="FX50" s="593"/>
      <c r="FY50" s="593"/>
      <c r="FZ50" s="593"/>
      <c r="GA50" s="593"/>
      <c r="GB50" s="593"/>
      <c r="GC50" s="593"/>
      <c r="GD50" s="593"/>
      <c r="GE50" s="593"/>
      <c r="GF50" s="593"/>
      <c r="GG50" s="593"/>
      <c r="GH50" s="593"/>
      <c r="GI50" s="593"/>
      <c r="GJ50" s="593"/>
      <c r="GK50" s="593"/>
      <c r="GL50" s="593"/>
      <c r="GM50" s="593"/>
      <c r="GN50" s="593"/>
      <c r="GO50" s="593"/>
      <c r="GP50" s="593"/>
      <c r="GQ50" s="593"/>
      <c r="GR50" s="593"/>
      <c r="GS50" s="593"/>
      <c r="GT50" s="593"/>
      <c r="GU50" s="593"/>
      <c r="GV50" s="593"/>
      <c r="GW50" s="593"/>
      <c r="GX50" s="593"/>
      <c r="GY50" s="593"/>
      <c r="GZ50" s="593"/>
      <c r="HA50" s="593"/>
      <c r="HB50" s="593"/>
      <c r="HC50" s="593"/>
      <c r="HD50" s="593"/>
      <c r="HE50" s="593"/>
      <c r="HF50" s="593"/>
      <c r="HG50" s="593"/>
      <c r="HH50" s="593"/>
      <c r="HI50" s="593"/>
      <c r="HJ50" s="593"/>
      <c r="HK50" s="593"/>
      <c r="HL50" s="593"/>
      <c r="HM50" s="593"/>
      <c r="HN50" s="593"/>
      <c r="HO50" s="593"/>
      <c r="HP50" s="593"/>
      <c r="HQ50" s="6"/>
      <c r="HR50" s="6"/>
      <c r="HS50" s="6"/>
      <c r="HT50" s="6"/>
      <c r="HU50" s="6"/>
      <c r="HV50" s="6"/>
      <c r="HW50" s="6"/>
      <c r="HX50" s="6"/>
      <c r="HY50" s="6"/>
      <c r="HZ50" s="6"/>
      <c r="IA50" s="6"/>
      <c r="IB50" s="6"/>
      <c r="IC50" s="6"/>
      <c r="ID50" s="6"/>
      <c r="IE50" s="6"/>
      <c r="IF50" s="6"/>
      <c r="IG50" s="6"/>
      <c r="IH50" s="6"/>
      <c r="II50" s="6"/>
      <c r="IJ50" s="6"/>
      <c r="IK50" s="6"/>
      <c r="IL50" s="6"/>
      <c r="IM50" s="6"/>
      <c r="IN50" s="6"/>
      <c r="IO50" s="6"/>
      <c r="IP50" s="6"/>
      <c r="IQ50" s="6"/>
      <c r="IR50" s="6"/>
      <c r="IS50" s="6"/>
      <c r="IT50" s="6"/>
      <c r="IU50" s="6"/>
      <c r="IV50" s="6"/>
    </row>
    <row r="51" spans="1:256" s="66" customFormat="1" ht="15" customHeight="1">
      <c r="A51" s="577" t="s">
        <v>421</v>
      </c>
      <c r="B51" s="121"/>
      <c r="C51" s="87"/>
      <c r="D51" s="88"/>
      <c r="E51" s="88"/>
      <c r="F51" s="88"/>
      <c r="G51" s="121"/>
      <c r="H51" s="87"/>
      <c r="I51" s="88"/>
      <c r="J51" s="88"/>
      <c r="K51" s="91"/>
      <c r="L51" s="87"/>
      <c r="M51" s="101"/>
      <c r="N51" s="102"/>
      <c r="O51" s="105"/>
      <c r="P51" s="102"/>
      <c r="Q51" s="121">
        <f t="shared" si="74"/>
        <v>0</v>
      </c>
      <c r="R51" s="88"/>
      <c r="S51" s="88"/>
      <c r="T51" s="88"/>
      <c r="U51" s="91"/>
      <c r="V51" s="91">
        <f>SUM(R51:U51)</f>
        <v>0</v>
      </c>
      <c r="W51" s="88"/>
      <c r="X51" s="88"/>
      <c r="Y51" s="88"/>
      <c r="Z51" s="88"/>
      <c r="AA51" s="121">
        <v>-20.509</v>
      </c>
      <c r="AB51" s="88">
        <v>9.0559999999999992</v>
      </c>
      <c r="AC51" s="88">
        <v>-2.4860000000000002</v>
      </c>
      <c r="AD51" s="88">
        <v>0.88800000000000001</v>
      </c>
      <c r="AE51" s="88">
        <v>89.46</v>
      </c>
      <c r="AF51" s="121">
        <f>SUM(AB51:AE51)</f>
        <v>96.917999999999992</v>
      </c>
      <c r="AG51" s="88">
        <v>4.8090000000000002</v>
      </c>
      <c r="AH51" s="88">
        <v>-8.5489999999999995</v>
      </c>
      <c r="AI51" s="88">
        <v>-8.1549999999999994</v>
      </c>
      <c r="AJ51" s="88">
        <v>35.543999999999997</v>
      </c>
      <c r="AK51" s="545">
        <f>SUM(AG51:AJ51)</f>
        <v>23.648999999999997</v>
      </c>
      <c r="AL51" s="88">
        <v>5.1369999999999996</v>
      </c>
      <c r="AM51" s="88">
        <v>-7.8120000000000003</v>
      </c>
      <c r="AN51" s="88">
        <v>12.269</v>
      </c>
      <c r="AO51" s="88">
        <v>8.0760000000000005</v>
      </c>
      <c r="AP51" s="545">
        <f>SUM(AL51:AO51)</f>
        <v>17.670000000000002</v>
      </c>
      <c r="AQ51" s="88">
        <v>0.876</v>
      </c>
      <c r="AR51" s="88">
        <v>-8.3079999999999998</v>
      </c>
      <c r="AS51" s="88">
        <v>-1.766</v>
      </c>
      <c r="AT51" s="88">
        <v>2.67</v>
      </c>
      <c r="AU51" s="545">
        <f>SUM(AQ51:AT51)</f>
        <v>-6.5280000000000005</v>
      </c>
      <c r="AV51" s="88">
        <v>-6.8780000000000001</v>
      </c>
      <c r="AW51" s="88">
        <v>8.673</v>
      </c>
      <c r="AX51" s="88">
        <v>12.672000000000001</v>
      </c>
      <c r="AY51" s="88">
        <v>6.6159999999999997</v>
      </c>
      <c r="AZ51" s="545">
        <f t="shared" si="73"/>
        <v>21.082999999999998</v>
      </c>
      <c r="BA51" s="88">
        <v>2.9039999999999999</v>
      </c>
      <c r="BB51" s="88">
        <v>-5.0529999999999999</v>
      </c>
      <c r="BC51" s="88">
        <v>-15.625</v>
      </c>
      <c r="BD51" s="88">
        <v>3.62</v>
      </c>
      <c r="BE51" s="545">
        <f>SUM(BA51:BD51)</f>
        <v>-14.154</v>
      </c>
      <c r="BF51" s="88">
        <v>-30.24</v>
      </c>
      <c r="BG51" s="88">
        <v>-22.574000000000002</v>
      </c>
      <c r="BH51" s="88">
        <v>-11.262</v>
      </c>
      <c r="BI51" s="88">
        <v>-15.759</v>
      </c>
      <c r="BJ51" s="545">
        <f>SUM(BF51:BI51)</f>
        <v>-79.834999999999994</v>
      </c>
      <c r="BK51" s="88">
        <v>-7.2569999999999997</v>
      </c>
      <c r="BL51" s="88">
        <v>-15.259</v>
      </c>
      <c r="BM51" s="88">
        <v>-19.891999999999999</v>
      </c>
      <c r="BN51" s="88">
        <v>-51.741</v>
      </c>
      <c r="BO51" s="545">
        <f>SUM(BK51:BN51)</f>
        <v>-94.149000000000001</v>
      </c>
      <c r="BP51" s="88">
        <v>-10.619</v>
      </c>
      <c r="BQ51" s="88">
        <v>-10.801</v>
      </c>
      <c r="BR51" s="88">
        <v>-28.965</v>
      </c>
      <c r="BS51" s="88">
        <v>-21.681000000000001</v>
      </c>
      <c r="BT51" s="545">
        <f>SUM(BP51:BS51)</f>
        <v>-72.066000000000003</v>
      </c>
      <c r="BU51" s="88">
        <v>-9.7929999999999993</v>
      </c>
      <c r="BV51" s="88">
        <v>-1.548</v>
      </c>
      <c r="BW51" s="88">
        <v>-17.297999999999998</v>
      </c>
      <c r="BX51" s="88">
        <v>121.649</v>
      </c>
      <c r="BY51" s="545">
        <f>SUM(BU51:BX51)</f>
        <v>93.01</v>
      </c>
      <c r="BZ51" s="93">
        <f>-BZ50*BZ95</f>
        <v>-7.5118512435238296</v>
      </c>
      <c r="CA51" s="93">
        <f>-CA50*CA95</f>
        <v>-12.173499701652128</v>
      </c>
      <c r="CB51" s="93">
        <f>-CB50*CB95</f>
        <v>-10.58901312761264</v>
      </c>
      <c r="CC51" s="93">
        <f>-CC50*CC95</f>
        <v>-11.168503968136571</v>
      </c>
      <c r="CD51" s="545">
        <f>SUM(BZ51:CC51)</f>
        <v>-41.44286804092517</v>
      </c>
      <c r="CE51" s="93">
        <f>-CE50*CE95</f>
        <v>-10.431145112847217</v>
      </c>
      <c r="CF51" s="93">
        <f>-CF50*CF95</f>
        <v>-14.982013249777911</v>
      </c>
      <c r="CG51" s="93">
        <f>-CG50*CG95</f>
        <v>-13.388083784303838</v>
      </c>
      <c r="CH51" s="93">
        <f>-CH50*CH95</f>
        <v>-14.091914631010976</v>
      </c>
      <c r="CI51" s="545">
        <f>SUM(CE51:CH51)</f>
        <v>-52.893156777939936</v>
      </c>
      <c r="CJ51" s="93">
        <f>-CJ50*CJ95</f>
        <v>-13.143202118020138</v>
      </c>
      <c r="CK51" s="93">
        <f>-CK50*CK95</f>
        <v>-17.617187699873842</v>
      </c>
      <c r="CL51" s="93">
        <f>-CL50*CL95</f>
        <v>-16.050857293150454</v>
      </c>
      <c r="CM51" s="93">
        <f>-CM50*CM95</f>
        <v>-16.918103503349155</v>
      </c>
      <c r="CN51" s="545">
        <f>SUM(CJ51:CM51)</f>
        <v>-63.729350614393596</v>
      </c>
      <c r="CO51" s="45"/>
      <c r="CP51" s="593"/>
      <c r="CQ51" s="593"/>
      <c r="CR51" s="577" t="s">
        <v>421</v>
      </c>
      <c r="CS51" s="88">
        <f t="shared" si="70"/>
        <v>121.649</v>
      </c>
      <c r="CT51" s="93">
        <v>-12.479601225959124</v>
      </c>
      <c r="CU51" s="121">
        <f t="shared" si="21"/>
        <v>134.12860122595913</v>
      </c>
      <c r="CV51" s="88">
        <f t="shared" si="71"/>
        <v>-21.681000000000001</v>
      </c>
      <c r="CW51" s="153">
        <f t="shared" si="28"/>
        <v>-6.6108574327752407</v>
      </c>
      <c r="CX51" s="1189"/>
      <c r="CY51" s="1189"/>
      <c r="CZ51" s="593"/>
      <c r="DA51" s="593"/>
      <c r="DB51"/>
      <c r="DC51"/>
      <c r="DD51"/>
      <c r="DE51"/>
      <c r="DF51"/>
      <c r="DG51"/>
      <c r="DH51" s="593"/>
      <c r="DI51" s="593"/>
      <c r="DJ51" s="593"/>
      <c r="DK51" s="593"/>
      <c r="DL51" s="593"/>
      <c r="DM51" s="593"/>
      <c r="DN51" s="593"/>
      <c r="DO51" s="593"/>
      <c r="DP51" s="593"/>
      <c r="DQ51" s="593"/>
      <c r="DR51" s="593"/>
      <c r="DS51" s="593"/>
      <c r="DT51" s="593"/>
      <c r="DU51" s="593"/>
      <c r="DV51" s="593"/>
      <c r="DW51" s="593"/>
      <c r="DX51" s="593"/>
      <c r="DY51" s="593"/>
      <c r="DZ51" s="593"/>
      <c r="EA51" s="593"/>
      <c r="EB51" s="593"/>
      <c r="EC51" s="593"/>
      <c r="ED51" s="593"/>
      <c r="EE51" s="593"/>
      <c r="EF51" s="593"/>
      <c r="EG51" s="593"/>
      <c r="EH51" s="593"/>
      <c r="EI51" s="593"/>
      <c r="EJ51" s="593"/>
      <c r="EK51" s="593"/>
      <c r="EL51" s="593"/>
      <c r="EM51" s="593"/>
      <c r="EN51" s="593"/>
      <c r="EO51" s="593"/>
      <c r="EP51" s="593"/>
      <c r="EQ51" s="593"/>
      <c r="ER51" s="593"/>
      <c r="ES51" s="593"/>
      <c r="ET51" s="593"/>
      <c r="EU51" s="593"/>
      <c r="EV51" s="593"/>
      <c r="EW51" s="593"/>
      <c r="EX51" s="593"/>
      <c r="EY51" s="593"/>
      <c r="EZ51" s="593"/>
      <c r="FA51" s="593"/>
      <c r="FB51" s="593"/>
      <c r="FC51" s="593"/>
      <c r="FD51" s="593"/>
      <c r="FE51" s="593"/>
      <c r="FF51" s="593"/>
      <c r="FG51" s="593"/>
      <c r="FH51" s="593"/>
      <c r="FI51" s="593"/>
      <c r="FJ51" s="593"/>
      <c r="FK51" s="593"/>
      <c r="FL51" s="593"/>
      <c r="FM51" s="593"/>
      <c r="FN51" s="593"/>
      <c r="FO51" s="593"/>
      <c r="FP51" s="593"/>
      <c r="FQ51" s="593"/>
      <c r="FR51" s="593"/>
      <c r="FS51" s="593"/>
      <c r="FT51" s="593"/>
      <c r="FU51" s="593"/>
      <c r="FV51" s="593"/>
      <c r="FW51" s="593"/>
      <c r="FX51" s="593"/>
      <c r="FY51" s="593"/>
      <c r="FZ51" s="593"/>
      <c r="GA51" s="593"/>
      <c r="GB51" s="593"/>
      <c r="GC51" s="593"/>
      <c r="GD51" s="593"/>
      <c r="GE51" s="593"/>
      <c r="GF51" s="593"/>
      <c r="GG51" s="593"/>
      <c r="GH51" s="593"/>
      <c r="GI51" s="593"/>
      <c r="GJ51" s="593"/>
      <c r="GK51" s="593"/>
      <c r="GL51" s="593"/>
      <c r="GM51" s="593"/>
      <c r="GN51" s="593"/>
      <c r="GO51" s="593"/>
      <c r="GP51" s="593"/>
      <c r="GQ51" s="593"/>
      <c r="GR51" s="593"/>
      <c r="GS51" s="593"/>
      <c r="GT51" s="593"/>
      <c r="GU51" s="593"/>
      <c r="GV51" s="593"/>
      <c r="GW51" s="593"/>
      <c r="GX51" s="593"/>
      <c r="GY51" s="593"/>
      <c r="GZ51" s="593"/>
      <c r="HA51" s="593"/>
      <c r="HB51" s="593"/>
      <c r="HC51" s="593"/>
      <c r="HD51" s="593"/>
      <c r="HE51" s="593"/>
      <c r="HF51" s="593"/>
      <c r="HG51" s="593"/>
      <c r="HH51" s="593"/>
      <c r="HI51" s="593"/>
      <c r="HJ51" s="593"/>
      <c r="HK51" s="593"/>
      <c r="HL51" s="593"/>
      <c r="HM51" s="593"/>
      <c r="HN51" s="593"/>
      <c r="HO51" s="593"/>
      <c r="HP51" s="593"/>
      <c r="HQ51" s="6"/>
      <c r="HR51" s="6"/>
      <c r="HS51" s="6"/>
      <c r="HT51" s="6"/>
      <c r="HU51" s="6"/>
      <c r="HV51" s="6"/>
      <c r="HW51" s="6"/>
      <c r="HX51" s="6"/>
      <c r="HY51" s="6"/>
      <c r="HZ51" s="6"/>
      <c r="IA51" s="6"/>
      <c r="IB51" s="6"/>
      <c r="IC51" s="6"/>
      <c r="ID51" s="6"/>
      <c r="IE51" s="6"/>
      <c r="IF51" s="6"/>
      <c r="IG51" s="6"/>
      <c r="IH51" s="6"/>
      <c r="II51" s="6"/>
      <c r="IJ51" s="6"/>
      <c r="IK51" s="6"/>
      <c r="IL51" s="6"/>
      <c r="IM51" s="6"/>
      <c r="IN51" s="6"/>
      <c r="IO51" s="6"/>
      <c r="IP51" s="6"/>
      <c r="IQ51" s="6"/>
      <c r="IR51" s="6"/>
      <c r="IS51" s="6"/>
      <c r="IT51" s="6"/>
      <c r="IU51" s="6"/>
      <c r="IV51" s="6"/>
    </row>
    <row r="52" spans="1:256" s="66" customFormat="1" ht="15" hidden="1" customHeight="1" outlineLevel="1">
      <c r="A52" s="577" t="s">
        <v>98</v>
      </c>
      <c r="B52" s="121"/>
      <c r="C52" s="87"/>
      <c r="D52" s="88"/>
      <c r="E52" s="88"/>
      <c r="F52" s="88"/>
      <c r="G52" s="121"/>
      <c r="H52" s="87"/>
      <c r="I52" s="88"/>
      <c r="J52" s="88"/>
      <c r="K52" s="91"/>
      <c r="L52" s="87"/>
      <c r="M52" s="101"/>
      <c r="N52" s="102"/>
      <c r="O52" s="105"/>
      <c r="P52" s="102"/>
      <c r="Q52" s="121"/>
      <c r="R52" s="88"/>
      <c r="S52" s="88"/>
      <c r="T52" s="88"/>
      <c r="U52" s="91"/>
      <c r="V52" s="91"/>
      <c r="W52" s="88"/>
      <c r="X52" s="88"/>
      <c r="Y52" s="88"/>
      <c r="Z52" s="88"/>
      <c r="AA52" s="121">
        <v>-2.1520000000000001</v>
      </c>
      <c r="AB52" s="88">
        <v>0</v>
      </c>
      <c r="AC52" s="88">
        <v>0</v>
      </c>
      <c r="AD52" s="88">
        <v>0</v>
      </c>
      <c r="AE52" s="88">
        <v>0</v>
      </c>
      <c r="AF52" s="121">
        <f>SUM(AB52:AE52)</f>
        <v>0</v>
      </c>
      <c r="AG52" s="88">
        <v>0</v>
      </c>
      <c r="AH52" s="88">
        <v>0</v>
      </c>
      <c r="AI52" s="88">
        <v>0.42199999999999999</v>
      </c>
      <c r="AJ52" s="88">
        <v>0</v>
      </c>
      <c r="AK52" s="545">
        <f>SUM(AG52:AJ52)</f>
        <v>0.42199999999999999</v>
      </c>
      <c r="AL52" s="88">
        <v>0</v>
      </c>
      <c r="AM52" s="88">
        <f>AM17*AM96</f>
        <v>0</v>
      </c>
      <c r="AN52" s="88">
        <f>AN17*AN96</f>
        <v>0</v>
      </c>
      <c r="AO52" s="88">
        <v>0</v>
      </c>
      <c r="AP52" s="545">
        <f>SUM(AL52:AO52)</f>
        <v>0</v>
      </c>
      <c r="AQ52" s="88">
        <f>AQ17*AQ96</f>
        <v>0</v>
      </c>
      <c r="AR52" s="88">
        <v>0</v>
      </c>
      <c r="AS52" s="88">
        <f>AS17*AS96</f>
        <v>0</v>
      </c>
      <c r="AT52" s="88">
        <v>0</v>
      </c>
      <c r="AU52" s="545">
        <f>SUM(AQ52:AT52)</f>
        <v>0</v>
      </c>
      <c r="AV52" s="88">
        <v>-2.3839999999999999</v>
      </c>
      <c r="AW52" s="88">
        <f>AW17*AW96</f>
        <v>0</v>
      </c>
      <c r="AX52" s="88">
        <v>0</v>
      </c>
      <c r="AY52" s="88">
        <v>0</v>
      </c>
      <c r="AZ52" s="545">
        <f t="shared" si="73"/>
        <v>-2.3839999999999999</v>
      </c>
      <c r="BA52" s="88">
        <f>BA17*BA96</f>
        <v>0</v>
      </c>
      <c r="BB52" s="88">
        <v>0.222</v>
      </c>
      <c r="BC52" s="88">
        <f>BC17*BC96</f>
        <v>0</v>
      </c>
      <c r="BD52" s="88">
        <v>0.41</v>
      </c>
      <c r="BE52" s="545">
        <f>SUM(BA52:BD52)</f>
        <v>0.63200000000000001</v>
      </c>
      <c r="BF52" s="88">
        <v>0</v>
      </c>
      <c r="BG52" s="88">
        <f>BG17*BG96</f>
        <v>0</v>
      </c>
      <c r="BH52" s="88">
        <f>BH17*BH96</f>
        <v>0</v>
      </c>
      <c r="BI52" s="88">
        <f>BI17*BI96</f>
        <v>0</v>
      </c>
      <c r="BJ52" s="545">
        <f>SUM(BF52:BI52)</f>
        <v>0</v>
      </c>
      <c r="BK52" s="88">
        <f>BK17*BK96</f>
        <v>0</v>
      </c>
      <c r="BL52" s="88">
        <f>BL17*BL96</f>
        <v>0</v>
      </c>
      <c r="BM52" s="88">
        <f>BM17*BM96</f>
        <v>0</v>
      </c>
      <c r="BN52" s="88">
        <f>BN17*BN96</f>
        <v>0</v>
      </c>
      <c r="BO52" s="545">
        <f>SUM(BK52:BN52)</f>
        <v>0</v>
      </c>
      <c r="BP52" s="88">
        <f>BP17*BP96</f>
        <v>0</v>
      </c>
      <c r="BQ52" s="88">
        <f>BQ17*BQ96</f>
        <v>0</v>
      </c>
      <c r="BR52" s="88">
        <f>BR17*BR96</f>
        <v>0</v>
      </c>
      <c r="BS52" s="88">
        <f>BS17*BS96</f>
        <v>0</v>
      </c>
      <c r="BT52" s="545">
        <f>SUM(BP52:BS52)</f>
        <v>0</v>
      </c>
      <c r="BU52" s="88">
        <f>BU17*BU96</f>
        <v>0</v>
      </c>
      <c r="BV52" s="88">
        <f>BV17*BV96</f>
        <v>0</v>
      </c>
      <c r="BW52" s="88">
        <f>BW17*BW96</f>
        <v>0</v>
      </c>
      <c r="BX52" s="88">
        <f>BX17*BX96</f>
        <v>0</v>
      </c>
      <c r="BY52" s="545">
        <f>SUM(BU52:BX52)</f>
        <v>0</v>
      </c>
      <c r="BZ52" s="93">
        <f>BZ17*BZ96</f>
        <v>0</v>
      </c>
      <c r="CA52" s="93">
        <f>CA17*CA96</f>
        <v>0</v>
      </c>
      <c r="CB52" s="93">
        <f>CB17*CB96</f>
        <v>0</v>
      </c>
      <c r="CC52" s="93">
        <f>CC17*CC96</f>
        <v>0</v>
      </c>
      <c r="CD52" s="545">
        <f>SUM(BZ52:CC52)</f>
        <v>0</v>
      </c>
      <c r="CE52" s="93">
        <f>CE17*CE96</f>
        <v>0</v>
      </c>
      <c r="CF52" s="93">
        <f>CF17*CF96</f>
        <v>0</v>
      </c>
      <c r="CG52" s="93">
        <f>CG17*CG96</f>
        <v>0</v>
      </c>
      <c r="CH52" s="93">
        <f>CH17*CH96</f>
        <v>0</v>
      </c>
      <c r="CI52" s="545">
        <f>SUM(CE52:CH52)</f>
        <v>0</v>
      </c>
      <c r="CJ52" s="93">
        <f>CJ17*CJ96</f>
        <v>0</v>
      </c>
      <c r="CK52" s="93">
        <f>CK17*CK96</f>
        <v>0</v>
      </c>
      <c r="CL52" s="93">
        <f>CL17*CL96</f>
        <v>0</v>
      </c>
      <c r="CM52" s="93">
        <f>CM17*CM96</f>
        <v>0</v>
      </c>
      <c r="CN52" s="545">
        <f>SUM(CJ52:CM52)</f>
        <v>0</v>
      </c>
      <c r="CO52" s="45"/>
      <c r="CP52" s="593"/>
      <c r="CQ52" s="593"/>
      <c r="CR52" s="577" t="s">
        <v>98</v>
      </c>
      <c r="CS52" s="88">
        <f t="shared" si="70"/>
        <v>0</v>
      </c>
      <c r="CT52" s="93">
        <v>0</v>
      </c>
      <c r="CU52" s="121">
        <f t="shared" si="21"/>
        <v>0</v>
      </c>
      <c r="CV52" s="88">
        <f t="shared" si="71"/>
        <v>0</v>
      </c>
      <c r="CW52" s="153"/>
      <c r="CX52" s="593"/>
      <c r="CY52" s="593"/>
      <c r="CZ52" s="593"/>
      <c r="DA52" s="593"/>
      <c r="DB52"/>
      <c r="DC52"/>
      <c r="DD52"/>
      <c r="DE52"/>
      <c r="DF52"/>
      <c r="DG52"/>
      <c r="DH52" s="593"/>
      <c r="DI52" s="593"/>
      <c r="DJ52" s="593"/>
      <c r="DK52" s="593"/>
      <c r="DL52" s="593"/>
      <c r="DM52" s="593"/>
      <c r="DN52" s="593"/>
      <c r="DO52" s="593"/>
      <c r="DP52" s="593"/>
      <c r="DQ52" s="593"/>
      <c r="DR52" s="593"/>
      <c r="DS52" s="593"/>
      <c r="DT52" s="593"/>
      <c r="DU52" s="593"/>
      <c r="DV52" s="593"/>
      <c r="DW52" s="593"/>
      <c r="DX52" s="593"/>
      <c r="DY52" s="593"/>
      <c r="DZ52" s="593"/>
      <c r="EA52" s="593"/>
      <c r="EB52" s="593"/>
      <c r="EC52" s="593"/>
      <c r="ED52" s="593"/>
      <c r="EE52" s="593"/>
      <c r="EF52" s="593"/>
      <c r="EG52" s="593"/>
      <c r="EH52" s="593"/>
      <c r="EI52" s="593"/>
      <c r="EJ52" s="593"/>
      <c r="EK52" s="593"/>
      <c r="EL52" s="593"/>
      <c r="EM52" s="593"/>
      <c r="EN52" s="593"/>
      <c r="EO52" s="593"/>
      <c r="EP52" s="593"/>
      <c r="EQ52" s="593"/>
      <c r="ER52" s="593"/>
      <c r="ES52" s="593"/>
      <c r="ET52" s="593"/>
      <c r="EU52" s="593"/>
      <c r="EV52" s="593"/>
      <c r="EW52" s="593"/>
      <c r="EX52" s="593"/>
      <c r="EY52" s="593"/>
      <c r="EZ52" s="593"/>
      <c r="FA52" s="593"/>
      <c r="FB52" s="593"/>
      <c r="FC52" s="593"/>
      <c r="FD52" s="593"/>
      <c r="FE52" s="593"/>
      <c r="FF52" s="593"/>
      <c r="FG52" s="593"/>
      <c r="FH52" s="593"/>
      <c r="FI52" s="593"/>
      <c r="FJ52" s="593"/>
      <c r="FK52" s="593"/>
      <c r="FL52" s="593"/>
      <c r="FM52" s="593"/>
      <c r="FN52" s="593"/>
      <c r="FO52" s="593"/>
      <c r="FP52" s="593"/>
      <c r="FQ52" s="593"/>
      <c r="FR52" s="593"/>
      <c r="FS52" s="593"/>
      <c r="FT52" s="593"/>
      <c r="FU52" s="593"/>
      <c r="FV52" s="593"/>
      <c r="FW52" s="593"/>
      <c r="FX52" s="593"/>
      <c r="FY52" s="593"/>
      <c r="FZ52" s="593"/>
      <c r="GA52" s="593"/>
      <c r="GB52" s="593"/>
      <c r="GC52" s="593"/>
      <c r="GD52" s="593"/>
      <c r="GE52" s="593"/>
      <c r="GF52" s="593"/>
      <c r="GG52" s="593"/>
      <c r="GH52" s="593"/>
      <c r="GI52" s="593"/>
      <c r="GJ52" s="593"/>
      <c r="GK52" s="593"/>
      <c r="GL52" s="593"/>
      <c r="GM52" s="593"/>
      <c r="GN52" s="593"/>
      <c r="GO52" s="593"/>
      <c r="GP52" s="593"/>
      <c r="GQ52" s="593"/>
      <c r="GR52" s="593"/>
      <c r="GS52" s="593"/>
      <c r="GT52" s="593"/>
      <c r="GU52" s="593"/>
      <c r="GV52" s="593"/>
      <c r="GW52" s="593"/>
      <c r="GX52" s="593"/>
      <c r="GY52" s="593"/>
      <c r="GZ52" s="593"/>
      <c r="HA52" s="593"/>
      <c r="HB52" s="593"/>
      <c r="HC52" s="593"/>
      <c r="HD52" s="593"/>
      <c r="HE52" s="593"/>
      <c r="HF52" s="593"/>
      <c r="HG52" s="593"/>
      <c r="HH52" s="593"/>
      <c r="HI52" s="593"/>
      <c r="HJ52" s="593"/>
      <c r="HK52" s="593"/>
      <c r="HL52" s="593"/>
      <c r="HM52" s="593"/>
      <c r="HN52" s="593"/>
      <c r="HO52" s="593"/>
      <c r="HP52" s="593"/>
      <c r="HQ52" s="6"/>
      <c r="HR52" s="6"/>
      <c r="HS52" s="6"/>
      <c r="HT52" s="6"/>
      <c r="HU52" s="6"/>
      <c r="HV52" s="6"/>
      <c r="HW52" s="6"/>
      <c r="HX52" s="6"/>
      <c r="HY52" s="6"/>
      <c r="HZ52" s="6"/>
      <c r="IA52" s="6"/>
      <c r="IB52" s="6"/>
      <c r="IC52" s="6"/>
      <c r="ID52" s="6"/>
      <c r="IE52" s="6"/>
      <c r="IF52" s="6"/>
      <c r="IG52" s="6"/>
      <c r="IH52" s="6"/>
      <c r="II52" s="6"/>
      <c r="IJ52" s="6"/>
      <c r="IK52" s="6"/>
      <c r="IL52" s="6"/>
      <c r="IM52" s="6"/>
      <c r="IN52" s="6"/>
      <c r="IO52" s="6"/>
      <c r="IP52" s="6"/>
      <c r="IQ52" s="6"/>
      <c r="IR52" s="6"/>
      <c r="IS52" s="6"/>
      <c r="IT52" s="6"/>
      <c r="IU52" s="6"/>
      <c r="IV52" s="6"/>
    </row>
    <row r="53" spans="1:256" s="59" customFormat="1" ht="15" customHeight="1" collapsed="1">
      <c r="A53" s="578" t="s">
        <v>232</v>
      </c>
      <c r="B53" s="111"/>
      <c r="C53" s="109"/>
      <c r="D53" s="110"/>
      <c r="E53" s="110"/>
      <c r="F53" s="110"/>
      <c r="G53" s="111"/>
      <c r="H53" s="109"/>
      <c r="I53" s="110"/>
      <c r="J53" s="110"/>
      <c r="K53" s="113"/>
      <c r="L53" s="270"/>
      <c r="M53" s="109"/>
      <c r="N53" s="110"/>
      <c r="O53" s="110"/>
      <c r="P53" s="110"/>
      <c r="Q53" s="395">
        <f t="shared" si="74"/>
        <v>0</v>
      </c>
      <c r="R53" s="394"/>
      <c r="S53" s="394"/>
      <c r="T53" s="394"/>
      <c r="U53" s="397"/>
      <c r="V53" s="592">
        <f>V50-V51</f>
        <v>0</v>
      </c>
      <c r="W53" s="394"/>
      <c r="X53" s="394"/>
      <c r="Y53" s="394"/>
      <c r="Z53" s="394"/>
      <c r="AA53" s="395">
        <f t="shared" ref="AA53:AY53" si="78">AA50+AA51+AA52</f>
        <v>261.04199999999969</v>
      </c>
      <c r="AB53" s="394">
        <f>AB50+AB51+AB52</f>
        <v>-65.083000000000155</v>
      </c>
      <c r="AC53" s="394">
        <f>AC50+AC51+AC52</f>
        <v>12.418999999999858</v>
      </c>
      <c r="AD53" s="394">
        <f>AD50+AD51+AD52</f>
        <v>-43.353000000000293</v>
      </c>
      <c r="AE53" s="394">
        <f>AE50+AE51+AE52</f>
        <v>-398.22600000000023</v>
      </c>
      <c r="AF53" s="395">
        <f t="shared" si="78"/>
        <v>-494.24300000000073</v>
      </c>
      <c r="AG53" s="394">
        <f t="shared" si="78"/>
        <v>-10.924000000000031</v>
      </c>
      <c r="AH53" s="394">
        <f t="shared" si="78"/>
        <v>14.89199999999995</v>
      </c>
      <c r="AI53" s="394">
        <f t="shared" si="78"/>
        <v>14.688000000000004</v>
      </c>
      <c r="AJ53" s="394">
        <f t="shared" si="78"/>
        <v>-14.718000000000039</v>
      </c>
      <c r="AK53" s="546">
        <f t="shared" si="78"/>
        <v>3.9379999999996538</v>
      </c>
      <c r="AL53" s="394">
        <f t="shared" si="78"/>
        <v>-3.4000000000000297</v>
      </c>
      <c r="AM53" s="394">
        <f t="shared" si="78"/>
        <v>10.742000000000004</v>
      </c>
      <c r="AN53" s="394">
        <f t="shared" si="78"/>
        <v>-0.90899999999986036</v>
      </c>
      <c r="AO53" s="394">
        <f t="shared" si="78"/>
        <v>-10.758000000000091</v>
      </c>
      <c r="AP53" s="546">
        <f t="shared" si="78"/>
        <v>-4.3249999999995978</v>
      </c>
      <c r="AQ53" s="394">
        <f t="shared" si="78"/>
        <v>-0.15599999999996095</v>
      </c>
      <c r="AR53" s="394">
        <f t="shared" si="78"/>
        <v>11.413000000000185</v>
      </c>
      <c r="AS53" s="394">
        <f t="shared" si="78"/>
        <v>2.5439999999998744</v>
      </c>
      <c r="AT53" s="394">
        <f t="shared" si="78"/>
        <v>4.2900000000000871</v>
      </c>
      <c r="AU53" s="546">
        <f t="shared" si="78"/>
        <v>18.12399999999964</v>
      </c>
      <c r="AV53" s="394">
        <f t="shared" si="78"/>
        <v>12.288000000000157</v>
      </c>
      <c r="AW53" s="394">
        <f t="shared" si="78"/>
        <v>-5.4930000000001495</v>
      </c>
      <c r="AX53" s="394">
        <f t="shared" si="78"/>
        <v>-26.702000000000108</v>
      </c>
      <c r="AY53" s="394">
        <f t="shared" si="78"/>
        <v>25.408999999999949</v>
      </c>
      <c r="AZ53" s="546">
        <f t="shared" si="73"/>
        <v>5.5019999999998461</v>
      </c>
      <c r="BA53" s="394">
        <f t="shared" ref="BA53:BJ53" si="79">BA50+BA51+BA52</f>
        <v>2.1600000000000996</v>
      </c>
      <c r="BB53" s="394">
        <f t="shared" si="79"/>
        <v>12.225999999999965</v>
      </c>
      <c r="BC53" s="394">
        <f t="shared" si="79"/>
        <v>-2.1620000000000541</v>
      </c>
      <c r="BD53" s="394">
        <f t="shared" si="79"/>
        <v>33.334999999999816</v>
      </c>
      <c r="BE53" s="546">
        <f t="shared" si="79"/>
        <v>45.541000000000686</v>
      </c>
      <c r="BF53" s="394">
        <f t="shared" si="79"/>
        <v>46.303000000000011</v>
      </c>
      <c r="BG53" s="394">
        <f t="shared" si="79"/>
        <v>29.007000000000094</v>
      </c>
      <c r="BH53" s="394">
        <f t="shared" si="79"/>
        <v>22.83</v>
      </c>
      <c r="BI53" s="394">
        <f t="shared" si="79"/>
        <v>23.29400000000004</v>
      </c>
      <c r="BJ53" s="546">
        <f t="shared" si="79"/>
        <v>121.4869999999997</v>
      </c>
      <c r="BK53" s="394">
        <f t="shared" ref="BK53:BT53" si="80">BK50+BK51+BK52</f>
        <v>18.149999999999999</v>
      </c>
      <c r="BL53" s="394">
        <f t="shared" si="80"/>
        <v>24.824999999999996</v>
      </c>
      <c r="BM53" s="394">
        <f t="shared" si="80"/>
        <v>8.3230000000000217</v>
      </c>
      <c r="BN53" s="394">
        <f t="shared" si="80"/>
        <v>88.681000000000026</v>
      </c>
      <c r="BO53" s="546">
        <f t="shared" si="80"/>
        <v>139.95200000000023</v>
      </c>
      <c r="BP53" s="394">
        <f>BP50+BP51+BP52</f>
        <v>25.363000000000007</v>
      </c>
      <c r="BQ53" s="394">
        <f t="shared" si="80"/>
        <v>26.479999999999961</v>
      </c>
      <c r="BR53" s="394">
        <f t="shared" si="80"/>
        <v>48.889999999999958</v>
      </c>
      <c r="BS53" s="394">
        <f t="shared" si="80"/>
        <v>28.889999999999997</v>
      </c>
      <c r="BT53" s="546">
        <f t="shared" si="80"/>
        <v>129.62299999999973</v>
      </c>
      <c r="BU53" s="394">
        <f>BU50+BU51+BU52</f>
        <v>22.340999999999944</v>
      </c>
      <c r="BV53" s="394">
        <f t="shared" ref="BV53:CD53" si="81">BV50+BV51+BV52</f>
        <v>-1.844999999999958</v>
      </c>
      <c r="BW53" s="394">
        <f>BW50+BW51+BW52</f>
        <v>14.256999999999984</v>
      </c>
      <c r="BX53" s="394">
        <f t="shared" si="81"/>
        <v>159.27599999999998</v>
      </c>
      <c r="BY53" s="546">
        <f t="shared" si="81"/>
        <v>193.4559999999999</v>
      </c>
      <c r="BZ53" s="398">
        <f t="shared" si="81"/>
        <v>23.787528937825464</v>
      </c>
      <c r="CA53" s="398">
        <f t="shared" si="81"/>
        <v>38.549415721898406</v>
      </c>
      <c r="CB53" s="398">
        <f t="shared" si="81"/>
        <v>33.531874904106694</v>
      </c>
      <c r="CC53" s="398">
        <f t="shared" si="81"/>
        <v>35.366929232432476</v>
      </c>
      <c r="CD53" s="546">
        <f t="shared" si="81"/>
        <v>131.23574879626321</v>
      </c>
      <c r="CE53" s="398">
        <f t="shared" ref="CE53:CN53" si="82">CE50+CE51+CE52</f>
        <v>33.031959524016187</v>
      </c>
      <c r="CF53" s="398">
        <f t="shared" si="82"/>
        <v>47.443041957630058</v>
      </c>
      <c r="CG53" s="398">
        <f t="shared" si="82"/>
        <v>42.39559865029549</v>
      </c>
      <c r="CH53" s="398">
        <f t="shared" si="82"/>
        <v>44.624396331534754</v>
      </c>
      <c r="CI53" s="546">
        <f t="shared" si="82"/>
        <v>167.49499646347661</v>
      </c>
      <c r="CJ53" s="398">
        <f t="shared" si="82"/>
        <v>41.620140040397104</v>
      </c>
      <c r="CK53" s="398">
        <f t="shared" si="82"/>
        <v>55.787761049600505</v>
      </c>
      <c r="CL53" s="398">
        <f t="shared" si="82"/>
        <v>50.827714761643108</v>
      </c>
      <c r="CM53" s="398">
        <f t="shared" si="82"/>
        <v>53.573994427272325</v>
      </c>
      <c r="CN53" s="546">
        <f t="shared" si="82"/>
        <v>201.80961027891317</v>
      </c>
      <c r="CO53" s="1152"/>
      <c r="CR53" s="578" t="s">
        <v>232</v>
      </c>
      <c r="CS53" s="394">
        <f t="shared" si="70"/>
        <v>159.27599999999998</v>
      </c>
      <c r="CT53" s="398">
        <v>29.119069527237961</v>
      </c>
      <c r="CU53" s="396">
        <f t="shared" si="21"/>
        <v>130.15693047276201</v>
      </c>
      <c r="CV53" s="394">
        <f t="shared" si="71"/>
        <v>28.889999999999997</v>
      </c>
      <c r="CW53" s="1038">
        <f t="shared" si="28"/>
        <v>4.5131879543094495</v>
      </c>
      <c r="DB53"/>
      <c r="DC53"/>
      <c r="DD53"/>
      <c r="DE53"/>
      <c r="DF53"/>
      <c r="DG53"/>
      <c r="HQ53" s="4"/>
      <c r="HR53" s="4"/>
      <c r="HS53" s="4"/>
      <c r="HT53" s="4"/>
      <c r="HU53" s="4"/>
      <c r="HV53" s="4"/>
      <c r="HW53" s="4"/>
      <c r="HX53" s="4"/>
      <c r="HY53" s="4"/>
      <c r="HZ53" s="4"/>
      <c r="IA53" s="4"/>
      <c r="IB53" s="4"/>
      <c r="IC53" s="4"/>
      <c r="ID53" s="4"/>
      <c r="IE53" s="4"/>
      <c r="IF53" s="4"/>
      <c r="IG53" s="4"/>
      <c r="IH53" s="4"/>
      <c r="II53" s="4"/>
      <c r="IJ53" s="4"/>
      <c r="IK53" s="4"/>
      <c r="IL53" s="4"/>
      <c r="IM53" s="4"/>
      <c r="IN53" s="4"/>
      <c r="IO53" s="4"/>
      <c r="IP53" s="4"/>
      <c r="IQ53" s="4"/>
      <c r="IR53" s="4"/>
      <c r="IS53" s="4"/>
      <c r="IT53" s="4"/>
      <c r="IU53" s="4"/>
      <c r="IV53" s="4"/>
    </row>
    <row r="54" spans="1:256" s="59" customFormat="1" ht="15" hidden="1" customHeight="1" outlineLevel="1">
      <c r="A54" s="578" t="s">
        <v>233</v>
      </c>
      <c r="B54" s="111"/>
      <c r="C54" s="109"/>
      <c r="D54" s="110"/>
      <c r="E54" s="110"/>
      <c r="F54" s="110"/>
      <c r="G54" s="111"/>
      <c r="H54" s="109"/>
      <c r="I54" s="110"/>
      <c r="J54" s="110"/>
      <c r="K54" s="113"/>
      <c r="L54" s="270"/>
      <c r="M54" s="109"/>
      <c r="N54" s="110"/>
      <c r="O54" s="114"/>
      <c r="P54" s="110"/>
      <c r="Q54" s="111">
        <f t="shared" si="74"/>
        <v>0</v>
      </c>
      <c r="R54" s="110"/>
      <c r="S54" s="110"/>
      <c r="T54" s="110"/>
      <c r="U54" s="113"/>
      <c r="V54" s="271">
        <f>SUM(R54:U54)</f>
        <v>0</v>
      </c>
      <c r="W54" s="110"/>
      <c r="X54" s="110"/>
      <c r="Y54" s="110"/>
      <c r="Z54" s="110"/>
      <c r="AA54" s="111">
        <f>SUM(W54:Z54)</f>
        <v>0</v>
      </c>
      <c r="AB54" s="110"/>
      <c r="AC54" s="110"/>
      <c r="AD54" s="110">
        <v>1.2190000000000001</v>
      </c>
      <c r="AE54" s="110">
        <v>0.998</v>
      </c>
      <c r="AF54" s="111">
        <f>SUM(AB54:AE54)</f>
        <v>2.2170000000000001</v>
      </c>
      <c r="AG54" s="110"/>
      <c r="AH54" s="110"/>
      <c r="AI54" s="110"/>
      <c r="AJ54" s="110">
        <v>1.1240000000000001</v>
      </c>
      <c r="AK54" s="543">
        <f>SUM(AG54:AJ54)</f>
        <v>1.1240000000000001</v>
      </c>
      <c r="AL54" s="110"/>
      <c r="AM54" s="110"/>
      <c r="AN54" s="110"/>
      <c r="AO54" s="110"/>
      <c r="AP54" s="543"/>
      <c r="AQ54" s="110"/>
      <c r="AR54" s="110">
        <f>3.672-3.78</f>
        <v>-0.10799999999999965</v>
      </c>
      <c r="AS54" s="110">
        <f>-1.441-5.069</f>
        <v>-6.51</v>
      </c>
      <c r="AT54" s="110">
        <v>-0.30599999999999999</v>
      </c>
      <c r="AU54" s="543"/>
      <c r="AV54" s="115"/>
      <c r="AW54" s="110"/>
      <c r="AX54" s="110">
        <f>0.784-0.254</f>
        <v>0.53</v>
      </c>
      <c r="AY54" s="110">
        <f>1.167-0.188</f>
        <v>0.97900000000000009</v>
      </c>
      <c r="AZ54" s="543">
        <f t="shared" si="73"/>
        <v>1.5090000000000001</v>
      </c>
      <c r="BA54" s="110"/>
      <c r="BB54" s="110"/>
      <c r="BC54" s="110"/>
      <c r="BD54" s="110">
        <v>-0.26600000000000001</v>
      </c>
      <c r="BE54" s="543">
        <f>SUM(BA54:BD54)</f>
        <v>-0.26600000000000001</v>
      </c>
      <c r="BF54" s="110"/>
      <c r="BG54" s="110"/>
      <c r="BH54" s="110"/>
      <c r="BI54" s="110"/>
      <c r="BJ54" s="543">
        <f>SUM(BF54:BI54)</f>
        <v>0</v>
      </c>
      <c r="BK54" s="110">
        <v>9.3569999999999993</v>
      </c>
      <c r="BL54" s="110">
        <f>BL359</f>
        <v>15.37</v>
      </c>
      <c r="BM54" s="110">
        <f>BM359</f>
        <v>-0.73899999999999999</v>
      </c>
      <c r="BN54" s="110">
        <f>BN359</f>
        <v>-2.8249999999999997</v>
      </c>
      <c r="BO54" s="543">
        <f>SUM(BK54:BN54)</f>
        <v>21.162999999999997</v>
      </c>
      <c r="BP54" s="110"/>
      <c r="BQ54" s="110"/>
      <c r="BR54" s="110"/>
      <c r="BS54" s="110"/>
      <c r="BT54" s="543"/>
      <c r="BU54" s="110"/>
      <c r="BV54" s="110"/>
      <c r="BW54" s="110"/>
      <c r="BX54" s="110"/>
      <c r="BY54" s="543"/>
      <c r="BZ54" s="115"/>
      <c r="CA54" s="115"/>
      <c r="CB54" s="115"/>
      <c r="CC54" s="115"/>
      <c r="CD54" s="543"/>
      <c r="CE54" s="115"/>
      <c r="CF54" s="115"/>
      <c r="CG54" s="115"/>
      <c r="CH54" s="115"/>
      <c r="CI54" s="543"/>
      <c r="CJ54" s="115"/>
      <c r="CK54" s="115"/>
      <c r="CL54" s="115"/>
      <c r="CM54" s="115"/>
      <c r="CN54" s="543"/>
      <c r="CO54" s="80"/>
      <c r="CR54" s="578" t="s">
        <v>233</v>
      </c>
      <c r="CS54" s="394">
        <f t="shared" si="70"/>
        <v>0</v>
      </c>
      <c r="CT54" s="398">
        <v>0</v>
      </c>
      <c r="CU54" s="236">
        <f t="shared" si="21"/>
        <v>0</v>
      </c>
      <c r="CV54" s="394">
        <f t="shared" si="71"/>
        <v>0</v>
      </c>
      <c r="CW54" s="167"/>
      <c r="DB54"/>
      <c r="DC54"/>
      <c r="DD54"/>
      <c r="DE54"/>
      <c r="DF54"/>
      <c r="DG54"/>
      <c r="HQ54" s="4"/>
      <c r="HR54" s="4"/>
      <c r="HS54" s="4"/>
      <c r="HT54" s="4"/>
      <c r="HU54" s="4"/>
      <c r="HV54" s="4"/>
      <c r="HW54" s="4"/>
      <c r="HX54" s="4"/>
      <c r="HY54" s="4"/>
      <c r="HZ54" s="4"/>
      <c r="IA54" s="4"/>
      <c r="IB54" s="4"/>
      <c r="IC54" s="4"/>
      <c r="ID54" s="4"/>
      <c r="IE54" s="4"/>
      <c r="IF54" s="4"/>
      <c r="IG54" s="4"/>
      <c r="IH54" s="4"/>
      <c r="II54" s="4"/>
      <c r="IJ54" s="4"/>
      <c r="IK54" s="4"/>
      <c r="IL54" s="4"/>
      <c r="IM54" s="4"/>
      <c r="IN54" s="4"/>
      <c r="IO54" s="4"/>
      <c r="IP54" s="4"/>
      <c r="IQ54" s="4"/>
      <c r="IR54" s="4"/>
      <c r="IS54" s="4"/>
      <c r="IT54" s="4"/>
      <c r="IU54" s="4"/>
      <c r="IV54" s="4"/>
    </row>
    <row r="55" spans="1:256" s="59" customFormat="1" ht="11.25" customHeight="1" collapsed="1">
      <c r="A55" s="578" t="s">
        <v>97</v>
      </c>
      <c r="B55" s="236"/>
      <c r="C55" s="109"/>
      <c r="D55" s="110"/>
      <c r="E55" s="110"/>
      <c r="F55" s="110"/>
      <c r="G55" s="236"/>
      <c r="H55" s="109"/>
      <c r="I55" s="110"/>
      <c r="J55" s="110"/>
      <c r="K55" s="113"/>
      <c r="L55" s="109"/>
      <c r="M55" s="109"/>
      <c r="N55" s="110"/>
      <c r="O55" s="114"/>
      <c r="P55" s="110"/>
      <c r="Q55" s="111">
        <f t="shared" si="74"/>
        <v>0</v>
      </c>
      <c r="R55" s="110"/>
      <c r="S55" s="110"/>
      <c r="T55" s="110"/>
      <c r="U55" s="113"/>
      <c r="V55" s="113">
        <f>V53+V54</f>
        <v>0</v>
      </c>
      <c r="W55" s="110"/>
      <c r="X55" s="110"/>
      <c r="Y55" s="110"/>
      <c r="Z55" s="110"/>
      <c r="AA55" s="236">
        <f>AA53+AA54</f>
        <v>261.04199999999969</v>
      </c>
      <c r="AB55" s="110">
        <f t="shared" ref="AB55:AY55" si="83">AB53+AB54</f>
        <v>-65.083000000000155</v>
      </c>
      <c r="AC55" s="110">
        <f t="shared" si="83"/>
        <v>12.418999999999858</v>
      </c>
      <c r="AD55" s="110">
        <f t="shared" si="83"/>
        <v>-42.134000000000292</v>
      </c>
      <c r="AE55" s="110">
        <f t="shared" si="83"/>
        <v>-397.22800000000024</v>
      </c>
      <c r="AF55" s="236">
        <f t="shared" si="83"/>
        <v>-492.02600000000075</v>
      </c>
      <c r="AG55" s="110">
        <f t="shared" si="83"/>
        <v>-10.924000000000031</v>
      </c>
      <c r="AH55" s="110">
        <f t="shared" si="83"/>
        <v>14.89199999999995</v>
      </c>
      <c r="AI55" s="110">
        <f t="shared" si="83"/>
        <v>14.688000000000004</v>
      </c>
      <c r="AJ55" s="110">
        <f t="shared" si="83"/>
        <v>-13.594000000000038</v>
      </c>
      <c r="AK55" s="547">
        <f t="shared" si="83"/>
        <v>5.0619999999996539</v>
      </c>
      <c r="AL55" s="110">
        <f t="shared" si="83"/>
        <v>-3.4000000000000297</v>
      </c>
      <c r="AM55" s="110">
        <f t="shared" si="83"/>
        <v>10.742000000000004</v>
      </c>
      <c r="AN55" s="110">
        <f t="shared" si="83"/>
        <v>-0.90899999999986036</v>
      </c>
      <c r="AO55" s="110">
        <f t="shared" si="83"/>
        <v>-10.758000000000091</v>
      </c>
      <c r="AP55" s="547">
        <f t="shared" si="83"/>
        <v>-4.3249999999995978</v>
      </c>
      <c r="AQ55" s="110">
        <f t="shared" si="83"/>
        <v>-0.15599999999996095</v>
      </c>
      <c r="AR55" s="110">
        <f t="shared" si="83"/>
        <v>11.305000000000184</v>
      </c>
      <c r="AS55" s="110">
        <f t="shared" si="83"/>
        <v>-3.9660000000001254</v>
      </c>
      <c r="AT55" s="110">
        <f t="shared" si="83"/>
        <v>3.984000000000087</v>
      </c>
      <c r="AU55" s="547">
        <f t="shared" si="83"/>
        <v>18.12399999999964</v>
      </c>
      <c r="AV55" s="110">
        <f t="shared" si="83"/>
        <v>12.288000000000157</v>
      </c>
      <c r="AW55" s="110">
        <f t="shared" si="83"/>
        <v>-5.4930000000001495</v>
      </c>
      <c r="AX55" s="110">
        <f t="shared" si="83"/>
        <v>-26.172000000000107</v>
      </c>
      <c r="AY55" s="110">
        <f t="shared" si="83"/>
        <v>26.387999999999948</v>
      </c>
      <c r="AZ55" s="547">
        <f>SUM(AV55:AY55)</f>
        <v>7.0109999999998465</v>
      </c>
      <c r="BA55" s="110">
        <f t="shared" ref="BA55:BJ55" si="84">BA53+BA54</f>
        <v>2.1600000000000996</v>
      </c>
      <c r="BB55" s="110">
        <f t="shared" si="84"/>
        <v>12.225999999999965</v>
      </c>
      <c r="BC55" s="110">
        <f t="shared" si="84"/>
        <v>-2.1620000000000541</v>
      </c>
      <c r="BD55" s="110">
        <f t="shared" si="84"/>
        <v>33.068999999999818</v>
      </c>
      <c r="BE55" s="547">
        <f t="shared" si="84"/>
        <v>45.275000000000688</v>
      </c>
      <c r="BF55" s="110">
        <f t="shared" si="84"/>
        <v>46.303000000000011</v>
      </c>
      <c r="BG55" s="110">
        <f t="shared" si="84"/>
        <v>29.007000000000094</v>
      </c>
      <c r="BH55" s="110">
        <f t="shared" si="84"/>
        <v>22.83</v>
      </c>
      <c r="BI55" s="110">
        <f t="shared" si="84"/>
        <v>23.29400000000004</v>
      </c>
      <c r="BJ55" s="547">
        <f t="shared" si="84"/>
        <v>121.4869999999997</v>
      </c>
      <c r="BK55" s="110">
        <f t="shared" ref="BK55:BT55" si="85">BK53+BK54</f>
        <v>27.506999999999998</v>
      </c>
      <c r="BL55" s="110">
        <f>BL53+BL54</f>
        <v>40.194999999999993</v>
      </c>
      <c r="BM55" s="110">
        <f t="shared" si="85"/>
        <v>7.5840000000000218</v>
      </c>
      <c r="BN55" s="515">
        <f>BN53+BN54</f>
        <v>85.856000000000023</v>
      </c>
      <c r="BO55" s="547">
        <f>BO53+BO54</f>
        <v>161.11500000000024</v>
      </c>
      <c r="BP55" s="110">
        <f t="shared" si="85"/>
        <v>25.363000000000007</v>
      </c>
      <c r="BQ55" s="110">
        <f>BQ53+BQ54</f>
        <v>26.479999999999961</v>
      </c>
      <c r="BR55" s="110">
        <f t="shared" si="85"/>
        <v>48.889999999999958</v>
      </c>
      <c r="BS55" s="110">
        <f t="shared" si="85"/>
        <v>28.889999999999997</v>
      </c>
      <c r="BT55" s="547">
        <f t="shared" si="85"/>
        <v>129.62299999999973</v>
      </c>
      <c r="BU55" s="110">
        <f t="shared" ref="BU55:CD55" si="86">BU53+BU54</f>
        <v>22.340999999999944</v>
      </c>
      <c r="BV55" s="110">
        <f t="shared" si="86"/>
        <v>-1.844999999999958</v>
      </c>
      <c r="BW55" s="110">
        <f t="shared" si="86"/>
        <v>14.256999999999984</v>
      </c>
      <c r="BX55" s="110">
        <f t="shared" si="86"/>
        <v>159.27599999999998</v>
      </c>
      <c r="BY55" s="547">
        <f t="shared" si="86"/>
        <v>193.4559999999999</v>
      </c>
      <c r="BZ55" s="115">
        <f t="shared" si="86"/>
        <v>23.787528937825464</v>
      </c>
      <c r="CA55" s="115">
        <f t="shared" si="86"/>
        <v>38.549415721898406</v>
      </c>
      <c r="CB55" s="115">
        <f t="shared" si="86"/>
        <v>33.531874904106694</v>
      </c>
      <c r="CC55" s="115">
        <f t="shared" si="86"/>
        <v>35.366929232432476</v>
      </c>
      <c r="CD55" s="547">
        <f t="shared" si="86"/>
        <v>131.23574879626321</v>
      </c>
      <c r="CE55" s="115">
        <f t="shared" ref="CE55:CN55" si="87">CE53+CE54</f>
        <v>33.031959524016187</v>
      </c>
      <c r="CF55" s="115">
        <f t="shared" si="87"/>
        <v>47.443041957630058</v>
      </c>
      <c r="CG55" s="115">
        <f t="shared" si="87"/>
        <v>42.39559865029549</v>
      </c>
      <c r="CH55" s="115">
        <f t="shared" si="87"/>
        <v>44.624396331534754</v>
      </c>
      <c r="CI55" s="547">
        <f t="shared" si="87"/>
        <v>167.49499646347661</v>
      </c>
      <c r="CJ55" s="115">
        <f t="shared" si="87"/>
        <v>41.620140040397104</v>
      </c>
      <c r="CK55" s="115">
        <f t="shared" si="87"/>
        <v>55.787761049600505</v>
      </c>
      <c r="CL55" s="115">
        <f t="shared" si="87"/>
        <v>50.827714761643108</v>
      </c>
      <c r="CM55" s="115">
        <f t="shared" si="87"/>
        <v>53.573994427272325</v>
      </c>
      <c r="CN55" s="547">
        <f t="shared" si="87"/>
        <v>201.80961027891317</v>
      </c>
      <c r="CO55" s="72"/>
      <c r="CR55" s="578" t="s">
        <v>97</v>
      </c>
      <c r="CS55" s="110">
        <f t="shared" si="70"/>
        <v>159.27599999999998</v>
      </c>
      <c r="CT55" s="115">
        <v>29.119069527237961</v>
      </c>
      <c r="CU55" s="236">
        <f t="shared" si="21"/>
        <v>130.15693047276201</v>
      </c>
      <c r="CV55" s="110">
        <f t="shared" si="71"/>
        <v>28.889999999999997</v>
      </c>
      <c r="CW55" s="167">
        <f t="shared" si="28"/>
        <v>4.5131879543094495</v>
      </c>
      <c r="DB55"/>
      <c r="DC55"/>
      <c r="DD55"/>
      <c r="DE55"/>
      <c r="DF55"/>
      <c r="DG55"/>
      <c r="HQ55" s="4"/>
      <c r="HR55" s="4"/>
      <c r="HS55" s="4"/>
      <c r="HT55" s="4"/>
      <c r="HU55" s="4"/>
      <c r="HV55" s="4"/>
      <c r="HW55" s="4"/>
      <c r="HX55" s="4"/>
      <c r="HY55" s="4"/>
      <c r="HZ55" s="4"/>
      <c r="IA55" s="4"/>
      <c r="IB55" s="4"/>
      <c r="IC55" s="4"/>
      <c r="ID55" s="4"/>
      <c r="IE55" s="4"/>
      <c r="IF55" s="4"/>
      <c r="IG55" s="4"/>
      <c r="IH55" s="4"/>
      <c r="II55" s="4"/>
      <c r="IJ55" s="4"/>
      <c r="IK55" s="4"/>
      <c r="IL55" s="4"/>
      <c r="IM55" s="4"/>
      <c r="IN55" s="4"/>
      <c r="IO55" s="4"/>
      <c r="IP55" s="4"/>
      <c r="IQ55" s="4"/>
      <c r="IR55" s="4"/>
      <c r="IS55" s="4"/>
      <c r="IT55" s="4"/>
      <c r="IU55" s="4"/>
      <c r="IV55" s="4"/>
    </row>
    <row r="56" spans="1:256" s="59" customFormat="1" ht="4.5" customHeight="1">
      <c r="A56" s="578"/>
      <c r="B56" s="236"/>
      <c r="C56" s="109"/>
      <c r="D56" s="110"/>
      <c r="E56" s="110"/>
      <c r="F56" s="110"/>
      <c r="G56" s="236"/>
      <c r="H56" s="109"/>
      <c r="I56" s="110"/>
      <c r="J56" s="110"/>
      <c r="K56" s="113"/>
      <c r="L56" s="109"/>
      <c r="M56" s="109"/>
      <c r="N56" s="110"/>
      <c r="O56" s="114"/>
      <c r="P56" s="110"/>
      <c r="Q56" s="236"/>
      <c r="R56" s="110"/>
      <c r="S56" s="110"/>
      <c r="T56" s="110"/>
      <c r="U56" s="113"/>
      <c r="V56" s="113"/>
      <c r="W56" s="110"/>
      <c r="X56" s="110"/>
      <c r="Y56" s="110"/>
      <c r="Z56" s="110"/>
      <c r="AA56" s="236"/>
      <c r="AB56" s="110"/>
      <c r="AC56" s="110"/>
      <c r="AD56" s="110"/>
      <c r="AE56" s="110"/>
      <c r="AF56" s="236"/>
      <c r="AG56" s="110"/>
      <c r="AH56" s="110"/>
      <c r="AI56" s="110"/>
      <c r="AJ56" s="110"/>
      <c r="AK56" s="547"/>
      <c r="AL56" s="110"/>
      <c r="AM56" s="110"/>
      <c r="AN56" s="110"/>
      <c r="AO56" s="110"/>
      <c r="AP56" s="547"/>
      <c r="AQ56" s="110"/>
      <c r="AR56" s="110"/>
      <c r="AS56" s="110"/>
      <c r="AT56" s="110"/>
      <c r="AU56" s="547"/>
      <c r="AV56" s="115"/>
      <c r="AW56" s="110"/>
      <c r="AX56" s="110"/>
      <c r="AY56" s="110"/>
      <c r="AZ56" s="547"/>
      <c r="BA56" s="110"/>
      <c r="BB56" s="110"/>
      <c r="BC56" s="115"/>
      <c r="BD56" s="110"/>
      <c r="BE56" s="547"/>
      <c r="BF56" s="115"/>
      <c r="BG56" s="115"/>
      <c r="BH56" s="110"/>
      <c r="BI56" s="115"/>
      <c r="BJ56" s="547"/>
      <c r="BK56" s="110"/>
      <c r="BL56" s="110"/>
      <c r="BM56" s="110"/>
      <c r="BN56" s="110"/>
      <c r="BO56" s="547"/>
      <c r="BP56" s="110"/>
      <c r="BQ56" s="110"/>
      <c r="BR56" s="110"/>
      <c r="BS56" s="110"/>
      <c r="BT56" s="547"/>
      <c r="BU56" s="110"/>
      <c r="BV56" s="110"/>
      <c r="BW56" s="110"/>
      <c r="BX56" s="110"/>
      <c r="BY56" s="547"/>
      <c r="BZ56" s="115"/>
      <c r="CA56" s="115"/>
      <c r="CB56" s="115"/>
      <c r="CC56" s="115"/>
      <c r="CD56" s="547"/>
      <c r="CE56" s="115"/>
      <c r="CF56" s="115"/>
      <c r="CG56" s="115"/>
      <c r="CH56" s="115"/>
      <c r="CI56" s="547"/>
      <c r="CJ56" s="115"/>
      <c r="CK56" s="115"/>
      <c r="CL56" s="115"/>
      <c r="CM56" s="115"/>
      <c r="CN56" s="547"/>
      <c r="CO56" s="80"/>
      <c r="CR56" s="578"/>
      <c r="CS56" s="110">
        <f t="shared" si="70"/>
        <v>0</v>
      </c>
      <c r="CT56" s="115">
        <v>0</v>
      </c>
      <c r="CU56" s="236"/>
      <c r="CV56" s="110">
        <f t="shared" si="71"/>
        <v>0</v>
      </c>
      <c r="CW56" s="167"/>
      <c r="DB56"/>
      <c r="DC56"/>
      <c r="DD56"/>
      <c r="DE56"/>
      <c r="DF56"/>
      <c r="DG56"/>
      <c r="HQ56" s="4"/>
      <c r="HR56" s="4"/>
      <c r="HS56" s="4"/>
      <c r="HT56" s="4"/>
      <c r="HU56" s="4"/>
      <c r="HV56" s="4"/>
      <c r="HW56" s="4"/>
      <c r="HX56" s="4"/>
      <c r="HY56" s="4"/>
      <c r="HZ56" s="4"/>
      <c r="IA56" s="4"/>
      <c r="IB56" s="4"/>
      <c r="IC56" s="4"/>
      <c r="ID56" s="4"/>
      <c r="IE56" s="4"/>
      <c r="IF56" s="4"/>
      <c r="IG56" s="4"/>
      <c r="IH56" s="4"/>
      <c r="II56" s="4"/>
      <c r="IJ56" s="4"/>
      <c r="IK56" s="4"/>
      <c r="IL56" s="4"/>
      <c r="IM56" s="4"/>
      <c r="IN56" s="4"/>
      <c r="IO56" s="4"/>
      <c r="IP56" s="4"/>
      <c r="IQ56" s="4"/>
      <c r="IR56" s="4"/>
      <c r="IS56" s="4"/>
      <c r="IT56" s="4"/>
      <c r="IU56" s="4"/>
      <c r="IV56" s="4"/>
    </row>
    <row r="57" spans="1:256" s="66" customFormat="1" ht="11.25" customHeight="1">
      <c r="A57" s="577" t="s">
        <v>145</v>
      </c>
      <c r="B57" s="99"/>
      <c r="C57" s="87"/>
      <c r="D57" s="88"/>
      <c r="E57" s="88"/>
      <c r="F57" s="88"/>
      <c r="G57" s="99"/>
      <c r="H57" s="87"/>
      <c r="I57" s="88"/>
      <c r="J57" s="88"/>
      <c r="K57" s="91"/>
      <c r="L57" s="272"/>
      <c r="M57" s="87"/>
      <c r="N57" s="88"/>
      <c r="O57" s="92"/>
      <c r="P57" s="88"/>
      <c r="Q57" s="99"/>
      <c r="R57" s="88"/>
      <c r="S57" s="391"/>
      <c r="T57" s="88"/>
      <c r="U57" s="91"/>
      <c r="V57" s="143">
        <f t="shared" ref="V57:AA57" si="88">V55+V59</f>
        <v>0</v>
      </c>
      <c r="W57" s="88">
        <f t="shared" si="88"/>
        <v>0</v>
      </c>
      <c r="X57" s="88">
        <f t="shared" si="88"/>
        <v>0</v>
      </c>
      <c r="Y57" s="88">
        <f t="shared" si="88"/>
        <v>0</v>
      </c>
      <c r="Z57" s="88">
        <f t="shared" si="88"/>
        <v>0</v>
      </c>
      <c r="AA57" s="99">
        <f t="shared" si="88"/>
        <v>339.11154999999968</v>
      </c>
      <c r="AB57" s="88">
        <f t="shared" ref="AB57:AX57" si="89">AB55+AB59</f>
        <v>-60.014300000000155</v>
      </c>
      <c r="AC57" s="88">
        <f t="shared" si="89"/>
        <v>18.926799999999858</v>
      </c>
      <c r="AD57" s="88">
        <f t="shared" si="89"/>
        <v>13.245999999999704</v>
      </c>
      <c r="AE57" s="88">
        <f t="shared" si="89"/>
        <v>-93.835300000000245</v>
      </c>
      <c r="AF57" s="99">
        <f t="shared" si="89"/>
        <v>-121.67680000000075</v>
      </c>
      <c r="AG57" s="88">
        <f t="shared" si="89"/>
        <v>4.0759999999999685</v>
      </c>
      <c r="AH57" s="88">
        <f t="shared" si="89"/>
        <v>27.291999999999952</v>
      </c>
      <c r="AI57" s="88">
        <f t="shared" si="89"/>
        <v>27.488000000000007</v>
      </c>
      <c r="AJ57" s="88">
        <f t="shared" si="89"/>
        <v>31.905999999999963</v>
      </c>
      <c r="AK57" s="541">
        <f>AK55+AK59</f>
        <v>89.761999999999659</v>
      </c>
      <c r="AL57" s="88">
        <f t="shared" si="89"/>
        <v>8.5999999999999694</v>
      </c>
      <c r="AM57" s="88">
        <f t="shared" si="89"/>
        <v>25.942000000000004</v>
      </c>
      <c r="AN57" s="88">
        <f t="shared" si="89"/>
        <v>20.09100000000014</v>
      </c>
      <c r="AO57" s="88">
        <f t="shared" si="89"/>
        <v>5.7419999999999085</v>
      </c>
      <c r="AP57" s="541">
        <f>AP55+AP59</f>
        <v>60.375000000000405</v>
      </c>
      <c r="AQ57" s="88">
        <f t="shared" si="89"/>
        <v>9.4400000000000404</v>
      </c>
      <c r="AR57" s="88">
        <f t="shared" si="89"/>
        <v>18.905000000000186</v>
      </c>
      <c r="AS57" s="88">
        <f t="shared" si="89"/>
        <v>11.033999999999875</v>
      </c>
      <c r="AT57" s="88">
        <f t="shared" si="89"/>
        <v>16.119000000000085</v>
      </c>
      <c r="AU57" s="541">
        <f>AU55+AU59</f>
        <v>62.454999999999636</v>
      </c>
      <c r="AV57" s="88">
        <f t="shared" si="89"/>
        <v>3.2850000000001547</v>
      </c>
      <c r="AW57" s="88">
        <f t="shared" si="89"/>
        <v>19.220999999999854</v>
      </c>
      <c r="AX57" s="88">
        <f t="shared" si="89"/>
        <v>11.289999999999889</v>
      </c>
      <c r="AY57" s="88">
        <f>AY55+AY59</f>
        <v>33.628999999999948</v>
      </c>
      <c r="AZ57" s="541">
        <f>SUM(AV57:AY57)</f>
        <v>67.424999999999841</v>
      </c>
      <c r="BA57" s="88">
        <f t="shared" ref="BA57:BJ57" si="90">BA55+BA59</f>
        <v>4.0600000000001</v>
      </c>
      <c r="BB57" s="88">
        <f t="shared" si="90"/>
        <v>29.348999999999968</v>
      </c>
      <c r="BC57" s="88">
        <f t="shared" si="90"/>
        <v>26.662999999999947</v>
      </c>
      <c r="BD57" s="88">
        <f t="shared" si="90"/>
        <v>35.715999999999823</v>
      </c>
      <c r="BE57" s="541">
        <f t="shared" si="90"/>
        <v>95.770000000000692</v>
      </c>
      <c r="BF57" s="88">
        <f>BF55+BF59</f>
        <v>12.917000000000009</v>
      </c>
      <c r="BG57" s="88">
        <f>BG55+BG59</f>
        <v>30.848000000000095</v>
      </c>
      <c r="BH57" s="88">
        <f t="shared" si="90"/>
        <v>28.888999999999996</v>
      </c>
      <c r="BI57" s="88">
        <f>BI55+BI59</f>
        <v>36.952000000000041</v>
      </c>
      <c r="BJ57" s="541">
        <f t="shared" si="90"/>
        <v>109.65899999999969</v>
      </c>
      <c r="BK57" s="88">
        <f>BK55+BK59</f>
        <v>22.367999999999999</v>
      </c>
      <c r="BL57" s="88">
        <f>BL55+BL59</f>
        <v>28.701000000000001</v>
      </c>
      <c r="BM57" s="88">
        <f>BM55+BM59</f>
        <v>25.643999999999998</v>
      </c>
      <c r="BN57" s="88">
        <f>BN55+BN59</f>
        <v>33.107999999999997</v>
      </c>
      <c r="BO57" s="541">
        <f t="shared" ref="BO57:BT57" si="91">BO55+BO59</f>
        <v>109.7940000000002</v>
      </c>
      <c r="BP57" s="88">
        <f t="shared" si="91"/>
        <v>29.289000000000005</v>
      </c>
      <c r="BQ57" s="88">
        <f>BQ55+BQ59</f>
        <v>27.972199999999962</v>
      </c>
      <c r="BR57" s="88">
        <f t="shared" si="91"/>
        <v>29.421999999999954</v>
      </c>
      <c r="BS57" s="88">
        <f>BS55+BS59</f>
        <v>20.436</v>
      </c>
      <c r="BT57" s="541">
        <f t="shared" si="91"/>
        <v>107.11919999999974</v>
      </c>
      <c r="BU57" s="88">
        <f>BU55+BU59</f>
        <v>22.039999999999946</v>
      </c>
      <c r="BV57" s="88">
        <f t="shared" ref="BV57:CD57" si="92">BV55+BV59</f>
        <v>37.153000000000048</v>
      </c>
      <c r="BW57" s="88">
        <f t="shared" si="92"/>
        <v>22.220999999999982</v>
      </c>
      <c r="BX57" s="88">
        <f t="shared" si="92"/>
        <v>27.337999999999994</v>
      </c>
      <c r="BY57" s="541">
        <f t="shared" si="92"/>
        <v>108.17899999999992</v>
      </c>
      <c r="BZ57" s="93">
        <f t="shared" si="92"/>
        <v>25.662528937825464</v>
      </c>
      <c r="CA57" s="93">
        <f t="shared" si="92"/>
        <v>40.424415721898406</v>
      </c>
      <c r="CB57" s="93">
        <f t="shared" si="92"/>
        <v>35.406874904106694</v>
      </c>
      <c r="CC57" s="93">
        <f t="shared" si="92"/>
        <v>37.241929232432476</v>
      </c>
      <c r="CD57" s="541">
        <f t="shared" si="92"/>
        <v>138.73574879626321</v>
      </c>
      <c r="CE57" s="93">
        <f t="shared" ref="CE57:CN57" si="93">CE55+CE59</f>
        <v>33.031959524016187</v>
      </c>
      <c r="CF57" s="93">
        <f t="shared" si="93"/>
        <v>47.443041957630058</v>
      </c>
      <c r="CG57" s="93">
        <f t="shared" si="93"/>
        <v>42.39559865029549</v>
      </c>
      <c r="CH57" s="93">
        <f t="shared" si="93"/>
        <v>44.624396331534754</v>
      </c>
      <c r="CI57" s="541">
        <f t="shared" si="93"/>
        <v>167.49499646347661</v>
      </c>
      <c r="CJ57" s="93">
        <f t="shared" si="93"/>
        <v>41.620140040397104</v>
      </c>
      <c r="CK57" s="93">
        <f t="shared" si="93"/>
        <v>55.787761049600505</v>
      </c>
      <c r="CL57" s="93">
        <f t="shared" si="93"/>
        <v>50.827714761643108</v>
      </c>
      <c r="CM57" s="93">
        <f t="shared" si="93"/>
        <v>53.573994427272325</v>
      </c>
      <c r="CN57" s="541">
        <f t="shared" si="93"/>
        <v>201.80961027891317</v>
      </c>
      <c r="CO57" s="72"/>
      <c r="CR57" s="577" t="s">
        <v>145</v>
      </c>
      <c r="CS57" s="88">
        <f t="shared" si="70"/>
        <v>27.337999999999994</v>
      </c>
      <c r="CT57" s="93">
        <v>29.119069527237961</v>
      </c>
      <c r="CU57" s="121">
        <f t="shared" si="21"/>
        <v>-1.7810695272379675</v>
      </c>
      <c r="CV57" s="88">
        <f t="shared" si="71"/>
        <v>20.436</v>
      </c>
      <c r="CW57" s="153">
        <f t="shared" si="28"/>
        <v>0.33773732628694431</v>
      </c>
      <c r="DB57"/>
      <c r="DC57"/>
      <c r="DD57"/>
      <c r="DE57"/>
      <c r="DF57"/>
      <c r="DG57"/>
      <c r="HQ57" s="6"/>
      <c r="HR57" s="6"/>
      <c r="HS57" s="6"/>
      <c r="HT57" s="6"/>
      <c r="HU57" s="6"/>
      <c r="HV57" s="6"/>
      <c r="HW57" s="6"/>
      <c r="HX57" s="6"/>
      <c r="HY57" s="6"/>
      <c r="HZ57" s="6"/>
      <c r="IA57" s="6"/>
      <c r="IB57" s="6"/>
      <c r="IC57" s="6"/>
      <c r="ID57" s="6"/>
      <c r="IE57" s="6"/>
      <c r="IF57" s="6"/>
      <c r="IG57" s="6"/>
      <c r="IH57" s="6"/>
      <c r="II57" s="6"/>
      <c r="IJ57" s="6"/>
      <c r="IK57" s="6"/>
      <c r="IL57" s="6"/>
      <c r="IM57" s="6"/>
      <c r="IN57" s="6"/>
      <c r="IO57" s="6"/>
      <c r="IP57" s="6"/>
      <c r="IQ57" s="6"/>
      <c r="IR57" s="6"/>
      <c r="IS57" s="6"/>
      <c r="IT57" s="6"/>
      <c r="IU57" s="6"/>
      <c r="IV57" s="6"/>
    </row>
    <row r="58" spans="1:256" s="66" customFormat="1" ht="11.25" customHeight="1">
      <c r="A58" s="577" t="s">
        <v>418</v>
      </c>
      <c r="B58" s="99"/>
      <c r="C58" s="87"/>
      <c r="D58" s="88"/>
      <c r="E58" s="88"/>
      <c r="F58" s="88"/>
      <c r="G58" s="99"/>
      <c r="H58" s="87"/>
      <c r="I58" s="88"/>
      <c r="J58" s="88"/>
      <c r="K58" s="91"/>
      <c r="L58" s="272"/>
      <c r="M58" s="87"/>
      <c r="N58" s="88"/>
      <c r="O58" s="92"/>
      <c r="P58" s="88"/>
      <c r="Q58" s="99"/>
      <c r="R58" s="88"/>
      <c r="S58" s="88"/>
      <c r="T58" s="88"/>
      <c r="U58" s="91"/>
      <c r="V58" s="143">
        <f>SUM(R58:U58)</f>
        <v>0</v>
      </c>
      <c r="W58" s="88"/>
      <c r="X58" s="88"/>
      <c r="Y58" s="88"/>
      <c r="Z58" s="88"/>
      <c r="AA58" s="99">
        <f>AA31+AA35+AA36</f>
        <v>120.10700000000001</v>
      </c>
      <c r="AB58" s="88">
        <f>AB31+AB35+AB36</f>
        <v>7.798</v>
      </c>
      <c r="AC58" s="88">
        <f>AC31+AC35+AC36</f>
        <v>10.012</v>
      </c>
      <c r="AD58" s="88">
        <f>AD31+AD35+AD36+AD32+AD33</f>
        <v>85.199999999999989</v>
      </c>
      <c r="AE58" s="88">
        <f>AE31+AE35+AE36+AE32+AE33</f>
        <v>466.75799999999998</v>
      </c>
      <c r="AF58" s="99">
        <f>SUM(AB58:AE58)</f>
        <v>569.76800000000003</v>
      </c>
      <c r="AG58" s="88">
        <v>26</v>
      </c>
      <c r="AH58" s="88">
        <v>20</v>
      </c>
      <c r="AI58" s="88">
        <v>20.6</v>
      </c>
      <c r="AJ58" s="88">
        <v>71.7</v>
      </c>
      <c r="AK58" s="541">
        <f>SUM(AG58:AJ58)</f>
        <v>138.30000000000001</v>
      </c>
      <c r="AL58" s="88">
        <v>19</v>
      </c>
      <c r="AM58" s="88">
        <v>24.6</v>
      </c>
      <c r="AN58" s="88">
        <f>AN33</f>
        <v>27.408999999999999</v>
      </c>
      <c r="AO58" s="88">
        <f>AO31+AO35+AO36+AO33</f>
        <v>28.053000000000001</v>
      </c>
      <c r="AP58" s="541">
        <f>SUM(AL58:AO58)</f>
        <v>99.061999999999998</v>
      </c>
      <c r="AQ58" s="88">
        <f>7.897+1.884</f>
        <v>9.7810000000000006</v>
      </c>
      <c r="AR58" s="88">
        <f>AR31+AR35+AR36+AR33</f>
        <v>5.4039999999999999</v>
      </c>
      <c r="AS58" s="88">
        <f>AS37-0.365</f>
        <v>0</v>
      </c>
      <c r="AT58" s="88">
        <f>AT31+AT35+AT36</f>
        <v>14.949</v>
      </c>
      <c r="AU58" s="541">
        <f>SUM(AQ58:AT58)</f>
        <v>30.134</v>
      </c>
      <c r="AV58" s="88">
        <f>-27.407+4.511+5.531+0.612</f>
        <v>-16.753000000000004</v>
      </c>
      <c r="AW58" s="88">
        <f>AW31+AW35+AW36</f>
        <v>9.9879999999999995</v>
      </c>
      <c r="AX58" s="88">
        <f>AX31+AX35+AX36+AX45</f>
        <v>61.311</v>
      </c>
      <c r="AY58" s="88">
        <f>AY31+AY35+AY36+AY45</f>
        <v>13.47</v>
      </c>
      <c r="AZ58" s="541">
        <f>AZ31+AZ35+AZ36</f>
        <v>41.031000000000006</v>
      </c>
      <c r="BA58" s="88">
        <f>BA31+BA35+BA36</f>
        <v>3.0379999999999998</v>
      </c>
      <c r="BB58" s="88">
        <f>BB31+BB35+BB36+BB45</f>
        <v>27.395999999999997</v>
      </c>
      <c r="BC58" s="88">
        <f>BC33+BC31+BC35+BC36+BC45</f>
        <v>27.601999999999997</v>
      </c>
      <c r="BD58" s="88">
        <f>BD32+BD33+BD31+BD35+BD36</f>
        <v>12.614999999999998</v>
      </c>
      <c r="BE58" s="541">
        <f>BE31+BE35+BE36</f>
        <v>24.355999999999998</v>
      </c>
      <c r="BF58" s="88">
        <f>BF31+BF35+BF36</f>
        <v>14.711</v>
      </c>
      <c r="BG58" s="88">
        <f>BG31+BG35+BG36</f>
        <v>0.88300000000000001</v>
      </c>
      <c r="BH58" s="88">
        <f>BH31+BH35+BH36</f>
        <v>7.52</v>
      </c>
      <c r="BI58" s="88">
        <f>BI31+BI35+BI36</f>
        <v>6.53</v>
      </c>
      <c r="BJ58" s="541">
        <f>SUM(BF58:BI58)</f>
        <v>29.644000000000002</v>
      </c>
      <c r="BK58" s="88">
        <f>1.937+4.613+-0.176+0.805</f>
        <v>7.1790000000000003</v>
      </c>
      <c r="BL58" s="88">
        <f>-6.145+-4.479+-3.842+-2.629+13.219</f>
        <v>-3.8759999999999994</v>
      </c>
      <c r="BM58" s="88">
        <f>-11.34+-3.533+-1.519+-0.929</f>
        <v>-17.320999999999998</v>
      </c>
      <c r="BN58" s="88">
        <f>38.591+30.594+-7.127+-3.271+-1.94+-1.261+-0.013</f>
        <v>55.573</v>
      </c>
      <c r="BO58" s="541">
        <f>SUM(BK58:BN58)</f>
        <v>41.555000000000007</v>
      </c>
      <c r="BP58" s="88">
        <f>7.105+3.25+1.822+-8.426</f>
        <v>3.7509999999999994</v>
      </c>
      <c r="BQ58" s="88">
        <f>BQ31+BQ35+BQ36</f>
        <v>2.4870000000000001</v>
      </c>
      <c r="BR58" s="88">
        <f>BR370</f>
        <v>-35.551000000000002</v>
      </c>
      <c r="BS58" s="88">
        <f>BS370</f>
        <v>-18.689999999999998</v>
      </c>
      <c r="BT58" s="541">
        <f>SUM(BP58:BS58)</f>
        <v>-48.003</v>
      </c>
      <c r="BU58" s="88">
        <f>BU370</f>
        <v>-0.2669999999999999</v>
      </c>
      <c r="BV58" s="88">
        <f>BV370</f>
        <v>59</v>
      </c>
      <c r="BW58" s="88">
        <f>BW370</f>
        <v>3.7739999999999996</v>
      </c>
      <c r="BX58" s="88">
        <f>BX370</f>
        <v>3.87</v>
      </c>
      <c r="BY58" s="541">
        <f>SUM(BU58:BX58)</f>
        <v>66.376999999999995</v>
      </c>
      <c r="BZ58" s="93">
        <f>BZ31+BZ35+BZ36</f>
        <v>3.125</v>
      </c>
      <c r="CA58" s="93">
        <f>CA31+CA35+CA36</f>
        <v>3.125</v>
      </c>
      <c r="CB58" s="93">
        <f>CB31+CB35+CB36</f>
        <v>3.125</v>
      </c>
      <c r="CC58" s="93">
        <f>CC31+CC35+CC36</f>
        <v>3.125</v>
      </c>
      <c r="CD58" s="541">
        <f>SUM(BZ58:CC58)</f>
        <v>12.5</v>
      </c>
      <c r="CE58" s="93">
        <f>CE31+CE35+CE36</f>
        <v>0</v>
      </c>
      <c r="CF58" s="93">
        <f>CF31+CF35+CF36</f>
        <v>0</v>
      </c>
      <c r="CG58" s="93">
        <f>CG31+CG35+CG36</f>
        <v>0</v>
      </c>
      <c r="CH58" s="93">
        <f>CH31+CH35+CH36</f>
        <v>0</v>
      </c>
      <c r="CI58" s="541">
        <f>SUM(CE58:CH58)</f>
        <v>0</v>
      </c>
      <c r="CJ58" s="93">
        <f>CJ31+CJ35+CJ36</f>
        <v>0</v>
      </c>
      <c r="CK58" s="93">
        <f>CK31+CK35+CK36</f>
        <v>0</v>
      </c>
      <c r="CL58" s="93">
        <f>CL31+CL35+CL36</f>
        <v>0</v>
      </c>
      <c r="CM58" s="93">
        <f>CM31+CM35+CM36</f>
        <v>0</v>
      </c>
      <c r="CN58" s="541">
        <f>SUM(CJ58:CM58)</f>
        <v>0</v>
      </c>
      <c r="CO58" s="72"/>
      <c r="CR58" s="577" t="s">
        <v>418</v>
      </c>
      <c r="CS58" s="88">
        <f t="shared" si="70"/>
        <v>3.87</v>
      </c>
      <c r="CT58" s="93">
        <v>0</v>
      </c>
      <c r="CU58" s="121">
        <f t="shared" si="21"/>
        <v>3.87</v>
      </c>
      <c r="CV58" s="88">
        <f t="shared" si="71"/>
        <v>-18.689999999999998</v>
      </c>
      <c r="CW58" s="153"/>
      <c r="DB58"/>
      <c r="DC58"/>
      <c r="DD58"/>
      <c r="DE58"/>
      <c r="DF58"/>
      <c r="DG58"/>
      <c r="HQ58" s="6"/>
      <c r="HR58" s="6"/>
      <c r="HS58" s="6"/>
      <c r="HT58" s="6"/>
      <c r="HU58" s="6"/>
      <c r="HV58" s="6"/>
      <c r="HW58" s="6"/>
      <c r="HX58" s="6"/>
      <c r="HY58" s="6"/>
      <c r="HZ58" s="6"/>
      <c r="IA58" s="6"/>
      <c r="IB58" s="6"/>
      <c r="IC58" s="6"/>
      <c r="ID58" s="6"/>
      <c r="IE58" s="6"/>
      <c r="IF58" s="6"/>
      <c r="IG58" s="6"/>
      <c r="IH58" s="6"/>
      <c r="II58" s="6"/>
      <c r="IJ58" s="6"/>
      <c r="IK58" s="6"/>
      <c r="IL58" s="6"/>
      <c r="IM58" s="6"/>
      <c r="IN58" s="6"/>
      <c r="IO58" s="6"/>
      <c r="IP58" s="6"/>
      <c r="IQ58" s="6"/>
      <c r="IR58" s="6"/>
      <c r="IS58" s="6"/>
      <c r="IT58" s="6"/>
      <c r="IU58" s="6"/>
      <c r="IV58" s="6"/>
    </row>
    <row r="59" spans="1:256" s="66" customFormat="1" ht="11.25" customHeight="1">
      <c r="A59" s="577" t="s">
        <v>413</v>
      </c>
      <c r="B59" s="121"/>
      <c r="C59" s="87"/>
      <c r="D59" s="88"/>
      <c r="E59" s="88"/>
      <c r="F59" s="88"/>
      <c r="G59" s="121"/>
      <c r="H59" s="87"/>
      <c r="I59" s="88"/>
      <c r="J59" s="88"/>
      <c r="K59" s="91"/>
      <c r="L59" s="87"/>
      <c r="M59" s="87"/>
      <c r="N59" s="88"/>
      <c r="O59" s="92"/>
      <c r="P59" s="88"/>
      <c r="Q59" s="121"/>
      <c r="R59" s="88"/>
      <c r="S59" s="46"/>
      <c r="T59" s="88"/>
      <c r="U59" s="91"/>
      <c r="V59" s="91"/>
      <c r="W59" s="88"/>
      <c r="X59" s="88"/>
      <c r="Y59" s="88"/>
      <c r="Z59" s="88"/>
      <c r="AA59" s="121">
        <f>AA58*(1-0.35)</f>
        <v>78.069550000000007</v>
      </c>
      <c r="AB59" s="88">
        <f>AB58*(1-0.35)</f>
        <v>5.0686999999999998</v>
      </c>
      <c r="AC59" s="88">
        <f>AC58*(1-0.35)</f>
        <v>6.5078000000000005</v>
      </c>
      <c r="AD59" s="88">
        <f>AD58*(1-0.35)</f>
        <v>55.379999999999995</v>
      </c>
      <c r="AE59" s="88">
        <f>AE58*(1-0.35)</f>
        <v>303.39269999999999</v>
      </c>
      <c r="AF59" s="121">
        <f>SUM(AB59:AE59)</f>
        <v>370.3492</v>
      </c>
      <c r="AG59" s="88">
        <v>15</v>
      </c>
      <c r="AH59" s="88">
        <v>12.4</v>
      </c>
      <c r="AI59" s="88">
        <v>12.8</v>
      </c>
      <c r="AJ59" s="88">
        <v>45.5</v>
      </c>
      <c r="AK59" s="545">
        <v>84.7</v>
      </c>
      <c r="AL59" s="88">
        <v>12</v>
      </c>
      <c r="AM59" s="88">
        <v>15.2</v>
      </c>
      <c r="AN59" s="88">
        <f>AP59-AO59-AM59-AL59</f>
        <v>21</v>
      </c>
      <c r="AO59" s="88">
        <v>16.5</v>
      </c>
      <c r="AP59" s="545">
        <v>64.7</v>
      </c>
      <c r="AQ59" s="88">
        <f>0+4.873+1.187+4.97-1.434</f>
        <v>9.5960000000000019</v>
      </c>
      <c r="AR59" s="88">
        <v>7.6</v>
      </c>
      <c r="AS59" s="88">
        <v>15</v>
      </c>
      <c r="AT59" s="88">
        <v>12.135</v>
      </c>
      <c r="AU59" s="545">
        <f>SUM(AQ59:AT59)</f>
        <v>44.330999999999996</v>
      </c>
      <c r="AV59" s="88">
        <f>-17.978+2.783+3.429+0.379+2.384</f>
        <v>-9.0030000000000019</v>
      </c>
      <c r="AW59" s="88">
        <f>15.621+2.018+0.911+5.817+0.347</f>
        <v>24.714000000000002</v>
      </c>
      <c r="AX59" s="88">
        <f>30.926+6.977+0.089-0.53</f>
        <v>37.461999999999996</v>
      </c>
      <c r="AY59" s="88">
        <f>8.311+8.216-5.439-2.868-AY54</f>
        <v>7.2410000000000005</v>
      </c>
      <c r="AZ59" s="545">
        <f>SUM(AV59:AY59)</f>
        <v>60.413999999999994</v>
      </c>
      <c r="BA59" s="88">
        <f>1.9</f>
        <v>1.9</v>
      </c>
      <c r="BB59" s="88">
        <f>13.137+3.986</f>
        <v>17.123000000000001</v>
      </c>
      <c r="BC59" s="88">
        <f>24.99+3.332+0.503</f>
        <v>28.824999999999999</v>
      </c>
      <c r="BD59" s="88">
        <f>9.207+8.286+6.567+4.692-11.555-14.55</f>
        <v>2.647000000000002</v>
      </c>
      <c r="BE59" s="545">
        <f>SUM(BA59:BD59)</f>
        <v>50.495000000000005</v>
      </c>
      <c r="BF59" s="88">
        <f>-26.156+0.205-7.435</f>
        <v>-33.386000000000003</v>
      </c>
      <c r="BG59" s="88">
        <v>1.841</v>
      </c>
      <c r="BH59" s="88">
        <f>4.077+2.103-0.121</f>
        <v>6.0589999999999993</v>
      </c>
      <c r="BI59" s="88">
        <f>7.242+4.47+1.946</f>
        <v>13.657999999999999</v>
      </c>
      <c r="BJ59" s="545">
        <f>SUM(BF59:BI59)</f>
        <v>-11.828000000000005</v>
      </c>
      <c r="BK59" s="88">
        <f>22.368-BK55</f>
        <v>-5.1389999999999993</v>
      </c>
      <c r="BL59" s="88">
        <f>28.701-BL55</f>
        <v>-11.493999999999993</v>
      </c>
      <c r="BM59" s="88">
        <f>25.644-BM55</f>
        <v>18.059999999999977</v>
      </c>
      <c r="BN59" s="88">
        <f>33.108-BN55</f>
        <v>-52.748000000000026</v>
      </c>
      <c r="BO59" s="545">
        <f>SUM(BK59:BN59)</f>
        <v>-51.321000000000041</v>
      </c>
      <c r="BP59" s="88">
        <f>BP58+0.175</f>
        <v>3.9259999999999993</v>
      </c>
      <c r="BQ59" s="88">
        <f>BQ58*(1-40%)</f>
        <v>1.4922</v>
      </c>
      <c r="BR59" s="88">
        <f>BR58+16.083</f>
        <v>-19.468000000000004</v>
      </c>
      <c r="BS59" s="88">
        <f>BS58+BS371</f>
        <v>-8.4539999999999971</v>
      </c>
      <c r="BT59" s="545">
        <f>SUM(BP59:BS59)</f>
        <v>-22.503800000000002</v>
      </c>
      <c r="BU59" s="88">
        <f>BU58+BU371</f>
        <v>-0.30099999999999993</v>
      </c>
      <c r="BV59" s="88">
        <f>BV58+BV371</f>
        <v>38.998000000000005</v>
      </c>
      <c r="BW59" s="88">
        <f>BW58+BW371</f>
        <v>7.9640000000000004</v>
      </c>
      <c r="BX59" s="88">
        <f>BX58+BX371</f>
        <v>-131.93799999999999</v>
      </c>
      <c r="BY59" s="545">
        <f>SUM(BU59:BX59)</f>
        <v>-85.276999999999987</v>
      </c>
      <c r="BZ59" s="93">
        <f>BZ58*(1-40%)</f>
        <v>1.875</v>
      </c>
      <c r="CA59" s="93">
        <f>CA58*(1-40%)</f>
        <v>1.875</v>
      </c>
      <c r="CB59" s="93">
        <f>CB58*(1-40%)</f>
        <v>1.875</v>
      </c>
      <c r="CC59" s="93">
        <f>CC58*(1-40%)</f>
        <v>1.875</v>
      </c>
      <c r="CD59" s="545">
        <f>SUM(BZ59:CC59)</f>
        <v>7.5</v>
      </c>
      <c r="CE59" s="93">
        <f>CE58*(1-40%)</f>
        <v>0</v>
      </c>
      <c r="CF59" s="93">
        <f>CF58*(1-40%)</f>
        <v>0</v>
      </c>
      <c r="CG59" s="93">
        <f>CG58*(1-40%)</f>
        <v>0</v>
      </c>
      <c r="CH59" s="93">
        <f>CH58*(1-40%)</f>
        <v>0</v>
      </c>
      <c r="CI59" s="545">
        <f>SUM(CE59:CH59)</f>
        <v>0</v>
      </c>
      <c r="CJ59" s="93">
        <f>CJ58*(1-40%)</f>
        <v>0</v>
      </c>
      <c r="CK59" s="93">
        <f>CK58*(1-40%)</f>
        <v>0</v>
      </c>
      <c r="CL59" s="93">
        <f>CL58*(1-40%)</f>
        <v>0</v>
      </c>
      <c r="CM59" s="93">
        <f>CM58*(1-40%)</f>
        <v>0</v>
      </c>
      <c r="CN59" s="545">
        <f>SUM(CJ59:CM59)</f>
        <v>0</v>
      </c>
      <c r="CO59" s="70"/>
      <c r="CR59" s="577" t="s">
        <v>419</v>
      </c>
      <c r="CS59" s="88">
        <f t="shared" si="70"/>
        <v>-131.93799999999999</v>
      </c>
      <c r="CT59" s="93">
        <v>0</v>
      </c>
      <c r="CU59" s="121">
        <f t="shared" si="21"/>
        <v>-131.93799999999999</v>
      </c>
      <c r="CV59" s="88">
        <f t="shared" si="71"/>
        <v>-8.4539999999999971</v>
      </c>
      <c r="CW59" s="153">
        <f t="shared" si="28"/>
        <v>14.606576768393664</v>
      </c>
      <c r="DB59"/>
      <c r="DC59"/>
      <c r="DD59"/>
      <c r="DE59"/>
      <c r="DF59"/>
      <c r="DG59"/>
      <c r="HQ59" s="6"/>
      <c r="HR59" s="6"/>
      <c r="HS59" s="6"/>
      <c r="HT59" s="6"/>
      <c r="HU59" s="6"/>
      <c r="HV59" s="6"/>
      <c r="HW59" s="6"/>
      <c r="HX59" s="6"/>
      <c r="HY59" s="6"/>
      <c r="HZ59" s="6"/>
      <c r="IA59" s="6"/>
      <c r="IB59" s="6"/>
      <c r="IC59" s="6"/>
      <c r="ID59" s="6"/>
      <c r="IE59" s="6"/>
      <c r="IF59" s="6"/>
      <c r="IG59" s="6"/>
      <c r="IH59" s="6"/>
      <c r="II59" s="6"/>
      <c r="IJ59" s="6"/>
      <c r="IK59" s="6"/>
      <c r="IL59" s="6"/>
      <c r="IM59" s="6"/>
      <c r="IN59" s="6"/>
      <c r="IO59" s="6"/>
      <c r="IP59" s="6"/>
      <c r="IQ59" s="6"/>
      <c r="IR59" s="6"/>
      <c r="IS59" s="6"/>
      <c r="IT59" s="6"/>
      <c r="IU59" s="6"/>
      <c r="IV59" s="6"/>
    </row>
    <row r="60" spans="1:256" s="66" customFormat="1" ht="11.25" customHeight="1">
      <c r="A60" s="577" t="s">
        <v>178</v>
      </c>
      <c r="B60" s="121"/>
      <c r="C60" s="87"/>
      <c r="D60" s="88"/>
      <c r="E60" s="88"/>
      <c r="F60" s="88"/>
      <c r="G60" s="121"/>
      <c r="H60" s="87"/>
      <c r="I60" s="88"/>
      <c r="J60" s="88"/>
      <c r="K60" s="91"/>
      <c r="L60" s="87"/>
      <c r="M60" s="87"/>
      <c r="N60" s="88"/>
      <c r="O60" s="92"/>
      <c r="P60" s="88"/>
      <c r="Q60" s="121"/>
      <c r="R60" s="88"/>
      <c r="S60" s="46"/>
      <c r="T60" s="88"/>
      <c r="U60" s="91"/>
      <c r="V60" s="91"/>
      <c r="W60" s="88"/>
      <c r="X60" s="88"/>
      <c r="Y60" s="88"/>
      <c r="Z60" s="88"/>
      <c r="AA60" s="121"/>
      <c r="AB60" s="88"/>
      <c r="AC60" s="88"/>
      <c r="AD60" s="88"/>
      <c r="AE60" s="88"/>
      <c r="AF60" s="121"/>
      <c r="AG60" s="88"/>
      <c r="AH60" s="88"/>
      <c r="AI60" s="88"/>
      <c r="AJ60" s="88"/>
      <c r="AK60" s="545"/>
      <c r="AL60" s="88"/>
      <c r="AM60" s="88"/>
      <c r="AN60" s="88"/>
      <c r="AO60" s="88"/>
      <c r="AP60" s="545"/>
      <c r="AQ60" s="88"/>
      <c r="AR60" s="88"/>
      <c r="AS60" s="88"/>
      <c r="AT60" s="88"/>
      <c r="AU60" s="545"/>
      <c r="AV60" s="88"/>
      <c r="AW60" s="88"/>
      <c r="AX60" s="88"/>
      <c r="AY60" s="88"/>
      <c r="AZ60" s="545"/>
      <c r="BA60" s="88">
        <v>9.0679999999999996</v>
      </c>
      <c r="BB60" s="88">
        <v>2.6539999999999999</v>
      </c>
      <c r="BC60" s="88">
        <v>3.5910000000000002</v>
      </c>
      <c r="BD60" s="88">
        <v>8.51</v>
      </c>
      <c r="BE60" s="545">
        <f>SUM(BA60:BD60)</f>
        <v>23.823</v>
      </c>
      <c r="BF60" s="88">
        <v>5.8970000000000002</v>
      </c>
      <c r="BG60" s="88">
        <v>3.3690000000000002</v>
      </c>
      <c r="BH60" s="88">
        <v>0.72799999999999998</v>
      </c>
      <c r="BI60" s="88">
        <v>1.946</v>
      </c>
      <c r="BJ60" s="545">
        <f>SUM(BF60:BI60)</f>
        <v>11.94</v>
      </c>
      <c r="BK60" s="88">
        <v>0.109</v>
      </c>
      <c r="BL60" s="88">
        <f>BL366</f>
        <v>2.629</v>
      </c>
      <c r="BM60" s="88">
        <f>BM149*(1-BM95)</f>
        <v>1.0292024455077105</v>
      </c>
      <c r="BN60" s="88">
        <f t="shared" ref="BN60:CC60" si="94">BN149*(1-BN95)</f>
        <v>0.80394035834840738</v>
      </c>
      <c r="BO60" s="545">
        <f>SUM(BK60:BN60)</f>
        <v>4.5711428038561177</v>
      </c>
      <c r="BP60" s="88">
        <f t="shared" si="94"/>
        <v>1.284291756989606</v>
      </c>
      <c r="BQ60" s="88">
        <f t="shared" si="94"/>
        <v>0.98942195756551554</v>
      </c>
      <c r="BR60" s="88">
        <f t="shared" si="94"/>
        <v>1.8399293558538306</v>
      </c>
      <c r="BS60" s="88">
        <f t="shared" si="94"/>
        <v>2.6021623064602242</v>
      </c>
      <c r="BT60" s="545">
        <f>SUM(BP60:BS60)</f>
        <v>6.7158053768691763</v>
      </c>
      <c r="BU60" s="88">
        <f t="shared" ref="BU60:BW60" si="95">BU149*(1-BU95)</f>
        <v>0</v>
      </c>
      <c r="BV60" s="88">
        <f t="shared" si="95"/>
        <v>0</v>
      </c>
      <c r="BW60" s="88">
        <f t="shared" si="95"/>
        <v>0</v>
      </c>
      <c r="BX60" s="88">
        <f t="shared" si="94"/>
        <v>0</v>
      </c>
      <c r="BY60" s="545">
        <f>SUM(BU60:BX60)</f>
        <v>0</v>
      </c>
      <c r="BZ60" s="93">
        <f t="shared" si="94"/>
        <v>0</v>
      </c>
      <c r="CA60" s="93">
        <f t="shared" si="94"/>
        <v>0</v>
      </c>
      <c r="CB60" s="93">
        <f t="shared" si="94"/>
        <v>0</v>
      </c>
      <c r="CC60" s="93">
        <f t="shared" si="94"/>
        <v>0</v>
      </c>
      <c r="CD60" s="545">
        <f>SUM(BZ60:CC60)</f>
        <v>0</v>
      </c>
      <c r="CE60" s="93">
        <f>CE149*(1-CE95)</f>
        <v>0</v>
      </c>
      <c r="CF60" s="93">
        <f>CF149*(1-CF95)</f>
        <v>0</v>
      </c>
      <c r="CG60" s="93">
        <f>CG149*(1-CG95)</f>
        <v>0</v>
      </c>
      <c r="CH60" s="93">
        <f>CH149*(1-CH95)</f>
        <v>0</v>
      </c>
      <c r="CI60" s="545">
        <f>SUM(CE60:CH60)</f>
        <v>0</v>
      </c>
      <c r="CJ60" s="93">
        <f>CJ149*(1-CJ95)</f>
        <v>0</v>
      </c>
      <c r="CK60" s="93">
        <f>CK149*(1-CK95)</f>
        <v>0</v>
      </c>
      <c r="CL60" s="93">
        <f>CL149*(1-CL95)</f>
        <v>0</v>
      </c>
      <c r="CM60" s="93">
        <f>CM149*(1-CM95)</f>
        <v>0</v>
      </c>
      <c r="CN60" s="545">
        <f>SUM(CJ60:CM60)</f>
        <v>0</v>
      </c>
      <c r="CO60" s="72"/>
      <c r="CR60" s="577" t="s">
        <v>178</v>
      </c>
      <c r="CS60" s="88">
        <f t="shared" si="70"/>
        <v>0</v>
      </c>
      <c r="CT60" s="93">
        <v>0</v>
      </c>
      <c r="CU60" s="121"/>
      <c r="CV60" s="88">
        <f t="shared" si="71"/>
        <v>2.6021623064602242</v>
      </c>
      <c r="CW60" s="153"/>
      <c r="DB60"/>
      <c r="DC60"/>
      <c r="DD60"/>
      <c r="DE60"/>
      <c r="DF60"/>
      <c r="DG60"/>
      <c r="HQ60" s="6"/>
      <c r="HR60" s="6"/>
      <c r="HS60" s="6"/>
      <c r="HT60" s="6"/>
      <c r="HU60" s="6"/>
      <c r="HV60" s="6"/>
      <c r="HW60" s="6"/>
      <c r="HX60" s="6"/>
      <c r="HY60" s="6"/>
      <c r="HZ60" s="6"/>
      <c r="IA60" s="6"/>
      <c r="IB60" s="6"/>
      <c r="IC60" s="6"/>
      <c r="ID60" s="6"/>
      <c r="IE60" s="6"/>
      <c r="IF60" s="6"/>
      <c r="IG60" s="6"/>
      <c r="IH60" s="6"/>
      <c r="II60" s="6"/>
      <c r="IJ60" s="6"/>
      <c r="IK60" s="6"/>
      <c r="IL60" s="6"/>
      <c r="IM60" s="6"/>
      <c r="IN60" s="6"/>
      <c r="IO60" s="6"/>
      <c r="IP60" s="6"/>
      <c r="IQ60" s="6"/>
      <c r="IR60" s="6"/>
      <c r="IS60" s="6"/>
      <c r="IT60" s="6"/>
      <c r="IU60" s="6"/>
      <c r="IV60" s="6"/>
    </row>
    <row r="61" spans="1:256" s="66" customFormat="1" ht="5.25" customHeight="1">
      <c r="A61" s="577"/>
      <c r="B61" s="99"/>
      <c r="C61" s="87"/>
      <c r="D61" s="88"/>
      <c r="E61" s="88"/>
      <c r="F61" s="88"/>
      <c r="G61" s="99"/>
      <c r="H61" s="87"/>
      <c r="I61" s="88"/>
      <c r="J61" s="88"/>
      <c r="K61" s="91"/>
      <c r="L61" s="272">
        <f>SUM(H61:K61)</f>
        <v>0</v>
      </c>
      <c r="M61" s="87"/>
      <c r="N61" s="88"/>
      <c r="O61" s="125"/>
      <c r="P61" s="93"/>
      <c r="Q61" s="100"/>
      <c r="R61" s="88"/>
      <c r="S61" s="88"/>
      <c r="T61" s="88"/>
      <c r="U61" s="91"/>
      <c r="V61" s="143"/>
      <c r="W61" s="391"/>
      <c r="X61" s="391"/>
      <c r="Y61" s="391"/>
      <c r="Z61" s="479"/>
      <c r="AA61" s="99"/>
      <c r="AB61" s="88"/>
      <c r="AC61" s="391"/>
      <c r="AD61" s="391"/>
      <c r="AE61" s="391"/>
      <c r="AF61" s="99"/>
      <c r="AG61" s="88"/>
      <c r="AH61" s="88"/>
      <c r="AI61" s="88"/>
      <c r="AJ61" s="88"/>
      <c r="AK61" s="541"/>
      <c r="AL61" s="88"/>
      <c r="AM61" s="88"/>
      <c r="AN61" s="88"/>
      <c r="AO61" s="88"/>
      <c r="AP61" s="541"/>
      <c r="AQ61" s="88"/>
      <c r="AR61" s="88"/>
      <c r="AS61" s="88"/>
      <c r="AT61" s="88"/>
      <c r="AU61" s="541"/>
      <c r="AV61" s="93"/>
      <c r="AW61" s="88"/>
      <c r="AX61" s="88"/>
      <c r="AY61" s="88"/>
      <c r="AZ61" s="541"/>
      <c r="BA61" s="88"/>
      <c r="BB61" s="88"/>
      <c r="BC61" s="88"/>
      <c r="BD61" s="88"/>
      <c r="BE61" s="541"/>
      <c r="BF61" s="93"/>
      <c r="BG61" s="93"/>
      <c r="BH61" s="88"/>
      <c r="BI61" s="93"/>
      <c r="BJ61" s="541"/>
      <c r="BK61" s="88"/>
      <c r="BL61" s="88"/>
      <c r="BM61" s="88"/>
      <c r="BN61" s="88"/>
      <c r="BO61" s="541"/>
      <c r="BP61" s="88"/>
      <c r="BQ61" s="88"/>
      <c r="BR61" s="88"/>
      <c r="BS61" s="88"/>
      <c r="BT61" s="541"/>
      <c r="BU61" s="88"/>
      <c r="BV61" s="88"/>
      <c r="BW61" s="88"/>
      <c r="BX61" s="88"/>
      <c r="BY61" s="541"/>
      <c r="BZ61" s="93"/>
      <c r="CA61" s="93"/>
      <c r="CB61" s="93"/>
      <c r="CC61" s="93"/>
      <c r="CD61" s="541"/>
      <c r="CE61" s="93"/>
      <c r="CF61" s="93"/>
      <c r="CG61" s="93"/>
      <c r="CH61" s="93"/>
      <c r="CI61" s="541"/>
      <c r="CJ61" s="93"/>
      <c r="CK61" s="93"/>
      <c r="CL61" s="93"/>
      <c r="CM61" s="93"/>
      <c r="CN61" s="541"/>
      <c r="CO61" s="45"/>
      <c r="CR61" s="577"/>
      <c r="CS61" s="391"/>
      <c r="CT61" s="639"/>
      <c r="CU61" s="919"/>
      <c r="CV61" s="391">
        <f t="shared" si="71"/>
        <v>0</v>
      </c>
      <c r="CW61" s="153"/>
      <c r="DB61"/>
      <c r="DC61"/>
      <c r="DD61"/>
      <c r="DE61"/>
      <c r="DF61"/>
      <c r="DG61"/>
      <c r="HQ61" s="6"/>
      <c r="HR61" s="6"/>
      <c r="HS61" s="6"/>
      <c r="HT61" s="6"/>
      <c r="HU61" s="6"/>
      <c r="HV61" s="6"/>
      <c r="HW61" s="6"/>
      <c r="HX61" s="6"/>
      <c r="HY61" s="6"/>
      <c r="HZ61" s="6"/>
      <c r="IA61" s="6"/>
      <c r="IB61" s="6"/>
      <c r="IC61" s="6"/>
      <c r="ID61" s="6"/>
      <c r="IE61" s="6"/>
      <c r="IF61" s="6"/>
      <c r="IG61" s="6"/>
      <c r="IH61" s="6"/>
      <c r="II61" s="6"/>
      <c r="IJ61" s="6"/>
      <c r="IK61" s="6"/>
      <c r="IL61" s="6"/>
      <c r="IM61" s="6"/>
      <c r="IN61" s="6"/>
      <c r="IO61" s="6"/>
      <c r="IP61" s="6"/>
      <c r="IQ61" s="6"/>
      <c r="IR61" s="6"/>
      <c r="IS61" s="6"/>
      <c r="IT61" s="6"/>
      <c r="IU61" s="6"/>
      <c r="IV61" s="6"/>
    </row>
    <row r="62" spans="1:256" s="66" customFormat="1">
      <c r="A62" s="596" t="s">
        <v>177</v>
      </c>
      <c r="B62" s="133"/>
      <c r="C62" s="131"/>
      <c r="D62" s="132"/>
      <c r="E62" s="132"/>
      <c r="F62" s="132"/>
      <c r="G62" s="133"/>
      <c r="H62" s="131"/>
      <c r="I62" s="132"/>
      <c r="J62" s="132"/>
      <c r="K62" s="134"/>
      <c r="L62" s="131"/>
      <c r="M62" s="131"/>
      <c r="N62" s="132"/>
      <c r="O62" s="135"/>
      <c r="P62" s="132"/>
      <c r="Q62" s="133"/>
      <c r="R62" s="132"/>
      <c r="S62" s="132"/>
      <c r="T62" s="132"/>
      <c r="U62" s="134"/>
      <c r="V62" s="134"/>
      <c r="W62" s="132"/>
      <c r="X62" s="132"/>
      <c r="Y62" s="132"/>
      <c r="Z62" s="132"/>
      <c r="AA62" s="133">
        <f>AA57/AA67</f>
        <v>0.70832551785792552</v>
      </c>
      <c r="AB62" s="132">
        <f t="shared" ref="AB62:BT62" si="96">AB57/AB67</f>
        <v>-0.1278750106537121</v>
      </c>
      <c r="AC62" s="677">
        <f t="shared" si="96"/>
        <v>4.0321261184490538E-2</v>
      </c>
      <c r="AD62" s="677">
        <f t="shared" si="96"/>
        <v>2.8217440022494929E-2</v>
      </c>
      <c r="AE62" s="677">
        <f t="shared" si="96"/>
        <v>-0.20015976894296578</v>
      </c>
      <c r="AF62" s="133">
        <f t="shared" si="96"/>
        <v>-0.25931771731323916</v>
      </c>
      <c r="AG62" s="132">
        <f t="shared" si="96"/>
        <v>8.686442032490976E-3</v>
      </c>
      <c r="AH62" s="132">
        <f t="shared" si="96"/>
        <v>5.792598158135457E-2</v>
      </c>
      <c r="AI62" s="132">
        <f t="shared" si="96"/>
        <v>5.8312278714363619E-2</v>
      </c>
      <c r="AJ62" s="132">
        <f t="shared" si="96"/>
        <v>6.9452970243148449E-2</v>
      </c>
      <c r="AK62" s="548">
        <f t="shared" si="96"/>
        <v>0.1918839145284795</v>
      </c>
      <c r="AL62" s="132">
        <f t="shared" si="96"/>
        <v>1.9398817123290692E-2</v>
      </c>
      <c r="AM62" s="132">
        <f t="shared" si="96"/>
        <v>6.0815768683465908E-2</v>
      </c>
      <c r="AN62" s="132">
        <f t="shared" si="96"/>
        <v>4.806631816931263E-2</v>
      </c>
      <c r="AO62" s="132">
        <f t="shared" si="96"/>
        <v>1.3734082146171363E-2</v>
      </c>
      <c r="AP62" s="548">
        <f t="shared" si="96"/>
        <v>0.14132890132141154</v>
      </c>
      <c r="AQ62" s="132">
        <f t="shared" si="96"/>
        <v>2.2555672369301446E-2</v>
      </c>
      <c r="AR62" s="132">
        <f t="shared" si="96"/>
        <v>4.5093610088756501E-2</v>
      </c>
      <c r="AS62" s="132">
        <f t="shared" si="96"/>
        <v>2.7730655266788494E-2</v>
      </c>
      <c r="AT62" s="132">
        <f t="shared" si="96"/>
        <v>4.1120737157901398E-2</v>
      </c>
      <c r="AU62" s="548">
        <f t="shared" si="96"/>
        <v>0.15338425266466829</v>
      </c>
      <c r="AV62" s="132">
        <f t="shared" si="96"/>
        <v>8.3742272640371044E-3</v>
      </c>
      <c r="AW62" s="132">
        <f t="shared" si="96"/>
        <v>4.9287395699244195E-2</v>
      </c>
      <c r="AX62" s="132">
        <f t="shared" si="96"/>
        <v>2.8918612931153439E-2</v>
      </c>
      <c r="AY62" s="132">
        <f>AY57/AY67</f>
        <v>8.5648431132844205E-2</v>
      </c>
      <c r="AZ62" s="548">
        <f t="shared" si="96"/>
        <v>0.17194114346916878</v>
      </c>
      <c r="BA62" s="132">
        <f>BA57/BA67</f>
        <v>1.0260453784995729E-2</v>
      </c>
      <c r="BB62" s="132">
        <f>BB57/BB67</f>
        <v>7.3762704707904733E-2</v>
      </c>
      <c r="BC62" s="132">
        <f t="shared" si="96"/>
        <v>6.6536735824478416E-2</v>
      </c>
      <c r="BD62" s="132">
        <f t="shared" si="96"/>
        <v>8.9197234875728795E-2</v>
      </c>
      <c r="BE62" s="548">
        <f>BE57/BE67</f>
        <v>0.24021771847095588</v>
      </c>
      <c r="BF62" s="132">
        <f t="shared" si="96"/>
        <v>3.3175635414740411E-2</v>
      </c>
      <c r="BG62" s="132">
        <f t="shared" si="96"/>
        <v>8.2886407360038078E-2</v>
      </c>
      <c r="BH62" s="132">
        <f t="shared" si="96"/>
        <v>7.7626883638943225E-2</v>
      </c>
      <c r="BI62" s="132">
        <f t="shared" ref="BI62:BO62" si="97">BI57/BI67</f>
        <v>9.9587656650047277E-2</v>
      </c>
      <c r="BJ62" s="548">
        <f t="shared" si="97"/>
        <v>0.29150556313906906</v>
      </c>
      <c r="BK62" s="1229">
        <f t="shared" si="97"/>
        <v>5.9934406550770605E-2</v>
      </c>
      <c r="BL62" s="1229">
        <f t="shared" si="97"/>
        <v>7.7456806515860552E-2</v>
      </c>
      <c r="BM62" s="1229">
        <f t="shared" si="97"/>
        <v>8.6357681907115971E-2</v>
      </c>
      <c r="BN62" s="1229">
        <f t="shared" si="97"/>
        <v>0.11908324461197593</v>
      </c>
      <c r="BO62" s="1230">
        <f t="shared" si="97"/>
        <v>0.33399954369153606</v>
      </c>
      <c r="BP62" s="1229">
        <f t="shared" si="96"/>
        <v>0.10660236578707918</v>
      </c>
      <c r="BQ62" s="132">
        <f t="shared" si="96"/>
        <v>0.10349915823358542</v>
      </c>
      <c r="BR62" s="132">
        <f t="shared" si="96"/>
        <v>0.11110691519893642</v>
      </c>
      <c r="BS62" s="132">
        <f t="shared" si="96"/>
        <v>7.9509465968423426E-2</v>
      </c>
      <c r="BT62" s="548">
        <f t="shared" si="96"/>
        <v>0.40162872311706915</v>
      </c>
      <c r="BU62" s="132">
        <f t="shared" ref="BU62:CN62" si="98">BU57/BU67</f>
        <v>8.669008295344123E-2</v>
      </c>
      <c r="BV62" s="132">
        <f t="shared" si="98"/>
        <v>0.14652952242726391</v>
      </c>
      <c r="BW62" s="132">
        <f t="shared" si="98"/>
        <v>8.8270695209683059E-2</v>
      </c>
      <c r="BX62" s="132">
        <f t="shared" si="98"/>
        <v>0.10951583569019251</v>
      </c>
      <c r="BY62" s="548">
        <f t="shared" si="98"/>
        <v>0.428790423671289</v>
      </c>
      <c r="BZ62" s="136">
        <f t="shared" si="98"/>
        <v>0.10330246436875222</v>
      </c>
      <c r="CA62" s="136">
        <f t="shared" si="98"/>
        <v>0.16373507267538287</v>
      </c>
      <c r="CB62" s="136">
        <f t="shared" si="98"/>
        <v>0.14424225339593921</v>
      </c>
      <c r="CC62" s="136">
        <f t="shared" si="98"/>
        <v>0.15253531108016527</v>
      </c>
      <c r="CD62" s="548">
        <f t="shared" si="98"/>
        <v>0.56343314810123979</v>
      </c>
      <c r="CE62" s="136">
        <f t="shared" si="98"/>
        <v>0.13598470072451752</v>
      </c>
      <c r="CF62" s="136">
        <f t="shared" si="98"/>
        <v>0.19628409560728638</v>
      </c>
      <c r="CG62" s="136">
        <f t="shared" si="98"/>
        <v>0.17625038082268069</v>
      </c>
      <c r="CH62" s="136">
        <f t="shared" si="98"/>
        <v>0.18638830573167955</v>
      </c>
      <c r="CI62" s="548">
        <f t="shared" si="98"/>
        <v>0.69458673136380533</v>
      </c>
      <c r="CJ62" s="136">
        <f t="shared" si="98"/>
        <v>0.1742918056434048</v>
      </c>
      <c r="CK62" s="136">
        <f t="shared" si="98"/>
        <v>0.23374401933156194</v>
      </c>
      <c r="CL62" s="136">
        <f t="shared" si="98"/>
        <v>0.21305777586607003</v>
      </c>
      <c r="CM62" s="136">
        <f t="shared" si="98"/>
        <v>0.22465379113846592</v>
      </c>
      <c r="CN62" s="548">
        <f t="shared" si="98"/>
        <v>0.8457162444179207</v>
      </c>
      <c r="CO62" s="80"/>
      <c r="CP62" s="593"/>
      <c r="CQ62" s="593"/>
      <c r="CR62" s="596" t="s">
        <v>24</v>
      </c>
      <c r="CS62" s="132">
        <f t="shared" ref="CS62:CS67" si="99">BX62</f>
        <v>0.10951583569019251</v>
      </c>
      <c r="CT62" s="640">
        <v>0.11659618339195052</v>
      </c>
      <c r="CU62" s="133">
        <f t="shared" si="21"/>
        <v>-7.0803477017580135E-3</v>
      </c>
      <c r="CV62" s="132">
        <f t="shared" si="71"/>
        <v>7.9509465968423426E-2</v>
      </c>
      <c r="CW62" s="1039">
        <f t="shared" si="28"/>
        <v>0.37739367704577309</v>
      </c>
      <c r="CX62" s="593"/>
      <c r="CY62" s="593"/>
      <c r="CZ62" s="593"/>
      <c r="DA62" s="593"/>
      <c r="DB62"/>
      <c r="DC62"/>
      <c r="DD62"/>
      <c r="DE62"/>
      <c r="DF62"/>
      <c r="DG62"/>
      <c r="DH62" s="593"/>
      <c r="DI62" s="593"/>
      <c r="DJ62" s="593"/>
      <c r="DK62" s="593"/>
      <c r="DL62" s="593"/>
      <c r="DM62" s="593"/>
      <c r="DN62" s="593"/>
      <c r="DO62" s="593"/>
      <c r="DP62" s="593"/>
      <c r="DQ62" s="593"/>
      <c r="DR62" s="593"/>
      <c r="DS62" s="593"/>
      <c r="DT62" s="593"/>
      <c r="DU62" s="593"/>
      <c r="DV62" s="593"/>
      <c r="DW62" s="593"/>
      <c r="DX62" s="593"/>
      <c r="DY62" s="593"/>
      <c r="DZ62" s="593"/>
      <c r="EA62" s="593"/>
      <c r="EB62" s="593"/>
      <c r="EC62" s="593"/>
      <c r="ED62" s="593"/>
      <c r="EE62" s="593"/>
      <c r="EF62" s="593"/>
      <c r="EG62" s="593"/>
      <c r="EH62" s="593"/>
      <c r="EI62" s="593"/>
      <c r="EJ62" s="593"/>
      <c r="EK62" s="593"/>
      <c r="EL62" s="593"/>
      <c r="EM62" s="593"/>
      <c r="EN62" s="593"/>
      <c r="EO62" s="593"/>
      <c r="EP62" s="593"/>
      <c r="EQ62" s="593"/>
      <c r="ER62" s="593"/>
      <c r="ES62" s="593"/>
      <c r="ET62" s="593"/>
      <c r="EU62" s="593"/>
      <c r="EV62" s="593"/>
      <c r="EW62" s="593"/>
      <c r="EX62" s="593"/>
      <c r="EY62" s="593"/>
      <c r="EZ62" s="593"/>
      <c r="FA62" s="593"/>
      <c r="FB62" s="593"/>
      <c r="FC62" s="593"/>
      <c r="FD62" s="593"/>
      <c r="FE62" s="593"/>
      <c r="FF62" s="593"/>
      <c r="FG62" s="593"/>
      <c r="FH62" s="593"/>
      <c r="FI62" s="593"/>
      <c r="FJ62" s="593"/>
      <c r="FK62" s="593"/>
      <c r="FL62" s="593"/>
      <c r="FM62" s="593"/>
      <c r="FN62" s="593"/>
      <c r="FO62" s="593"/>
      <c r="FP62" s="593"/>
      <c r="FQ62" s="593"/>
      <c r="FR62" s="593"/>
      <c r="FS62" s="593"/>
      <c r="FT62" s="593"/>
      <c r="FU62" s="593"/>
      <c r="FV62" s="593"/>
      <c r="FW62" s="593"/>
      <c r="FX62" s="593"/>
      <c r="FY62" s="593"/>
      <c r="FZ62" s="593"/>
      <c r="GA62" s="593"/>
      <c r="GB62" s="593"/>
      <c r="GC62" s="593"/>
      <c r="GD62" s="593"/>
      <c r="GE62" s="593"/>
      <c r="GF62" s="593"/>
      <c r="GG62" s="593"/>
      <c r="GH62" s="593"/>
      <c r="GI62" s="593"/>
      <c r="GJ62" s="593"/>
      <c r="GK62" s="593"/>
      <c r="GL62" s="593"/>
      <c r="GM62" s="593"/>
      <c r="GN62" s="593"/>
      <c r="GO62" s="593"/>
      <c r="GP62" s="593"/>
      <c r="GQ62" s="593"/>
      <c r="GR62" s="593"/>
      <c r="GS62" s="593"/>
      <c r="GT62" s="593"/>
      <c r="GU62" s="593"/>
      <c r="GV62" s="593"/>
      <c r="GW62" s="593"/>
      <c r="GX62" s="593"/>
      <c r="GY62" s="593"/>
      <c r="GZ62" s="593"/>
      <c r="HA62" s="593"/>
      <c r="HB62" s="593"/>
      <c r="HC62" s="593"/>
      <c r="HD62" s="593"/>
      <c r="HE62" s="593"/>
      <c r="HF62" s="593"/>
      <c r="HG62" s="593"/>
      <c r="HH62" s="593"/>
      <c r="HI62" s="593"/>
      <c r="HJ62" s="593"/>
      <c r="HK62" s="593"/>
      <c r="HL62" s="593"/>
      <c r="HM62" s="593"/>
      <c r="HN62" s="593"/>
      <c r="HO62" s="593"/>
      <c r="HP62" s="593"/>
      <c r="HQ62" s="6"/>
      <c r="HR62" s="6"/>
      <c r="HS62" s="6"/>
      <c r="HT62" s="6"/>
      <c r="HU62" s="6"/>
      <c r="HV62" s="6"/>
      <c r="HW62" s="6"/>
      <c r="HX62" s="6"/>
      <c r="HY62" s="6"/>
      <c r="HZ62" s="6"/>
      <c r="IA62" s="6"/>
      <c r="IB62" s="6"/>
      <c r="IC62" s="6"/>
      <c r="ID62" s="6"/>
      <c r="IE62" s="6"/>
      <c r="IF62" s="6"/>
      <c r="IG62" s="6"/>
      <c r="IH62" s="6"/>
      <c r="II62" s="6"/>
      <c r="IJ62" s="6"/>
      <c r="IK62" s="6"/>
      <c r="IL62" s="6"/>
      <c r="IM62" s="6"/>
      <c r="IN62" s="6"/>
      <c r="IO62" s="6"/>
      <c r="IP62" s="6"/>
      <c r="IQ62" s="6"/>
      <c r="IR62" s="6"/>
      <c r="IS62" s="6"/>
      <c r="IT62" s="6"/>
      <c r="IU62" s="6"/>
      <c r="IV62" s="6"/>
    </row>
    <row r="63" spans="1:256" s="66" customFormat="1" ht="12.75" hidden="1" customHeight="1" outlineLevel="1">
      <c r="A63" s="596" t="s">
        <v>534</v>
      </c>
      <c r="B63" s="133"/>
      <c r="C63" s="131"/>
      <c r="D63" s="132"/>
      <c r="E63" s="132"/>
      <c r="F63" s="132"/>
      <c r="G63" s="133"/>
      <c r="H63" s="131"/>
      <c r="I63" s="132"/>
      <c r="J63" s="132"/>
      <c r="K63" s="134"/>
      <c r="L63" s="131"/>
      <c r="M63" s="131"/>
      <c r="N63" s="132"/>
      <c r="O63" s="135"/>
      <c r="P63" s="132"/>
      <c r="Q63" s="133"/>
      <c r="R63" s="132"/>
      <c r="S63" s="132"/>
      <c r="T63" s="132"/>
      <c r="U63" s="134"/>
      <c r="V63" s="134"/>
      <c r="W63" s="132"/>
      <c r="X63" s="132"/>
      <c r="Y63" s="132"/>
      <c r="Z63" s="132"/>
      <c r="AA63" s="133"/>
      <c r="AB63" s="132"/>
      <c r="AC63" s="677"/>
      <c r="AD63" s="677"/>
      <c r="AE63" s="677"/>
      <c r="AF63" s="133"/>
      <c r="AG63" s="132"/>
      <c r="AH63" s="132"/>
      <c r="AI63" s="132"/>
      <c r="AJ63" s="132"/>
      <c r="AK63" s="548"/>
      <c r="AL63" s="132"/>
      <c r="AM63" s="132"/>
      <c r="AN63" s="132"/>
      <c r="AO63" s="132"/>
      <c r="AP63" s="548"/>
      <c r="AQ63" s="132"/>
      <c r="AR63" s="132"/>
      <c r="AS63" s="132"/>
      <c r="AT63" s="132"/>
      <c r="AU63" s="548"/>
      <c r="AV63" s="132"/>
      <c r="AW63" s="132"/>
      <c r="AX63" s="132"/>
      <c r="AY63" s="132"/>
      <c r="AZ63" s="548"/>
      <c r="BA63" s="132">
        <f>(BA57+BA60)/BA67</f>
        <v>3.3177152041729469E-2</v>
      </c>
      <c r="BB63" s="132">
        <f>(BB57+BB60)/BB67</f>
        <v>8.0432990519849937E-2</v>
      </c>
      <c r="BC63" s="132">
        <f>(BC57+BC60)/BC67</f>
        <v>7.5497971182303961E-2</v>
      </c>
      <c r="BD63" s="132">
        <f>(BD57+BD60)/BD67</f>
        <v>0.11045013186286218</v>
      </c>
      <c r="BE63" s="548">
        <f>(BE57+BE60)/BE67</f>
        <v>0.2999724089495352</v>
      </c>
      <c r="BF63" s="132">
        <f t="shared" ref="BF63:BT63" si="100">(BF57+BF60)/BF67</f>
        <v>4.8321313361688156E-2</v>
      </c>
      <c r="BG63" s="132">
        <f t="shared" si="100"/>
        <v>9.1938673516546374E-2</v>
      </c>
      <c r="BH63" s="132">
        <f t="shared" si="100"/>
        <v>7.9583073582837116E-2</v>
      </c>
      <c r="BI63" s="132">
        <f t="shared" si="100"/>
        <v>0.10483223285271537</v>
      </c>
      <c r="BJ63" s="548">
        <f t="shared" ref="BJ63:BO63" si="101">(BJ57+BJ60)/BJ67</f>
        <v>0.32324556098585311</v>
      </c>
      <c r="BK63" s="1229">
        <f t="shared" si="101"/>
        <v>6.0226468885983146E-2</v>
      </c>
      <c r="BL63" s="1229">
        <f t="shared" si="101"/>
        <v>8.4551818687220351E-2</v>
      </c>
      <c r="BM63" s="1229">
        <f t="shared" si="101"/>
        <v>8.982358182160595E-2</v>
      </c>
      <c r="BN63" s="1229">
        <f t="shared" si="101"/>
        <v>0.12197486676815096</v>
      </c>
      <c r="BO63" s="1230">
        <f t="shared" si="101"/>
        <v>0.34790521805112573</v>
      </c>
      <c r="BP63" s="1229">
        <f t="shared" si="100"/>
        <v>0.11127676708640441</v>
      </c>
      <c r="BQ63" s="132">
        <f t="shared" si="100"/>
        <v>0.10716009086476413</v>
      </c>
      <c r="BR63" s="132">
        <f t="shared" si="100"/>
        <v>0.11805507898497698</v>
      </c>
      <c r="BS63" s="132">
        <f t="shared" si="100"/>
        <v>8.9633586899614134E-2</v>
      </c>
      <c r="BT63" s="548">
        <f t="shared" si="100"/>
        <v>0.42680871268210246</v>
      </c>
      <c r="BU63" s="132">
        <f t="shared" ref="BU63:CN63" si="102">(BU57+BU60)/BU67</f>
        <v>8.669008295344123E-2</v>
      </c>
      <c r="BV63" s="132">
        <f t="shared" si="102"/>
        <v>0.14652952242726391</v>
      </c>
      <c r="BW63" s="132">
        <f t="shared" si="102"/>
        <v>8.8270695209683059E-2</v>
      </c>
      <c r="BX63" s="132">
        <f t="shared" si="102"/>
        <v>0.10951583569019251</v>
      </c>
      <c r="BY63" s="548">
        <f t="shared" si="102"/>
        <v>0.428790423671289</v>
      </c>
      <c r="BZ63" s="136">
        <f t="shared" si="102"/>
        <v>0.10330246436875222</v>
      </c>
      <c r="CA63" s="136">
        <f t="shared" si="102"/>
        <v>0.16373507267538287</v>
      </c>
      <c r="CB63" s="136">
        <f t="shared" si="102"/>
        <v>0.14424225339593921</v>
      </c>
      <c r="CC63" s="136">
        <f t="shared" si="102"/>
        <v>0.15253531108016527</v>
      </c>
      <c r="CD63" s="548">
        <f t="shared" si="102"/>
        <v>0.56343314810123979</v>
      </c>
      <c r="CE63" s="136">
        <f t="shared" si="102"/>
        <v>0.13598470072451752</v>
      </c>
      <c r="CF63" s="136">
        <f t="shared" si="102"/>
        <v>0.19628409560728638</v>
      </c>
      <c r="CG63" s="136">
        <f t="shared" si="102"/>
        <v>0.17625038082268069</v>
      </c>
      <c r="CH63" s="136">
        <f t="shared" si="102"/>
        <v>0.18638830573167955</v>
      </c>
      <c r="CI63" s="548">
        <f t="shared" si="102"/>
        <v>0.69458673136380533</v>
      </c>
      <c r="CJ63" s="136">
        <f t="shared" si="102"/>
        <v>0.1742918056434048</v>
      </c>
      <c r="CK63" s="136">
        <f t="shared" si="102"/>
        <v>0.23374401933156194</v>
      </c>
      <c r="CL63" s="136">
        <f t="shared" si="102"/>
        <v>0.21305777586607003</v>
      </c>
      <c r="CM63" s="136">
        <f t="shared" si="102"/>
        <v>0.22465379113846592</v>
      </c>
      <c r="CN63" s="548">
        <f t="shared" si="102"/>
        <v>0.8457162444179207</v>
      </c>
      <c r="CO63" s="139"/>
      <c r="CP63" s="593"/>
      <c r="CQ63" s="593"/>
      <c r="CR63" s="596" t="s">
        <v>218</v>
      </c>
      <c r="CS63" s="132">
        <f t="shared" si="99"/>
        <v>0.10951583569019251</v>
      </c>
      <c r="CT63" s="640">
        <v>0.11659618339195052</v>
      </c>
      <c r="CU63" s="133"/>
      <c r="CV63" s="132">
        <f t="shared" si="71"/>
        <v>8.9633586899614134E-2</v>
      </c>
      <c r="CW63" s="1039"/>
      <c r="CX63" s="593"/>
      <c r="CY63" s="593"/>
      <c r="CZ63" s="593"/>
      <c r="DA63" s="593"/>
      <c r="DB63"/>
      <c r="DC63"/>
      <c r="DD63"/>
      <c r="DE63"/>
      <c r="DF63"/>
      <c r="DG63"/>
      <c r="DH63" s="593"/>
      <c r="DI63" s="593"/>
      <c r="DJ63" s="593"/>
      <c r="DK63" s="593"/>
      <c r="DL63" s="593"/>
      <c r="DM63" s="593"/>
      <c r="DN63" s="593"/>
      <c r="DO63" s="593"/>
      <c r="DP63" s="593"/>
      <c r="DQ63" s="593"/>
      <c r="DR63" s="593"/>
      <c r="DS63" s="593"/>
      <c r="DT63" s="593"/>
      <c r="DU63" s="593"/>
      <c r="DV63" s="593"/>
      <c r="DW63" s="593"/>
      <c r="DX63" s="593"/>
      <c r="DY63" s="593"/>
      <c r="DZ63" s="593"/>
      <c r="EA63" s="593"/>
      <c r="EB63" s="593"/>
      <c r="EC63" s="593"/>
      <c r="ED63" s="593"/>
      <c r="EE63" s="593"/>
      <c r="EF63" s="593"/>
      <c r="EG63" s="593"/>
      <c r="EH63" s="593"/>
      <c r="EI63" s="593"/>
      <c r="EJ63" s="593"/>
      <c r="EK63" s="593"/>
      <c r="EL63" s="593"/>
      <c r="EM63" s="593"/>
      <c r="EN63" s="593"/>
      <c r="EO63" s="593"/>
      <c r="EP63" s="593"/>
      <c r="EQ63" s="593"/>
      <c r="ER63" s="593"/>
      <c r="ES63" s="593"/>
      <c r="ET63" s="593"/>
      <c r="EU63" s="593"/>
      <c r="EV63" s="593"/>
      <c r="EW63" s="593"/>
      <c r="EX63" s="593"/>
      <c r="EY63" s="593"/>
      <c r="EZ63" s="593"/>
      <c r="FA63" s="593"/>
      <c r="FB63" s="593"/>
      <c r="FC63" s="593"/>
      <c r="FD63" s="593"/>
      <c r="FE63" s="593"/>
      <c r="FF63" s="593"/>
      <c r="FG63" s="593"/>
      <c r="FH63" s="593"/>
      <c r="FI63" s="593"/>
      <c r="FJ63" s="593"/>
      <c r="FK63" s="593"/>
      <c r="FL63" s="593"/>
      <c r="FM63" s="593"/>
      <c r="FN63" s="593"/>
      <c r="FO63" s="593"/>
      <c r="FP63" s="593"/>
      <c r="FQ63" s="593"/>
      <c r="FR63" s="593"/>
      <c r="FS63" s="593"/>
      <c r="FT63" s="593"/>
      <c r="FU63" s="593"/>
      <c r="FV63" s="593"/>
      <c r="FW63" s="593"/>
      <c r="FX63" s="593"/>
      <c r="FY63" s="593"/>
      <c r="FZ63" s="593"/>
      <c r="GA63" s="593"/>
      <c r="GB63" s="593"/>
      <c r="GC63" s="593"/>
      <c r="GD63" s="593"/>
      <c r="GE63" s="593"/>
      <c r="GF63" s="593"/>
      <c r="GG63" s="593"/>
      <c r="GH63" s="593"/>
      <c r="GI63" s="593"/>
      <c r="GJ63" s="593"/>
      <c r="GK63" s="593"/>
      <c r="GL63" s="593"/>
      <c r="GM63" s="593"/>
      <c r="GN63" s="593"/>
      <c r="GO63" s="593"/>
      <c r="GP63" s="593"/>
      <c r="GQ63" s="593"/>
      <c r="GR63" s="593"/>
      <c r="GS63" s="593"/>
      <c r="GT63" s="593"/>
      <c r="GU63" s="593"/>
      <c r="GV63" s="593"/>
      <c r="GW63" s="593"/>
      <c r="GX63" s="593"/>
      <c r="GY63" s="593"/>
      <c r="GZ63" s="593"/>
      <c r="HA63" s="593"/>
      <c r="HB63" s="593"/>
      <c r="HC63" s="593"/>
      <c r="HD63" s="593"/>
      <c r="HE63" s="593"/>
      <c r="HF63" s="593"/>
      <c r="HG63" s="593"/>
      <c r="HH63" s="593"/>
      <c r="HI63" s="593"/>
      <c r="HJ63" s="593"/>
      <c r="HK63" s="593"/>
      <c r="HL63" s="593"/>
      <c r="HM63" s="593"/>
      <c r="HN63" s="593"/>
      <c r="HO63" s="593"/>
      <c r="HP63" s="593"/>
      <c r="HQ63" s="6"/>
      <c r="HR63" s="6"/>
      <c r="HS63" s="6"/>
      <c r="HT63" s="6"/>
      <c r="HU63" s="6"/>
      <c r="HV63" s="6"/>
      <c r="HW63" s="6"/>
      <c r="HX63" s="6"/>
      <c r="HY63" s="6"/>
      <c r="HZ63" s="6"/>
      <c r="IA63" s="6"/>
      <c r="IB63" s="6"/>
      <c r="IC63" s="6"/>
      <c r="ID63" s="6"/>
      <c r="IE63" s="6"/>
      <c r="IF63" s="6"/>
      <c r="IG63" s="6"/>
      <c r="IH63" s="6"/>
      <c r="II63" s="6"/>
      <c r="IJ63" s="6"/>
      <c r="IK63" s="6"/>
      <c r="IL63" s="6"/>
      <c r="IM63" s="6"/>
      <c r="IN63" s="6"/>
      <c r="IO63" s="6"/>
      <c r="IP63" s="6"/>
      <c r="IQ63" s="6"/>
      <c r="IR63" s="6"/>
      <c r="IS63" s="6"/>
      <c r="IT63" s="6"/>
      <c r="IU63" s="6"/>
      <c r="IV63" s="6"/>
    </row>
    <row r="64" spans="1:256" s="66" customFormat="1" collapsed="1">
      <c r="A64" s="598" t="s">
        <v>432</v>
      </c>
      <c r="B64" s="147"/>
      <c r="C64" s="145"/>
      <c r="D64" s="146"/>
      <c r="E64" s="146"/>
      <c r="F64" s="146"/>
      <c r="G64" s="147"/>
      <c r="H64" s="145"/>
      <c r="I64" s="146"/>
      <c r="J64" s="146"/>
      <c r="K64" s="148"/>
      <c r="L64" s="145"/>
      <c r="M64" s="145"/>
      <c r="N64" s="146"/>
      <c r="O64" s="149"/>
      <c r="P64" s="146"/>
      <c r="Q64" s="147"/>
      <c r="R64" s="146"/>
      <c r="S64" s="146"/>
      <c r="T64" s="146"/>
      <c r="U64" s="148"/>
      <c r="V64" s="148"/>
      <c r="W64" s="146"/>
      <c r="X64" s="146"/>
      <c r="Y64" s="146"/>
      <c r="Z64" s="146"/>
      <c r="AA64" s="147">
        <f t="shared" ref="AA64:AZ64" si="103">AA59/AA67</f>
        <v>0.16306921552122086</v>
      </c>
      <c r="AB64" s="146">
        <f t="shared" si="103"/>
        <v>1.0800093752663428E-2</v>
      </c>
      <c r="AC64" s="146">
        <f t="shared" si="103"/>
        <v>1.386408180656157E-2</v>
      </c>
      <c r="AD64" s="146">
        <f t="shared" si="103"/>
        <v>0.11797386595544344</v>
      </c>
      <c r="AE64" s="146">
        <f t="shared" si="103"/>
        <v>0.64716596772198065</v>
      </c>
      <c r="AF64" s="147">
        <f>AF59/AF67</f>
        <v>0.78928858379562639</v>
      </c>
      <c r="AG64" s="146">
        <f t="shared" si="103"/>
        <v>3.1966788637724647E-2</v>
      </c>
      <c r="AH64" s="146">
        <f t="shared" si="103"/>
        <v>2.6318414612662978E-2</v>
      </c>
      <c r="AI64" s="146">
        <f t="shared" si="103"/>
        <v>2.71535640113451E-2</v>
      </c>
      <c r="AJ64" s="146">
        <f t="shared" si="103"/>
        <v>9.9044384945253486E-2</v>
      </c>
      <c r="AK64" s="549">
        <f t="shared" si="103"/>
        <v>0.18106289477242349</v>
      </c>
      <c r="AL64" s="146">
        <f t="shared" si="103"/>
        <v>2.7068116916219666E-2</v>
      </c>
      <c r="AM64" s="146">
        <f t="shared" si="103"/>
        <v>3.5633323721713114E-2</v>
      </c>
      <c r="AN64" s="146">
        <f t="shared" si="103"/>
        <v>5.0241037357799917E-2</v>
      </c>
      <c r="AO64" s="146">
        <f t="shared" si="103"/>
        <v>3.9465753293596501E-2</v>
      </c>
      <c r="AP64" s="549">
        <f t="shared" si="103"/>
        <v>0.15145308348646402</v>
      </c>
      <c r="AQ64" s="146">
        <f t="shared" si="103"/>
        <v>2.292841441269235E-2</v>
      </c>
      <c r="AR64" s="146">
        <f t="shared" si="103"/>
        <v>1.812808445779138E-2</v>
      </c>
      <c r="AS64" s="146">
        <f t="shared" si="103"/>
        <v>3.7698008791175651E-2</v>
      </c>
      <c r="AT64" s="146">
        <f t="shared" si="103"/>
        <v>3.0957264433968037E-2</v>
      </c>
      <c r="AU64" s="549">
        <f t="shared" si="103"/>
        <v>0.10887322560047152</v>
      </c>
      <c r="AV64" s="146">
        <f t="shared" si="103"/>
        <v>-2.2950736090752669E-2</v>
      </c>
      <c r="AW64" s="146">
        <f t="shared" si="103"/>
        <v>6.3372805645446673E-2</v>
      </c>
      <c r="AX64" s="146">
        <f t="shared" si="103"/>
        <v>9.5956517061725477E-2</v>
      </c>
      <c r="AY64" s="146">
        <f t="shared" si="103"/>
        <v>1.8441829665851672E-2</v>
      </c>
      <c r="AZ64" s="549">
        <f t="shared" si="103"/>
        <v>0.15406232467996123</v>
      </c>
      <c r="BA64" s="146">
        <f>BA59/BA67</f>
        <v>4.8016901949486214E-3</v>
      </c>
      <c r="BB64" s="146">
        <f t="shared" ref="BB64:BJ64" si="104">BB59/BB67</f>
        <v>4.3035155975108326E-2</v>
      </c>
      <c r="BC64" s="146">
        <f>BC59/BC67</f>
        <v>7.1931943522506633E-2</v>
      </c>
      <c r="BD64" s="146">
        <f>BD59/BD67</f>
        <v>6.610624950051951E-3</v>
      </c>
      <c r="BE64" s="549">
        <f t="shared" si="104"/>
        <v>0.12665546302799238</v>
      </c>
      <c r="BF64" s="146">
        <f t="shared" si="104"/>
        <v>-8.5747601142410992E-2</v>
      </c>
      <c r="BG64" s="146">
        <f t="shared" si="104"/>
        <v>4.9466375761744565E-3</v>
      </c>
      <c r="BH64" s="146">
        <f t="shared" si="104"/>
        <v>1.6280981964358648E-2</v>
      </c>
      <c r="BI64" s="146">
        <f t="shared" si="104"/>
        <v>3.6809055383371508E-2</v>
      </c>
      <c r="BJ64" s="549">
        <f t="shared" si="104"/>
        <v>-3.1442269223765668E-2</v>
      </c>
      <c r="BK64" s="1231">
        <f>BK59/BK67</f>
        <v>-1.3769801290433214E-2</v>
      </c>
      <c r="BL64" s="1231">
        <f t="shared" ref="BL64:BT64" si="105">BL59/BL67</f>
        <v>-3.1019425598177788E-2</v>
      </c>
      <c r="BM64" s="1231">
        <f>BM59/BM67</f>
        <v>6.0818114773144312E-2</v>
      </c>
      <c r="BN64" s="1231">
        <f t="shared" si="105"/>
        <v>-0.18972462808966142</v>
      </c>
      <c r="BO64" s="1232">
        <f t="shared" si="105"/>
        <v>-0.15612137805156298</v>
      </c>
      <c r="BP64" s="1231">
        <f t="shared" si="105"/>
        <v>1.4289353958143765E-2</v>
      </c>
      <c r="BQ64" s="146">
        <f t="shared" si="105"/>
        <v>5.5212476643294543E-3</v>
      </c>
      <c r="BR64" s="146">
        <f t="shared" si="105"/>
        <v>-7.3517416392254023E-2</v>
      </c>
      <c r="BS64" s="146">
        <f t="shared" si="105"/>
        <v>-3.2891614077953192E-2</v>
      </c>
      <c r="BT64" s="549">
        <f t="shared" si="105"/>
        <v>-8.4374906265934801E-2</v>
      </c>
      <c r="BU64" s="146">
        <f t="shared" ref="BU64:CN64" si="106">BU59/BU67</f>
        <v>-1.1839253615692318E-3</v>
      </c>
      <c r="BV64" s="146">
        <f t="shared" si="106"/>
        <v>0.15380610759880578</v>
      </c>
      <c r="BW64" s="146">
        <f t="shared" si="106"/>
        <v>3.163619173979193E-2</v>
      </c>
      <c r="BX64" s="146">
        <f t="shared" si="106"/>
        <v>-0.52854269987901892</v>
      </c>
      <c r="BY64" s="549">
        <f t="shared" si="106"/>
        <v>-0.33801348653081037</v>
      </c>
      <c r="BZ64" s="150">
        <f t="shared" si="106"/>
        <v>7.5476630210796003E-3</v>
      </c>
      <c r="CA64" s="150">
        <f t="shared" si="106"/>
        <v>7.5945008921931159E-3</v>
      </c>
      <c r="CB64" s="150">
        <f t="shared" si="106"/>
        <v>7.6384664235367803E-3</v>
      </c>
      <c r="CC64" s="150">
        <f t="shared" si="106"/>
        <v>7.6796158032071257E-3</v>
      </c>
      <c r="CD64" s="549">
        <f t="shared" si="106"/>
        <v>3.0458974326544427E-2</v>
      </c>
      <c r="CE64" s="150">
        <f t="shared" si="106"/>
        <v>0</v>
      </c>
      <c r="CF64" s="150">
        <f t="shared" si="106"/>
        <v>0</v>
      </c>
      <c r="CG64" s="150">
        <f t="shared" si="106"/>
        <v>0</v>
      </c>
      <c r="CH64" s="150">
        <f t="shared" si="106"/>
        <v>0</v>
      </c>
      <c r="CI64" s="549">
        <f t="shared" si="106"/>
        <v>0</v>
      </c>
      <c r="CJ64" s="150">
        <f t="shared" si="106"/>
        <v>0</v>
      </c>
      <c r="CK64" s="150">
        <f t="shared" si="106"/>
        <v>0</v>
      </c>
      <c r="CL64" s="150">
        <f t="shared" si="106"/>
        <v>0</v>
      </c>
      <c r="CM64" s="150">
        <f t="shared" si="106"/>
        <v>0</v>
      </c>
      <c r="CN64" s="549">
        <f t="shared" si="106"/>
        <v>0</v>
      </c>
      <c r="CO64" s="80"/>
      <c r="CP64" s="593"/>
      <c r="CQ64" s="593"/>
      <c r="CR64" s="598" t="s">
        <v>432</v>
      </c>
      <c r="CS64" s="146">
        <f t="shared" si="99"/>
        <v>-0.52854269987901892</v>
      </c>
      <c r="CT64" s="150">
        <v>0</v>
      </c>
      <c r="CU64" s="147">
        <f t="shared" si="21"/>
        <v>-0.52854269987901892</v>
      </c>
      <c r="CV64" s="146">
        <f t="shared" si="71"/>
        <v>-3.2891614077953192E-2</v>
      </c>
      <c r="CW64" s="153">
        <f t="shared" si="28"/>
        <v>15.069223560338866</v>
      </c>
      <c r="CX64" s="593"/>
      <c r="CY64" s="593"/>
      <c r="CZ64" s="593"/>
      <c r="DA64" s="593"/>
      <c r="DB64"/>
      <c r="DC64"/>
      <c r="DD64"/>
      <c r="DE64"/>
      <c r="DF64"/>
      <c r="DG64"/>
      <c r="DH64" s="593"/>
      <c r="DI64" s="593"/>
      <c r="DJ64" s="593"/>
      <c r="DK64" s="593"/>
      <c r="DL64" s="593"/>
      <c r="DM64" s="593"/>
      <c r="DN64" s="593"/>
      <c r="DO64" s="593"/>
      <c r="DP64" s="593"/>
      <c r="DQ64" s="593"/>
      <c r="DR64" s="593"/>
      <c r="DS64" s="593"/>
      <c r="DT64" s="593"/>
      <c r="DU64" s="593"/>
      <c r="DV64" s="593"/>
      <c r="DW64" s="593"/>
      <c r="DX64" s="593"/>
      <c r="DY64" s="593"/>
      <c r="DZ64" s="593"/>
      <c r="EA64" s="593"/>
      <c r="EB64" s="593"/>
      <c r="EC64" s="593"/>
      <c r="ED64" s="593"/>
      <c r="EE64" s="593"/>
      <c r="EF64" s="593"/>
      <c r="EG64" s="593"/>
      <c r="EH64" s="593"/>
      <c r="EI64" s="593"/>
      <c r="EJ64" s="593"/>
      <c r="EK64" s="593"/>
      <c r="EL64" s="593"/>
      <c r="EM64" s="593"/>
      <c r="EN64" s="593"/>
      <c r="EO64" s="593"/>
      <c r="EP64" s="593"/>
      <c r="EQ64" s="593"/>
      <c r="ER64" s="593"/>
      <c r="ES64" s="593"/>
      <c r="ET64" s="593"/>
      <c r="EU64" s="593"/>
      <c r="EV64" s="593"/>
      <c r="EW64" s="593"/>
      <c r="EX64" s="593"/>
      <c r="EY64" s="593"/>
      <c r="EZ64" s="593"/>
      <c r="FA64" s="593"/>
      <c r="FB64" s="593"/>
      <c r="FC64" s="593"/>
      <c r="FD64" s="593"/>
      <c r="FE64" s="593"/>
      <c r="FF64" s="593"/>
      <c r="FG64" s="593"/>
      <c r="FH64" s="593"/>
      <c r="FI64" s="593"/>
      <c r="FJ64" s="593"/>
      <c r="FK64" s="593"/>
      <c r="FL64" s="593"/>
      <c r="FM64" s="593"/>
      <c r="FN64" s="593"/>
      <c r="FO64" s="593"/>
      <c r="FP64" s="593"/>
      <c r="FQ64" s="593"/>
      <c r="FR64" s="593"/>
      <c r="FS64" s="593"/>
      <c r="FT64" s="593"/>
      <c r="FU64" s="593"/>
      <c r="FV64" s="593"/>
      <c r="FW64" s="593"/>
      <c r="FX64" s="593"/>
      <c r="FY64" s="593"/>
      <c r="FZ64" s="593"/>
      <c r="GA64" s="593"/>
      <c r="GB64" s="593"/>
      <c r="GC64" s="593"/>
      <c r="GD64" s="593"/>
      <c r="GE64" s="593"/>
      <c r="GF64" s="593"/>
      <c r="GG64" s="593"/>
      <c r="GH64" s="593"/>
      <c r="GI64" s="593"/>
      <c r="GJ64" s="593"/>
      <c r="GK64" s="593"/>
      <c r="GL64" s="593"/>
      <c r="GM64" s="593"/>
      <c r="GN64" s="593"/>
      <c r="GO64" s="593"/>
      <c r="GP64" s="593"/>
      <c r="GQ64" s="593"/>
      <c r="GR64" s="593"/>
      <c r="GS64" s="593"/>
      <c r="GT64" s="593"/>
      <c r="GU64" s="593"/>
      <c r="GV64" s="593"/>
      <c r="GW64" s="593"/>
      <c r="GX64" s="593"/>
      <c r="GY64" s="593"/>
      <c r="GZ64" s="593"/>
      <c r="HA64" s="593"/>
      <c r="HB64" s="593"/>
      <c r="HC64" s="593"/>
      <c r="HD64" s="593"/>
      <c r="HE64" s="593"/>
      <c r="HF64" s="593"/>
      <c r="HG64" s="593"/>
      <c r="HH64" s="593"/>
      <c r="HI64" s="593"/>
      <c r="HJ64" s="593"/>
      <c r="HK64" s="593"/>
      <c r="HL64" s="593"/>
      <c r="HM64" s="593"/>
      <c r="HN64" s="593"/>
      <c r="HO64" s="593"/>
      <c r="HP64" s="593"/>
      <c r="HQ64" s="6"/>
      <c r="HR64" s="6"/>
      <c r="HS64" s="6"/>
      <c r="HT64" s="6"/>
      <c r="HU64" s="6"/>
      <c r="HV64" s="6"/>
      <c r="HW64" s="6"/>
      <c r="HX64" s="6"/>
      <c r="HY64" s="6"/>
      <c r="HZ64" s="6"/>
      <c r="IA64" s="6"/>
      <c r="IB64" s="6"/>
      <c r="IC64" s="6"/>
      <c r="ID64" s="6"/>
      <c r="IE64" s="6"/>
      <c r="IF64" s="6"/>
      <c r="IG64" s="6"/>
      <c r="IH64" s="6"/>
      <c r="II64" s="6"/>
      <c r="IJ64" s="6"/>
      <c r="IK64" s="6"/>
      <c r="IL64" s="6"/>
      <c r="IM64" s="6"/>
      <c r="IN64" s="6"/>
      <c r="IO64" s="6"/>
      <c r="IP64" s="6"/>
      <c r="IQ64" s="6"/>
      <c r="IR64" s="6"/>
      <c r="IS64" s="6"/>
      <c r="IT64" s="6"/>
      <c r="IU64" s="6"/>
      <c r="IV64" s="6"/>
    </row>
    <row r="65" spans="1:256" s="66" customFormat="1">
      <c r="A65" s="596" t="s">
        <v>524</v>
      </c>
      <c r="B65" s="130"/>
      <c r="C65" s="129"/>
      <c r="D65" s="128"/>
      <c r="E65" s="128"/>
      <c r="F65" s="687"/>
      <c r="G65" s="133"/>
      <c r="H65" s="131"/>
      <c r="I65" s="132"/>
      <c r="J65" s="132"/>
      <c r="K65" s="134"/>
      <c r="L65" s="131"/>
      <c r="M65" s="131"/>
      <c r="N65" s="132"/>
      <c r="O65" s="135"/>
      <c r="P65" s="132"/>
      <c r="Q65" s="133"/>
      <c r="R65" s="132"/>
      <c r="S65" s="132"/>
      <c r="T65" s="132"/>
      <c r="U65" s="134"/>
      <c r="V65" s="134"/>
      <c r="W65" s="132"/>
      <c r="X65" s="132"/>
      <c r="Y65" s="132"/>
      <c r="Z65" s="132"/>
      <c r="AA65" s="133">
        <f t="shared" ref="AA65:AZ65" si="107">AA55/AA67</f>
        <v>0.54525630233670463</v>
      </c>
      <c r="AB65" s="132">
        <f t="shared" si="107"/>
        <v>-0.13867510440637551</v>
      </c>
      <c r="AC65" s="132">
        <f t="shared" si="107"/>
        <v>2.645717937792897E-2</v>
      </c>
      <c r="AD65" s="132">
        <f t="shared" si="107"/>
        <v>-8.9756425932948525E-2</v>
      </c>
      <c r="AE65" s="132">
        <f t="shared" si="107"/>
        <v>-0.84732573666494648</v>
      </c>
      <c r="AF65" s="133">
        <f t="shared" si="107"/>
        <v>-1.0486063011088655</v>
      </c>
      <c r="AG65" s="132">
        <f t="shared" si="107"/>
        <v>-2.3280346605233669E-2</v>
      </c>
      <c r="AH65" s="132">
        <f t="shared" si="107"/>
        <v>3.1607566968691589E-2</v>
      </c>
      <c r="AI65" s="132">
        <f t="shared" si="107"/>
        <v>3.1158714703018512E-2</v>
      </c>
      <c r="AJ65" s="132">
        <f t="shared" si="107"/>
        <v>-2.9591414702105051E-2</v>
      </c>
      <c r="AK65" s="548">
        <f t="shared" si="107"/>
        <v>1.0821019756056021E-2</v>
      </c>
      <c r="AL65" s="132">
        <f t="shared" si="107"/>
        <v>-7.6692997929289717E-3</v>
      </c>
      <c r="AM65" s="132">
        <f t="shared" si="107"/>
        <v>2.5182444961752794E-2</v>
      </c>
      <c r="AN65" s="132">
        <f t="shared" si="107"/>
        <v>-2.1747191884872912E-3</v>
      </c>
      <c r="AO65" s="132">
        <f t="shared" si="107"/>
        <v>-2.5731671147425139E-2</v>
      </c>
      <c r="AP65" s="548">
        <f t="shared" si="107"/>
        <v>-1.0124182165052488E-2</v>
      </c>
      <c r="AQ65" s="132">
        <f t="shared" si="107"/>
        <v>-3.7274204339090357E-4</v>
      </c>
      <c r="AR65" s="132">
        <f t="shared" si="107"/>
        <v>2.6965525630965118E-2</v>
      </c>
      <c r="AS65" s="132">
        <f t="shared" si="107"/>
        <v>-9.9673535243871569E-3</v>
      </c>
      <c r="AT65" s="132">
        <f t="shared" si="107"/>
        <v>1.0163472723933363E-2</v>
      </c>
      <c r="AU65" s="548">
        <f t="shared" si="107"/>
        <v>4.4511027064196768E-2</v>
      </c>
      <c r="AV65" s="132">
        <f>AV55/AV67</f>
        <v>3.1324963354789771E-2</v>
      </c>
      <c r="AW65" s="132">
        <f t="shared" si="107"/>
        <v>-1.4085409946202476E-2</v>
      </c>
      <c r="AX65" s="132">
        <f t="shared" si="107"/>
        <v>-6.7037904130572035E-2</v>
      </c>
      <c r="AY65" s="132">
        <f t="shared" si="107"/>
        <v>6.7206601466992533E-2</v>
      </c>
      <c r="AZ65" s="548">
        <f t="shared" si="107"/>
        <v>1.7878818789207544E-2</v>
      </c>
      <c r="BA65" s="132">
        <f t="shared" ref="BA65:BJ65" si="108">BA55/BA67</f>
        <v>5.4587635900471059E-3</v>
      </c>
      <c r="BB65" s="132">
        <f t="shared" si="108"/>
        <v>3.0727548732796404E-2</v>
      </c>
      <c r="BC65" s="132">
        <f t="shared" si="108"/>
        <v>-5.3952076980282124E-3</v>
      </c>
      <c r="BD65" s="132">
        <f t="shared" si="108"/>
        <v>8.2586609925676846E-2</v>
      </c>
      <c r="BE65" s="548">
        <f t="shared" si="108"/>
        <v>0.1135622554429635</v>
      </c>
      <c r="BF65" s="132">
        <f t="shared" si="108"/>
        <v>0.11892323655715141</v>
      </c>
      <c r="BG65" s="132">
        <f t="shared" si="108"/>
        <v>7.7939769783863619E-2</v>
      </c>
      <c r="BH65" s="132">
        <f t="shared" si="108"/>
        <v>6.1345901674584577E-2</v>
      </c>
      <c r="BI65" s="132">
        <f t="shared" si="108"/>
        <v>6.2778601266675754E-2</v>
      </c>
      <c r="BJ65" s="548">
        <f t="shared" si="108"/>
        <v>0.3229478323628347</v>
      </c>
      <c r="BK65" s="1229">
        <f t="shared" ref="BK65:BT65" si="109">BK55/BK67</f>
        <v>7.3704207841203823E-2</v>
      </c>
      <c r="BL65" s="1229">
        <f t="shared" si="109"/>
        <v>0.10847623211403834</v>
      </c>
      <c r="BM65" s="1229">
        <f t="shared" si="109"/>
        <v>2.553956713397167E-2</v>
      </c>
      <c r="BN65" s="1229">
        <f t="shared" si="109"/>
        <v>0.30880787270163734</v>
      </c>
      <c r="BO65" s="1230">
        <f>BO55/BO67</f>
        <v>0.49012092174309901</v>
      </c>
      <c r="BP65" s="1229">
        <f t="shared" si="109"/>
        <v>9.2313011828935421E-2</v>
      </c>
      <c r="BQ65" s="132">
        <f t="shared" si="109"/>
        <v>9.7977910569255963E-2</v>
      </c>
      <c r="BR65" s="132">
        <f t="shared" si="109"/>
        <v>0.18462433159119043</v>
      </c>
      <c r="BS65" s="132">
        <f t="shared" si="109"/>
        <v>0.11240108004637661</v>
      </c>
      <c r="BT65" s="548">
        <f t="shared" si="109"/>
        <v>0.4860036293830039</v>
      </c>
      <c r="BU65" s="132">
        <f t="shared" ref="BU65:CN65" si="110">BU55/BU67</f>
        <v>8.7874008315010452E-2</v>
      </c>
      <c r="BV65" s="132">
        <f t="shared" si="110"/>
        <v>-7.2765851715418791E-3</v>
      </c>
      <c r="BW65" s="132">
        <f t="shared" si="110"/>
        <v>5.6634503469891136E-2</v>
      </c>
      <c r="BX65" s="132">
        <f t="shared" si="110"/>
        <v>0.63805853556921144</v>
      </c>
      <c r="BY65" s="548">
        <f t="shared" si="110"/>
        <v>0.76680391020209937</v>
      </c>
      <c r="BZ65" s="136">
        <f t="shared" si="110"/>
        <v>9.5754801347672613E-2</v>
      </c>
      <c r="CA65" s="136">
        <f t="shared" si="110"/>
        <v>0.15614057178318974</v>
      </c>
      <c r="CB65" s="136">
        <f t="shared" si="110"/>
        <v>0.13660378697240244</v>
      </c>
      <c r="CC65" s="136">
        <f t="shared" si="110"/>
        <v>0.14485569527695813</v>
      </c>
      <c r="CD65" s="548">
        <f t="shared" si="110"/>
        <v>0.53297417377469536</v>
      </c>
      <c r="CE65" s="136">
        <f t="shared" si="110"/>
        <v>0.13598470072451752</v>
      </c>
      <c r="CF65" s="136">
        <f t="shared" si="110"/>
        <v>0.19628409560728638</v>
      </c>
      <c r="CG65" s="136">
        <f t="shared" si="110"/>
        <v>0.17625038082268069</v>
      </c>
      <c r="CH65" s="136">
        <f t="shared" si="110"/>
        <v>0.18638830573167955</v>
      </c>
      <c r="CI65" s="548">
        <f t="shared" si="110"/>
        <v>0.69458673136380533</v>
      </c>
      <c r="CJ65" s="136">
        <f t="shared" si="110"/>
        <v>0.1742918056434048</v>
      </c>
      <c r="CK65" s="136">
        <f t="shared" si="110"/>
        <v>0.23374401933156194</v>
      </c>
      <c r="CL65" s="136">
        <f t="shared" si="110"/>
        <v>0.21305777586607003</v>
      </c>
      <c r="CM65" s="136">
        <f t="shared" si="110"/>
        <v>0.22465379113846592</v>
      </c>
      <c r="CN65" s="548">
        <f t="shared" si="110"/>
        <v>0.8457162444179207</v>
      </c>
      <c r="CO65" s="80"/>
      <c r="CP65" s="593"/>
      <c r="CQ65" s="593"/>
      <c r="CR65" s="596" t="s">
        <v>26</v>
      </c>
      <c r="CS65" s="132">
        <f t="shared" si="99"/>
        <v>0.63805853556921144</v>
      </c>
      <c r="CT65" s="136">
        <v>0.11659618339195052</v>
      </c>
      <c r="CU65" s="133">
        <f t="shared" si="21"/>
        <v>0.52146235217726089</v>
      </c>
      <c r="CV65" s="132">
        <f t="shared" si="71"/>
        <v>0.11240108004637661</v>
      </c>
      <c r="CW65" s="1039">
        <f t="shared" si="28"/>
        <v>4.6766228163105632</v>
      </c>
      <c r="CX65" s="593"/>
      <c r="CY65" s="593"/>
      <c r="CZ65" s="593"/>
      <c r="DA65" s="593"/>
      <c r="DB65"/>
      <c r="DC65"/>
      <c r="DD65"/>
      <c r="DE65"/>
      <c r="DF65"/>
      <c r="DG65"/>
      <c r="DH65" s="593"/>
      <c r="DI65" s="593"/>
      <c r="DJ65" s="593"/>
      <c r="DK65" s="593"/>
      <c r="DL65" s="593"/>
      <c r="DM65" s="593"/>
      <c r="DN65" s="593"/>
      <c r="DO65" s="593"/>
      <c r="DP65" s="593"/>
      <c r="DQ65" s="593"/>
      <c r="DR65" s="593"/>
      <c r="DS65" s="593"/>
      <c r="DT65" s="593"/>
      <c r="DU65" s="593"/>
      <c r="DV65" s="593"/>
      <c r="DW65" s="593"/>
      <c r="DX65" s="593"/>
      <c r="DY65" s="593"/>
      <c r="DZ65" s="593"/>
      <c r="EA65" s="593"/>
      <c r="EB65" s="593"/>
      <c r="EC65" s="593"/>
      <c r="ED65" s="593"/>
      <c r="EE65" s="593"/>
      <c r="EF65" s="593"/>
      <c r="EG65" s="593"/>
      <c r="EH65" s="593"/>
      <c r="EI65" s="593"/>
      <c r="EJ65" s="593"/>
      <c r="EK65" s="593"/>
      <c r="EL65" s="593"/>
      <c r="EM65" s="593"/>
      <c r="EN65" s="593"/>
      <c r="EO65" s="593"/>
      <c r="EP65" s="593"/>
      <c r="EQ65" s="593"/>
      <c r="ER65" s="593"/>
      <c r="ES65" s="593"/>
      <c r="ET65" s="593"/>
      <c r="EU65" s="593"/>
      <c r="EV65" s="593"/>
      <c r="EW65" s="593"/>
      <c r="EX65" s="593"/>
      <c r="EY65" s="593"/>
      <c r="EZ65" s="593"/>
      <c r="FA65" s="593"/>
      <c r="FB65" s="593"/>
      <c r="FC65" s="593"/>
      <c r="FD65" s="593"/>
      <c r="FE65" s="593"/>
      <c r="FF65" s="593"/>
      <c r="FG65" s="593"/>
      <c r="FH65" s="593"/>
      <c r="FI65" s="593"/>
      <c r="FJ65" s="593"/>
      <c r="FK65" s="593"/>
      <c r="FL65" s="593"/>
      <c r="FM65" s="593"/>
      <c r="FN65" s="593"/>
      <c r="FO65" s="593"/>
      <c r="FP65" s="593"/>
      <c r="FQ65" s="593"/>
      <c r="FR65" s="593"/>
      <c r="FS65" s="593"/>
      <c r="FT65" s="593"/>
      <c r="FU65" s="593"/>
      <c r="FV65" s="593"/>
      <c r="FW65" s="593"/>
      <c r="FX65" s="593"/>
      <c r="FY65" s="593"/>
      <c r="FZ65" s="593"/>
      <c r="GA65" s="593"/>
      <c r="GB65" s="593"/>
      <c r="GC65" s="593"/>
      <c r="GD65" s="593"/>
      <c r="GE65" s="593"/>
      <c r="GF65" s="593"/>
      <c r="GG65" s="593"/>
      <c r="GH65" s="593"/>
      <c r="GI65" s="593"/>
      <c r="GJ65" s="593"/>
      <c r="GK65" s="593"/>
      <c r="GL65" s="593"/>
      <c r="GM65" s="593"/>
      <c r="GN65" s="593"/>
      <c r="GO65" s="593"/>
      <c r="GP65" s="593"/>
      <c r="GQ65" s="593"/>
      <c r="GR65" s="593"/>
      <c r="GS65" s="593"/>
      <c r="GT65" s="593"/>
      <c r="GU65" s="593"/>
      <c r="GV65" s="593"/>
      <c r="GW65" s="593"/>
      <c r="GX65" s="593"/>
      <c r="GY65" s="593"/>
      <c r="GZ65" s="593"/>
      <c r="HA65" s="593"/>
      <c r="HB65" s="593"/>
      <c r="HC65" s="593"/>
      <c r="HD65" s="593"/>
      <c r="HE65" s="593"/>
      <c r="HF65" s="593"/>
      <c r="HG65" s="593"/>
      <c r="HH65" s="593"/>
      <c r="HI65" s="593"/>
      <c r="HJ65" s="593"/>
      <c r="HK65" s="593"/>
      <c r="HL65" s="593"/>
      <c r="HM65" s="593"/>
      <c r="HN65" s="593"/>
      <c r="HO65" s="593"/>
      <c r="HP65" s="593"/>
      <c r="HQ65" s="6"/>
      <c r="HR65" s="6"/>
      <c r="HS65" s="6"/>
      <c r="HT65" s="6"/>
      <c r="HU65" s="6"/>
      <c r="HV65" s="6"/>
      <c r="HW65" s="6"/>
      <c r="HX65" s="6"/>
      <c r="HY65" s="6"/>
      <c r="HZ65" s="6"/>
      <c r="IA65" s="6"/>
      <c r="IB65" s="6"/>
      <c r="IC65" s="6"/>
      <c r="ID65" s="6"/>
      <c r="IE65" s="6"/>
      <c r="IF65" s="6"/>
      <c r="IG65" s="6"/>
      <c r="IH65" s="6"/>
      <c r="II65" s="6"/>
      <c r="IJ65" s="6"/>
      <c r="IK65" s="6"/>
      <c r="IL65" s="6"/>
      <c r="IM65" s="6"/>
      <c r="IN65" s="6"/>
      <c r="IO65" s="6"/>
      <c r="IP65" s="6"/>
      <c r="IQ65" s="6"/>
      <c r="IR65" s="6"/>
      <c r="IS65" s="6"/>
      <c r="IT65" s="6"/>
      <c r="IU65" s="6"/>
      <c r="IV65" s="6"/>
    </row>
    <row r="66" spans="1:256" s="66" customFormat="1" ht="12.75" hidden="1" customHeight="1" outlineLevel="1">
      <c r="A66" s="599" t="s">
        <v>296</v>
      </c>
      <c r="B66" s="554"/>
      <c r="C66" s="550"/>
      <c r="D66" s="551"/>
      <c r="E66" s="551"/>
      <c r="F66" s="551"/>
      <c r="G66" s="554"/>
      <c r="H66" s="550"/>
      <c r="I66" s="551"/>
      <c r="J66" s="551"/>
      <c r="K66" s="553"/>
      <c r="L66" s="550"/>
      <c r="M66" s="550"/>
      <c r="N66" s="551"/>
      <c r="O66" s="552"/>
      <c r="P66" s="551"/>
      <c r="Q66" s="554"/>
      <c r="R66" s="551"/>
      <c r="S66" s="551"/>
      <c r="T66" s="551"/>
      <c r="U66" s="553"/>
      <c r="V66" s="553"/>
      <c r="W66" s="551"/>
      <c r="X66" s="551"/>
      <c r="Y66" s="551"/>
      <c r="Z66" s="551"/>
      <c r="AA66" s="554">
        <v>474.70600000000002</v>
      </c>
      <c r="AB66" s="392">
        <f>AB67</f>
        <v>469.32</v>
      </c>
      <c r="AC66" s="392">
        <f>AB66</f>
        <v>469.32</v>
      </c>
      <c r="AD66" s="392">
        <v>467.70499999999998</v>
      </c>
      <c r="AE66" s="392">
        <v>468.80200000000002</v>
      </c>
      <c r="AF66" s="643">
        <f>AVERAGE(AB66:AE66)</f>
        <v>468.78674999999998</v>
      </c>
      <c r="AG66" s="392">
        <f>AE66</f>
        <v>468.80200000000002</v>
      </c>
      <c r="AH66" s="392">
        <f>AG66</f>
        <v>468.80200000000002</v>
      </c>
      <c r="AI66" s="392">
        <f>AH66</f>
        <v>468.80200000000002</v>
      </c>
      <c r="AJ66" s="392">
        <f>AI66</f>
        <v>468.80200000000002</v>
      </c>
      <c r="AK66" s="654">
        <f>AVERAGE(AG66:AJ66)</f>
        <v>468.80200000000002</v>
      </c>
      <c r="AL66" s="392">
        <f>AJ66</f>
        <v>468.80200000000002</v>
      </c>
      <c r="AM66" s="392">
        <f>AL66</f>
        <v>468.80200000000002</v>
      </c>
      <c r="AN66" s="392">
        <f>AM66</f>
        <v>468.80200000000002</v>
      </c>
      <c r="AO66" s="392">
        <f>AN66</f>
        <v>468.80200000000002</v>
      </c>
      <c r="AP66" s="654">
        <f>AVERAGE(AL66:AO66)</f>
        <v>468.80200000000002</v>
      </c>
      <c r="AQ66" s="392">
        <f>AO66</f>
        <v>468.80200000000002</v>
      </c>
      <c r="AR66" s="392">
        <f>AQ66</f>
        <v>468.80200000000002</v>
      </c>
      <c r="AS66" s="392">
        <f>AR66</f>
        <v>468.80200000000002</v>
      </c>
      <c r="AT66" s="392">
        <f>AS66</f>
        <v>468.80200000000002</v>
      </c>
      <c r="AU66" s="654">
        <f>AVERAGE(AQ66:AT66)</f>
        <v>468.80200000000002</v>
      </c>
      <c r="AV66" s="392">
        <f>AT66</f>
        <v>468.80200000000002</v>
      </c>
      <c r="AW66" s="392">
        <v>389.97800000000001</v>
      </c>
      <c r="AX66" s="392">
        <v>390.40600000000001</v>
      </c>
      <c r="AY66" s="392">
        <v>391.01299999999998</v>
      </c>
      <c r="AZ66" s="654">
        <f>AVERAGE(AV66:AY66)</f>
        <v>410.04974999999996</v>
      </c>
      <c r="BA66" s="392">
        <f>BA67</f>
        <v>395.69400000000002</v>
      </c>
      <c r="BB66" s="392">
        <f>BB67</f>
        <v>397.88400000000001</v>
      </c>
      <c r="BC66" s="392">
        <f>BC67</f>
        <v>400.72600000000011</v>
      </c>
      <c r="BD66" s="392">
        <f>BD67</f>
        <v>400.416</v>
      </c>
      <c r="BE66" s="654">
        <f>AVERAGE(BA66:BD66)</f>
        <v>398.68</v>
      </c>
      <c r="BF66" s="392">
        <v>381.55099999999999</v>
      </c>
      <c r="BG66" s="392">
        <f>BG67</f>
        <v>372.17200000000003</v>
      </c>
      <c r="BH66" s="392">
        <f>BH67</f>
        <v>372.15199999999999</v>
      </c>
      <c r="BI66" s="387">
        <f>BI67</f>
        <v>371.05</v>
      </c>
      <c r="BJ66" s="654">
        <f>AVERAGE(BF66:BI66)</f>
        <v>374.23124999999999</v>
      </c>
      <c r="BK66" s="392">
        <f>BK67</f>
        <v>373.20800000000003</v>
      </c>
      <c r="BL66" s="392">
        <v>363.76600000000002</v>
      </c>
      <c r="BM66" s="392">
        <f>BM67</f>
        <v>296.95100000000002</v>
      </c>
      <c r="BN66" s="392">
        <f>BN67</f>
        <v>278.024</v>
      </c>
      <c r="BO66" s="654">
        <f>AVERAGE(BK66:BN66)</f>
        <v>327.98725000000002</v>
      </c>
      <c r="BP66" s="392">
        <v>270.214</v>
      </c>
      <c r="BQ66" s="392">
        <v>265.91500000000002</v>
      </c>
      <c r="BR66" s="392">
        <f>BR67</f>
        <v>264.80799999999999</v>
      </c>
      <c r="BS66" s="392">
        <v>251.73</v>
      </c>
      <c r="BT66" s="654">
        <v>262.209</v>
      </c>
      <c r="BU66" s="392">
        <v>246.60599999999999</v>
      </c>
      <c r="BV66" s="392">
        <v>245.3</v>
      </c>
      <c r="BW66" s="392">
        <v>243.35400000000001</v>
      </c>
      <c r="BX66" s="392">
        <v>241.49700000000001</v>
      </c>
      <c r="BY66" s="654">
        <f>AVERAGE(BU66:BX66)</f>
        <v>244.18925000000002</v>
      </c>
      <c r="BZ66" s="387">
        <f>BZ67</f>
        <v>248.42126559749408</v>
      </c>
      <c r="CA66" s="387">
        <f>CA67</f>
        <v>246.88916712452232</v>
      </c>
      <c r="CB66" s="387">
        <f>CB67</f>
        <v>245.46812095978726</v>
      </c>
      <c r="CC66" s="387">
        <f>CC67</f>
        <v>244.15283889813486</v>
      </c>
      <c r="CD66" s="654">
        <f>AVERAGE(BZ66:CC66)</f>
        <v>246.23284814498464</v>
      </c>
      <c r="CE66" s="387">
        <f>CE67</f>
        <v>242.90938133498906</v>
      </c>
      <c r="CF66" s="387">
        <f>CF67</f>
        <v>241.70599156719908</v>
      </c>
      <c r="CG66" s="387">
        <f>CG67</f>
        <v>240.54188395171872</v>
      </c>
      <c r="CH66" s="387">
        <f>CH67</f>
        <v>239.41628825026737</v>
      </c>
      <c r="CI66" s="654">
        <f>AVERAGE(CE66:CH66)</f>
        <v>241.14338627604354</v>
      </c>
      <c r="CJ66" s="387">
        <f>CJ67</f>
        <v>238.79573618940248</v>
      </c>
      <c r="CK66" s="387">
        <f>CK67</f>
        <v>238.67032495264192</v>
      </c>
      <c r="CL66" s="387">
        <f>CL67</f>
        <v>238.56305903424925</v>
      </c>
      <c r="CM66" s="387">
        <f>CM67</f>
        <v>238.47358264366818</v>
      </c>
      <c r="CN66" s="654">
        <f>AVERAGE(CJ66:CM66)</f>
        <v>238.62567570499044</v>
      </c>
      <c r="CO66" s="80"/>
      <c r="CP66" s="593"/>
      <c r="CQ66" s="593"/>
      <c r="CR66" s="599" t="s">
        <v>113</v>
      </c>
      <c r="CS66" s="392">
        <f t="shared" si="99"/>
        <v>241.49700000000001</v>
      </c>
      <c r="CT66" s="387">
        <v>249.74290478575188</v>
      </c>
      <c r="CU66" s="643">
        <f t="shared" si="21"/>
        <v>-8.2459047857518613</v>
      </c>
      <c r="CV66" s="392">
        <f t="shared" si="71"/>
        <v>251.73</v>
      </c>
      <c r="CW66" s="388">
        <f t="shared" si="28"/>
        <v>-4.0650697175545147E-2</v>
      </c>
      <c r="CX66" s="593"/>
      <c r="CY66" s="593"/>
      <c r="CZ66" s="593"/>
      <c r="DA66" s="593"/>
      <c r="DB66"/>
      <c r="DC66"/>
      <c r="DD66"/>
      <c r="DE66"/>
      <c r="DF66"/>
      <c r="DG66"/>
      <c r="DH66" s="593"/>
      <c r="DI66" s="593"/>
      <c r="DJ66" s="593"/>
      <c r="DK66" s="593"/>
      <c r="DL66" s="593"/>
      <c r="DM66" s="593"/>
      <c r="DN66" s="593"/>
      <c r="DO66" s="593"/>
      <c r="DP66" s="593"/>
      <c r="DQ66" s="593"/>
      <c r="DR66" s="593"/>
      <c r="DS66" s="593"/>
      <c r="DT66" s="593"/>
      <c r="DU66" s="593"/>
      <c r="DV66" s="593"/>
      <c r="DW66" s="593"/>
      <c r="DX66" s="593"/>
      <c r="DY66" s="593"/>
      <c r="DZ66" s="593"/>
      <c r="EA66" s="593"/>
      <c r="EB66" s="593"/>
      <c r="EC66" s="593"/>
      <c r="ED66" s="593"/>
      <c r="EE66" s="593"/>
      <c r="EF66" s="593"/>
      <c r="EG66" s="593"/>
      <c r="EH66" s="593"/>
      <c r="EI66" s="593"/>
      <c r="EJ66" s="593"/>
      <c r="EK66" s="593"/>
      <c r="EL66" s="593"/>
      <c r="EM66" s="593"/>
      <c r="EN66" s="593"/>
      <c r="EO66" s="593"/>
      <c r="EP66" s="593"/>
      <c r="EQ66" s="593"/>
      <c r="ER66" s="593"/>
      <c r="ES66" s="593"/>
      <c r="ET66" s="593"/>
      <c r="EU66" s="593"/>
      <c r="EV66" s="593"/>
      <c r="EW66" s="593"/>
      <c r="EX66" s="593"/>
      <c r="EY66" s="593"/>
      <c r="EZ66" s="593"/>
      <c r="FA66" s="593"/>
      <c r="FB66" s="593"/>
      <c r="FC66" s="593"/>
      <c r="FD66" s="593"/>
      <c r="FE66" s="593"/>
      <c r="FF66" s="593"/>
      <c r="FG66" s="593"/>
      <c r="FH66" s="593"/>
      <c r="FI66" s="593"/>
      <c r="FJ66" s="593"/>
      <c r="FK66" s="593"/>
      <c r="FL66" s="593"/>
      <c r="FM66" s="593"/>
      <c r="FN66" s="593"/>
      <c r="FO66" s="593"/>
      <c r="FP66" s="593"/>
      <c r="FQ66" s="593"/>
      <c r="FR66" s="593"/>
      <c r="FS66" s="593"/>
      <c r="FT66" s="593"/>
      <c r="FU66" s="593"/>
      <c r="FV66" s="593"/>
      <c r="FW66" s="593"/>
      <c r="FX66" s="593"/>
      <c r="FY66" s="593"/>
      <c r="FZ66" s="593"/>
      <c r="GA66" s="593"/>
      <c r="GB66" s="593"/>
      <c r="GC66" s="593"/>
      <c r="GD66" s="593"/>
      <c r="GE66" s="593"/>
      <c r="GF66" s="593"/>
      <c r="GG66" s="593"/>
      <c r="GH66" s="593"/>
      <c r="GI66" s="593"/>
      <c r="GJ66" s="593"/>
      <c r="GK66" s="593"/>
      <c r="GL66" s="593"/>
      <c r="GM66" s="593"/>
      <c r="GN66" s="593"/>
      <c r="GO66" s="593"/>
      <c r="GP66" s="593"/>
      <c r="GQ66" s="593"/>
      <c r="GR66" s="593"/>
      <c r="GS66" s="593"/>
      <c r="GT66" s="593"/>
      <c r="GU66" s="593"/>
      <c r="GV66" s="593"/>
      <c r="GW66" s="593"/>
      <c r="GX66" s="593"/>
      <c r="GY66" s="593"/>
      <c r="GZ66" s="593"/>
      <c r="HA66" s="593"/>
      <c r="HB66" s="593"/>
      <c r="HC66" s="593"/>
      <c r="HD66" s="593"/>
      <c r="HE66" s="593"/>
      <c r="HF66" s="593"/>
      <c r="HG66" s="593"/>
      <c r="HH66" s="593"/>
      <c r="HI66" s="593"/>
      <c r="HJ66" s="593"/>
      <c r="HK66" s="593"/>
      <c r="HL66" s="593"/>
      <c r="HM66" s="593"/>
      <c r="HN66" s="593"/>
      <c r="HO66" s="593"/>
      <c r="HP66" s="593"/>
      <c r="HQ66" s="6"/>
      <c r="HR66" s="6"/>
      <c r="HS66" s="6"/>
      <c r="HT66" s="6"/>
      <c r="HU66" s="6"/>
      <c r="HV66" s="6"/>
      <c r="HW66" s="6"/>
      <c r="HX66" s="6"/>
      <c r="HY66" s="6"/>
      <c r="HZ66" s="6"/>
      <c r="IA66" s="6"/>
      <c r="IB66" s="6"/>
      <c r="IC66" s="6"/>
      <c r="ID66" s="6"/>
      <c r="IE66" s="6"/>
      <c r="IF66" s="6"/>
      <c r="IG66" s="6"/>
      <c r="IH66" s="6"/>
      <c r="II66" s="6"/>
      <c r="IJ66" s="6"/>
      <c r="IK66" s="6"/>
      <c r="IL66" s="6"/>
      <c r="IM66" s="6"/>
      <c r="IN66" s="6"/>
      <c r="IO66" s="6"/>
      <c r="IP66" s="6"/>
      <c r="IQ66" s="6"/>
      <c r="IR66" s="6"/>
      <c r="IS66" s="6"/>
      <c r="IT66" s="6"/>
      <c r="IU66" s="6"/>
      <c r="IV66" s="6"/>
    </row>
    <row r="67" spans="1:256" s="66" customFormat="1" collapsed="1">
      <c r="A67" s="599" t="s">
        <v>27</v>
      </c>
      <c r="B67" s="554"/>
      <c r="C67" s="550"/>
      <c r="D67" s="551"/>
      <c r="E67" s="551"/>
      <c r="F67" s="551"/>
      <c r="G67" s="554"/>
      <c r="H67" s="550"/>
      <c r="I67" s="551"/>
      <c r="J67" s="551"/>
      <c r="K67" s="553"/>
      <c r="L67" s="550"/>
      <c r="M67" s="550"/>
      <c r="N67" s="551"/>
      <c r="O67" s="552"/>
      <c r="P67" s="551"/>
      <c r="Q67" s="554"/>
      <c r="R67" s="551"/>
      <c r="S67" s="551"/>
      <c r="T67" s="551"/>
      <c r="U67" s="553"/>
      <c r="V67" s="553"/>
      <c r="W67" s="551"/>
      <c r="X67" s="551"/>
      <c r="Y67" s="551"/>
      <c r="Z67" s="551"/>
      <c r="AA67" s="554">
        <v>478.75099999999998</v>
      </c>
      <c r="AB67" s="550">
        <v>469.32</v>
      </c>
      <c r="AC67" s="551">
        <v>469.4</v>
      </c>
      <c r="AD67" s="551">
        <v>469.42599999999999</v>
      </c>
      <c r="AE67" s="551">
        <v>468.80200000000002</v>
      </c>
      <c r="AF67" s="554">
        <v>469.21899999999999</v>
      </c>
      <c r="AG67" s="551">
        <v>469.23700000000002</v>
      </c>
      <c r="AH67" s="551">
        <v>471.15300000000002</v>
      </c>
      <c r="AI67" s="551">
        <v>471.39299999999997</v>
      </c>
      <c r="AJ67" s="551">
        <v>459.39</v>
      </c>
      <c r="AK67" s="556">
        <f>AVERAGE(AG67:AJ67)</f>
        <v>467.79325000000006</v>
      </c>
      <c r="AL67" s="551">
        <v>443.32600000000002</v>
      </c>
      <c r="AM67" s="551">
        <v>426.56700000000001</v>
      </c>
      <c r="AN67" s="551">
        <v>417.98500000000001</v>
      </c>
      <c r="AO67" s="551">
        <v>418.084</v>
      </c>
      <c r="AP67" s="556">
        <v>427.19499999999999</v>
      </c>
      <c r="AQ67" s="551">
        <v>418.52</v>
      </c>
      <c r="AR67" s="551">
        <v>419.23899999999998</v>
      </c>
      <c r="AS67" s="551">
        <v>397.899</v>
      </c>
      <c r="AT67" s="551">
        <v>391.99200000000002</v>
      </c>
      <c r="AU67" s="556">
        <v>407.18</v>
      </c>
      <c r="AV67" s="551">
        <v>392.27499999999998</v>
      </c>
      <c r="AW67" s="392">
        <v>389.97800000000001</v>
      </c>
      <c r="AX67" s="551">
        <v>390.40600000000001</v>
      </c>
      <c r="AY67" s="551">
        <v>392.64</v>
      </c>
      <c r="AZ67" s="556">
        <v>392.14</v>
      </c>
      <c r="BA67" s="551">
        <v>395.69400000000002</v>
      </c>
      <c r="BB67" s="551">
        <v>397.88400000000001</v>
      </c>
      <c r="BC67" s="551">
        <f>BE67*4-SUM(BA67,BB67,BD67)</f>
        <v>400.72600000000011</v>
      </c>
      <c r="BD67" s="551">
        <v>400.416</v>
      </c>
      <c r="BE67" s="556">
        <v>398.68</v>
      </c>
      <c r="BF67" s="551">
        <v>389.35199999999998</v>
      </c>
      <c r="BG67" s="551">
        <v>372.17200000000003</v>
      </c>
      <c r="BH67" s="551">
        <v>372.15199999999999</v>
      </c>
      <c r="BI67" s="551">
        <v>371.05</v>
      </c>
      <c r="BJ67" s="556">
        <f>AVERAGE(BF67:BI67)</f>
        <v>376.18149999999997</v>
      </c>
      <c r="BK67" s="551">
        <v>373.20800000000003</v>
      </c>
      <c r="BL67" s="551">
        <v>370.54199999999997</v>
      </c>
      <c r="BM67" s="551">
        <v>296.95100000000002</v>
      </c>
      <c r="BN67" s="551">
        <v>278.024</v>
      </c>
      <c r="BO67" s="556">
        <v>328.72500000000002</v>
      </c>
      <c r="BP67" s="551">
        <v>274.75</v>
      </c>
      <c r="BQ67" s="551">
        <v>270.26499999999999</v>
      </c>
      <c r="BR67" s="551">
        <v>264.80799999999999</v>
      </c>
      <c r="BS67" s="551">
        <v>257.02600000000001</v>
      </c>
      <c r="BT67" s="556">
        <v>266.71199999999999</v>
      </c>
      <c r="BU67" s="551">
        <v>254.239</v>
      </c>
      <c r="BV67" s="551">
        <v>253.553</v>
      </c>
      <c r="BW67" s="551">
        <v>251.73699999999999</v>
      </c>
      <c r="BX67" s="551">
        <v>249.626</v>
      </c>
      <c r="BY67" s="556">
        <f>AVERAGE(BU67:BX67)</f>
        <v>252.28874999999999</v>
      </c>
      <c r="BZ67" s="555">
        <f>BZ142</f>
        <v>248.42126559749408</v>
      </c>
      <c r="CA67" s="555">
        <f>CA142</f>
        <v>246.88916712452232</v>
      </c>
      <c r="CB67" s="555">
        <f>CB142</f>
        <v>245.46812095978726</v>
      </c>
      <c r="CC67" s="555">
        <f>CC142</f>
        <v>244.15283889813486</v>
      </c>
      <c r="CD67" s="556">
        <f>AVERAGE(BZ67:CC67)</f>
        <v>246.23284814498464</v>
      </c>
      <c r="CE67" s="555">
        <f>CE142</f>
        <v>242.90938133498906</v>
      </c>
      <c r="CF67" s="555">
        <f>CF142</f>
        <v>241.70599156719908</v>
      </c>
      <c r="CG67" s="555">
        <f>CG142</f>
        <v>240.54188395171872</v>
      </c>
      <c r="CH67" s="555">
        <f>CH142</f>
        <v>239.41628825026737</v>
      </c>
      <c r="CI67" s="556">
        <f>AVERAGE(CE67:CH67)</f>
        <v>241.14338627604354</v>
      </c>
      <c r="CJ67" s="555">
        <f>CJ142</f>
        <v>238.79573618940248</v>
      </c>
      <c r="CK67" s="555">
        <f>CK142</f>
        <v>238.67032495264192</v>
      </c>
      <c r="CL67" s="555">
        <f>CL142</f>
        <v>238.56305903424925</v>
      </c>
      <c r="CM67" s="555">
        <f>CM142</f>
        <v>238.47358264366818</v>
      </c>
      <c r="CN67" s="556">
        <f>AVERAGE(CJ67:CM67)</f>
        <v>238.62567570499044</v>
      </c>
      <c r="CO67" s="80"/>
      <c r="CP67" s="593"/>
      <c r="CQ67" s="593"/>
      <c r="CR67" s="599" t="s">
        <v>112</v>
      </c>
      <c r="CS67" s="551">
        <f t="shared" si="99"/>
        <v>249.626</v>
      </c>
      <c r="CT67" s="555">
        <v>249.74290478575188</v>
      </c>
      <c r="CU67" s="554">
        <f t="shared" si="21"/>
        <v>-0.11690478575187058</v>
      </c>
      <c r="CV67" s="551">
        <f t="shared" si="71"/>
        <v>257.02600000000001</v>
      </c>
      <c r="CW67" s="1040">
        <f t="shared" si="28"/>
        <v>-2.8790861624893971E-2</v>
      </c>
      <c r="CX67" s="593"/>
      <c r="CY67" s="593"/>
      <c r="CZ67" s="593"/>
      <c r="DA67" s="593"/>
      <c r="DB67"/>
      <c r="DC67"/>
      <c r="DD67"/>
      <c r="DE67"/>
      <c r="DF67"/>
      <c r="DG67"/>
      <c r="DH67" s="593"/>
      <c r="DI67" s="593"/>
      <c r="DJ67" s="593"/>
      <c r="DK67" s="593"/>
      <c r="DL67" s="593"/>
      <c r="DM67" s="593"/>
      <c r="DN67" s="593"/>
      <c r="DO67" s="593"/>
      <c r="DP67" s="593"/>
      <c r="DQ67" s="593"/>
      <c r="DR67" s="593"/>
      <c r="DS67" s="593"/>
      <c r="DT67" s="593"/>
      <c r="DU67" s="593"/>
      <c r="DV67" s="593"/>
      <c r="DW67" s="593"/>
      <c r="DX67" s="593"/>
      <c r="DY67" s="593"/>
      <c r="DZ67" s="593"/>
      <c r="EA67" s="593"/>
      <c r="EB67" s="593"/>
      <c r="EC67" s="593"/>
      <c r="ED67" s="593"/>
      <c r="EE67" s="593"/>
      <c r="EF67" s="593"/>
      <c r="EG67" s="593"/>
      <c r="EH67" s="593"/>
      <c r="EI67" s="593"/>
      <c r="EJ67" s="593"/>
      <c r="EK67" s="593"/>
      <c r="EL67" s="593"/>
      <c r="EM67" s="593"/>
      <c r="EN67" s="593"/>
      <c r="EO67" s="593"/>
      <c r="EP67" s="593"/>
      <c r="EQ67" s="593"/>
      <c r="ER67" s="593"/>
      <c r="ES67" s="593"/>
      <c r="ET67" s="593"/>
      <c r="EU67" s="593"/>
      <c r="EV67" s="593"/>
      <c r="EW67" s="593"/>
      <c r="EX67" s="593"/>
      <c r="EY67" s="593"/>
      <c r="EZ67" s="593"/>
      <c r="FA67" s="593"/>
      <c r="FB67" s="593"/>
      <c r="FC67" s="593"/>
      <c r="FD67" s="593"/>
      <c r="FE67" s="593"/>
      <c r="FF67" s="593"/>
      <c r="FG67" s="593"/>
      <c r="FH67" s="593"/>
      <c r="FI67" s="593"/>
      <c r="FJ67" s="593"/>
      <c r="FK67" s="593"/>
      <c r="FL67" s="593"/>
      <c r="FM67" s="593"/>
      <c r="FN67" s="593"/>
      <c r="FO67" s="593"/>
      <c r="FP67" s="593"/>
      <c r="FQ67" s="593"/>
      <c r="FR67" s="593"/>
      <c r="FS67" s="593"/>
      <c r="FT67" s="593"/>
      <c r="FU67" s="593"/>
      <c r="FV67" s="593"/>
      <c r="FW67" s="593"/>
      <c r="FX67" s="593"/>
      <c r="FY67" s="593"/>
      <c r="FZ67" s="593"/>
      <c r="GA67" s="593"/>
      <c r="GB67" s="593"/>
      <c r="GC67" s="593"/>
      <c r="GD67" s="593"/>
      <c r="GE67" s="593"/>
      <c r="GF67" s="593"/>
      <c r="GG67" s="593"/>
      <c r="GH67" s="593"/>
      <c r="GI67" s="593"/>
      <c r="GJ67" s="593"/>
      <c r="GK67" s="593"/>
      <c r="GL67" s="593"/>
      <c r="GM67" s="593"/>
      <c r="GN67" s="593"/>
      <c r="GO67" s="593"/>
      <c r="GP67" s="593"/>
      <c r="GQ67" s="593"/>
      <c r="GR67" s="593"/>
      <c r="GS67" s="593"/>
      <c r="GT67" s="593"/>
      <c r="GU67" s="593"/>
      <c r="GV67" s="593"/>
      <c r="GW67" s="593"/>
      <c r="GX67" s="593"/>
      <c r="GY67" s="593"/>
      <c r="GZ67" s="593"/>
      <c r="HA67" s="593"/>
      <c r="HB67" s="593"/>
      <c r="HC67" s="593"/>
      <c r="HD67" s="593"/>
      <c r="HE67" s="593"/>
      <c r="HF67" s="593"/>
      <c r="HG67" s="593"/>
      <c r="HH67" s="593"/>
      <c r="HI67" s="593"/>
      <c r="HJ67" s="593"/>
      <c r="HK67" s="593"/>
      <c r="HL67" s="593"/>
      <c r="HM67" s="593"/>
      <c r="HN67" s="593"/>
      <c r="HO67" s="593"/>
      <c r="HP67" s="593"/>
      <c r="HQ67" s="6"/>
      <c r="HR67" s="6"/>
      <c r="HS67" s="6"/>
      <c r="HT67" s="6"/>
      <c r="HU67" s="6"/>
      <c r="HV67" s="6"/>
      <c r="HW67" s="6"/>
      <c r="HX67" s="6"/>
      <c r="HY67" s="6"/>
      <c r="HZ67" s="6"/>
      <c r="IA67" s="6"/>
      <c r="IB67" s="6"/>
      <c r="IC67" s="6"/>
      <c r="ID67" s="6"/>
      <c r="IE67" s="6"/>
      <c r="IF67" s="6"/>
      <c r="IG67" s="6"/>
      <c r="IH67" s="6"/>
      <c r="II67" s="6"/>
      <c r="IJ67" s="6"/>
      <c r="IK67" s="6"/>
      <c r="IL67" s="6"/>
      <c r="IM67" s="6"/>
      <c r="IN67" s="6"/>
      <c r="IO67" s="6"/>
      <c r="IP67" s="6"/>
      <c r="IQ67" s="6"/>
      <c r="IR67" s="6"/>
      <c r="IS67" s="6"/>
      <c r="IT67" s="6"/>
      <c r="IU67" s="6"/>
      <c r="IV67" s="6"/>
    </row>
    <row r="68" spans="1:256" s="229" customFormat="1">
      <c r="A68" s="1216" t="s">
        <v>597</v>
      </c>
      <c r="B68" s="409"/>
      <c r="C68" s="409"/>
      <c r="D68" s="409"/>
      <c r="E68" s="409"/>
      <c r="F68" s="409"/>
      <c r="G68" s="409"/>
      <c r="H68" s="409"/>
      <c r="I68" s="409"/>
      <c r="J68" s="409"/>
      <c r="K68" s="409"/>
      <c r="L68" s="409"/>
      <c r="M68" s="1217"/>
      <c r="N68" s="409"/>
      <c r="O68" s="409"/>
      <c r="P68" s="409"/>
      <c r="Q68" s="409"/>
      <c r="R68" s="409"/>
      <c r="S68" s="409"/>
      <c r="T68" s="409"/>
      <c r="U68" s="1218"/>
      <c r="V68" s="409"/>
      <c r="W68" s="409"/>
      <c r="X68" s="409"/>
      <c r="Y68" s="409"/>
      <c r="Z68" s="409"/>
      <c r="AA68" s="1218"/>
      <c r="AB68" s="409"/>
      <c r="AC68" s="409"/>
      <c r="AD68" s="409"/>
      <c r="AE68" s="409"/>
      <c r="AF68" s="1218"/>
      <c r="AG68" s="409"/>
      <c r="AH68" s="409"/>
      <c r="AI68" s="409"/>
      <c r="AJ68" s="409"/>
      <c r="AK68" s="1219"/>
      <c r="AL68" s="409"/>
      <c r="AM68" s="409"/>
      <c r="AN68" s="409"/>
      <c r="AO68" s="409"/>
      <c r="AP68" s="1219"/>
      <c r="AQ68" s="409"/>
      <c r="AR68" s="409"/>
      <c r="AS68" s="409"/>
      <c r="AT68" s="409"/>
      <c r="AU68" s="1248">
        <f t="shared" ref="AU68:BO68" si="111">AU67/AP67-1</f>
        <v>-4.6852140123362807E-2</v>
      </c>
      <c r="AV68" s="224">
        <f t="shared" si="111"/>
        <v>-6.2709070056389149E-2</v>
      </c>
      <c r="AW68" s="224">
        <f t="shared" si="111"/>
        <v>-6.9795510436767461E-2</v>
      </c>
      <c r="AX68" s="224">
        <f t="shared" si="111"/>
        <v>-1.8831411991485303E-2</v>
      </c>
      <c r="AY68" s="224">
        <f t="shared" si="111"/>
        <v>1.6530949611215373E-3</v>
      </c>
      <c r="AZ68" s="1248">
        <f t="shared" si="111"/>
        <v>-3.6936981187681184E-2</v>
      </c>
      <c r="BA68" s="224">
        <f t="shared" si="111"/>
        <v>8.715824357912183E-3</v>
      </c>
      <c r="BB68" s="224">
        <f t="shared" si="111"/>
        <v>2.0272938473452351E-2</v>
      </c>
      <c r="BC68" s="224">
        <f t="shared" si="111"/>
        <v>2.6434019968955669E-2</v>
      </c>
      <c r="BD68" s="224">
        <f t="shared" si="111"/>
        <v>1.9804400977995185E-2</v>
      </c>
      <c r="BE68" s="1248">
        <f t="shared" si="111"/>
        <v>1.6677717141837078E-2</v>
      </c>
      <c r="BF68" s="224">
        <f t="shared" si="111"/>
        <v>-1.6027536429665479E-2</v>
      </c>
      <c r="BG68" s="224">
        <f t="shared" si="111"/>
        <v>-6.462184958430095E-2</v>
      </c>
      <c r="BH68" s="224">
        <f t="shared" si="111"/>
        <v>-7.1305580371625821E-2</v>
      </c>
      <c r="BI68" s="224">
        <f t="shared" si="111"/>
        <v>-7.3338727723167851E-2</v>
      </c>
      <c r="BJ68" s="1248">
        <f t="shared" si="111"/>
        <v>-5.6432477174676476E-2</v>
      </c>
      <c r="BK68" s="224">
        <f t="shared" si="111"/>
        <v>-4.1463765435903577E-2</v>
      </c>
      <c r="BL68" s="224">
        <f t="shared" si="111"/>
        <v>-4.3796954096494423E-3</v>
      </c>
      <c r="BM68" s="224">
        <f t="shared" si="111"/>
        <v>-0.20207065930050083</v>
      </c>
      <c r="BN68" s="224">
        <f t="shared" si="111"/>
        <v>-0.25071014688047433</v>
      </c>
      <c r="BO68" s="1248">
        <f t="shared" si="111"/>
        <v>-0.12615319998458174</v>
      </c>
      <c r="BP68" s="224">
        <f>BP67/BK67-1</f>
        <v>-0.26381535229684261</v>
      </c>
      <c r="BQ68" s="224">
        <f t="shared" ref="BQ68:CN68" si="112">BQ67/BL67-1</f>
        <v>-0.27062249353649515</v>
      </c>
      <c r="BR68" s="224">
        <f t="shared" si="112"/>
        <v>-0.10824344757215842</v>
      </c>
      <c r="BS68" s="224">
        <f t="shared" si="112"/>
        <v>-7.5525853883117944E-2</v>
      </c>
      <c r="BT68" s="1248">
        <f t="shared" si="112"/>
        <v>-0.18864704540269228</v>
      </c>
      <c r="BU68" s="224">
        <f t="shared" si="112"/>
        <v>-7.4653321201091916E-2</v>
      </c>
      <c r="BV68" s="224">
        <f t="shared" si="112"/>
        <v>-6.1835605794312909E-2</v>
      </c>
      <c r="BW68" s="224">
        <f>BW67/BR67-1</f>
        <v>-4.9360291229872177E-2</v>
      </c>
      <c r="BX68" s="224">
        <f>BX67/BS67-1</f>
        <v>-2.8790861624893971E-2</v>
      </c>
      <c r="BY68" s="1248">
        <f t="shared" si="112"/>
        <v>-5.4077994240979033E-2</v>
      </c>
      <c r="BZ68" s="224">
        <f t="shared" si="112"/>
        <v>-2.2882934571430535E-2</v>
      </c>
      <c r="CA68" s="224">
        <f t="shared" si="112"/>
        <v>-2.6281814356279298E-2</v>
      </c>
      <c r="CB68" s="224">
        <f t="shared" si="112"/>
        <v>-2.4902493635074463E-2</v>
      </c>
      <c r="CC68" s="224">
        <f t="shared" si="112"/>
        <v>-2.1925444872990529E-2</v>
      </c>
      <c r="CD68" s="1248">
        <f t="shared" si="112"/>
        <v>-2.400385215359524E-2</v>
      </c>
      <c r="CE68" s="224">
        <f t="shared" si="112"/>
        <v>-2.2187650679775905E-2</v>
      </c>
      <c r="CF68" s="224">
        <f t="shared" si="112"/>
        <v>-2.0993936743725294E-2</v>
      </c>
      <c r="CG68" s="224">
        <f t="shared" si="112"/>
        <v>-2.0068744522941828E-2</v>
      </c>
      <c r="CH68" s="224">
        <f t="shared" si="112"/>
        <v>-1.9399940910962199E-2</v>
      </c>
      <c r="CI68" s="1248">
        <f t="shared" si="112"/>
        <v>-2.0669305120267212E-2</v>
      </c>
      <c r="CJ68" s="224">
        <f t="shared" si="112"/>
        <v>-1.6934896145133216E-2</v>
      </c>
      <c r="CK68" s="224">
        <f t="shared" si="112"/>
        <v>-1.2559335392863802E-2</v>
      </c>
      <c r="CL68" s="224">
        <f t="shared" si="112"/>
        <v>-8.226529554689388E-3</v>
      </c>
      <c r="CM68" s="224">
        <f t="shared" si="112"/>
        <v>-3.9375165887366448E-3</v>
      </c>
      <c r="CN68" s="1248">
        <f t="shared" si="112"/>
        <v>-1.0440719979651458E-2</v>
      </c>
      <c r="CO68" s="208"/>
      <c r="CR68" s="1216"/>
      <c r="CS68" s="409"/>
      <c r="CT68" s="409"/>
      <c r="CU68" s="1220"/>
      <c r="CV68" s="409"/>
      <c r="CW68" s="193"/>
      <c r="DB68"/>
      <c r="DC68"/>
      <c r="DD68"/>
      <c r="DE68"/>
      <c r="DF68"/>
      <c r="DG68"/>
      <c r="HQ68" s="867"/>
      <c r="HR68" s="867"/>
      <c r="HS68" s="867"/>
      <c r="HT68" s="867"/>
      <c r="HU68" s="867"/>
      <c r="HV68" s="867"/>
      <c r="HW68" s="867"/>
      <c r="HX68" s="867"/>
      <c r="HY68" s="867"/>
      <c r="HZ68" s="867"/>
      <c r="IA68" s="867"/>
      <c r="IB68" s="867"/>
      <c r="IC68" s="867"/>
      <c r="ID68" s="867"/>
      <c r="IE68" s="867"/>
      <c r="IF68" s="867"/>
      <c r="IG68" s="867"/>
      <c r="IH68" s="867"/>
      <c r="II68" s="867"/>
      <c r="IJ68" s="867"/>
      <c r="IK68" s="867"/>
      <c r="IL68" s="867"/>
      <c r="IM68" s="867"/>
      <c r="IN68" s="867"/>
      <c r="IO68" s="867"/>
      <c r="IP68" s="867"/>
      <c r="IQ68" s="867"/>
      <c r="IR68" s="867"/>
      <c r="IS68" s="867"/>
      <c r="IT68" s="867"/>
      <c r="IU68" s="867"/>
      <c r="IV68" s="867"/>
    </row>
    <row r="69" spans="1:256" s="66" customFormat="1" ht="11.25" customHeight="1">
      <c r="A69" s="659" t="s">
        <v>28</v>
      </c>
      <c r="B69" s="660"/>
      <c r="C69" s="660"/>
      <c r="D69" s="660"/>
      <c r="E69" s="660"/>
      <c r="F69" s="660"/>
      <c r="G69" s="660"/>
      <c r="H69" s="660"/>
      <c r="I69" s="660"/>
      <c r="J69" s="660"/>
      <c r="K69" s="660"/>
      <c r="L69" s="660"/>
      <c r="M69" s="661"/>
      <c r="N69" s="662"/>
      <c r="O69" s="663"/>
      <c r="P69" s="660"/>
      <c r="Q69" s="660"/>
      <c r="R69" s="660"/>
      <c r="S69" s="660"/>
      <c r="T69" s="660"/>
      <c r="U69" s="664"/>
      <c r="V69" s="662"/>
      <c r="W69" s="660"/>
      <c r="X69" s="660"/>
      <c r="Y69" s="660"/>
      <c r="Z69" s="660"/>
      <c r="AA69" s="664"/>
      <c r="AB69" s="660"/>
      <c r="AC69" s="662"/>
      <c r="AD69" s="660"/>
      <c r="AE69" s="660"/>
      <c r="AF69" s="664"/>
      <c r="AG69" s="660"/>
      <c r="AH69" s="660"/>
      <c r="AI69" s="660"/>
      <c r="AJ69" s="660"/>
      <c r="AK69" s="665"/>
      <c r="AL69" s="660"/>
      <c r="AM69" s="660"/>
      <c r="AN69" s="660"/>
      <c r="AO69" s="660"/>
      <c r="AP69" s="665"/>
      <c r="AQ69" s="660"/>
      <c r="AR69" s="660"/>
      <c r="AS69" s="662"/>
      <c r="AT69" s="662"/>
      <c r="AU69" s="665"/>
      <c r="AV69" s="662"/>
      <c r="AW69" s="662"/>
      <c r="AX69" s="660"/>
      <c r="AY69" s="662"/>
      <c r="AZ69" s="665"/>
      <c r="BA69" s="662"/>
      <c r="BB69" s="662"/>
      <c r="BC69" s="1126"/>
      <c r="BD69" s="1126"/>
      <c r="BE69" s="1126"/>
      <c r="BF69" s="1126"/>
      <c r="BG69" s="1126"/>
      <c r="BH69" s="1126"/>
      <c r="BI69" s="1126"/>
      <c r="BJ69" s="1126"/>
      <c r="BK69" s="1126"/>
      <c r="BL69" s="1187"/>
      <c r="BM69" s="1187"/>
      <c r="BN69" s="1126"/>
      <c r="BO69" s="1154"/>
      <c r="BP69" s="1214"/>
      <c r="BQ69" s="1214"/>
      <c r="BR69" s="1214"/>
      <c r="BS69" s="1270"/>
      <c r="BT69" s="1126"/>
      <c r="BU69" s="1187"/>
      <c r="BV69" s="1126"/>
      <c r="BW69" s="1187"/>
      <c r="BX69" s="1187"/>
      <c r="BY69" s="1187"/>
      <c r="BZ69" s="1126"/>
      <c r="CA69" s="1126"/>
      <c r="CB69" s="1126"/>
      <c r="CC69" s="1126"/>
      <c r="CD69" s="1126"/>
      <c r="CE69" s="1126"/>
      <c r="CF69" s="1126"/>
      <c r="CG69" s="1126"/>
      <c r="CH69" s="1126"/>
      <c r="CI69" s="1126"/>
      <c r="CJ69" s="1126"/>
      <c r="CK69" s="1126"/>
      <c r="CL69" s="1126"/>
      <c r="CM69" s="1126"/>
      <c r="CN69" s="1154"/>
      <c r="CO69" s="45"/>
      <c r="CP69" s="593"/>
      <c r="CQ69" s="593"/>
      <c r="CR69" s="659" t="s">
        <v>28</v>
      </c>
      <c r="CS69" s="660"/>
      <c r="CT69" s="662"/>
      <c r="CU69" s="922"/>
      <c r="CV69" s="660"/>
      <c r="CW69" s="922"/>
      <c r="CX69" s="593"/>
      <c r="CY69" s="593"/>
      <c r="CZ69" s="593"/>
      <c r="DA69" s="593"/>
      <c r="DB69"/>
      <c r="DC69"/>
      <c r="DD69"/>
      <c r="DE69"/>
      <c r="DF69"/>
      <c r="DG69"/>
      <c r="DH69" s="593"/>
      <c r="DI69" s="593"/>
      <c r="DJ69" s="593"/>
      <c r="DK69" s="593"/>
      <c r="DL69" s="593"/>
      <c r="DM69" s="593"/>
      <c r="DN69" s="593"/>
      <c r="DO69" s="593"/>
      <c r="DP69" s="593"/>
      <c r="DQ69" s="593"/>
      <c r="DR69" s="593"/>
      <c r="DS69" s="593"/>
      <c r="DT69" s="593"/>
      <c r="DU69" s="593"/>
      <c r="DV69" s="593"/>
      <c r="DW69" s="593"/>
      <c r="DX69" s="593"/>
      <c r="DY69" s="593"/>
      <c r="DZ69" s="593"/>
      <c r="EA69" s="593"/>
      <c r="EB69" s="593"/>
      <c r="EC69" s="593"/>
      <c r="ED69" s="593"/>
      <c r="EE69" s="593"/>
      <c r="EF69" s="593"/>
      <c r="EG69" s="593"/>
      <c r="EH69" s="593"/>
      <c r="EI69" s="593"/>
      <c r="EJ69" s="593"/>
      <c r="EK69" s="593"/>
      <c r="EL69" s="593"/>
      <c r="EM69" s="593"/>
      <c r="EN69" s="593"/>
      <c r="EO69" s="593"/>
      <c r="EP69" s="593"/>
      <c r="EQ69" s="593"/>
      <c r="ER69" s="593"/>
      <c r="ES69" s="593"/>
      <c r="ET69" s="593"/>
      <c r="EU69" s="593"/>
      <c r="EV69" s="593"/>
      <c r="EW69" s="593"/>
      <c r="EX69" s="593"/>
      <c r="EY69" s="593"/>
      <c r="EZ69" s="593"/>
      <c r="FA69" s="593"/>
      <c r="FB69" s="593"/>
      <c r="FC69" s="593"/>
      <c r="FD69" s="593"/>
      <c r="FE69" s="593"/>
      <c r="FF69" s="593"/>
      <c r="FG69" s="593"/>
      <c r="FH69" s="593"/>
      <c r="FI69" s="593"/>
      <c r="FJ69" s="593"/>
      <c r="FK69" s="593"/>
      <c r="FL69" s="593"/>
      <c r="FM69" s="593"/>
      <c r="FN69" s="593"/>
      <c r="FO69" s="593"/>
      <c r="FP69" s="593"/>
      <c r="FQ69" s="593"/>
      <c r="FR69" s="593"/>
      <c r="FS69" s="593"/>
      <c r="FT69" s="593"/>
      <c r="FU69" s="593"/>
      <c r="FV69" s="593"/>
      <c r="FW69" s="593"/>
      <c r="FX69" s="593"/>
      <c r="FY69" s="593"/>
      <c r="FZ69" s="593"/>
      <c r="GA69" s="593"/>
      <c r="GB69" s="593"/>
      <c r="GC69" s="593"/>
      <c r="GD69" s="593"/>
      <c r="GE69" s="593"/>
      <c r="GF69" s="593"/>
      <c r="GG69" s="593"/>
      <c r="GH69" s="593"/>
      <c r="GI69" s="593"/>
      <c r="GJ69" s="593"/>
      <c r="GK69" s="593"/>
      <c r="GL69" s="593"/>
      <c r="GM69" s="593"/>
      <c r="GN69" s="593"/>
      <c r="GO69" s="593"/>
      <c r="GP69" s="593"/>
      <c r="GQ69" s="593"/>
      <c r="GR69" s="593"/>
      <c r="GS69" s="593"/>
      <c r="GT69" s="593"/>
      <c r="GU69" s="593"/>
      <c r="GV69" s="593"/>
      <c r="GW69" s="593"/>
      <c r="GX69" s="593"/>
      <c r="GY69" s="593"/>
      <c r="GZ69" s="593"/>
      <c r="HA69" s="593"/>
      <c r="HB69" s="593"/>
      <c r="HC69" s="593"/>
      <c r="HD69" s="593"/>
      <c r="HE69" s="593"/>
      <c r="HF69" s="593"/>
      <c r="HG69" s="593"/>
      <c r="HH69" s="593"/>
      <c r="HI69" s="593"/>
      <c r="HJ69" s="593"/>
      <c r="HK69" s="593"/>
      <c r="HL69" s="593"/>
      <c r="HM69" s="593"/>
      <c r="HN69" s="593"/>
      <c r="HO69" s="593"/>
      <c r="HP69" s="593"/>
      <c r="HQ69" s="6"/>
      <c r="HR69" s="6"/>
      <c r="HS69" s="6"/>
      <c r="HT69" s="6"/>
      <c r="HU69" s="6"/>
      <c r="HV69" s="6"/>
      <c r="HW69" s="6"/>
      <c r="HX69" s="6"/>
      <c r="HY69" s="6"/>
      <c r="HZ69" s="6"/>
      <c r="IA69" s="6"/>
      <c r="IB69" s="6"/>
      <c r="IC69" s="6"/>
      <c r="ID69" s="6"/>
      <c r="IE69" s="6"/>
      <c r="IF69" s="6"/>
      <c r="IG69" s="6"/>
      <c r="IH69" s="6"/>
      <c r="II69" s="6"/>
      <c r="IJ69" s="6"/>
      <c r="IK69" s="6"/>
      <c r="IL69" s="6"/>
      <c r="IM69" s="6"/>
      <c r="IN69" s="6"/>
      <c r="IO69" s="6"/>
      <c r="IP69" s="6"/>
      <c r="IQ69" s="6"/>
      <c r="IR69" s="6"/>
      <c r="IS69" s="6"/>
      <c r="IT69" s="6"/>
      <c r="IU69" s="6"/>
      <c r="IV69" s="6"/>
    </row>
    <row r="70" spans="1:256" s="66" customFormat="1" ht="11.25" hidden="1" customHeight="1" outlineLevel="1">
      <c r="A70" s="938" t="s">
        <v>461</v>
      </c>
      <c r="B70" s="153"/>
      <c r="C70" s="152"/>
      <c r="D70" s="46"/>
      <c r="E70" s="46"/>
      <c r="F70" s="46"/>
      <c r="G70" s="153"/>
      <c r="H70" s="152"/>
      <c r="I70" s="46"/>
      <c r="J70" s="46"/>
      <c r="K70" s="97"/>
      <c r="L70" s="152"/>
      <c r="M70" s="152"/>
      <c r="N70" s="46"/>
      <c r="O70" s="154"/>
      <c r="P70" s="46"/>
      <c r="Q70" s="153"/>
      <c r="R70" s="152"/>
      <c r="S70" s="46"/>
      <c r="T70" s="46"/>
      <c r="U70" s="97"/>
      <c r="V70" s="97"/>
      <c r="W70" s="46"/>
      <c r="X70" s="46"/>
      <c r="Y70" s="46"/>
      <c r="Z70" s="46"/>
      <c r="AA70" s="153"/>
      <c r="AB70" s="46"/>
      <c r="AC70" s="46"/>
      <c r="AD70" s="46"/>
      <c r="AE70" s="46"/>
      <c r="AF70" s="153"/>
      <c r="AG70" s="46"/>
      <c r="AH70" s="46"/>
      <c r="AI70" s="46"/>
      <c r="AJ70" s="46"/>
      <c r="AK70" s="606"/>
      <c r="AL70" s="46"/>
      <c r="AM70" s="46"/>
      <c r="AN70" s="46"/>
      <c r="AO70" s="46"/>
      <c r="AP70" s="606"/>
      <c r="AQ70" s="46">
        <f>AQ20/AQ$12</f>
        <v>0.32075856443719414</v>
      </c>
      <c r="AR70" s="46">
        <v>0.33500000000000002</v>
      </c>
      <c r="AS70" s="46">
        <v>0.33800000000000002</v>
      </c>
      <c r="AT70" s="46">
        <v>0.3314409949865022</v>
      </c>
      <c r="AU70" s="606">
        <v>0.33100000000000002</v>
      </c>
      <c r="AV70" s="46">
        <f t="shared" ref="AV70:BK70" si="113">AV20/AV$12</f>
        <v>0.33618971701873251</v>
      </c>
      <c r="AW70" s="46">
        <f t="shared" si="113"/>
        <v>0.33107748016090294</v>
      </c>
      <c r="AX70" s="46">
        <f t="shared" si="113"/>
        <v>0.33148967551622421</v>
      </c>
      <c r="AY70" s="46">
        <f t="shared" si="113"/>
        <v>0.3302609508313305</v>
      </c>
      <c r="AZ70" s="606">
        <f t="shared" si="113"/>
        <v>0.33218128935934993</v>
      </c>
      <c r="BA70" s="46">
        <f t="shared" si="113"/>
        <v>0.32926119837114604</v>
      </c>
      <c r="BB70" s="46">
        <f t="shared" si="113"/>
        <v>0.32786589762076429</v>
      </c>
      <c r="BC70" s="46">
        <f t="shared" si="113"/>
        <v>0.32883798263439867</v>
      </c>
      <c r="BD70" s="46">
        <f t="shared" si="113"/>
        <v>0.32641009977601287</v>
      </c>
      <c r="BE70" s="606">
        <f t="shared" si="113"/>
        <v>0.32811831280612486</v>
      </c>
      <c r="BF70" s="46">
        <f t="shared" si="113"/>
        <v>0.32081339712918661</v>
      </c>
      <c r="BG70" s="46">
        <f t="shared" si="113"/>
        <v>0.32572970321314698</v>
      </c>
      <c r="BH70" s="46">
        <f t="shared" si="113"/>
        <v>0.32731893265565443</v>
      </c>
      <c r="BI70" s="46">
        <f t="shared" si="113"/>
        <v>0.33367582840996673</v>
      </c>
      <c r="BJ70" s="606">
        <f t="shared" si="113"/>
        <v>0.32676406589990675</v>
      </c>
      <c r="BK70" s="46">
        <f t="shared" si="113"/>
        <v>0.32329424530650025</v>
      </c>
      <c r="BL70" s="46">
        <f t="shared" ref="BL70:BM73" si="114">BL20/BL$14</f>
        <v>0.31788244582493613</v>
      </c>
      <c r="BM70" s="46">
        <f t="shared" si="114"/>
        <v>0.31558569976184841</v>
      </c>
      <c r="BN70" s="46">
        <v>0.32400000000000001</v>
      </c>
      <c r="BO70" s="606">
        <f t="shared" ref="BO70:BP72" si="115">BO20/BO$12</f>
        <v>0.31971042575698388</v>
      </c>
      <c r="BP70" s="46">
        <f t="shared" si="115"/>
        <v>0.30540002776363889</v>
      </c>
      <c r="BQ70" s="46">
        <f t="shared" ref="BQ70:BR73" si="116">BQ20/BQ$14</f>
        <v>0.3024282986479449</v>
      </c>
      <c r="BR70" s="46">
        <f t="shared" si="116"/>
        <v>0.30309126852224416</v>
      </c>
      <c r="BS70" s="46">
        <f t="shared" ref="BS70" si="117">BS20/BS$14</f>
        <v>0.29790200925397725</v>
      </c>
      <c r="BT70" s="606">
        <f>BT20/BT$12</f>
        <v>0.30257678999259308</v>
      </c>
      <c r="BU70" s="46">
        <f t="shared" ref="BU70" si="118">BU20/BU$12</f>
        <v>0.3036191401505951</v>
      </c>
      <c r="BV70" s="46">
        <f t="shared" ref="BV70" si="119">BV20/BV$12</f>
        <v>0.31269621221069382</v>
      </c>
      <c r="BW70" s="46">
        <f t="shared" ref="BW70" si="120">BW20/BW$12</f>
        <v>0.32610816970215872</v>
      </c>
      <c r="BX70" s="1318">
        <f t="shared" ref="BX70:BX72" si="121">BX20/BX$14</f>
        <v>0.31829450958111671</v>
      </c>
      <c r="BY70" s="606">
        <f>BY20/BY$14</f>
        <v>0.31534901943153681</v>
      </c>
      <c r="BZ70" s="169">
        <f>BU70+0.003</f>
        <v>0.3066191401505951</v>
      </c>
      <c r="CA70" s="169">
        <f>BV70+0.002</f>
        <v>0.31469621221069383</v>
      </c>
      <c r="CB70" s="169">
        <f>BW70+0.002</f>
        <v>0.32810816970215873</v>
      </c>
      <c r="CC70" s="169">
        <f>BX70+0.002</f>
        <v>0.32029450958111672</v>
      </c>
      <c r="CD70" s="606">
        <f>CD20/CD$12</f>
        <v>0.31764024584398665</v>
      </c>
      <c r="CE70" s="169">
        <f t="shared" ref="CE70" si="122">BZ70+CE76/10000</f>
        <v>0.3066191401505951</v>
      </c>
      <c r="CF70" s="169">
        <f t="shared" ref="CF70" si="123">CA70+CF76/10000</f>
        <v>0.31469621221069383</v>
      </c>
      <c r="CG70" s="169">
        <f t="shared" ref="CG70" si="124">CB70+CG76/10000</f>
        <v>0.32810816970215873</v>
      </c>
      <c r="CH70" s="169">
        <f t="shared" ref="CH70" si="125">CC70+CH76/10000</f>
        <v>0.32029450958111672</v>
      </c>
      <c r="CI70" s="606">
        <f>CI20/CI$12</f>
        <v>0.31764053719682389</v>
      </c>
      <c r="CJ70" s="169">
        <f t="shared" ref="CJ70" si="126">CE70+CJ76/10000</f>
        <v>0.3066191401505951</v>
      </c>
      <c r="CK70" s="169">
        <f t="shared" ref="CK70" si="127">CF70+CK76/10000</f>
        <v>0.31469621221069383</v>
      </c>
      <c r="CL70" s="169">
        <f t="shared" ref="CL70" si="128">CG70+CL76/10000</f>
        <v>0.32810816970215873</v>
      </c>
      <c r="CM70" s="169">
        <f t="shared" ref="CM70" si="129">CH70+CM76/10000</f>
        <v>0.32029450958111672</v>
      </c>
      <c r="CN70" s="606">
        <f>CN20/CN$12</f>
        <v>0.31763962314507105</v>
      </c>
      <c r="CO70" s="1135"/>
      <c r="CP70" s="593"/>
      <c r="CQ70" s="593"/>
      <c r="CR70" s="938" t="s">
        <v>461</v>
      </c>
      <c r="CS70" s="46">
        <f>BX70</f>
        <v>0.31829450958111671</v>
      </c>
      <c r="CT70" s="169">
        <v>0.315</v>
      </c>
      <c r="CU70" s="153">
        <f t="shared" si="21"/>
        <v>3.2945095811167113E-3</v>
      </c>
      <c r="CV70" s="46">
        <f>BS70</f>
        <v>0.29790200925397725</v>
      </c>
      <c r="CW70" s="153">
        <f t="shared" ref="CW70:CW97" si="130">CS70-CV70</f>
        <v>2.0392500327139462E-2</v>
      </c>
      <c r="CX70" s="593"/>
      <c r="CY70" s="593"/>
      <c r="CZ70" s="593"/>
      <c r="DA70" s="593"/>
      <c r="DB70"/>
      <c r="DC70"/>
      <c r="DD70"/>
      <c r="DE70"/>
      <c r="DF70"/>
      <c r="DG70"/>
      <c r="DH70" s="593"/>
      <c r="DI70" s="593"/>
      <c r="DJ70" s="593"/>
      <c r="DK70" s="593"/>
      <c r="DL70" s="593"/>
      <c r="DM70" s="593"/>
      <c r="DN70" s="593"/>
      <c r="DO70" s="593"/>
      <c r="DP70" s="593"/>
      <c r="DQ70" s="593"/>
      <c r="DR70" s="593"/>
      <c r="DS70" s="593"/>
      <c r="DT70" s="593"/>
      <c r="DU70" s="593"/>
      <c r="DV70" s="593"/>
      <c r="DW70" s="593"/>
      <c r="DX70" s="593"/>
      <c r="DY70" s="593"/>
      <c r="DZ70" s="593"/>
      <c r="EA70" s="593"/>
      <c r="EB70" s="593"/>
      <c r="EC70" s="593"/>
      <c r="ED70" s="593"/>
      <c r="EE70" s="593"/>
      <c r="EF70" s="593"/>
      <c r="EG70" s="593"/>
      <c r="EH70" s="593"/>
      <c r="EI70" s="593"/>
      <c r="EJ70" s="593"/>
      <c r="EK70" s="593"/>
      <c r="EL70" s="593"/>
      <c r="EM70" s="593"/>
      <c r="EN70" s="593"/>
      <c r="EO70" s="593"/>
      <c r="EP70" s="593"/>
      <c r="EQ70" s="593"/>
      <c r="ER70" s="593"/>
      <c r="ES70" s="593"/>
      <c r="ET70" s="593"/>
      <c r="EU70" s="593"/>
      <c r="EV70" s="593"/>
      <c r="EW70" s="593"/>
      <c r="EX70" s="593"/>
      <c r="EY70" s="593"/>
      <c r="EZ70" s="593"/>
      <c r="FA70" s="593"/>
      <c r="FB70" s="593"/>
      <c r="FC70" s="593"/>
      <c r="FD70" s="593"/>
      <c r="FE70" s="593"/>
      <c r="FF70" s="593"/>
      <c r="FG70" s="593"/>
      <c r="FH70" s="593"/>
      <c r="FI70" s="593"/>
      <c r="FJ70" s="593"/>
      <c r="FK70" s="593"/>
      <c r="FL70" s="593"/>
      <c r="FM70" s="593"/>
      <c r="FN70" s="593"/>
      <c r="FO70" s="593"/>
      <c r="FP70" s="593"/>
      <c r="FQ70" s="593"/>
      <c r="FR70" s="593"/>
      <c r="FS70" s="593"/>
      <c r="FT70" s="593"/>
      <c r="FU70" s="593"/>
      <c r="FV70" s="593"/>
      <c r="FW70" s="593"/>
      <c r="FX70" s="593"/>
      <c r="FY70" s="593"/>
      <c r="FZ70" s="593"/>
      <c r="GA70" s="593"/>
      <c r="GB70" s="593"/>
      <c r="GC70" s="593"/>
      <c r="GD70" s="593"/>
      <c r="GE70" s="593"/>
      <c r="GF70" s="593"/>
      <c r="GG70" s="593"/>
      <c r="GH70" s="593"/>
      <c r="GI70" s="593"/>
      <c r="GJ70" s="593"/>
      <c r="GK70" s="593"/>
      <c r="GL70" s="593"/>
      <c r="GM70" s="593"/>
      <c r="GN70" s="593"/>
      <c r="GO70" s="593"/>
      <c r="GP70" s="593"/>
      <c r="GQ70" s="593"/>
      <c r="GR70" s="593"/>
      <c r="GS70" s="593"/>
      <c r="GT70" s="593"/>
      <c r="GU70" s="593"/>
      <c r="GV70" s="593"/>
      <c r="GW70" s="593"/>
      <c r="GX70" s="593"/>
      <c r="GY70" s="593"/>
      <c r="GZ70" s="593"/>
      <c r="HA70" s="593"/>
      <c r="HB70" s="593"/>
      <c r="HC70" s="593"/>
      <c r="HD70" s="593"/>
      <c r="HE70" s="593"/>
      <c r="HF70" s="593"/>
      <c r="HG70" s="593"/>
      <c r="HH70" s="593"/>
      <c r="HI70" s="593"/>
      <c r="HJ70" s="593"/>
      <c r="HK70" s="593"/>
      <c r="HL70" s="593"/>
      <c r="HM70" s="593"/>
      <c r="HN70" s="593"/>
      <c r="HO70" s="593"/>
      <c r="HP70" s="593"/>
      <c r="HQ70" s="6"/>
      <c r="HR70" s="6"/>
      <c r="HS70" s="6"/>
      <c r="HT70" s="6"/>
      <c r="HU70" s="6"/>
      <c r="HV70" s="6"/>
      <c r="HW70" s="6"/>
      <c r="HX70" s="6"/>
      <c r="HY70" s="6"/>
      <c r="HZ70" s="6"/>
      <c r="IA70" s="6"/>
      <c r="IB70" s="6"/>
      <c r="IC70" s="6"/>
      <c r="ID70" s="6"/>
      <c r="IE70" s="6"/>
      <c r="IF70" s="6"/>
      <c r="IG70" s="6"/>
      <c r="IH70" s="6"/>
      <c r="II70" s="6"/>
      <c r="IJ70" s="6"/>
      <c r="IK70" s="6"/>
      <c r="IL70" s="6"/>
      <c r="IM70" s="6"/>
      <c r="IN70" s="6"/>
      <c r="IO70" s="6"/>
      <c r="IP70" s="6"/>
      <c r="IQ70" s="6"/>
      <c r="IR70" s="6"/>
      <c r="IS70" s="6"/>
      <c r="IT70" s="6"/>
      <c r="IU70" s="6"/>
      <c r="IV70" s="6"/>
    </row>
    <row r="71" spans="1:256" s="66" customFormat="1" ht="11.25" hidden="1" customHeight="1" outlineLevel="1">
      <c r="A71" s="938" t="s">
        <v>489</v>
      </c>
      <c r="B71" s="153"/>
      <c r="C71" s="152"/>
      <c r="D71" s="46"/>
      <c r="E71" s="46"/>
      <c r="F71" s="46"/>
      <c r="G71" s="153"/>
      <c r="H71" s="152"/>
      <c r="I71" s="46"/>
      <c r="J71" s="46"/>
      <c r="K71" s="97"/>
      <c r="L71" s="152"/>
      <c r="M71" s="152"/>
      <c r="N71" s="46"/>
      <c r="O71" s="154"/>
      <c r="P71" s="46"/>
      <c r="Q71" s="153"/>
      <c r="R71" s="152"/>
      <c r="S71" s="46"/>
      <c r="T71" s="46"/>
      <c r="U71" s="97"/>
      <c r="V71" s="97"/>
      <c r="W71" s="46"/>
      <c r="X71" s="46"/>
      <c r="Y71" s="46"/>
      <c r="Z71" s="46"/>
      <c r="AA71" s="153"/>
      <c r="AB71" s="46"/>
      <c r="AC71" s="46"/>
      <c r="AD71" s="46"/>
      <c r="AE71" s="46"/>
      <c r="AF71" s="153"/>
      <c r="AG71" s="46"/>
      <c r="AH71" s="46"/>
      <c r="AI71" s="46"/>
      <c r="AJ71" s="46"/>
      <c r="AK71" s="606"/>
      <c r="AL71" s="46"/>
      <c r="AM71" s="46"/>
      <c r="AN71" s="46"/>
      <c r="AO71" s="46"/>
      <c r="AP71" s="606"/>
      <c r="AQ71" s="46">
        <f>AQ21/AQ$12</f>
        <v>0.30811582381729202</v>
      </c>
      <c r="AR71" s="46">
        <v>0.29599999999999999</v>
      </c>
      <c r="AS71" s="46">
        <v>0.29199999999999998</v>
      </c>
      <c r="AT71" s="46">
        <v>0.3008021596606249</v>
      </c>
      <c r="AU71" s="606">
        <v>0.29899999999999999</v>
      </c>
      <c r="AV71" s="46">
        <f t="shared" ref="AV71:BK71" si="131">AV21/AV$12</f>
        <v>0.30829015544041449</v>
      </c>
      <c r="AW71" s="46">
        <f t="shared" si="131"/>
        <v>0.29731268753148338</v>
      </c>
      <c r="AX71" s="46">
        <f t="shared" si="131"/>
        <v>0.29996312684365783</v>
      </c>
      <c r="AY71" s="46">
        <f t="shared" si="131"/>
        <v>0.29972949878153443</v>
      </c>
      <c r="AZ71" s="606">
        <f t="shared" si="131"/>
        <v>0.30118459050777757</v>
      </c>
      <c r="BA71" s="46">
        <f t="shared" si="131"/>
        <v>0.30793096761683147</v>
      </c>
      <c r="BB71" s="46">
        <f t="shared" si="131"/>
        <v>0.29127613554434034</v>
      </c>
      <c r="BC71" s="46">
        <f t="shared" si="131"/>
        <v>0.29152041381858496</v>
      </c>
      <c r="BD71" s="46">
        <f t="shared" si="131"/>
        <v>0.29607004683363874</v>
      </c>
      <c r="BE71" s="606">
        <f t="shared" si="131"/>
        <v>0.29654286937086882</v>
      </c>
      <c r="BF71" s="46">
        <f t="shared" si="131"/>
        <v>0.30717703349282299</v>
      </c>
      <c r="BG71" s="46">
        <f t="shared" si="131"/>
        <v>0.28207014961981852</v>
      </c>
      <c r="BH71" s="46">
        <f t="shared" si="131"/>
        <v>0.28640406607369762</v>
      </c>
      <c r="BI71" s="46">
        <f t="shared" si="131"/>
        <v>0.28435653737477523</v>
      </c>
      <c r="BJ71" s="606">
        <f t="shared" si="131"/>
        <v>0.29020826857320486</v>
      </c>
      <c r="BK71" s="46">
        <f t="shared" si="131"/>
        <v>0.29420894988100199</v>
      </c>
      <c r="BL71" s="46">
        <f t="shared" si="114"/>
        <v>0.27814714009681907</v>
      </c>
      <c r="BM71" s="46">
        <f t="shared" si="114"/>
        <v>0.27575449493753745</v>
      </c>
      <c r="BN71" s="46">
        <v>0.28399999999999997</v>
      </c>
      <c r="BO71" s="606">
        <f t="shared" si="115"/>
        <v>0.28245721092964837</v>
      </c>
      <c r="BP71" s="46">
        <f t="shared" si="115"/>
        <v>0.29306063270248178</v>
      </c>
      <c r="BQ71" s="46">
        <f t="shared" si="116"/>
        <v>0.27311126969737881</v>
      </c>
      <c r="BR71" s="46">
        <f t="shared" si="116"/>
        <v>0.28341001731950105</v>
      </c>
      <c r="BS71" s="46">
        <f t="shared" ref="BS71" si="132">BS21/BS$14</f>
        <v>0.28810639192841131</v>
      </c>
      <c r="BT71" s="606">
        <f>BT21/BT$12</f>
        <v>0.28411374106985765</v>
      </c>
      <c r="BU71" s="46">
        <f t="shared" ref="BU71" si="133">BU21/BU$12</f>
        <v>0.2988961757482525</v>
      </c>
      <c r="BV71" s="46">
        <f t="shared" ref="BV71" si="134">BV21/BV$12</f>
        <v>0.2847214019731566</v>
      </c>
      <c r="BW71" s="46">
        <f t="shared" ref="BW71" si="135">BW21/BW$12</f>
        <v>0.28707591773008573</v>
      </c>
      <c r="BX71" s="1318">
        <f t="shared" si="121"/>
        <v>0.2937606528588399</v>
      </c>
      <c r="BY71" s="606">
        <f>BY21/BY$12</f>
        <v>0.29094318900710014</v>
      </c>
      <c r="BZ71" s="169">
        <f t="shared" ref="BZ71:CC72" si="136">BU71+BZ77/10000</f>
        <v>0.30389617574825251</v>
      </c>
      <c r="CA71" s="169">
        <f t="shared" si="136"/>
        <v>0.2917214019731566</v>
      </c>
      <c r="CB71" s="169">
        <f t="shared" si="136"/>
        <v>0.29307591773008573</v>
      </c>
      <c r="CC71" s="169">
        <f t="shared" si="136"/>
        <v>0.2997606528588399</v>
      </c>
      <c r="CD71" s="606">
        <f>CD21/CD$12</f>
        <v>0.29695108496250183</v>
      </c>
      <c r="CE71" s="169">
        <f t="shared" ref="CE71:CH72" si="137">BZ71+CE77/10000</f>
        <v>0.30489617574825251</v>
      </c>
      <c r="CF71" s="169">
        <f t="shared" si="137"/>
        <v>0.2927214019731566</v>
      </c>
      <c r="CG71" s="169">
        <f t="shared" si="137"/>
        <v>0.29407591773008573</v>
      </c>
      <c r="CH71" s="169">
        <f t="shared" si="137"/>
        <v>0.30076065285883991</v>
      </c>
      <c r="CI71" s="606">
        <f>CI21/CI$12</f>
        <v>0.29796987719653878</v>
      </c>
      <c r="CJ71" s="169">
        <f t="shared" ref="CJ71:CM72" si="138">CE71+CJ77/10000</f>
        <v>0.30489617574825251</v>
      </c>
      <c r="CK71" s="169">
        <f t="shared" si="138"/>
        <v>0.2927214019731566</v>
      </c>
      <c r="CL71" s="169">
        <f t="shared" si="138"/>
        <v>0.29407591773008573</v>
      </c>
      <c r="CM71" s="169">
        <f t="shared" si="138"/>
        <v>0.30076065285883991</v>
      </c>
      <c r="CN71" s="606">
        <f>CN21/CN$12</f>
        <v>0.29798887662303225</v>
      </c>
      <c r="CO71" s="45"/>
      <c r="CP71" s="593"/>
      <c r="CQ71" s="593"/>
      <c r="CR71" s="938" t="s">
        <v>489</v>
      </c>
      <c r="CS71" s="46">
        <f>BX71</f>
        <v>0.2937606528588399</v>
      </c>
      <c r="CT71" s="169">
        <v>0.29090354136460944</v>
      </c>
      <c r="CU71" s="153">
        <f t="shared" si="21"/>
        <v>2.8571114942304576E-3</v>
      </c>
      <c r="CV71" s="46">
        <f>BS71</f>
        <v>0.28810639192841131</v>
      </c>
      <c r="CW71" s="153">
        <f t="shared" si="130"/>
        <v>5.6542609304285896E-3</v>
      </c>
      <c r="CX71" s="593"/>
      <c r="CY71" s="593"/>
      <c r="CZ71" s="593"/>
      <c r="DA71" s="593"/>
      <c r="DB71"/>
      <c r="DC71"/>
      <c r="DD71"/>
      <c r="DE71"/>
      <c r="DF71"/>
      <c r="DG71"/>
      <c r="DH71" s="593"/>
      <c r="DI71" s="593"/>
      <c r="DJ71" s="593"/>
      <c r="DK71" s="593"/>
      <c r="DL71" s="593"/>
      <c r="DM71" s="593"/>
      <c r="DN71" s="593"/>
      <c r="DO71" s="593"/>
      <c r="DP71" s="593"/>
      <c r="DQ71" s="593"/>
      <c r="DR71" s="593"/>
      <c r="DS71" s="593"/>
      <c r="DT71" s="593"/>
      <c r="DU71" s="593"/>
      <c r="DV71" s="593"/>
      <c r="DW71" s="593"/>
      <c r="DX71" s="593"/>
      <c r="DY71" s="593"/>
      <c r="DZ71" s="593"/>
      <c r="EA71" s="593"/>
      <c r="EB71" s="593"/>
      <c r="EC71" s="593"/>
      <c r="ED71" s="593"/>
      <c r="EE71" s="593"/>
      <c r="EF71" s="593"/>
      <c r="EG71" s="593"/>
      <c r="EH71" s="593"/>
      <c r="EI71" s="593"/>
      <c r="EJ71" s="593"/>
      <c r="EK71" s="593"/>
      <c r="EL71" s="593"/>
      <c r="EM71" s="593"/>
      <c r="EN71" s="593"/>
      <c r="EO71" s="593"/>
      <c r="EP71" s="593"/>
      <c r="EQ71" s="593"/>
      <c r="ER71" s="593"/>
      <c r="ES71" s="593"/>
      <c r="ET71" s="593"/>
      <c r="EU71" s="593"/>
      <c r="EV71" s="593"/>
      <c r="EW71" s="593"/>
      <c r="EX71" s="593"/>
      <c r="EY71" s="593"/>
      <c r="EZ71" s="593"/>
      <c r="FA71" s="593"/>
      <c r="FB71" s="593"/>
      <c r="FC71" s="593"/>
      <c r="FD71" s="593"/>
      <c r="FE71" s="593"/>
      <c r="FF71" s="593"/>
      <c r="FG71" s="593"/>
      <c r="FH71" s="593"/>
      <c r="FI71" s="593"/>
      <c r="FJ71" s="593"/>
      <c r="FK71" s="593"/>
      <c r="FL71" s="593"/>
      <c r="FM71" s="593"/>
      <c r="FN71" s="593"/>
      <c r="FO71" s="593"/>
      <c r="FP71" s="593"/>
      <c r="FQ71" s="593"/>
      <c r="FR71" s="593"/>
      <c r="FS71" s="593"/>
      <c r="FT71" s="593"/>
      <c r="FU71" s="593"/>
      <c r="FV71" s="593"/>
      <c r="FW71" s="593"/>
      <c r="FX71" s="593"/>
      <c r="FY71" s="593"/>
      <c r="FZ71" s="593"/>
      <c r="GA71" s="593"/>
      <c r="GB71" s="593"/>
      <c r="GC71" s="593"/>
      <c r="GD71" s="593"/>
      <c r="GE71" s="593"/>
      <c r="GF71" s="593"/>
      <c r="GG71" s="593"/>
      <c r="GH71" s="593"/>
      <c r="GI71" s="593"/>
      <c r="GJ71" s="593"/>
      <c r="GK71" s="593"/>
      <c r="GL71" s="593"/>
      <c r="GM71" s="593"/>
      <c r="GN71" s="593"/>
      <c r="GO71" s="593"/>
      <c r="GP71" s="593"/>
      <c r="GQ71" s="593"/>
      <c r="GR71" s="593"/>
      <c r="GS71" s="593"/>
      <c r="GT71" s="593"/>
      <c r="GU71" s="593"/>
      <c r="GV71" s="593"/>
      <c r="GW71" s="593"/>
      <c r="GX71" s="593"/>
      <c r="GY71" s="593"/>
      <c r="GZ71" s="593"/>
      <c r="HA71" s="593"/>
      <c r="HB71" s="593"/>
      <c r="HC71" s="593"/>
      <c r="HD71" s="593"/>
      <c r="HE71" s="593"/>
      <c r="HF71" s="593"/>
      <c r="HG71" s="593"/>
      <c r="HH71" s="593"/>
      <c r="HI71" s="593"/>
      <c r="HJ71" s="593"/>
      <c r="HK71" s="593"/>
      <c r="HL71" s="593"/>
      <c r="HM71" s="593"/>
      <c r="HN71" s="593"/>
      <c r="HO71" s="593"/>
      <c r="HP71" s="593"/>
      <c r="HQ71" s="6"/>
      <c r="HR71" s="6"/>
      <c r="HS71" s="6"/>
      <c r="HT71" s="6"/>
      <c r="HU71" s="6"/>
      <c r="HV71" s="6"/>
      <c r="HW71" s="6"/>
      <c r="HX71" s="6"/>
      <c r="HY71" s="6"/>
      <c r="HZ71" s="6"/>
      <c r="IA71" s="6"/>
      <c r="IB71" s="6"/>
      <c r="IC71" s="6"/>
      <c r="ID71" s="6"/>
      <c r="IE71" s="6"/>
      <c r="IF71" s="6"/>
      <c r="IG71" s="6"/>
      <c r="IH71" s="6"/>
      <c r="II71" s="6"/>
      <c r="IJ71" s="6"/>
      <c r="IK71" s="6"/>
      <c r="IL71" s="6"/>
      <c r="IM71" s="6"/>
      <c r="IN71" s="6"/>
      <c r="IO71" s="6"/>
      <c r="IP71" s="6"/>
      <c r="IQ71" s="6"/>
      <c r="IR71" s="6"/>
      <c r="IS71" s="6"/>
      <c r="IT71" s="6"/>
      <c r="IU71" s="6"/>
      <c r="IV71" s="6"/>
    </row>
    <row r="72" spans="1:256" s="66" customFormat="1" ht="11.25" hidden="1" customHeight="1" outlineLevel="1">
      <c r="A72" s="938" t="s">
        <v>48</v>
      </c>
      <c r="B72" s="153"/>
      <c r="C72" s="152"/>
      <c r="D72" s="46"/>
      <c r="E72" s="46"/>
      <c r="F72" s="46"/>
      <c r="G72" s="153"/>
      <c r="H72" s="152"/>
      <c r="I72" s="46"/>
      <c r="J72" s="46"/>
      <c r="K72" s="97"/>
      <c r="L72" s="152"/>
      <c r="M72" s="152"/>
      <c r="N72" s="46"/>
      <c r="O72" s="154"/>
      <c r="P72" s="46"/>
      <c r="Q72" s="153"/>
      <c r="R72" s="152"/>
      <c r="S72" s="46"/>
      <c r="T72" s="46"/>
      <c r="U72" s="97"/>
      <c r="V72" s="97"/>
      <c r="W72" s="46"/>
      <c r="X72" s="46"/>
      <c r="Y72" s="46"/>
      <c r="Z72" s="46"/>
      <c r="AA72" s="153"/>
      <c r="AB72" s="46"/>
      <c r="AC72" s="46"/>
      <c r="AD72" s="46"/>
      <c r="AE72" s="46"/>
      <c r="AF72" s="153"/>
      <c r="AG72" s="46"/>
      <c r="AH72" s="46"/>
      <c r="AI72" s="46"/>
      <c r="AJ72" s="46"/>
      <c r="AK72" s="606"/>
      <c r="AL72" s="46"/>
      <c r="AM72" s="46"/>
      <c r="AN72" s="46"/>
      <c r="AO72" s="46"/>
      <c r="AP72" s="606"/>
      <c r="AQ72" s="46">
        <f>AQ22/AQ$12</f>
        <v>0.23694942903752042</v>
      </c>
      <c r="AR72" s="46">
        <v>0.23</v>
      </c>
      <c r="AS72" s="46">
        <v>0.23300000000000001</v>
      </c>
      <c r="AT72" s="46">
        <v>0.21866718087157738</v>
      </c>
      <c r="AU72" s="606">
        <v>0.23</v>
      </c>
      <c r="AV72" s="46">
        <f t="shared" ref="AV72:BK72" si="139">AV22/AV$12</f>
        <v>0.23794340374651257</v>
      </c>
      <c r="AW72" s="46">
        <f t="shared" si="139"/>
        <v>0.23069566423560159</v>
      </c>
      <c r="AX72" s="46">
        <f t="shared" si="139"/>
        <v>0.22916666666666666</v>
      </c>
      <c r="AY72" s="46">
        <f t="shared" si="139"/>
        <v>0.21129998827145441</v>
      </c>
      <c r="AZ72" s="606">
        <f t="shared" si="139"/>
        <v>0.22712126613061165</v>
      </c>
      <c r="BA72" s="46">
        <f t="shared" si="139"/>
        <v>0.23482644948613532</v>
      </c>
      <c r="BB72" s="46">
        <f t="shared" si="139"/>
        <v>0.21431146359048309</v>
      </c>
      <c r="BC72" s="46">
        <f t="shared" si="139"/>
        <v>0.22464437465361167</v>
      </c>
      <c r="BD72" s="46">
        <f t="shared" si="139"/>
        <v>0.21523111382610458</v>
      </c>
      <c r="BE72" s="606">
        <f t="shared" si="139"/>
        <v>0.22221693851348137</v>
      </c>
      <c r="BF72" s="46">
        <f t="shared" si="139"/>
        <v>0.24138755980861246</v>
      </c>
      <c r="BG72" s="46">
        <f t="shared" si="139"/>
        <v>0.21412803532008831</v>
      </c>
      <c r="BH72" s="46">
        <f t="shared" si="139"/>
        <v>0.23151207115628969</v>
      </c>
      <c r="BI72" s="46">
        <f t="shared" si="139"/>
        <v>0.21423067043411262</v>
      </c>
      <c r="BJ72" s="606">
        <f t="shared" si="139"/>
        <v>0.22548958657133975</v>
      </c>
      <c r="BK72" s="46">
        <f t="shared" si="139"/>
        <v>0.23575869272783712</v>
      </c>
      <c r="BL72" s="46">
        <f t="shared" si="114"/>
        <v>0.22230994577299451</v>
      </c>
      <c r="BM72" s="46">
        <f t="shared" si="114"/>
        <v>0.22060359595002996</v>
      </c>
      <c r="BN72" s="46">
        <v>0.21</v>
      </c>
      <c r="BO72" s="606">
        <f t="shared" si="115"/>
        <v>0.22080870057172561</v>
      </c>
      <c r="BP72" s="46">
        <f t="shared" si="115"/>
        <v>0.22943562691839034</v>
      </c>
      <c r="BQ72" s="46">
        <f t="shared" si="116"/>
        <v>0.2059907034158196</v>
      </c>
      <c r="BR72" s="46">
        <f t="shared" si="116"/>
        <v>0.22917723622749775</v>
      </c>
      <c r="BS72" s="46">
        <f t="shared" ref="BS72" si="140">BS22/BS$14</f>
        <v>0.22587541127187441</v>
      </c>
      <c r="BT72" s="606">
        <f>BT22/BT$12</f>
        <v>0.22209961792349345</v>
      </c>
      <c r="BU72" s="46">
        <f t="shared" ref="BU72" si="141">BU22/BU$12</f>
        <v>0.23007583731411765</v>
      </c>
      <c r="BV72" s="46">
        <f t="shared" ref="BV72" si="142">BV22/BV$12</f>
        <v>0.20701359575777542</v>
      </c>
      <c r="BW72" s="46">
        <f t="shared" ref="BW72" si="143">BW22/BW$12</f>
        <v>0.22034335790686402</v>
      </c>
      <c r="BX72" s="1318">
        <f t="shared" si="121"/>
        <v>0.21241154899023815</v>
      </c>
      <c r="BY72" s="606">
        <f>BY22/BY$12</f>
        <v>0.21724400371225527</v>
      </c>
      <c r="BZ72" s="169">
        <f t="shared" si="136"/>
        <v>0.22907583731411765</v>
      </c>
      <c r="CA72" s="169">
        <f t="shared" si="136"/>
        <v>0.20601359575777542</v>
      </c>
      <c r="CB72" s="169">
        <f t="shared" si="136"/>
        <v>0.21934335790686402</v>
      </c>
      <c r="CC72" s="169">
        <f t="shared" si="136"/>
        <v>0.21541154899023815</v>
      </c>
      <c r="CD72" s="606">
        <f>CD22/CD$12</f>
        <v>0.21725546078942215</v>
      </c>
      <c r="CE72" s="169">
        <f t="shared" si="137"/>
        <v>0.22807583731411765</v>
      </c>
      <c r="CF72" s="169">
        <f t="shared" si="137"/>
        <v>0.20501359575777542</v>
      </c>
      <c r="CG72" s="169">
        <f t="shared" si="137"/>
        <v>0.21834335790686402</v>
      </c>
      <c r="CH72" s="169">
        <f t="shared" si="137"/>
        <v>0.21441154899023815</v>
      </c>
      <c r="CI72" s="606">
        <f>CI22/CI$12</f>
        <v>0.21626870330881923</v>
      </c>
      <c r="CJ72" s="169">
        <f t="shared" si="138"/>
        <v>0.22607583731411765</v>
      </c>
      <c r="CK72" s="169">
        <f t="shared" si="138"/>
        <v>0.20301359575777542</v>
      </c>
      <c r="CL72" s="169">
        <f t="shared" si="138"/>
        <v>0.21634335790686401</v>
      </c>
      <c r="CM72" s="169">
        <f t="shared" si="138"/>
        <v>0.21241154899023815</v>
      </c>
      <c r="CN72" s="606">
        <f>CN22/CN$12</f>
        <v>0.21428239729525736</v>
      </c>
      <c r="CO72" s="45"/>
      <c r="CP72" s="593"/>
      <c r="CQ72" s="593"/>
      <c r="CR72" s="938" t="s">
        <v>48</v>
      </c>
      <c r="CS72" s="46">
        <f>BX72</f>
        <v>0.21241154899023815</v>
      </c>
      <c r="CT72" s="169">
        <v>0.219</v>
      </c>
      <c r="CU72" s="153">
        <f t="shared" si="21"/>
        <v>-6.5884510097618532E-3</v>
      </c>
      <c r="CV72" s="46">
        <f>BS72</f>
        <v>0.22587541127187441</v>
      </c>
      <c r="CW72" s="153">
        <f t="shared" si="130"/>
        <v>-1.3463862281636263E-2</v>
      </c>
      <c r="CX72" s="593"/>
      <c r="CY72" s="593"/>
      <c r="CZ72" s="593"/>
      <c r="DA72" s="593"/>
      <c r="DB72"/>
      <c r="DC72"/>
      <c r="DD72"/>
      <c r="DE72"/>
      <c r="DF72"/>
      <c r="DG72"/>
      <c r="DH72" s="593"/>
      <c r="DI72" s="593"/>
      <c r="DJ72" s="593"/>
      <c r="DK72" s="593"/>
      <c r="DL72" s="593"/>
      <c r="DM72" s="593"/>
      <c r="DN72" s="593"/>
      <c r="DO72" s="593"/>
      <c r="DP72" s="593"/>
      <c r="DQ72" s="593"/>
      <c r="DR72" s="593"/>
      <c r="DS72" s="593"/>
      <c r="DT72" s="593"/>
      <c r="DU72" s="593"/>
      <c r="DV72" s="593"/>
      <c r="DW72" s="593"/>
      <c r="DX72" s="593"/>
      <c r="DY72" s="593"/>
      <c r="DZ72" s="593"/>
      <c r="EA72" s="593"/>
      <c r="EB72" s="593"/>
      <c r="EC72" s="593"/>
      <c r="ED72" s="593"/>
      <c r="EE72" s="593"/>
      <c r="EF72" s="593"/>
      <c r="EG72" s="593"/>
      <c r="EH72" s="593"/>
      <c r="EI72" s="593"/>
      <c r="EJ72" s="593"/>
      <c r="EK72" s="593"/>
      <c r="EL72" s="593"/>
      <c r="EM72" s="593"/>
      <c r="EN72" s="593"/>
      <c r="EO72" s="593"/>
      <c r="EP72" s="593"/>
      <c r="EQ72" s="593"/>
      <c r="ER72" s="593"/>
      <c r="ES72" s="593"/>
      <c r="ET72" s="593"/>
      <c r="EU72" s="593"/>
      <c r="EV72" s="593"/>
      <c r="EW72" s="593"/>
      <c r="EX72" s="593"/>
      <c r="EY72" s="593"/>
      <c r="EZ72" s="593"/>
      <c r="FA72" s="593"/>
      <c r="FB72" s="593"/>
      <c r="FC72" s="593"/>
      <c r="FD72" s="593"/>
      <c r="FE72" s="593"/>
      <c r="FF72" s="593"/>
      <c r="FG72" s="593"/>
      <c r="FH72" s="593"/>
      <c r="FI72" s="593"/>
      <c r="FJ72" s="593"/>
      <c r="FK72" s="593"/>
      <c r="FL72" s="593"/>
      <c r="FM72" s="593"/>
      <c r="FN72" s="593"/>
      <c r="FO72" s="593"/>
      <c r="FP72" s="593"/>
      <c r="FQ72" s="593"/>
      <c r="FR72" s="593"/>
      <c r="FS72" s="593"/>
      <c r="FT72" s="593"/>
      <c r="FU72" s="593"/>
      <c r="FV72" s="593"/>
      <c r="FW72" s="593"/>
      <c r="FX72" s="593"/>
      <c r="FY72" s="593"/>
      <c r="FZ72" s="593"/>
      <c r="GA72" s="593"/>
      <c r="GB72" s="593"/>
      <c r="GC72" s="593"/>
      <c r="GD72" s="593"/>
      <c r="GE72" s="593"/>
      <c r="GF72" s="593"/>
      <c r="GG72" s="593"/>
      <c r="GH72" s="593"/>
      <c r="GI72" s="593"/>
      <c r="GJ72" s="593"/>
      <c r="GK72" s="593"/>
      <c r="GL72" s="593"/>
      <c r="GM72" s="593"/>
      <c r="GN72" s="593"/>
      <c r="GO72" s="593"/>
      <c r="GP72" s="593"/>
      <c r="GQ72" s="593"/>
      <c r="GR72" s="593"/>
      <c r="GS72" s="593"/>
      <c r="GT72" s="593"/>
      <c r="GU72" s="593"/>
      <c r="GV72" s="593"/>
      <c r="GW72" s="593"/>
      <c r="GX72" s="593"/>
      <c r="GY72" s="593"/>
      <c r="GZ72" s="593"/>
      <c r="HA72" s="593"/>
      <c r="HB72" s="593"/>
      <c r="HC72" s="593"/>
      <c r="HD72" s="593"/>
      <c r="HE72" s="593"/>
      <c r="HF72" s="593"/>
      <c r="HG72" s="593"/>
      <c r="HH72" s="593"/>
      <c r="HI72" s="593"/>
      <c r="HJ72" s="593"/>
      <c r="HK72" s="593"/>
      <c r="HL72" s="593"/>
      <c r="HM72" s="593"/>
      <c r="HN72" s="593"/>
      <c r="HO72" s="593"/>
      <c r="HP72" s="593"/>
      <c r="HQ72" s="6"/>
      <c r="HR72" s="6"/>
      <c r="HS72" s="6"/>
      <c r="HT72" s="6"/>
      <c r="HU72" s="6"/>
      <c r="HV72" s="6"/>
      <c r="HW72" s="6"/>
      <c r="HX72" s="6"/>
      <c r="HY72" s="6"/>
      <c r="HZ72" s="6"/>
      <c r="IA72" s="6"/>
      <c r="IB72" s="6"/>
      <c r="IC72" s="6"/>
      <c r="ID72" s="6"/>
      <c r="IE72" s="6"/>
      <c r="IF72" s="6"/>
      <c r="IG72" s="6"/>
      <c r="IH72" s="6"/>
      <c r="II72" s="6"/>
      <c r="IJ72" s="6"/>
      <c r="IK72" s="6"/>
      <c r="IL72" s="6"/>
      <c r="IM72" s="6"/>
      <c r="IN72" s="6"/>
      <c r="IO72" s="6"/>
      <c r="IP72" s="6"/>
      <c r="IQ72" s="6"/>
      <c r="IR72" s="6"/>
      <c r="IS72" s="6"/>
      <c r="IT72" s="6"/>
      <c r="IU72" s="6"/>
      <c r="IV72" s="6"/>
    </row>
    <row r="73" spans="1:256" s="66" customFormat="1" ht="12" hidden="1" customHeight="1" outlineLevel="2">
      <c r="A73" s="598" t="s">
        <v>157</v>
      </c>
      <c r="B73" s="153"/>
      <c r="C73" s="152"/>
      <c r="D73" s="46"/>
      <c r="E73" s="46"/>
      <c r="F73" s="46"/>
      <c r="G73" s="153"/>
      <c r="H73" s="152"/>
      <c r="I73" s="46"/>
      <c r="J73" s="46"/>
      <c r="K73" s="97"/>
      <c r="L73" s="152"/>
      <c r="M73" s="152"/>
      <c r="N73" s="46"/>
      <c r="O73" s="154"/>
      <c r="P73" s="46"/>
      <c r="Q73" s="153"/>
      <c r="R73" s="152"/>
      <c r="S73" s="46"/>
      <c r="T73" s="46"/>
      <c r="U73" s="97"/>
      <c r="V73" s="97"/>
      <c r="W73" s="46"/>
      <c r="X73" s="46"/>
      <c r="Y73" s="46"/>
      <c r="Z73" s="46"/>
      <c r="AA73" s="153">
        <f t="shared" ref="AA73:AP73" si="144">AA27/AA14</f>
        <v>0.78939813243536427</v>
      </c>
      <c r="AB73" s="46">
        <f t="shared" si="144"/>
        <v>0.87315566652739263</v>
      </c>
      <c r="AC73" s="46">
        <f t="shared" si="144"/>
        <v>0.86495324069976698</v>
      </c>
      <c r="AD73" s="46">
        <f t="shared" si="144"/>
        <v>0.85972633029894041</v>
      </c>
      <c r="AE73" s="46">
        <f t="shared" si="144"/>
        <v>0.8696395673860684</v>
      </c>
      <c r="AF73" s="153">
        <f t="shared" si="144"/>
        <v>0.86675450517959574</v>
      </c>
      <c r="AG73" s="46">
        <f t="shared" si="144"/>
        <v>0.87416504255453975</v>
      </c>
      <c r="AH73" s="46">
        <f t="shared" si="144"/>
        <v>0.84105146441720413</v>
      </c>
      <c r="AI73" s="46">
        <f t="shared" si="144"/>
        <v>0.84868331269741626</v>
      </c>
      <c r="AJ73" s="46">
        <f t="shared" si="144"/>
        <v>0.84946168255961108</v>
      </c>
      <c r="AK73" s="606">
        <f t="shared" si="144"/>
        <v>0.85309165856873614</v>
      </c>
      <c r="AL73" s="46">
        <f t="shared" si="144"/>
        <v>0.85729025911624879</v>
      </c>
      <c r="AM73" s="46">
        <f t="shared" si="144"/>
        <v>0.84208293779218402</v>
      </c>
      <c r="AN73" s="46">
        <f t="shared" si="144"/>
        <v>0.87085306819427977</v>
      </c>
      <c r="AO73" s="46">
        <f t="shared" si="144"/>
        <v>0.85936650326207942</v>
      </c>
      <c r="AP73" s="606">
        <f t="shared" si="144"/>
        <v>0.85730352538011623</v>
      </c>
      <c r="AQ73" s="46">
        <f>AQ23/AQ12</f>
        <v>0.86582381729200653</v>
      </c>
      <c r="AR73" s="46">
        <f>AR23/AR12</f>
        <v>0.86099999999999999</v>
      </c>
      <c r="AS73" s="46">
        <f>AS23/AS12</f>
        <v>0.8630000000000001</v>
      </c>
      <c r="AT73" s="46">
        <v>0.85091033551870443</v>
      </c>
      <c r="AU73" s="606">
        <f t="shared" ref="AU73:BB73" si="145">AU23/AU12</f>
        <v>0.86010438515194376</v>
      </c>
      <c r="AV73" s="46">
        <f t="shared" si="145"/>
        <v>0.88242327620565952</v>
      </c>
      <c r="AW73" s="46">
        <f t="shared" si="145"/>
        <v>0.85908583192798793</v>
      </c>
      <c r="AX73" s="46">
        <f t="shared" si="145"/>
        <v>0.86061946902654873</v>
      </c>
      <c r="AY73" s="46">
        <f t="shared" si="145"/>
        <v>0.84129043788431934</v>
      </c>
      <c r="AZ73" s="606">
        <f t="shared" si="145"/>
        <v>0.86048714599773901</v>
      </c>
      <c r="BA73" s="46">
        <f t="shared" si="145"/>
        <v>0.87201861547411286</v>
      </c>
      <c r="BB73" s="46">
        <f t="shared" si="145"/>
        <v>0.83345349675558766</v>
      </c>
      <c r="BC73" s="46">
        <f>SUM(BC70:BC72)</f>
        <v>0.84500277110659527</v>
      </c>
      <c r="BD73" s="46">
        <f>SUM(BD70:BD72)</f>
        <v>0.83771126043575628</v>
      </c>
      <c r="BE73" s="606">
        <f>BE23/BE12</f>
        <v>0.84687812069047497</v>
      </c>
      <c r="BF73" s="46">
        <f>BF23/BF12</f>
        <v>0.86937799043062192</v>
      </c>
      <c r="BG73" s="46">
        <f>BG23/BG12</f>
        <v>0.82192788815305384</v>
      </c>
      <c r="BH73" s="46">
        <f>BH23/BH12</f>
        <v>0.84523506988564179</v>
      </c>
      <c r="BI73" s="46">
        <f>SUM(BI70:BI72)</f>
        <v>0.83226303621885456</v>
      </c>
      <c r="BJ73" s="606">
        <f>BJ23/BJ12</f>
        <v>0.84246192104445139</v>
      </c>
      <c r="BK73" s="46">
        <f>SUM(BK70:BK72)</f>
        <v>0.85326188791533941</v>
      </c>
      <c r="BL73" s="46">
        <f t="shared" si="114"/>
        <v>0.81833953169474982</v>
      </c>
      <c r="BM73" s="46">
        <f t="shared" si="114"/>
        <v>0.8119437906494158</v>
      </c>
      <c r="BN73" s="46">
        <f>BN27/BN14</f>
        <v>0.80765192632796501</v>
      </c>
      <c r="BO73" s="606">
        <f>BO23/BO12</f>
        <v>0.82297633725835784</v>
      </c>
      <c r="BP73" s="46">
        <f>SUM(BP70:BP72)</f>
        <v>0.82789628738451104</v>
      </c>
      <c r="BQ73" s="46">
        <f t="shared" si="116"/>
        <v>0.7813528265859162</v>
      </c>
      <c r="BR73" s="46">
        <f t="shared" si="116"/>
        <v>0.81587970819264877</v>
      </c>
      <c r="BS73" s="46">
        <f>SUM(BS70:BS72)</f>
        <v>0.81188381245426289</v>
      </c>
      <c r="BT73" s="606">
        <f>BT23/BT14</f>
        <v>0.8087912350476455</v>
      </c>
      <c r="BU73" s="46">
        <f>SUM(BU70:BU72)</f>
        <v>0.83259115321296528</v>
      </c>
      <c r="BV73" s="46">
        <f>SUM(BV70:BV72)</f>
        <v>0.80443120994162587</v>
      </c>
      <c r="BW73" s="46">
        <f>SUM(BW70:BW72)</f>
        <v>0.8335274453391085</v>
      </c>
      <c r="BX73" s="46">
        <f>SUM(BX70:BX72)</f>
        <v>0.82446671143019479</v>
      </c>
      <c r="BY73" s="606">
        <f>BY23/BY12</f>
        <v>0.82353621215089234</v>
      </c>
      <c r="BZ73" s="46">
        <f>SUM(BZ70:BZ72)</f>
        <v>0.83959115321296529</v>
      </c>
      <c r="CA73" s="46">
        <f>SUM(CA70:CA72)</f>
        <v>0.81243120994162588</v>
      </c>
      <c r="CB73" s="46">
        <f>SUM(CB70:CB72)</f>
        <v>0.8405274453391085</v>
      </c>
      <c r="CC73" s="46">
        <f>SUM(CC70:CC72)</f>
        <v>0.8354667114301948</v>
      </c>
      <c r="CD73" s="606">
        <f>CD23/CD12</f>
        <v>0.83184679159591068</v>
      </c>
      <c r="CE73" s="46">
        <f>SUM(CE70:CE72)</f>
        <v>0.83959115321296518</v>
      </c>
      <c r="CF73" s="46">
        <f>SUM(CF70:CF72)</f>
        <v>0.81243120994162588</v>
      </c>
      <c r="CG73" s="46">
        <f>SUM(CG70:CG72)</f>
        <v>0.84052744533910839</v>
      </c>
      <c r="CH73" s="46">
        <f>SUM(CH70:CH72)</f>
        <v>0.8354667114301948</v>
      </c>
      <c r="CI73" s="606">
        <f>CI23/CI12</f>
        <v>0.83187911770218181</v>
      </c>
      <c r="CJ73" s="46">
        <f>SUM(CJ70:CJ72)</f>
        <v>0.83759115321296518</v>
      </c>
      <c r="CK73" s="46">
        <f>SUM(CK70:CK72)</f>
        <v>0.81043120994162587</v>
      </c>
      <c r="CL73" s="46">
        <f>SUM(CL70:CL72)</f>
        <v>0.83852744533910839</v>
      </c>
      <c r="CM73" s="46">
        <f>SUM(CM70:CM72)</f>
        <v>0.8334667114301948</v>
      </c>
      <c r="CN73" s="606">
        <f>CN23/CN12</f>
        <v>0.82991089706336063</v>
      </c>
      <c r="CO73" s="45"/>
      <c r="CP73" s="593"/>
      <c r="CQ73" s="593"/>
      <c r="CR73" s="598" t="s">
        <v>157</v>
      </c>
      <c r="CS73" s="46">
        <f>BX73</f>
        <v>0.82446671143019479</v>
      </c>
      <c r="CT73" s="169">
        <v>0.82490354136460942</v>
      </c>
      <c r="CU73" s="153">
        <f t="shared" si="21"/>
        <v>-4.368299344146287E-4</v>
      </c>
      <c r="CV73" s="46">
        <f>BS73</f>
        <v>0.81188381245426289</v>
      </c>
      <c r="CW73" s="153">
        <f t="shared" si="130"/>
        <v>1.25828989759319E-2</v>
      </c>
      <c r="CX73" s="593"/>
      <c r="CY73" s="593"/>
      <c r="CZ73" s="593"/>
      <c r="DA73" s="593"/>
      <c r="DB73"/>
      <c r="DC73"/>
      <c r="DD73"/>
      <c r="DE73"/>
      <c r="DF73"/>
      <c r="DG73"/>
      <c r="DH73" s="593"/>
      <c r="DI73" s="593"/>
      <c r="DJ73" s="593"/>
      <c r="DK73" s="593"/>
      <c r="DL73" s="593"/>
      <c r="DM73" s="593"/>
      <c r="DN73" s="593"/>
      <c r="DO73" s="593"/>
      <c r="DP73" s="593"/>
      <c r="DQ73" s="593"/>
      <c r="DR73" s="593"/>
      <c r="DS73" s="593"/>
      <c r="DT73" s="593"/>
      <c r="DU73" s="593"/>
      <c r="DV73" s="593"/>
      <c r="DW73" s="593"/>
      <c r="DX73" s="593"/>
      <c r="DY73" s="593"/>
      <c r="DZ73" s="593"/>
      <c r="EA73" s="593"/>
      <c r="EB73" s="593"/>
      <c r="EC73" s="593"/>
      <c r="ED73" s="593"/>
      <c r="EE73" s="593"/>
      <c r="EF73" s="593"/>
      <c r="EG73" s="593"/>
      <c r="EH73" s="593"/>
      <c r="EI73" s="593"/>
      <c r="EJ73" s="593"/>
      <c r="EK73" s="593"/>
      <c r="EL73" s="593"/>
      <c r="EM73" s="593"/>
      <c r="EN73" s="593"/>
      <c r="EO73" s="593"/>
      <c r="EP73" s="593"/>
      <c r="EQ73" s="593"/>
      <c r="ER73" s="593"/>
      <c r="ES73" s="593"/>
      <c r="ET73" s="593"/>
      <c r="EU73" s="593"/>
      <c r="EV73" s="593"/>
      <c r="EW73" s="593"/>
      <c r="EX73" s="593"/>
      <c r="EY73" s="593"/>
      <c r="EZ73" s="593"/>
      <c r="FA73" s="593"/>
      <c r="FB73" s="593"/>
      <c r="FC73" s="593"/>
      <c r="FD73" s="593"/>
      <c r="FE73" s="593"/>
      <c r="FF73" s="593"/>
      <c r="FG73" s="593"/>
      <c r="FH73" s="593"/>
      <c r="FI73" s="593"/>
      <c r="FJ73" s="593"/>
      <c r="FK73" s="593"/>
      <c r="FL73" s="593"/>
      <c r="FM73" s="593"/>
      <c r="FN73" s="593"/>
      <c r="FO73" s="593"/>
      <c r="FP73" s="593"/>
      <c r="FQ73" s="593"/>
      <c r="FR73" s="593"/>
      <c r="FS73" s="593"/>
      <c r="FT73" s="593"/>
      <c r="FU73" s="593"/>
      <c r="FV73" s="593"/>
      <c r="FW73" s="593"/>
      <c r="FX73" s="593"/>
      <c r="FY73" s="593"/>
      <c r="FZ73" s="593"/>
      <c r="GA73" s="593"/>
      <c r="GB73" s="593"/>
      <c r="GC73" s="593"/>
      <c r="GD73" s="593"/>
      <c r="GE73" s="593"/>
      <c r="GF73" s="593"/>
      <c r="GG73" s="593"/>
      <c r="GH73" s="593"/>
      <c r="GI73" s="593"/>
      <c r="GJ73" s="593"/>
      <c r="GK73" s="593"/>
      <c r="GL73" s="593"/>
      <c r="GM73" s="593"/>
      <c r="GN73" s="593"/>
      <c r="GO73" s="593"/>
      <c r="GP73" s="593"/>
      <c r="GQ73" s="593"/>
      <c r="GR73" s="593"/>
      <c r="GS73" s="593"/>
      <c r="GT73" s="593"/>
      <c r="GU73" s="593"/>
      <c r="GV73" s="593"/>
      <c r="GW73" s="593"/>
      <c r="GX73" s="593"/>
      <c r="GY73" s="593"/>
      <c r="GZ73" s="593"/>
      <c r="HA73" s="593"/>
      <c r="HB73" s="593"/>
      <c r="HC73" s="593"/>
      <c r="HD73" s="593"/>
      <c r="HE73" s="593"/>
      <c r="HF73" s="593"/>
      <c r="HG73" s="593"/>
      <c r="HH73" s="593"/>
      <c r="HI73" s="593"/>
      <c r="HJ73" s="593"/>
      <c r="HK73" s="593"/>
      <c r="HL73" s="593"/>
      <c r="HM73" s="593"/>
      <c r="HN73" s="593"/>
      <c r="HO73" s="593"/>
      <c r="HP73" s="593"/>
      <c r="HQ73" s="6"/>
      <c r="HR73" s="6"/>
      <c r="HS73" s="6"/>
      <c r="HT73" s="6"/>
      <c r="HU73" s="6"/>
      <c r="HV73" s="6"/>
      <c r="HW73" s="6"/>
      <c r="HX73" s="6"/>
      <c r="HY73" s="6"/>
      <c r="HZ73" s="6"/>
      <c r="IA73" s="6"/>
      <c r="IB73" s="6"/>
      <c r="IC73" s="6"/>
      <c r="ID73" s="6"/>
      <c r="IE73" s="6"/>
      <c r="IF73" s="6"/>
      <c r="IG73" s="6"/>
      <c r="IH73" s="6"/>
      <c r="II73" s="6"/>
      <c r="IJ73" s="6"/>
      <c r="IK73" s="6"/>
      <c r="IL73" s="6"/>
      <c r="IM73" s="6"/>
      <c r="IN73" s="6"/>
      <c r="IO73" s="6"/>
      <c r="IP73" s="6"/>
      <c r="IQ73" s="6"/>
      <c r="IR73" s="6"/>
      <c r="IS73" s="6"/>
      <c r="IT73" s="6"/>
      <c r="IU73" s="6"/>
      <c r="IV73" s="6"/>
    </row>
    <row r="74" spans="1:256" s="66" customFormat="1" ht="12" customHeight="1" collapsed="1">
      <c r="A74" s="597" t="s">
        <v>318</v>
      </c>
      <c r="B74" s="167"/>
      <c r="C74" s="164"/>
      <c r="D74" s="165"/>
      <c r="E74" s="165"/>
      <c r="F74" s="165"/>
      <c r="G74" s="167"/>
      <c r="H74" s="164"/>
      <c r="I74" s="165"/>
      <c r="J74" s="165"/>
      <c r="K74" s="166"/>
      <c r="L74" s="164"/>
      <c r="M74" s="164"/>
      <c r="N74" s="165"/>
      <c r="O74" s="163"/>
      <c r="P74" s="165"/>
      <c r="Q74" s="167"/>
      <c r="R74" s="164"/>
      <c r="S74" s="165"/>
      <c r="T74" s="165"/>
      <c r="U74" s="166"/>
      <c r="V74" s="166"/>
      <c r="W74" s="165"/>
      <c r="X74" s="165"/>
      <c r="Y74" s="165"/>
      <c r="Z74" s="165"/>
      <c r="AA74" s="167"/>
      <c r="AB74" s="165"/>
      <c r="AC74" s="165"/>
      <c r="AD74" s="165"/>
      <c r="AE74" s="165"/>
      <c r="AF74" s="167"/>
      <c r="AG74" s="165"/>
      <c r="AH74" s="165"/>
      <c r="AI74" s="165"/>
      <c r="AJ74" s="165"/>
      <c r="AK74" s="607"/>
      <c r="AL74" s="165"/>
      <c r="AM74" s="165"/>
      <c r="AN74" s="165"/>
      <c r="AO74" s="165"/>
      <c r="AP74" s="607"/>
      <c r="AQ74" s="165">
        <f>1-AQ73</f>
        <v>0.13417618270799347</v>
      </c>
      <c r="AR74" s="165">
        <f>1-AR73</f>
        <v>0.13900000000000001</v>
      </c>
      <c r="AS74" s="165">
        <f>1-AS73</f>
        <v>0.1369999999999999</v>
      </c>
      <c r="AT74" s="165">
        <f t="shared" ref="AT74:BJ74" si="146">1-AT73</f>
        <v>0.14908966448129557</v>
      </c>
      <c r="AU74" s="607">
        <f t="shared" si="146"/>
        <v>0.13989561484805624</v>
      </c>
      <c r="AV74" s="165">
        <f t="shared" si="146"/>
        <v>0.11757672379434048</v>
      </c>
      <c r="AW74" s="165">
        <f t="shared" si="146"/>
        <v>0.14091416807201207</v>
      </c>
      <c r="AX74" s="165">
        <f>1-AX73</f>
        <v>0.13938053097345127</v>
      </c>
      <c r="AY74" s="165">
        <f>1-AY73</f>
        <v>0.15870956211568066</v>
      </c>
      <c r="AZ74" s="607">
        <f t="shared" si="146"/>
        <v>0.13951285400226099</v>
      </c>
      <c r="BA74" s="165">
        <f>1-BA73</f>
        <v>0.12798138452588714</v>
      </c>
      <c r="BB74" s="165">
        <f t="shared" si="146"/>
        <v>0.16654650324441234</v>
      </c>
      <c r="BC74" s="165">
        <f>1-BC73</f>
        <v>0.15499722889340473</v>
      </c>
      <c r="BD74" s="165">
        <f t="shared" si="146"/>
        <v>0.16228873956424372</v>
      </c>
      <c r="BE74" s="607">
        <f t="shared" si="146"/>
        <v>0.15312187930952503</v>
      </c>
      <c r="BF74" s="165">
        <f t="shared" si="146"/>
        <v>0.13062200956937808</v>
      </c>
      <c r="BG74" s="165">
        <f t="shared" si="146"/>
        <v>0.17807211184694616</v>
      </c>
      <c r="BH74" s="165">
        <f>1-BH73</f>
        <v>0.15476493011435821</v>
      </c>
      <c r="BI74" s="165">
        <f t="shared" si="146"/>
        <v>0.16773696378114544</v>
      </c>
      <c r="BJ74" s="607">
        <f t="shared" si="146"/>
        <v>0.15753807895554861</v>
      </c>
      <c r="BK74" s="165">
        <f>1-BK73</f>
        <v>0.14673811208466059</v>
      </c>
      <c r="BL74" s="165">
        <f>1-BL73</f>
        <v>0.18166046830525018</v>
      </c>
      <c r="BM74" s="165">
        <f>1-BM73</f>
        <v>0.1880562093505842</v>
      </c>
      <c r="BN74" s="165">
        <f>1-BN73</f>
        <v>0.19234807367203499</v>
      </c>
      <c r="BO74" s="607">
        <f t="shared" ref="BO74:BT74" si="147">1-BO73</f>
        <v>0.17702366274164216</v>
      </c>
      <c r="BP74" s="165">
        <f>1-BP73</f>
        <v>0.17210371261548896</v>
      </c>
      <c r="BQ74" s="165">
        <f>1-BQ73</f>
        <v>0.2186471734140838</v>
      </c>
      <c r="BR74" s="165">
        <f>1-BR73</f>
        <v>0.18412029180735123</v>
      </c>
      <c r="BS74" s="165">
        <f t="shared" si="147"/>
        <v>0.18811618754573711</v>
      </c>
      <c r="BT74" s="607">
        <f t="shared" si="147"/>
        <v>0.1912087649523545</v>
      </c>
      <c r="BU74" s="165">
        <f>1-BU73</f>
        <v>0.16740884678703472</v>
      </c>
      <c r="BV74" s="165">
        <f>1-BV73</f>
        <v>0.19556879005837413</v>
      </c>
      <c r="BW74" s="165">
        <f>1-BW73</f>
        <v>0.1664725546608915</v>
      </c>
      <c r="BX74" s="165">
        <f t="shared" ref="BX74:CN74" si="148">1-BX73</f>
        <v>0.17553328856980521</v>
      </c>
      <c r="BY74" s="607">
        <f t="shared" si="148"/>
        <v>0.17646378784910766</v>
      </c>
      <c r="BZ74" s="165">
        <f t="shared" si="148"/>
        <v>0.16040884678703471</v>
      </c>
      <c r="CA74" s="165">
        <f t="shared" si="148"/>
        <v>0.18756879005837412</v>
      </c>
      <c r="CB74" s="165">
        <f t="shared" si="148"/>
        <v>0.1594725546608915</v>
      </c>
      <c r="CC74" s="165">
        <f t="shared" si="148"/>
        <v>0.1645332885698052</v>
      </c>
      <c r="CD74" s="607">
        <f t="shared" si="148"/>
        <v>0.16815320840408932</v>
      </c>
      <c r="CE74" s="165">
        <f t="shared" si="148"/>
        <v>0.16040884678703482</v>
      </c>
      <c r="CF74" s="165">
        <f t="shared" si="148"/>
        <v>0.18756879005837412</v>
      </c>
      <c r="CG74" s="165">
        <f t="shared" si="148"/>
        <v>0.15947255466089161</v>
      </c>
      <c r="CH74" s="165">
        <f t="shared" si="148"/>
        <v>0.1645332885698052</v>
      </c>
      <c r="CI74" s="607">
        <f t="shared" si="148"/>
        <v>0.16812088229781819</v>
      </c>
      <c r="CJ74" s="165">
        <f t="shared" si="148"/>
        <v>0.16240884678703482</v>
      </c>
      <c r="CK74" s="165">
        <f t="shared" si="148"/>
        <v>0.18956879005837413</v>
      </c>
      <c r="CL74" s="165">
        <f t="shared" si="148"/>
        <v>0.16147255466089161</v>
      </c>
      <c r="CM74" s="165">
        <f t="shared" si="148"/>
        <v>0.1665332885698052</v>
      </c>
      <c r="CN74" s="607">
        <f t="shared" si="148"/>
        <v>0.17008910293663937</v>
      </c>
      <c r="CO74" s="45"/>
      <c r="CP74" s="593"/>
      <c r="CQ74" s="593"/>
      <c r="CR74" s="597" t="s">
        <v>318</v>
      </c>
      <c r="CS74" s="165">
        <f>BX74</f>
        <v>0.17553328856980521</v>
      </c>
      <c r="CT74" s="165">
        <v>0.17509645863539058</v>
      </c>
      <c r="CU74" s="167">
        <f t="shared" si="21"/>
        <v>4.368299344146287E-4</v>
      </c>
      <c r="CV74" s="165">
        <f>BS74</f>
        <v>0.18811618754573711</v>
      </c>
      <c r="CW74" s="167">
        <f t="shared" si="130"/>
        <v>-1.25828989759319E-2</v>
      </c>
      <c r="CX74" s="593"/>
      <c r="CY74" s="593"/>
      <c r="CZ74" s="593"/>
      <c r="DA74" s="593"/>
      <c r="DB74"/>
      <c r="DC74"/>
      <c r="DD74"/>
      <c r="DE74"/>
      <c r="DF74"/>
      <c r="DG74"/>
      <c r="DH74" s="593"/>
      <c r="DI74" s="593"/>
      <c r="DJ74" s="593"/>
      <c r="DK74" s="593"/>
      <c r="DL74" s="593"/>
      <c r="DM74" s="593"/>
      <c r="DN74" s="593"/>
      <c r="DO74" s="593"/>
      <c r="DP74" s="593"/>
      <c r="DQ74" s="593"/>
      <c r="DR74" s="593"/>
      <c r="DS74" s="593"/>
      <c r="DT74" s="593"/>
      <c r="DU74" s="593"/>
      <c r="DV74" s="593"/>
      <c r="DW74" s="593"/>
      <c r="DX74" s="593"/>
      <c r="DY74" s="593"/>
      <c r="DZ74" s="593"/>
      <c r="EA74" s="593"/>
      <c r="EB74" s="593"/>
      <c r="EC74" s="593"/>
      <c r="ED74" s="593"/>
      <c r="EE74" s="593"/>
      <c r="EF74" s="593"/>
      <c r="EG74" s="593"/>
      <c r="EH74" s="593"/>
      <c r="EI74" s="593"/>
      <c r="EJ74" s="593"/>
      <c r="EK74" s="593"/>
      <c r="EL74" s="593"/>
      <c r="EM74" s="593"/>
      <c r="EN74" s="593"/>
      <c r="EO74" s="593"/>
      <c r="EP74" s="593"/>
      <c r="EQ74" s="593"/>
      <c r="ER74" s="593"/>
      <c r="ES74" s="593"/>
      <c r="ET74" s="593"/>
      <c r="EU74" s="593"/>
      <c r="EV74" s="593"/>
      <c r="EW74" s="593"/>
      <c r="EX74" s="593"/>
      <c r="EY74" s="593"/>
      <c r="EZ74" s="593"/>
      <c r="FA74" s="593"/>
      <c r="FB74" s="593"/>
      <c r="FC74" s="593"/>
      <c r="FD74" s="593"/>
      <c r="FE74" s="593"/>
      <c r="FF74" s="593"/>
      <c r="FG74" s="593"/>
      <c r="FH74" s="593"/>
      <c r="FI74" s="593"/>
      <c r="FJ74" s="593"/>
      <c r="FK74" s="593"/>
      <c r="FL74" s="593"/>
      <c r="FM74" s="593"/>
      <c r="FN74" s="593"/>
      <c r="FO74" s="593"/>
      <c r="FP74" s="593"/>
      <c r="FQ74" s="593"/>
      <c r="FR74" s="593"/>
      <c r="FS74" s="593"/>
      <c r="FT74" s="593"/>
      <c r="FU74" s="593"/>
      <c r="FV74" s="593"/>
      <c r="FW74" s="593"/>
      <c r="FX74" s="593"/>
      <c r="FY74" s="593"/>
      <c r="FZ74" s="593"/>
      <c r="GA74" s="593"/>
      <c r="GB74" s="593"/>
      <c r="GC74" s="593"/>
      <c r="GD74" s="593"/>
      <c r="GE74" s="593"/>
      <c r="GF74" s="593"/>
      <c r="GG74" s="593"/>
      <c r="GH74" s="593"/>
      <c r="GI74" s="593"/>
      <c r="GJ74" s="593"/>
      <c r="GK74" s="593"/>
      <c r="GL74" s="593"/>
      <c r="GM74" s="593"/>
      <c r="GN74" s="593"/>
      <c r="GO74" s="593"/>
      <c r="GP74" s="593"/>
      <c r="GQ74" s="593"/>
      <c r="GR74" s="593"/>
      <c r="GS74" s="593"/>
      <c r="GT74" s="593"/>
      <c r="GU74" s="593"/>
      <c r="GV74" s="593"/>
      <c r="GW74" s="593"/>
      <c r="GX74" s="593"/>
      <c r="GY74" s="593"/>
      <c r="GZ74" s="593"/>
      <c r="HA74" s="593"/>
      <c r="HB74" s="593"/>
      <c r="HC74" s="593"/>
      <c r="HD74" s="593"/>
      <c r="HE74" s="593"/>
      <c r="HF74" s="593"/>
      <c r="HG74" s="593"/>
      <c r="HH74" s="593"/>
      <c r="HI74" s="593"/>
      <c r="HJ74" s="593"/>
      <c r="HK74" s="593"/>
      <c r="HL74" s="593"/>
      <c r="HM74" s="593"/>
      <c r="HN74" s="593"/>
      <c r="HO74" s="593"/>
      <c r="HP74" s="593"/>
      <c r="HQ74" s="6"/>
      <c r="HR74" s="6"/>
      <c r="HS74" s="6"/>
      <c r="HT74" s="6"/>
      <c r="HU74" s="6"/>
      <c r="HV74" s="6"/>
      <c r="HW74" s="6"/>
      <c r="HX74" s="6"/>
      <c r="HY74" s="6"/>
      <c r="HZ74" s="6"/>
      <c r="IA74" s="6"/>
      <c r="IB74" s="6"/>
      <c r="IC74" s="6"/>
      <c r="ID74" s="6"/>
      <c r="IE74" s="6"/>
      <c r="IF74" s="6"/>
      <c r="IG74" s="6"/>
      <c r="IH74" s="6"/>
      <c r="II74" s="6"/>
      <c r="IJ74" s="6"/>
      <c r="IK74" s="6"/>
      <c r="IL74" s="6"/>
      <c r="IM74" s="6"/>
      <c r="IN74" s="6"/>
      <c r="IO74" s="6"/>
      <c r="IP74" s="6"/>
      <c r="IQ74" s="6"/>
      <c r="IR74" s="6"/>
      <c r="IS74" s="6"/>
      <c r="IT74" s="6"/>
      <c r="IU74" s="6"/>
      <c r="IV74" s="6"/>
    </row>
    <row r="75" spans="1:256" s="229" customFormat="1" ht="12" hidden="1" customHeight="1" outlineLevel="1">
      <c r="A75" s="1104" t="s">
        <v>129</v>
      </c>
      <c r="B75" s="193"/>
      <c r="C75" s="194"/>
      <c r="D75" s="192"/>
      <c r="E75" s="192"/>
      <c r="F75" s="192"/>
      <c r="G75" s="193"/>
      <c r="H75" s="194"/>
      <c r="I75" s="192"/>
      <c r="J75" s="192"/>
      <c r="K75" s="225"/>
      <c r="L75" s="194"/>
      <c r="M75" s="194"/>
      <c r="N75" s="192"/>
      <c r="O75" s="221"/>
      <c r="P75" s="192"/>
      <c r="Q75" s="193"/>
      <c r="R75" s="194"/>
      <c r="S75" s="192"/>
      <c r="T75" s="192"/>
      <c r="U75" s="225"/>
      <c r="V75" s="225"/>
      <c r="W75" s="192"/>
      <c r="X75" s="192"/>
      <c r="Y75" s="192"/>
      <c r="Z75" s="192"/>
      <c r="AA75" s="193"/>
      <c r="AB75" s="192"/>
      <c r="AC75" s="192"/>
      <c r="AD75" s="192"/>
      <c r="AE75" s="192"/>
      <c r="AF75" s="193"/>
      <c r="AG75" s="192"/>
      <c r="AH75" s="192"/>
      <c r="AI75" s="192"/>
      <c r="AJ75" s="192"/>
      <c r="AK75" s="1105"/>
      <c r="AL75" s="192"/>
      <c r="AM75" s="192"/>
      <c r="AN75" s="192"/>
      <c r="AO75" s="192"/>
      <c r="AP75" s="1105"/>
      <c r="AQ75" s="192"/>
      <c r="AR75" s="192"/>
      <c r="AS75" s="192"/>
      <c r="AT75" s="192"/>
      <c r="AU75" s="1105"/>
      <c r="AV75" s="192"/>
      <c r="AW75" s="192"/>
      <c r="AX75" s="192"/>
      <c r="AY75" s="192"/>
      <c r="AZ75" s="1105"/>
      <c r="BA75" s="192"/>
      <c r="BC75" s="192"/>
      <c r="BD75" s="192"/>
      <c r="BE75" s="1105"/>
      <c r="BF75" s="192"/>
      <c r="BG75" s="192"/>
      <c r="BH75" s="192"/>
      <c r="BI75" s="192"/>
      <c r="BJ75" s="1105"/>
      <c r="BK75" s="192"/>
      <c r="BL75" s="192"/>
      <c r="BM75" s="192"/>
      <c r="BN75" s="192"/>
      <c r="BO75" s="1105"/>
      <c r="BP75" s="192"/>
      <c r="BQ75" s="192"/>
      <c r="BR75" s="192"/>
      <c r="BS75" s="192"/>
      <c r="BT75" s="1105"/>
      <c r="BU75" s="192"/>
      <c r="BV75" s="192"/>
      <c r="BW75" s="192"/>
      <c r="BX75" s="192"/>
      <c r="BY75" s="1105"/>
      <c r="BZ75" s="192"/>
      <c r="CA75" s="192"/>
      <c r="CB75" s="192"/>
      <c r="CC75" s="192"/>
      <c r="CD75" s="1105"/>
      <c r="CE75" s="192"/>
      <c r="CF75" s="192"/>
      <c r="CG75" s="192"/>
      <c r="CH75" s="192"/>
      <c r="CI75" s="1105"/>
      <c r="CJ75" s="192"/>
      <c r="CK75" s="192"/>
      <c r="CL75" s="192"/>
      <c r="CM75" s="192"/>
      <c r="CN75" s="1105"/>
      <c r="CO75" s="195"/>
      <c r="CR75" s="1104"/>
      <c r="CS75" s="192"/>
      <c r="CT75" s="192"/>
      <c r="CU75" s="193"/>
      <c r="CV75" s="192"/>
      <c r="CW75" s="193"/>
      <c r="DB75"/>
      <c r="DC75"/>
      <c r="DD75"/>
      <c r="DE75"/>
      <c r="DF75"/>
      <c r="DG75"/>
      <c r="HQ75" s="867"/>
      <c r="HR75" s="867"/>
      <c r="HS75" s="867"/>
      <c r="HT75" s="867"/>
      <c r="HU75" s="867"/>
      <c r="HV75" s="867"/>
      <c r="HW75" s="867"/>
      <c r="HX75" s="867"/>
      <c r="HY75" s="867"/>
      <c r="HZ75" s="867"/>
      <c r="IA75" s="867"/>
      <c r="IB75" s="867"/>
      <c r="IC75" s="867"/>
      <c r="ID75" s="867"/>
      <c r="IE75" s="867"/>
      <c r="IF75" s="867"/>
      <c r="IG75" s="867"/>
      <c r="IH75" s="867"/>
      <c r="II75" s="867"/>
      <c r="IJ75" s="867"/>
      <c r="IK75" s="867"/>
      <c r="IL75" s="867"/>
      <c r="IM75" s="867"/>
      <c r="IN75" s="867"/>
      <c r="IO75" s="867"/>
      <c r="IP75" s="867"/>
      <c r="IQ75" s="867"/>
      <c r="IR75" s="867"/>
      <c r="IS75" s="867"/>
      <c r="IT75" s="867"/>
      <c r="IU75" s="867"/>
      <c r="IV75" s="867"/>
    </row>
    <row r="76" spans="1:256" s="66" customFormat="1" ht="12" hidden="1" customHeight="1" outlineLevel="1">
      <c r="A76" s="938" t="s">
        <v>461</v>
      </c>
      <c r="B76" s="167"/>
      <c r="C76" s="164"/>
      <c r="D76" s="165"/>
      <c r="E76" s="165"/>
      <c r="F76" s="165"/>
      <c r="G76" s="167"/>
      <c r="H76" s="164"/>
      <c r="I76" s="165"/>
      <c r="J76" s="165"/>
      <c r="K76" s="166"/>
      <c r="L76" s="164"/>
      <c r="M76" s="164"/>
      <c r="N76" s="165"/>
      <c r="O76" s="163"/>
      <c r="P76" s="165"/>
      <c r="Q76" s="167"/>
      <c r="R76" s="164"/>
      <c r="S76" s="165"/>
      <c r="T76" s="165"/>
      <c r="U76" s="166"/>
      <c r="V76" s="166"/>
      <c r="W76" s="165"/>
      <c r="X76" s="165"/>
      <c r="Y76" s="165"/>
      <c r="Z76" s="165"/>
      <c r="AA76" s="167"/>
      <c r="AB76" s="165"/>
      <c r="AC76" s="165"/>
      <c r="AD76" s="165"/>
      <c r="AE76" s="165"/>
      <c r="AF76" s="167"/>
      <c r="AG76" s="165"/>
      <c r="AH76" s="165"/>
      <c r="AI76" s="165"/>
      <c r="AJ76" s="165"/>
      <c r="AK76" s="607"/>
      <c r="AL76" s="165"/>
      <c r="AM76" s="165"/>
      <c r="AN76" s="165"/>
      <c r="AO76" s="165"/>
      <c r="AP76" s="1107"/>
      <c r="AQ76" s="1108"/>
      <c r="AR76" s="1108"/>
      <c r="AS76" s="1108"/>
      <c r="AT76" s="1108"/>
      <c r="AU76" s="1107"/>
      <c r="AV76" s="1108">
        <f t="shared" ref="AV76:BA76" si="149">(AV70-AQ70)*10000</f>
        <v>154.31152581538376</v>
      </c>
      <c r="AW76" s="1108">
        <f t="shared" si="149"/>
        <v>-39.225198390970831</v>
      </c>
      <c r="AX76" s="1108">
        <f t="shared" si="149"/>
        <v>-65.103244837758083</v>
      </c>
      <c r="AY76" s="1108">
        <f t="shared" si="149"/>
        <v>-11.800441551717</v>
      </c>
      <c r="AZ76" s="1107">
        <f t="shared" si="149"/>
        <v>11.81289359349913</v>
      </c>
      <c r="BA76" s="1108">
        <f t="shared" si="149"/>
        <v>-69.285186475864791</v>
      </c>
      <c r="BB76" s="1108">
        <f>(BB70-AW70)*10000</f>
        <v>-32.115825401386466</v>
      </c>
      <c r="BC76" s="1108">
        <f>(BC70-AX70)*10000</f>
        <v>-26.516928818255401</v>
      </c>
      <c r="BD76" s="1108">
        <f>(BD70-AY70)*10000</f>
        <v>-38.508510553176279</v>
      </c>
      <c r="BE76" s="1107">
        <f>(BE70-AZ70)*10000</f>
        <v>-40.62976553225073</v>
      </c>
      <c r="BF76" s="1108">
        <f t="shared" ref="BF76:BQ78" si="150">(BF70-BA70)*10000</f>
        <v>-84.478012419594293</v>
      </c>
      <c r="BG76" s="1108">
        <f t="shared" si="150"/>
        <v>-21.361944076173089</v>
      </c>
      <c r="BH76" s="1108">
        <f t="shared" si="150"/>
        <v>-15.190499787442469</v>
      </c>
      <c r="BI76" s="1108">
        <f t="shared" si="150"/>
        <v>72.657286339538601</v>
      </c>
      <c r="BJ76" s="1107">
        <f t="shared" si="150"/>
        <v>-13.54246906218104</v>
      </c>
      <c r="BK76" s="1108">
        <f t="shared" si="150"/>
        <v>24.808481773136435</v>
      </c>
      <c r="BL76" s="1108">
        <f t="shared" si="150"/>
        <v>-78.472573882108492</v>
      </c>
      <c r="BM76" s="1108">
        <f t="shared" si="150"/>
        <v>-117.33232893806012</v>
      </c>
      <c r="BN76" s="1108">
        <f t="shared" si="150"/>
        <v>-96.75828409966725</v>
      </c>
      <c r="BO76" s="1107">
        <f>(BO70-BJ70)*10000</f>
        <v>-70.536401429228675</v>
      </c>
      <c r="BP76" s="1108">
        <f t="shared" si="150"/>
        <v>-178.94217542861358</v>
      </c>
      <c r="BQ76" s="1108">
        <f t="shared" si="150"/>
        <v>-154.54147176991228</v>
      </c>
      <c r="BR76" s="1108">
        <f>(BR70-BM70)*10000</f>
        <v>-124.94431239604253</v>
      </c>
      <c r="BS76" s="1108">
        <f>(BS70-BN70)*10000</f>
        <v>-260.97990746022759</v>
      </c>
      <c r="BT76" s="1107">
        <f>(BT70-BO70)*10000</f>
        <v>-171.33635764390809</v>
      </c>
      <c r="BU76" s="1108">
        <f t="shared" ref="BU76:BW78" si="151">(BU70-BP70)*10000</f>
        <v>-17.808876130437913</v>
      </c>
      <c r="BV76" s="1108">
        <f t="shared" si="151"/>
        <v>102.6791356274892</v>
      </c>
      <c r="BW76" s="1108">
        <f t="shared" si="151"/>
        <v>230.16901179914561</v>
      </c>
      <c r="BX76" s="1108">
        <f>(BX70-BS70)*10000</f>
        <v>203.92500327139462</v>
      </c>
      <c r="BY76" s="1107">
        <f t="shared" ref="BY76:CN76" si="152">(BY70-BT70)*10000</f>
        <v>127.72229438943738</v>
      </c>
      <c r="BZ76" s="1108">
        <f t="shared" si="152"/>
        <v>30.000000000000028</v>
      </c>
      <c r="CA76" s="1108">
        <f t="shared" si="152"/>
        <v>20.000000000000018</v>
      </c>
      <c r="CB76" s="1108">
        <f>(CB70-BW70)*10000</f>
        <v>20.000000000000018</v>
      </c>
      <c r="CC76" s="1108">
        <f>(CC70-BX70)*10000</f>
        <v>20.000000000000018</v>
      </c>
      <c r="CD76" s="1107">
        <f t="shared" si="152"/>
        <v>22.912264124498314</v>
      </c>
      <c r="CE76" s="1131">
        <v>0</v>
      </c>
      <c r="CF76" s="1131">
        <v>0</v>
      </c>
      <c r="CG76" s="1131">
        <v>0</v>
      </c>
      <c r="CH76" s="1131">
        <v>0</v>
      </c>
      <c r="CI76" s="1107">
        <f t="shared" si="152"/>
        <v>2.9135283724501804E-3</v>
      </c>
      <c r="CJ76" s="1131">
        <v>0</v>
      </c>
      <c r="CK76" s="1131">
        <v>0</v>
      </c>
      <c r="CL76" s="1131">
        <v>0</v>
      </c>
      <c r="CM76" s="1131">
        <v>0</v>
      </c>
      <c r="CN76" s="1107">
        <f t="shared" si="152"/>
        <v>-9.1405175284275941E-3</v>
      </c>
      <c r="CO76" s="45"/>
      <c r="CP76" s="593"/>
      <c r="CQ76" s="593"/>
      <c r="CR76" s="597"/>
      <c r="CS76" s="165"/>
      <c r="CT76" s="165"/>
      <c r="CU76" s="167"/>
      <c r="CV76" s="165"/>
      <c r="CW76" s="167"/>
      <c r="CX76" s="593"/>
      <c r="CY76" s="593"/>
      <c r="CZ76" s="593"/>
      <c r="DA76" s="593"/>
      <c r="DB76"/>
      <c r="DC76"/>
      <c r="DD76"/>
      <c r="DE76"/>
      <c r="DF76"/>
      <c r="DG76"/>
      <c r="DH76" s="593"/>
      <c r="DI76" s="593"/>
      <c r="DJ76" s="593"/>
      <c r="DK76" s="593"/>
      <c r="DL76" s="593"/>
      <c r="DM76" s="593"/>
      <c r="DN76" s="593"/>
      <c r="DO76" s="593"/>
      <c r="DP76" s="593"/>
      <c r="DQ76" s="593"/>
      <c r="DR76" s="593"/>
      <c r="DS76" s="593"/>
      <c r="DT76" s="593"/>
      <c r="DU76" s="593"/>
      <c r="DV76" s="593"/>
      <c r="DW76" s="593"/>
      <c r="DX76" s="593"/>
      <c r="DY76" s="593"/>
      <c r="DZ76" s="593"/>
      <c r="EA76" s="593"/>
      <c r="EB76" s="593"/>
      <c r="EC76" s="593"/>
      <c r="ED76" s="593"/>
      <c r="EE76" s="593"/>
      <c r="EF76" s="593"/>
      <c r="EG76" s="593"/>
      <c r="EH76" s="593"/>
      <c r="EI76" s="593"/>
      <c r="EJ76" s="593"/>
      <c r="EK76" s="593"/>
      <c r="EL76" s="593"/>
      <c r="EM76" s="593"/>
      <c r="EN76" s="593"/>
      <c r="EO76" s="593"/>
      <c r="EP76" s="593"/>
      <c r="EQ76" s="593"/>
      <c r="ER76" s="593"/>
      <c r="ES76" s="593"/>
      <c r="ET76" s="593"/>
      <c r="EU76" s="593"/>
      <c r="EV76" s="593"/>
      <c r="EW76" s="593"/>
      <c r="EX76" s="593"/>
      <c r="EY76" s="593"/>
      <c r="EZ76" s="593"/>
      <c r="FA76" s="593"/>
      <c r="FB76" s="593"/>
      <c r="FC76" s="593"/>
      <c r="FD76" s="593"/>
      <c r="FE76" s="593"/>
      <c r="FF76" s="593"/>
      <c r="FG76" s="593"/>
      <c r="FH76" s="593"/>
      <c r="FI76" s="593"/>
      <c r="FJ76" s="593"/>
      <c r="FK76" s="593"/>
      <c r="FL76" s="593"/>
      <c r="FM76" s="593"/>
      <c r="FN76" s="593"/>
      <c r="FO76" s="593"/>
      <c r="FP76" s="593"/>
      <c r="FQ76" s="593"/>
      <c r="FR76" s="593"/>
      <c r="FS76" s="593"/>
      <c r="FT76" s="593"/>
      <c r="FU76" s="593"/>
      <c r="FV76" s="593"/>
      <c r="FW76" s="593"/>
      <c r="FX76" s="593"/>
      <c r="FY76" s="593"/>
      <c r="FZ76" s="593"/>
      <c r="GA76" s="593"/>
      <c r="GB76" s="593"/>
      <c r="GC76" s="593"/>
      <c r="GD76" s="593"/>
      <c r="GE76" s="593"/>
      <c r="GF76" s="593"/>
      <c r="GG76" s="593"/>
      <c r="GH76" s="593"/>
      <c r="GI76" s="593"/>
      <c r="GJ76" s="593"/>
      <c r="GK76" s="593"/>
      <c r="GL76" s="593"/>
      <c r="GM76" s="593"/>
      <c r="GN76" s="593"/>
      <c r="GO76" s="593"/>
      <c r="GP76" s="593"/>
      <c r="GQ76" s="593"/>
      <c r="GR76" s="593"/>
      <c r="GS76" s="593"/>
      <c r="GT76" s="593"/>
      <c r="GU76" s="593"/>
      <c r="GV76" s="593"/>
      <c r="GW76" s="593"/>
      <c r="GX76" s="593"/>
      <c r="GY76" s="593"/>
      <c r="GZ76" s="593"/>
      <c r="HA76" s="593"/>
      <c r="HB76" s="593"/>
      <c r="HC76" s="593"/>
      <c r="HD76" s="593"/>
      <c r="HE76" s="593"/>
      <c r="HF76" s="593"/>
      <c r="HG76" s="593"/>
      <c r="HH76" s="593"/>
      <c r="HI76" s="593"/>
      <c r="HJ76" s="593"/>
      <c r="HK76" s="593"/>
      <c r="HL76" s="593"/>
      <c r="HM76" s="593"/>
      <c r="HN76" s="593"/>
      <c r="HO76" s="593"/>
      <c r="HP76" s="593"/>
      <c r="HQ76" s="6"/>
      <c r="HR76" s="6"/>
      <c r="HS76" s="6"/>
      <c r="HT76" s="6"/>
      <c r="HU76" s="6"/>
      <c r="HV76" s="6"/>
      <c r="HW76" s="6"/>
      <c r="HX76" s="6"/>
      <c r="HY76" s="6"/>
      <c r="HZ76" s="6"/>
      <c r="IA76" s="6"/>
      <c r="IB76" s="6"/>
      <c r="IC76" s="6"/>
      <c r="ID76" s="6"/>
      <c r="IE76" s="6"/>
      <c r="IF76" s="6"/>
      <c r="IG76" s="6"/>
      <c r="IH76" s="6"/>
      <c r="II76" s="6"/>
      <c r="IJ76" s="6"/>
      <c r="IK76" s="6"/>
      <c r="IL76" s="6"/>
      <c r="IM76" s="6"/>
      <c r="IN76" s="6"/>
      <c r="IO76" s="6"/>
      <c r="IP76" s="6"/>
      <c r="IQ76" s="6"/>
      <c r="IR76" s="6"/>
      <c r="IS76" s="6"/>
      <c r="IT76" s="6"/>
      <c r="IU76" s="6"/>
      <c r="IV76" s="6"/>
    </row>
    <row r="77" spans="1:256" s="66" customFormat="1" ht="12" hidden="1" customHeight="1" outlineLevel="1">
      <c r="A77" s="938" t="s">
        <v>489</v>
      </c>
      <c r="B77" s="167"/>
      <c r="C77" s="164"/>
      <c r="D77" s="165"/>
      <c r="E77" s="165"/>
      <c r="F77" s="165"/>
      <c r="G77" s="167"/>
      <c r="H77" s="164"/>
      <c r="I77" s="165"/>
      <c r="J77" s="165"/>
      <c r="K77" s="166"/>
      <c r="L77" s="164"/>
      <c r="M77" s="164"/>
      <c r="N77" s="165"/>
      <c r="O77" s="163"/>
      <c r="P77" s="165"/>
      <c r="Q77" s="167"/>
      <c r="R77" s="164"/>
      <c r="S77" s="165"/>
      <c r="T77" s="165"/>
      <c r="U77" s="166"/>
      <c r="V77" s="166"/>
      <c r="W77" s="165"/>
      <c r="X77" s="165"/>
      <c r="Y77" s="165"/>
      <c r="Z77" s="165"/>
      <c r="AA77" s="167"/>
      <c r="AB77" s="165"/>
      <c r="AC77" s="165"/>
      <c r="AD77" s="165"/>
      <c r="AE77" s="165"/>
      <c r="AF77" s="167"/>
      <c r="AG77" s="165"/>
      <c r="AH77" s="165"/>
      <c r="AI77" s="165"/>
      <c r="AJ77" s="165"/>
      <c r="AK77" s="607"/>
      <c r="AL77" s="165"/>
      <c r="AM77" s="165"/>
      <c r="AN77" s="165"/>
      <c r="AO77" s="165"/>
      <c r="AP77" s="1107"/>
      <c r="AQ77" s="1108"/>
      <c r="AR77" s="1108"/>
      <c r="AS77" s="1108"/>
      <c r="AT77" s="1108"/>
      <c r="AU77" s="1107"/>
      <c r="AV77" s="1108">
        <f t="shared" ref="AV77:BA77" si="153">(AV71-AQ71)*10000</f>
        <v>1.7433162312247008</v>
      </c>
      <c r="AW77" s="1108">
        <f t="shared" si="153"/>
        <v>13.126875314833919</v>
      </c>
      <c r="AX77" s="1108">
        <f t="shared" si="153"/>
        <v>79.631268436578523</v>
      </c>
      <c r="AY77" s="1108">
        <f t="shared" si="153"/>
        <v>-10.726608790904702</v>
      </c>
      <c r="AZ77" s="1107">
        <f t="shared" si="153"/>
        <v>21.845905077775839</v>
      </c>
      <c r="BA77" s="1108">
        <f t="shared" si="153"/>
        <v>-3.5918782358301815</v>
      </c>
      <c r="BB77" s="1108">
        <f>(BB71-AW71)*10000</f>
        <v>-60.365519871430351</v>
      </c>
      <c r="BC77" s="1108">
        <f t="shared" ref="BC77:BE78" si="154">(BC71-AX71)*10000</f>
        <v>-84.427130250728794</v>
      </c>
      <c r="BD77" s="1108">
        <f t="shared" si="154"/>
        <v>-36.594519478956869</v>
      </c>
      <c r="BE77" s="1107">
        <f t="shared" si="154"/>
        <v>-46.417211369087497</v>
      </c>
      <c r="BF77" s="1108">
        <f t="shared" si="150"/>
        <v>-7.5393412400848181</v>
      </c>
      <c r="BG77" s="1108">
        <f t="shared" si="150"/>
        <v>-92.059859245218206</v>
      </c>
      <c r="BH77" s="1108">
        <f t="shared" si="150"/>
        <v>-51.163477448873394</v>
      </c>
      <c r="BI77" s="1108">
        <f t="shared" si="150"/>
        <v>-117.13509458863514</v>
      </c>
      <c r="BJ77" s="1107">
        <f t="shared" si="150"/>
        <v>-63.346007976639584</v>
      </c>
      <c r="BK77" s="1108">
        <f t="shared" si="150"/>
        <v>-129.68083611821001</v>
      </c>
      <c r="BL77" s="1108">
        <f t="shared" si="150"/>
        <v>-39.230095229994546</v>
      </c>
      <c r="BM77" s="1108">
        <f t="shared" si="150"/>
        <v>-106.49571136160164</v>
      </c>
      <c r="BN77" s="1108">
        <f t="shared" si="150"/>
        <v>-3.5653737477525649</v>
      </c>
      <c r="BO77" s="1107">
        <f>(BO71-BJ71)*10000</f>
        <v>-77.510576435564914</v>
      </c>
      <c r="BP77" s="1108">
        <f t="shared" si="150"/>
        <v>-11.483171785202085</v>
      </c>
      <c r="BQ77" s="1108">
        <f t="shared" si="150"/>
        <v>-50.358703994402568</v>
      </c>
      <c r="BR77" s="1108">
        <v>-20</v>
      </c>
      <c r="BS77" s="1108">
        <v>-20</v>
      </c>
      <c r="BT77" s="1107">
        <f>(BT71-BO71)*10000</f>
        <v>16.565301402092778</v>
      </c>
      <c r="BU77" s="1108">
        <f t="shared" si="151"/>
        <v>58.355430457707193</v>
      </c>
      <c r="BV77" s="1108">
        <f t="shared" si="151"/>
        <v>116.10132275777785</v>
      </c>
      <c r="BW77" s="1108">
        <f t="shared" si="151"/>
        <v>36.659004105846769</v>
      </c>
      <c r="BX77" s="1108">
        <f t="shared" ref="BX77:BX78" si="155">(BX71-BS71)*10000</f>
        <v>56.542609304285897</v>
      </c>
      <c r="BY77" s="1107">
        <f>(BY71-BT71)*10000</f>
        <v>68.294479372424945</v>
      </c>
      <c r="BZ77" s="1131">
        <v>50</v>
      </c>
      <c r="CA77" s="1131">
        <v>70</v>
      </c>
      <c r="CB77" s="1131">
        <v>60</v>
      </c>
      <c r="CC77" s="1131">
        <v>60</v>
      </c>
      <c r="CD77" s="1107">
        <f>(CD71-BY71)*10000</f>
        <v>60.078959554016876</v>
      </c>
      <c r="CE77" s="1131">
        <v>10</v>
      </c>
      <c r="CF77" s="1131">
        <v>10</v>
      </c>
      <c r="CG77" s="1131">
        <v>10</v>
      </c>
      <c r="CH77" s="1131">
        <v>10</v>
      </c>
      <c r="CI77" s="1107">
        <f>(CI71-CD71)*10000</f>
        <v>10.187922340369472</v>
      </c>
      <c r="CJ77" s="1131">
        <v>0</v>
      </c>
      <c r="CK77" s="1131">
        <v>0</v>
      </c>
      <c r="CL77" s="1131">
        <v>0</v>
      </c>
      <c r="CM77" s="1131">
        <v>0</v>
      </c>
      <c r="CN77" s="1107">
        <v>0</v>
      </c>
      <c r="CO77" s="45"/>
      <c r="CP77" s="593"/>
      <c r="CQ77" s="593"/>
      <c r="CR77" s="597"/>
      <c r="CS77" s="165"/>
      <c r="CT77" s="165"/>
      <c r="CU77" s="167"/>
      <c r="CV77" s="165"/>
      <c r="CW77" s="167"/>
      <c r="CX77" s="593"/>
      <c r="CY77" s="593"/>
      <c r="CZ77" s="593"/>
      <c r="DA77" s="593"/>
      <c r="DB77"/>
      <c r="DC77"/>
      <c r="DD77"/>
      <c r="DE77"/>
      <c r="DF77"/>
      <c r="DG77"/>
      <c r="DH77" s="593"/>
      <c r="DI77" s="593"/>
      <c r="DJ77" s="593"/>
      <c r="DK77" s="593"/>
      <c r="DL77" s="593"/>
      <c r="DM77" s="593"/>
      <c r="DN77" s="593"/>
      <c r="DO77" s="593"/>
      <c r="DP77" s="593"/>
      <c r="DQ77" s="593"/>
      <c r="DR77" s="593"/>
      <c r="DS77" s="593"/>
      <c r="DT77" s="593"/>
      <c r="DU77" s="593"/>
      <c r="DV77" s="593"/>
      <c r="DW77" s="593"/>
      <c r="DX77" s="593"/>
      <c r="DY77" s="593"/>
      <c r="DZ77" s="593"/>
      <c r="EA77" s="593"/>
      <c r="EB77" s="593"/>
      <c r="EC77" s="593"/>
      <c r="ED77" s="593"/>
      <c r="EE77" s="593"/>
      <c r="EF77" s="593"/>
      <c r="EG77" s="593"/>
      <c r="EH77" s="593"/>
      <c r="EI77" s="593"/>
      <c r="EJ77" s="593"/>
      <c r="EK77" s="593"/>
      <c r="EL77" s="593"/>
      <c r="EM77" s="593"/>
      <c r="EN77" s="593"/>
      <c r="EO77" s="593"/>
      <c r="EP77" s="593"/>
      <c r="EQ77" s="593"/>
      <c r="ER77" s="593"/>
      <c r="ES77" s="593"/>
      <c r="ET77" s="593"/>
      <c r="EU77" s="593"/>
      <c r="EV77" s="593"/>
      <c r="EW77" s="593"/>
      <c r="EX77" s="593"/>
      <c r="EY77" s="593"/>
      <c r="EZ77" s="593"/>
      <c r="FA77" s="593"/>
      <c r="FB77" s="593"/>
      <c r="FC77" s="593"/>
      <c r="FD77" s="593"/>
      <c r="FE77" s="593"/>
      <c r="FF77" s="593"/>
      <c r="FG77" s="593"/>
      <c r="FH77" s="593"/>
      <c r="FI77" s="593"/>
      <c r="FJ77" s="593"/>
      <c r="FK77" s="593"/>
      <c r="FL77" s="593"/>
      <c r="FM77" s="593"/>
      <c r="FN77" s="593"/>
      <c r="FO77" s="593"/>
      <c r="FP77" s="593"/>
      <c r="FQ77" s="593"/>
      <c r="FR77" s="593"/>
      <c r="FS77" s="593"/>
      <c r="FT77" s="593"/>
      <c r="FU77" s="593"/>
      <c r="FV77" s="593"/>
      <c r="FW77" s="593"/>
      <c r="FX77" s="593"/>
      <c r="FY77" s="593"/>
      <c r="FZ77" s="593"/>
      <c r="GA77" s="593"/>
      <c r="GB77" s="593"/>
      <c r="GC77" s="593"/>
      <c r="GD77" s="593"/>
      <c r="GE77" s="593"/>
      <c r="GF77" s="593"/>
      <c r="GG77" s="593"/>
      <c r="GH77" s="593"/>
      <c r="GI77" s="593"/>
      <c r="GJ77" s="593"/>
      <c r="GK77" s="593"/>
      <c r="GL77" s="593"/>
      <c r="GM77" s="593"/>
      <c r="GN77" s="593"/>
      <c r="GO77" s="593"/>
      <c r="GP77" s="593"/>
      <c r="GQ77" s="593"/>
      <c r="GR77" s="593"/>
      <c r="GS77" s="593"/>
      <c r="GT77" s="593"/>
      <c r="GU77" s="593"/>
      <c r="GV77" s="593"/>
      <c r="GW77" s="593"/>
      <c r="GX77" s="593"/>
      <c r="GY77" s="593"/>
      <c r="GZ77" s="593"/>
      <c r="HA77" s="593"/>
      <c r="HB77" s="593"/>
      <c r="HC77" s="593"/>
      <c r="HD77" s="593"/>
      <c r="HE77" s="593"/>
      <c r="HF77" s="593"/>
      <c r="HG77" s="593"/>
      <c r="HH77" s="593"/>
      <c r="HI77" s="593"/>
      <c r="HJ77" s="593"/>
      <c r="HK77" s="593"/>
      <c r="HL77" s="593"/>
      <c r="HM77" s="593"/>
      <c r="HN77" s="593"/>
      <c r="HO77" s="593"/>
      <c r="HP77" s="593"/>
      <c r="HQ77" s="6"/>
      <c r="HR77" s="6"/>
      <c r="HS77" s="6"/>
      <c r="HT77" s="6"/>
      <c r="HU77" s="6"/>
      <c r="HV77" s="6"/>
      <c r="HW77" s="6"/>
      <c r="HX77" s="6"/>
      <c r="HY77" s="6"/>
      <c r="HZ77" s="6"/>
      <c r="IA77" s="6"/>
      <c r="IB77" s="6"/>
      <c r="IC77" s="6"/>
      <c r="ID77" s="6"/>
      <c r="IE77" s="6"/>
      <c r="IF77" s="6"/>
      <c r="IG77" s="6"/>
      <c r="IH77" s="6"/>
      <c r="II77" s="6"/>
      <c r="IJ77" s="6"/>
      <c r="IK77" s="6"/>
      <c r="IL77" s="6"/>
      <c r="IM77" s="6"/>
      <c r="IN77" s="6"/>
      <c r="IO77" s="6"/>
      <c r="IP77" s="6"/>
      <c r="IQ77" s="6"/>
      <c r="IR77" s="6"/>
      <c r="IS77" s="6"/>
      <c r="IT77" s="6"/>
      <c r="IU77" s="6"/>
      <c r="IV77" s="6"/>
    </row>
    <row r="78" spans="1:256" s="66" customFormat="1" ht="12" hidden="1" customHeight="1" outlineLevel="1">
      <c r="A78" s="938" t="s">
        <v>48</v>
      </c>
      <c r="B78" s="167"/>
      <c r="C78" s="164"/>
      <c r="D78" s="165"/>
      <c r="E78" s="165"/>
      <c r="F78" s="165"/>
      <c r="G78" s="167"/>
      <c r="H78" s="164"/>
      <c r="I78" s="165"/>
      <c r="J78" s="165"/>
      <c r="K78" s="166"/>
      <c r="L78" s="164"/>
      <c r="M78" s="164"/>
      <c r="N78" s="165"/>
      <c r="O78" s="163"/>
      <c r="P78" s="165"/>
      <c r="Q78" s="167"/>
      <c r="R78" s="164"/>
      <c r="S78" s="165"/>
      <c r="T78" s="165"/>
      <c r="U78" s="166"/>
      <c r="V78" s="166"/>
      <c r="W78" s="165"/>
      <c r="X78" s="165"/>
      <c r="Y78" s="165"/>
      <c r="Z78" s="165"/>
      <c r="AA78" s="167"/>
      <c r="AB78" s="165"/>
      <c r="AC78" s="165"/>
      <c r="AD78" s="165"/>
      <c r="AE78" s="165"/>
      <c r="AF78" s="167"/>
      <c r="AG78" s="165"/>
      <c r="AH78" s="165"/>
      <c r="AI78" s="165"/>
      <c r="AJ78" s="165"/>
      <c r="AK78" s="607"/>
      <c r="AL78" s="165"/>
      <c r="AM78" s="165"/>
      <c r="AN78" s="165"/>
      <c r="AO78" s="165"/>
      <c r="AP78" s="1107"/>
      <c r="AQ78" s="1108"/>
      <c r="AR78" s="1108"/>
      <c r="AS78" s="1108"/>
      <c r="AT78" s="1108"/>
      <c r="AU78" s="1107"/>
      <c r="AV78" s="1108">
        <f t="shared" ref="AV78:BA78" si="156">(AV72-AQ72)*10000</f>
        <v>9.9397470899215143</v>
      </c>
      <c r="AW78" s="1108">
        <f t="shared" si="156"/>
        <v>6.9566423560157853</v>
      </c>
      <c r="AX78" s="1108">
        <f t="shared" si="156"/>
        <v>-38.333333333333556</v>
      </c>
      <c r="AY78" s="1108">
        <f t="shared" si="156"/>
        <v>-73.671926001229735</v>
      </c>
      <c r="AZ78" s="1107">
        <f t="shared" si="156"/>
        <v>-28.787338693883612</v>
      </c>
      <c r="BA78" s="1108">
        <f t="shared" si="156"/>
        <v>-31.169542603772527</v>
      </c>
      <c r="BB78" s="1108">
        <f>(BB72-AW72)*10000</f>
        <v>-163.84200645118503</v>
      </c>
      <c r="BC78" s="1108">
        <f t="shared" si="154"/>
        <v>-45.222920130549852</v>
      </c>
      <c r="BD78" s="1108">
        <f t="shared" si="154"/>
        <v>39.31125554650167</v>
      </c>
      <c r="BE78" s="1107">
        <f t="shared" si="154"/>
        <v>-49.043276171302772</v>
      </c>
      <c r="BF78" s="1108">
        <f t="shared" si="150"/>
        <v>65.611103224771369</v>
      </c>
      <c r="BG78" s="1108">
        <f t="shared" si="150"/>
        <v>-1.8342827039477538</v>
      </c>
      <c r="BH78" s="1108">
        <f t="shared" si="150"/>
        <v>68.676965026780167</v>
      </c>
      <c r="BI78" s="1108">
        <f t="shared" si="150"/>
        <v>-10.004433919919563</v>
      </c>
      <c r="BJ78" s="1107">
        <f t="shared" si="150"/>
        <v>32.72648057858374</v>
      </c>
      <c r="BK78" s="1108">
        <f t="shared" si="150"/>
        <v>-56.288670807753405</v>
      </c>
      <c r="BL78" s="1108">
        <f t="shared" si="150"/>
        <v>81.819104529061988</v>
      </c>
      <c r="BM78" s="1108">
        <f t="shared" si="150"/>
        <v>-109.08475206259732</v>
      </c>
      <c r="BN78" s="1108">
        <f t="shared" si="150"/>
        <v>-42.306704341126263</v>
      </c>
      <c r="BO78" s="1107">
        <f>(BO72-BJ72)*10000</f>
        <v>-46.808859996141372</v>
      </c>
      <c r="BP78" s="1108">
        <f t="shared" si="150"/>
        <v>-63.230658094467763</v>
      </c>
      <c r="BQ78" s="1108">
        <f t="shared" si="150"/>
        <v>-163.19242357174912</v>
      </c>
      <c r="BR78" s="1108">
        <v>-30</v>
      </c>
      <c r="BS78" s="1108">
        <v>-30</v>
      </c>
      <c r="BT78" s="1107">
        <f>(BT72-BO72)*10000</f>
        <v>12.909173517678397</v>
      </c>
      <c r="BU78" s="1108">
        <f t="shared" si="151"/>
        <v>6.402103957273142</v>
      </c>
      <c r="BV78" s="1108">
        <f t="shared" si="151"/>
        <v>10.228923419558223</v>
      </c>
      <c r="BW78" s="1108">
        <f t="shared" si="151"/>
        <v>-88.338783206337311</v>
      </c>
      <c r="BX78" s="1108">
        <f t="shared" si="155"/>
        <v>-134.63862281636264</v>
      </c>
      <c r="BY78" s="1107">
        <f>(BY72-BT72)*10000</f>
        <v>-48.556142112381742</v>
      </c>
      <c r="BZ78" s="1131">
        <v>-10</v>
      </c>
      <c r="CA78" s="1131">
        <v>-10</v>
      </c>
      <c r="CB78" s="1131">
        <v>-10</v>
      </c>
      <c r="CC78" s="1131">
        <v>30</v>
      </c>
      <c r="CD78" s="1107">
        <f>(CD72-BY72)*10000</f>
        <v>0.11457077166876495</v>
      </c>
      <c r="CE78" s="1131">
        <v>-10</v>
      </c>
      <c r="CF78" s="1131">
        <v>-10</v>
      </c>
      <c r="CG78" s="1131">
        <v>-10</v>
      </c>
      <c r="CH78" s="1131">
        <v>-10</v>
      </c>
      <c r="CI78" s="1107">
        <f>(CI72-CD72)*10000</f>
        <v>-9.8675748060292339</v>
      </c>
      <c r="CJ78" s="1131">
        <v>-20</v>
      </c>
      <c r="CK78" s="1131">
        <v>-20</v>
      </c>
      <c r="CL78" s="1131">
        <v>-20</v>
      </c>
      <c r="CM78" s="1131">
        <v>-20</v>
      </c>
      <c r="CN78" s="1107">
        <v>0</v>
      </c>
      <c r="CO78" s="45"/>
      <c r="CP78" s="593"/>
      <c r="CQ78" s="593"/>
      <c r="CR78" s="597"/>
      <c r="CS78" s="165"/>
      <c r="CT78" s="165"/>
      <c r="CU78" s="167"/>
      <c r="CV78" s="165"/>
      <c r="CW78" s="167"/>
      <c r="CX78" s="593"/>
      <c r="CY78" s="593"/>
      <c r="CZ78" s="593"/>
      <c r="DA78" s="593"/>
      <c r="DB78"/>
      <c r="DC78"/>
      <c r="DD78"/>
      <c r="DE78"/>
      <c r="DF78"/>
      <c r="DG78"/>
      <c r="DH78" s="593"/>
      <c r="DI78" s="593"/>
      <c r="DJ78" s="593"/>
      <c r="DK78" s="593"/>
      <c r="DL78" s="593"/>
      <c r="DM78" s="593"/>
      <c r="DN78" s="593"/>
      <c r="DO78" s="593"/>
      <c r="DP78" s="593"/>
      <c r="DQ78" s="593"/>
      <c r="DR78" s="593"/>
      <c r="DS78" s="593"/>
      <c r="DT78" s="593"/>
      <c r="DU78" s="593"/>
      <c r="DV78" s="593"/>
      <c r="DW78" s="593"/>
      <c r="DX78" s="593"/>
      <c r="DY78" s="593"/>
      <c r="DZ78" s="593"/>
      <c r="EA78" s="593"/>
      <c r="EB78" s="593"/>
      <c r="EC78" s="593"/>
      <c r="ED78" s="593"/>
      <c r="EE78" s="593"/>
      <c r="EF78" s="593"/>
      <c r="EG78" s="593"/>
      <c r="EH78" s="593"/>
      <c r="EI78" s="593"/>
      <c r="EJ78" s="593"/>
      <c r="EK78" s="593"/>
      <c r="EL78" s="593"/>
      <c r="EM78" s="593"/>
      <c r="EN78" s="593"/>
      <c r="EO78" s="593"/>
      <c r="EP78" s="593"/>
      <c r="EQ78" s="593"/>
      <c r="ER78" s="593"/>
      <c r="ES78" s="593"/>
      <c r="ET78" s="593"/>
      <c r="EU78" s="593"/>
      <c r="EV78" s="593"/>
      <c r="EW78" s="593"/>
      <c r="EX78" s="593"/>
      <c r="EY78" s="593"/>
      <c r="EZ78" s="593"/>
      <c r="FA78" s="593"/>
      <c r="FB78" s="593"/>
      <c r="FC78" s="593"/>
      <c r="FD78" s="593"/>
      <c r="FE78" s="593"/>
      <c r="FF78" s="593"/>
      <c r="FG78" s="593"/>
      <c r="FH78" s="593"/>
      <c r="FI78" s="593"/>
      <c r="FJ78" s="593"/>
      <c r="FK78" s="593"/>
      <c r="FL78" s="593"/>
      <c r="FM78" s="593"/>
      <c r="FN78" s="593"/>
      <c r="FO78" s="593"/>
      <c r="FP78" s="593"/>
      <c r="FQ78" s="593"/>
      <c r="FR78" s="593"/>
      <c r="FS78" s="593"/>
      <c r="FT78" s="593"/>
      <c r="FU78" s="593"/>
      <c r="FV78" s="593"/>
      <c r="FW78" s="593"/>
      <c r="FX78" s="593"/>
      <c r="FY78" s="593"/>
      <c r="FZ78" s="593"/>
      <c r="GA78" s="593"/>
      <c r="GB78" s="593"/>
      <c r="GC78" s="593"/>
      <c r="GD78" s="593"/>
      <c r="GE78" s="593"/>
      <c r="GF78" s="593"/>
      <c r="GG78" s="593"/>
      <c r="GH78" s="593"/>
      <c r="GI78" s="593"/>
      <c r="GJ78" s="593"/>
      <c r="GK78" s="593"/>
      <c r="GL78" s="593"/>
      <c r="GM78" s="593"/>
      <c r="GN78" s="593"/>
      <c r="GO78" s="593"/>
      <c r="GP78" s="593"/>
      <c r="GQ78" s="593"/>
      <c r="GR78" s="593"/>
      <c r="GS78" s="593"/>
      <c r="GT78" s="593"/>
      <c r="GU78" s="593"/>
      <c r="GV78" s="593"/>
      <c r="GW78" s="593"/>
      <c r="GX78" s="593"/>
      <c r="GY78" s="593"/>
      <c r="GZ78" s="593"/>
      <c r="HA78" s="593"/>
      <c r="HB78" s="593"/>
      <c r="HC78" s="593"/>
      <c r="HD78" s="593"/>
      <c r="HE78" s="593"/>
      <c r="HF78" s="593"/>
      <c r="HG78" s="593"/>
      <c r="HH78" s="593"/>
      <c r="HI78" s="593"/>
      <c r="HJ78" s="593"/>
      <c r="HK78" s="593"/>
      <c r="HL78" s="593"/>
      <c r="HM78" s="593"/>
      <c r="HN78" s="593"/>
      <c r="HO78" s="593"/>
      <c r="HP78" s="593"/>
      <c r="HQ78" s="6"/>
      <c r="HR78" s="6"/>
      <c r="HS78" s="6"/>
      <c r="HT78" s="6"/>
      <c r="HU78" s="6"/>
      <c r="HV78" s="6"/>
      <c r="HW78" s="6"/>
      <c r="HX78" s="6"/>
      <c r="HY78" s="6"/>
      <c r="HZ78" s="6"/>
      <c r="IA78" s="6"/>
      <c r="IB78" s="6"/>
      <c r="IC78" s="6"/>
      <c r="ID78" s="6"/>
      <c r="IE78" s="6"/>
      <c r="IF78" s="6"/>
      <c r="IG78" s="6"/>
      <c r="IH78" s="6"/>
      <c r="II78" s="6"/>
      <c r="IJ78" s="6"/>
      <c r="IK78" s="6"/>
      <c r="IL78" s="6"/>
      <c r="IM78" s="6"/>
      <c r="IN78" s="6"/>
      <c r="IO78" s="6"/>
      <c r="IP78" s="6"/>
      <c r="IQ78" s="6"/>
      <c r="IR78" s="6"/>
      <c r="IS78" s="6"/>
      <c r="IT78" s="6"/>
      <c r="IU78" s="6"/>
      <c r="IV78" s="6"/>
    </row>
    <row r="79" spans="1:256" s="59" customFormat="1" ht="12" hidden="1" customHeight="1" outlineLevel="1">
      <c r="A79" s="597" t="s">
        <v>130</v>
      </c>
      <c r="B79" s="167"/>
      <c r="C79" s="164"/>
      <c r="D79" s="165"/>
      <c r="E79" s="165"/>
      <c r="F79" s="165"/>
      <c r="G79" s="167"/>
      <c r="H79" s="164"/>
      <c r="I79" s="165"/>
      <c r="J79" s="165"/>
      <c r="K79" s="166"/>
      <c r="L79" s="164"/>
      <c r="M79" s="164"/>
      <c r="N79" s="165"/>
      <c r="O79" s="163"/>
      <c r="P79" s="165"/>
      <c r="Q79" s="167"/>
      <c r="R79" s="164"/>
      <c r="S79" s="165"/>
      <c r="T79" s="165"/>
      <c r="U79" s="166"/>
      <c r="V79" s="166"/>
      <c r="W79" s="165"/>
      <c r="X79" s="165"/>
      <c r="Y79" s="165"/>
      <c r="Z79" s="165"/>
      <c r="AA79" s="167"/>
      <c r="AB79" s="165"/>
      <c r="AC79" s="165"/>
      <c r="AD79" s="165"/>
      <c r="AE79" s="165"/>
      <c r="AF79" s="167"/>
      <c r="AG79" s="165"/>
      <c r="AH79" s="165"/>
      <c r="AI79" s="165"/>
      <c r="AJ79" s="165"/>
      <c r="AK79" s="607"/>
      <c r="AL79" s="165"/>
      <c r="AM79" s="165"/>
      <c r="AN79" s="165"/>
      <c r="AO79" s="165"/>
      <c r="AP79" s="1132"/>
      <c r="AQ79" s="1133"/>
      <c r="AR79" s="1133"/>
      <c r="AS79" s="1133"/>
      <c r="AT79" s="1133"/>
      <c r="AU79" s="1132"/>
      <c r="AV79" s="1133">
        <f t="shared" ref="AV79:BA79" si="157">(AV74-AQ74)*10000</f>
        <v>-165.99458913652998</v>
      </c>
      <c r="AW79" s="1133">
        <f t="shared" si="157"/>
        <v>19.141680720120569</v>
      </c>
      <c r="AX79" s="1133">
        <f t="shared" si="157"/>
        <v>23.805309734513671</v>
      </c>
      <c r="AY79" s="1133">
        <f t="shared" si="157"/>
        <v>96.198976343850887</v>
      </c>
      <c r="AZ79" s="1132">
        <f t="shared" si="157"/>
        <v>-3.8276084579524916</v>
      </c>
      <c r="BA79" s="1133">
        <f t="shared" si="157"/>
        <v>104.04660731546667</v>
      </c>
      <c r="BB79" s="1133">
        <f>(BB74-AW74)*10000</f>
        <v>256.32335172400269</v>
      </c>
      <c r="BC79" s="1133">
        <f>(BC74-AX74)*10000</f>
        <v>156.16697919953458</v>
      </c>
      <c r="BD79" s="1133">
        <f>(BD74-AY74)*10000</f>
        <v>35.791774485630647</v>
      </c>
      <c r="BE79" s="1132">
        <f>(BE74-AZ74)*10000</f>
        <v>136.09025307264045</v>
      </c>
      <c r="BF79" s="1133">
        <f t="shared" ref="BF79:BN79" si="158">(BF74-BA74)*10000</f>
        <v>26.406250434909406</v>
      </c>
      <c r="BG79" s="1133">
        <f t="shared" si="158"/>
        <v>115.25608602533821</v>
      </c>
      <c r="BH79" s="1133">
        <f t="shared" si="158"/>
        <v>-2.3229877904651364</v>
      </c>
      <c r="BI79" s="1133">
        <f t="shared" si="158"/>
        <v>54.482242169017205</v>
      </c>
      <c r="BJ79" s="1132">
        <f t="shared" si="158"/>
        <v>44.161996460235777</v>
      </c>
      <c r="BK79" s="1133">
        <f t="shared" si="158"/>
        <v>161.16102515282503</v>
      </c>
      <c r="BL79" s="1133">
        <f t="shared" si="158"/>
        <v>35.883564583040204</v>
      </c>
      <c r="BM79" s="1133">
        <f t="shared" si="158"/>
        <v>332.91279236225989</v>
      </c>
      <c r="BN79" s="1133">
        <f t="shared" si="158"/>
        <v>246.11109890889549</v>
      </c>
      <c r="BO79" s="1132">
        <f t="shared" ref="BO79:BW79" si="159">(BO74-BJ74)*10000</f>
        <v>194.85583786093551</v>
      </c>
      <c r="BP79" s="1133">
        <f t="shared" si="159"/>
        <v>253.65600530828368</v>
      </c>
      <c r="BQ79" s="1133">
        <f t="shared" si="159"/>
        <v>369.86705108833615</v>
      </c>
      <c r="BR79" s="1133">
        <f t="shared" si="159"/>
        <v>-39.359175432329693</v>
      </c>
      <c r="BS79" s="1133">
        <f t="shared" si="159"/>
        <v>-42.318861262978793</v>
      </c>
      <c r="BT79" s="1132">
        <f t="shared" si="159"/>
        <v>141.85102210712341</v>
      </c>
      <c r="BU79" s="1133">
        <f t="shared" si="159"/>
        <v>-46.948658284542418</v>
      </c>
      <c r="BV79" s="1133">
        <f t="shared" si="159"/>
        <v>-230.78383355709664</v>
      </c>
      <c r="BW79" s="1133">
        <f t="shared" si="159"/>
        <v>-176.4773714645973</v>
      </c>
      <c r="BX79" s="1133">
        <f t="shared" ref="BX79:CN79" si="160">(BX74-BS74)*10000</f>
        <v>-125.828989759319</v>
      </c>
      <c r="BY79" s="1132">
        <f t="shared" si="160"/>
        <v>-147.44977103246848</v>
      </c>
      <c r="BZ79" s="1133">
        <f t="shared" si="160"/>
        <v>-70.000000000000057</v>
      </c>
      <c r="CA79" s="1133">
        <f t="shared" si="160"/>
        <v>-80.000000000000071</v>
      </c>
      <c r="CB79" s="1133">
        <f t="shared" si="160"/>
        <v>-70.000000000000057</v>
      </c>
      <c r="CC79" s="1133">
        <f t="shared" si="160"/>
        <v>-110.0000000000001</v>
      </c>
      <c r="CD79" s="1132">
        <f t="shared" si="160"/>
        <v>-83.105794450183396</v>
      </c>
      <c r="CE79" s="1133">
        <f>(CE74-BZ74)*10000</f>
        <v>1.1102230246251565E-12</v>
      </c>
      <c r="CF79" s="1133">
        <f>(CF74-CA74)*10000</f>
        <v>0</v>
      </c>
      <c r="CG79" s="1133">
        <f>(CG74-CB74)*10000</f>
        <v>1.1102230246251565E-12</v>
      </c>
      <c r="CH79" s="1133">
        <f>(CH74-CC74)*10000</f>
        <v>0</v>
      </c>
      <c r="CI79" s="1132">
        <f t="shared" si="160"/>
        <v>-0.32326106271129973</v>
      </c>
      <c r="CJ79" s="1133">
        <f t="shared" si="160"/>
        <v>20.000000000000018</v>
      </c>
      <c r="CK79" s="1133">
        <f t="shared" si="160"/>
        <v>20.000000000000018</v>
      </c>
      <c r="CL79" s="1133">
        <f t="shared" si="160"/>
        <v>20.000000000000018</v>
      </c>
      <c r="CM79" s="1133">
        <f t="shared" si="160"/>
        <v>20.000000000000018</v>
      </c>
      <c r="CN79" s="1132">
        <f t="shared" si="160"/>
        <v>19.682206388211831</v>
      </c>
      <c r="CO79" s="80"/>
      <c r="CR79" s="597"/>
      <c r="CS79" s="165"/>
      <c r="CT79" s="165"/>
      <c r="CU79" s="167"/>
      <c r="CV79" s="165"/>
      <c r="CW79" s="167"/>
      <c r="DB79"/>
      <c r="DC79"/>
      <c r="DD79"/>
      <c r="DE79"/>
      <c r="DF79"/>
      <c r="DG79"/>
      <c r="HQ79" s="4"/>
      <c r="HR79" s="4"/>
      <c r="HS79" s="4"/>
      <c r="HT79" s="4"/>
      <c r="HU79" s="4"/>
      <c r="HV79" s="4"/>
      <c r="HW79" s="4"/>
      <c r="HX79" s="4"/>
      <c r="HY79" s="4"/>
      <c r="HZ79" s="4"/>
      <c r="IA79" s="4"/>
      <c r="IB79" s="4"/>
      <c r="IC79" s="4"/>
      <c r="ID79" s="4"/>
      <c r="IE79" s="4"/>
      <c r="IF79" s="4"/>
      <c r="IG79" s="4"/>
      <c r="IH79" s="4"/>
      <c r="II79" s="4"/>
      <c r="IJ79" s="4"/>
      <c r="IK79" s="4"/>
      <c r="IL79" s="4"/>
      <c r="IM79" s="4"/>
      <c r="IN79" s="4"/>
      <c r="IO79" s="4"/>
      <c r="IP79" s="4"/>
      <c r="IQ79" s="4"/>
      <c r="IR79" s="4"/>
      <c r="IS79" s="4"/>
      <c r="IT79" s="4"/>
      <c r="IU79" s="4"/>
      <c r="IV79" s="4"/>
    </row>
    <row r="80" spans="1:256" s="229" customFormat="1" ht="12" hidden="1" customHeight="1" outlineLevel="1">
      <c r="A80" s="1104" t="s">
        <v>2</v>
      </c>
      <c r="B80" s="193"/>
      <c r="C80" s="194"/>
      <c r="D80" s="192"/>
      <c r="E80" s="192"/>
      <c r="F80" s="192"/>
      <c r="G80" s="193"/>
      <c r="H80" s="194"/>
      <c r="I80" s="192"/>
      <c r="J80" s="192"/>
      <c r="K80" s="225"/>
      <c r="L80" s="194"/>
      <c r="M80" s="194"/>
      <c r="N80" s="192"/>
      <c r="O80" s="221"/>
      <c r="P80" s="192"/>
      <c r="Q80" s="193"/>
      <c r="R80" s="194"/>
      <c r="S80" s="192"/>
      <c r="T80" s="192"/>
      <c r="U80" s="225"/>
      <c r="V80" s="225"/>
      <c r="W80" s="192"/>
      <c r="X80" s="192"/>
      <c r="Y80" s="192"/>
      <c r="Z80" s="192"/>
      <c r="AA80" s="193"/>
      <c r="AB80" s="192"/>
      <c r="AC80" s="192"/>
      <c r="AD80" s="192"/>
      <c r="AE80" s="192"/>
      <c r="AF80" s="193"/>
      <c r="AG80" s="192"/>
      <c r="AH80" s="192"/>
      <c r="AI80" s="192"/>
      <c r="AJ80" s="192"/>
      <c r="AK80" s="1105"/>
      <c r="AL80" s="192"/>
      <c r="AM80" s="192"/>
      <c r="AN80" s="192"/>
      <c r="AO80" s="192"/>
      <c r="AP80" s="1158"/>
      <c r="AQ80" s="1106"/>
      <c r="AR80" s="1106"/>
      <c r="AS80" s="1106"/>
      <c r="AT80" s="1106"/>
      <c r="AU80" s="1158"/>
      <c r="AV80" s="192">
        <v>8.0000000000000002E-3</v>
      </c>
      <c r="AW80" s="192">
        <v>3.2000000000000001E-2</v>
      </c>
      <c r="AX80" s="192">
        <v>2.7E-2</v>
      </c>
      <c r="AY80" s="192">
        <v>-2E-3</v>
      </c>
      <c r="AZ80" s="1105">
        <v>1.6E-2</v>
      </c>
      <c r="BA80" s="192">
        <v>0.01</v>
      </c>
      <c r="BB80" s="192">
        <v>4.0000000000000001E-3</v>
      </c>
      <c r="BC80" s="192">
        <v>3.2000000000000001E-2</v>
      </c>
      <c r="BD80" s="192">
        <v>3.1E-2</v>
      </c>
      <c r="BE80" s="1105">
        <v>1.9E-2</v>
      </c>
      <c r="BF80" s="192">
        <v>1.2999999999999999E-2</v>
      </c>
      <c r="BG80" s="192">
        <v>3.9E-2</v>
      </c>
      <c r="BH80" s="192">
        <v>0.02</v>
      </c>
      <c r="BI80" s="192">
        <v>1.9E-2</v>
      </c>
      <c r="BJ80" s="1105">
        <v>2.3E-2</v>
      </c>
      <c r="BK80" s="192">
        <v>2.5999999999999999E-2</v>
      </c>
      <c r="BL80" s="192">
        <v>2.4E-2</v>
      </c>
      <c r="BM80" s="192">
        <v>1.7000000000000001E-2</v>
      </c>
      <c r="BN80" s="192">
        <v>3.6999999999999998E-2</v>
      </c>
      <c r="BO80" s="1105">
        <v>2.5999999999999999E-2</v>
      </c>
      <c r="BP80" s="192">
        <v>4.8000000000000001E-2</v>
      </c>
      <c r="BQ80" s="192">
        <v>1.2E-2</v>
      </c>
      <c r="BR80" s="192">
        <v>2.7E-2</v>
      </c>
      <c r="BS80" s="192">
        <v>1.7999999999999999E-2</v>
      </c>
      <c r="BT80" s="1105">
        <v>2.7E-2</v>
      </c>
      <c r="BU80" s="192">
        <v>8.0000000000000002E-3</v>
      </c>
      <c r="BV80" s="192">
        <v>1.7000000000000001E-2</v>
      </c>
      <c r="BW80" s="192">
        <v>-5.0000000000000001E-3</v>
      </c>
      <c r="BX80" s="192">
        <v>-1.0999999999999999E-2</v>
      </c>
      <c r="BY80" s="1105">
        <v>2E-3</v>
      </c>
      <c r="BZ80" s="192">
        <v>1.7000000000000001E-2</v>
      </c>
      <c r="CA80" s="192">
        <v>1.2500000000000001E-2</v>
      </c>
      <c r="CB80" s="192">
        <v>3.5000000000000003E-2</v>
      </c>
      <c r="CC80" s="192">
        <v>2.5000000000000001E-2</v>
      </c>
      <c r="CD80" s="1105">
        <v>2.2374999999999999E-2</v>
      </c>
      <c r="CE80" s="192">
        <v>0.03</v>
      </c>
      <c r="CF80" s="192">
        <v>0.02</v>
      </c>
      <c r="CG80" s="192">
        <v>0.02</v>
      </c>
      <c r="CH80" s="192">
        <v>0.03</v>
      </c>
      <c r="CI80" s="1105">
        <v>2.5000000000000001E-2</v>
      </c>
      <c r="CJ80" s="192">
        <v>0.03</v>
      </c>
      <c r="CK80" s="192">
        <v>0.02</v>
      </c>
      <c r="CL80" s="192">
        <v>0.02</v>
      </c>
      <c r="CM80" s="192">
        <v>0.03</v>
      </c>
      <c r="CN80" s="1105">
        <v>2.5000000000000001E-2</v>
      </c>
      <c r="CO80" s="195"/>
      <c r="CR80" s="1104"/>
      <c r="CS80" s="192"/>
      <c r="CT80" s="192"/>
      <c r="CU80" s="193"/>
      <c r="CV80" s="192"/>
      <c r="CW80" s="193"/>
      <c r="DB80"/>
      <c r="DC80"/>
      <c r="DD80"/>
      <c r="DE80"/>
      <c r="DF80"/>
      <c r="DG80"/>
      <c r="HQ80" s="867"/>
      <c r="HR80" s="867"/>
      <c r="HS80" s="867"/>
      <c r="HT80" s="867"/>
      <c r="HU80" s="867"/>
      <c r="HV80" s="867"/>
      <c r="HW80" s="867"/>
      <c r="HX80" s="867"/>
      <c r="HY80" s="867"/>
      <c r="HZ80" s="867"/>
      <c r="IA80" s="867"/>
      <c r="IB80" s="867"/>
      <c r="IC80" s="867"/>
      <c r="ID80" s="867"/>
      <c r="IE80" s="867"/>
      <c r="IF80" s="867"/>
      <c r="IG80" s="867"/>
      <c r="IH80" s="867"/>
      <c r="II80" s="867"/>
      <c r="IJ80" s="867"/>
      <c r="IK80" s="867"/>
      <c r="IL80" s="867"/>
      <c r="IM80" s="867"/>
      <c r="IN80" s="867"/>
      <c r="IO80" s="867"/>
      <c r="IP80" s="867"/>
      <c r="IQ80" s="867"/>
      <c r="IR80" s="867"/>
      <c r="IS80" s="867"/>
      <c r="IT80" s="867"/>
      <c r="IU80" s="867"/>
      <c r="IV80" s="867"/>
    </row>
    <row r="81" spans="1:256" s="66" customFormat="1" ht="4.5" hidden="1" customHeight="1" outlineLevel="1">
      <c r="A81" s="598"/>
      <c r="B81" s="167"/>
      <c r="C81" s="164"/>
      <c r="D81" s="165"/>
      <c r="E81" s="165"/>
      <c r="F81" s="165"/>
      <c r="G81" s="167"/>
      <c r="H81" s="164"/>
      <c r="I81" s="165"/>
      <c r="J81" s="165"/>
      <c r="K81" s="166"/>
      <c r="L81" s="164"/>
      <c r="M81" s="164"/>
      <c r="N81" s="165"/>
      <c r="O81" s="163"/>
      <c r="P81" s="165"/>
      <c r="Q81" s="167"/>
      <c r="R81" s="164"/>
      <c r="S81" s="165"/>
      <c r="T81" s="165"/>
      <c r="U81" s="166"/>
      <c r="V81" s="166"/>
      <c r="W81" s="165"/>
      <c r="X81" s="165"/>
      <c r="Y81" s="165"/>
      <c r="Z81" s="165"/>
      <c r="AA81" s="167"/>
      <c r="AB81" s="165"/>
      <c r="AC81" s="165"/>
      <c r="AD81" s="165"/>
      <c r="AE81" s="165"/>
      <c r="AF81" s="167"/>
      <c r="AG81" s="165"/>
      <c r="AH81" s="165"/>
      <c r="AI81" s="165"/>
      <c r="AJ81" s="165"/>
      <c r="AK81" s="607"/>
      <c r="AL81" s="165"/>
      <c r="AM81" s="165"/>
      <c r="AN81" s="165"/>
      <c r="AO81" s="165"/>
      <c r="AP81" s="1107"/>
      <c r="AQ81" s="1108"/>
      <c r="AR81" s="1108"/>
      <c r="AS81" s="1108"/>
      <c r="AT81" s="1108"/>
      <c r="AU81" s="1107"/>
      <c r="AV81" s="1108"/>
      <c r="AW81" s="1108"/>
      <c r="AX81" s="1108"/>
      <c r="AY81" s="1108"/>
      <c r="AZ81" s="1107"/>
      <c r="BA81" s="1108"/>
      <c r="BB81" s="1106"/>
      <c r="BC81" s="165"/>
      <c r="BD81" s="165"/>
      <c r="BE81" s="607"/>
      <c r="BF81" s="165"/>
      <c r="BG81" s="165"/>
      <c r="BH81" s="165"/>
      <c r="BI81" s="165"/>
      <c r="BJ81" s="607"/>
      <c r="BK81" s="165"/>
      <c r="BL81" s="165"/>
      <c r="BM81" s="165"/>
      <c r="BN81" s="165"/>
      <c r="BO81" s="607"/>
      <c r="BP81" s="165"/>
      <c r="BQ81" s="165"/>
      <c r="BR81" s="165"/>
      <c r="BS81" s="165"/>
      <c r="BT81" s="607"/>
      <c r="BU81" s="165"/>
      <c r="BV81" s="165"/>
      <c r="BW81" s="165"/>
      <c r="BX81" s="165"/>
      <c r="BY81" s="607"/>
      <c r="BZ81" s="165"/>
      <c r="CA81" s="165"/>
      <c r="CB81" s="165"/>
      <c r="CC81" s="165"/>
      <c r="CD81" s="607"/>
      <c r="CE81" s="165"/>
      <c r="CF81" s="165"/>
      <c r="CG81" s="165"/>
      <c r="CH81" s="165"/>
      <c r="CI81" s="607"/>
      <c r="CJ81" s="165"/>
      <c r="CK81" s="165"/>
      <c r="CL81" s="165"/>
      <c r="CM81" s="165"/>
      <c r="CN81" s="607"/>
      <c r="CO81" s="45"/>
      <c r="CP81" s="593"/>
      <c r="CQ81" s="593"/>
      <c r="CR81" s="597"/>
      <c r="CS81" s="165"/>
      <c r="CT81" s="165"/>
      <c r="CU81" s="167"/>
      <c r="CV81" s="165"/>
      <c r="CW81" s="167"/>
      <c r="CX81" s="593"/>
      <c r="CY81" s="593"/>
      <c r="CZ81" s="593"/>
      <c r="DA81" s="593"/>
      <c r="DB81"/>
      <c r="DC81"/>
      <c r="DD81"/>
      <c r="DE81"/>
      <c r="DF81"/>
      <c r="DG81"/>
      <c r="DH81" s="593"/>
      <c r="DI81" s="593"/>
      <c r="DJ81" s="593"/>
      <c r="DK81" s="593"/>
      <c r="DL81" s="593"/>
      <c r="DM81" s="593"/>
      <c r="DN81" s="593"/>
      <c r="DO81" s="593"/>
      <c r="DP81" s="593"/>
      <c r="DQ81" s="593"/>
      <c r="DR81" s="593"/>
      <c r="DS81" s="593"/>
      <c r="DT81" s="593"/>
      <c r="DU81" s="593"/>
      <c r="DV81" s="593"/>
      <c r="DW81" s="593"/>
      <c r="DX81" s="593"/>
      <c r="DY81" s="593"/>
      <c r="DZ81" s="593"/>
      <c r="EA81" s="593"/>
      <c r="EB81" s="593"/>
      <c r="EC81" s="593"/>
      <c r="ED81" s="593"/>
      <c r="EE81" s="593"/>
      <c r="EF81" s="593"/>
      <c r="EG81" s="593"/>
      <c r="EH81" s="593"/>
      <c r="EI81" s="593"/>
      <c r="EJ81" s="593"/>
      <c r="EK81" s="593"/>
      <c r="EL81" s="593"/>
      <c r="EM81" s="593"/>
      <c r="EN81" s="593"/>
      <c r="EO81" s="593"/>
      <c r="EP81" s="593"/>
      <c r="EQ81" s="593"/>
      <c r="ER81" s="593"/>
      <c r="ES81" s="593"/>
      <c r="ET81" s="593"/>
      <c r="EU81" s="593"/>
      <c r="EV81" s="593"/>
      <c r="EW81" s="593"/>
      <c r="EX81" s="593"/>
      <c r="EY81" s="593"/>
      <c r="EZ81" s="593"/>
      <c r="FA81" s="593"/>
      <c r="FB81" s="593"/>
      <c r="FC81" s="593"/>
      <c r="FD81" s="593"/>
      <c r="FE81" s="593"/>
      <c r="FF81" s="593"/>
      <c r="FG81" s="593"/>
      <c r="FH81" s="593"/>
      <c r="FI81" s="593"/>
      <c r="FJ81" s="593"/>
      <c r="FK81" s="593"/>
      <c r="FL81" s="593"/>
      <c r="FM81" s="593"/>
      <c r="FN81" s="593"/>
      <c r="FO81" s="593"/>
      <c r="FP81" s="593"/>
      <c r="FQ81" s="593"/>
      <c r="FR81" s="593"/>
      <c r="FS81" s="593"/>
      <c r="FT81" s="593"/>
      <c r="FU81" s="593"/>
      <c r="FV81" s="593"/>
      <c r="FW81" s="593"/>
      <c r="FX81" s="593"/>
      <c r="FY81" s="593"/>
      <c r="FZ81" s="593"/>
      <c r="GA81" s="593"/>
      <c r="GB81" s="593"/>
      <c r="GC81" s="593"/>
      <c r="GD81" s="593"/>
      <c r="GE81" s="593"/>
      <c r="GF81" s="593"/>
      <c r="GG81" s="593"/>
      <c r="GH81" s="593"/>
      <c r="GI81" s="593"/>
      <c r="GJ81" s="593"/>
      <c r="GK81" s="593"/>
      <c r="GL81" s="593"/>
      <c r="GM81" s="593"/>
      <c r="GN81" s="593"/>
      <c r="GO81" s="593"/>
      <c r="GP81" s="593"/>
      <c r="GQ81" s="593"/>
      <c r="GR81" s="593"/>
      <c r="GS81" s="593"/>
      <c r="GT81" s="593"/>
      <c r="GU81" s="593"/>
      <c r="GV81" s="593"/>
      <c r="GW81" s="593"/>
      <c r="GX81" s="593"/>
      <c r="GY81" s="593"/>
      <c r="GZ81" s="593"/>
      <c r="HA81" s="593"/>
      <c r="HB81" s="593"/>
      <c r="HC81" s="593"/>
      <c r="HD81" s="593"/>
      <c r="HE81" s="593"/>
      <c r="HF81" s="593"/>
      <c r="HG81" s="593"/>
      <c r="HH81" s="593"/>
      <c r="HI81" s="593"/>
      <c r="HJ81" s="593"/>
      <c r="HK81" s="593"/>
      <c r="HL81" s="593"/>
      <c r="HM81" s="593"/>
      <c r="HN81" s="593"/>
      <c r="HO81" s="593"/>
      <c r="HP81" s="593"/>
      <c r="HQ81" s="6"/>
      <c r="HR81" s="6"/>
      <c r="HS81" s="6"/>
      <c r="HT81" s="6"/>
      <c r="HU81" s="6"/>
      <c r="HV81" s="6"/>
      <c r="HW81" s="6"/>
      <c r="HX81" s="6"/>
      <c r="HY81" s="6"/>
      <c r="HZ81" s="6"/>
      <c r="IA81" s="6"/>
      <c r="IB81" s="6"/>
      <c r="IC81" s="6"/>
      <c r="ID81" s="6"/>
      <c r="IE81" s="6"/>
      <c r="IF81" s="6"/>
      <c r="IG81" s="6"/>
      <c r="IH81" s="6"/>
      <c r="II81" s="6"/>
      <c r="IJ81" s="6"/>
      <c r="IK81" s="6"/>
      <c r="IL81" s="6"/>
      <c r="IM81" s="6"/>
      <c r="IN81" s="6"/>
      <c r="IO81" s="6"/>
      <c r="IP81" s="6"/>
      <c r="IQ81" s="6"/>
      <c r="IR81" s="6"/>
      <c r="IS81" s="6"/>
      <c r="IT81" s="6"/>
      <c r="IU81" s="6"/>
      <c r="IV81" s="6"/>
    </row>
    <row r="82" spans="1:256" s="66" customFormat="1" ht="12" hidden="1" customHeight="1" outlineLevel="1">
      <c r="A82" s="598" t="s">
        <v>188</v>
      </c>
      <c r="B82" s="153"/>
      <c r="C82" s="152"/>
      <c r="D82" s="46"/>
      <c r="E82" s="46"/>
      <c r="F82" s="46"/>
      <c r="G82" s="153"/>
      <c r="H82" s="152"/>
      <c r="I82" s="46"/>
      <c r="J82" s="46"/>
      <c r="K82" s="97"/>
      <c r="L82" s="152"/>
      <c r="M82" s="152"/>
      <c r="N82" s="46"/>
      <c r="O82" s="154"/>
      <c r="P82" s="46"/>
      <c r="Q82" s="153"/>
      <c r="R82" s="152"/>
      <c r="S82" s="46"/>
      <c r="T82" s="46"/>
      <c r="U82" s="97"/>
      <c r="V82" s="97"/>
      <c r="W82" s="46"/>
      <c r="X82" s="46"/>
      <c r="Y82" s="46"/>
      <c r="Z82" s="46"/>
      <c r="AA82" s="153"/>
      <c r="AB82" s="46"/>
      <c r="AC82" s="46"/>
      <c r="AD82" s="46"/>
      <c r="AE82" s="46"/>
      <c r="AF82" s="153"/>
      <c r="AG82" s="46"/>
      <c r="AH82" s="46"/>
      <c r="AI82" s="46"/>
      <c r="AJ82" s="46"/>
      <c r="AK82" s="606"/>
      <c r="AL82" s="46"/>
      <c r="AM82" s="46"/>
      <c r="AN82" s="46"/>
      <c r="AO82" s="46"/>
      <c r="AP82" s="606"/>
      <c r="AQ82" s="46">
        <f t="shared" ref="AQ82:BJ82" si="161">(AQ13-AQ26)/AQ13</f>
        <v>0.24338624338624329</v>
      </c>
      <c r="AR82" s="46">
        <f t="shared" si="161"/>
        <v>0.34557526881720702</v>
      </c>
      <c r="AS82" s="46">
        <f t="shared" si="161"/>
        <v>0.3083874345549753</v>
      </c>
      <c r="AT82" s="46">
        <f t="shared" si="161"/>
        <v>0.34080904522612693</v>
      </c>
      <c r="AU82" s="606">
        <f t="shared" si="161"/>
        <v>0.30980392156862746</v>
      </c>
      <c r="AV82" s="46">
        <f t="shared" si="161"/>
        <v>0.29834254143646416</v>
      </c>
      <c r="AW82" s="46">
        <f t="shared" si="161"/>
        <v>0.32007908611599289</v>
      </c>
      <c r="AX82" s="46">
        <f t="shared" si="161"/>
        <v>0.27044025157232709</v>
      </c>
      <c r="AY82" s="46">
        <f t="shared" si="161"/>
        <v>0.26298237255836121</v>
      </c>
      <c r="AZ82" s="606">
        <f t="shared" si="161"/>
        <v>0.28904347826086962</v>
      </c>
      <c r="BA82" s="46">
        <f t="shared" si="161"/>
        <v>0.26</v>
      </c>
      <c r="BB82" s="46">
        <f t="shared" si="161"/>
        <v>0.33536585365853649</v>
      </c>
      <c r="BC82" s="46">
        <f t="shared" si="161"/>
        <v>0.29341317365269454</v>
      </c>
      <c r="BD82" s="46">
        <f t="shared" si="161"/>
        <v>0.22297297297297319</v>
      </c>
      <c r="BE82" s="606">
        <f t="shared" si="161"/>
        <v>0.27980922098569161</v>
      </c>
      <c r="BF82" s="46">
        <f t="shared" si="161"/>
        <v>0.26027397260273966</v>
      </c>
      <c r="BG82" s="46">
        <f t="shared" si="161"/>
        <v>0.25730994152046793</v>
      </c>
      <c r="BH82" s="46">
        <f t="shared" si="161"/>
        <v>0.2820512820512821</v>
      </c>
      <c r="BI82" s="46">
        <f t="shared" si="161"/>
        <v>0.24137931034482721</v>
      </c>
      <c r="BJ82" s="606">
        <f t="shared" si="161"/>
        <v>0.26051779935275071</v>
      </c>
      <c r="BK82" s="46"/>
      <c r="BL82" s="46"/>
      <c r="BM82" s="46"/>
      <c r="BN82" s="46"/>
      <c r="BO82" s="606"/>
      <c r="BP82" s="46"/>
      <c r="BQ82" s="169"/>
      <c r="BR82" s="46"/>
      <c r="BS82" s="169"/>
      <c r="BT82" s="606"/>
      <c r="BU82" s="46"/>
      <c r="BV82" s="46"/>
      <c r="BW82" s="46"/>
      <c r="BX82" s="46"/>
      <c r="BY82" s="1269">
        <v>3.1441211938498644E-2</v>
      </c>
      <c r="BZ82" s="169"/>
      <c r="CA82" s="169"/>
      <c r="CB82" s="169"/>
      <c r="CC82" s="169"/>
      <c r="CD82" s="606"/>
      <c r="CE82" s="169"/>
      <c r="CF82" s="169"/>
      <c r="CG82" s="169"/>
      <c r="CH82" s="169"/>
      <c r="CI82" s="606"/>
      <c r="CJ82" s="169"/>
      <c r="CK82" s="169"/>
      <c r="CL82" s="169"/>
      <c r="CM82" s="169"/>
      <c r="CN82" s="606"/>
      <c r="CO82" s="72"/>
      <c r="CP82" s="593"/>
      <c r="CQ82" s="593"/>
      <c r="CR82" s="598" t="s">
        <v>188</v>
      </c>
      <c r="CS82" s="165">
        <f>BX82</f>
        <v>0</v>
      </c>
      <c r="CT82" s="165">
        <v>0</v>
      </c>
      <c r="CU82" s="167">
        <f t="shared" si="21"/>
        <v>0</v>
      </c>
      <c r="CV82" s="165">
        <f>BS82</f>
        <v>0</v>
      </c>
      <c r="CW82" s="167">
        <f t="shared" si="130"/>
        <v>0</v>
      </c>
      <c r="CX82" s="593"/>
      <c r="CY82" s="593"/>
      <c r="CZ82" s="593"/>
      <c r="DA82" s="593"/>
      <c r="DB82"/>
      <c r="DC82"/>
      <c r="DD82"/>
      <c r="DE82"/>
      <c r="DF82"/>
      <c r="DG82"/>
      <c r="DH82" s="593"/>
      <c r="DI82" s="593"/>
      <c r="DJ82" s="593"/>
      <c r="DK82" s="593"/>
      <c r="DL82" s="593"/>
      <c r="DM82" s="593"/>
      <c r="DN82" s="593"/>
      <c r="DO82" s="593"/>
      <c r="DP82" s="593"/>
      <c r="DQ82" s="593"/>
      <c r="DR82" s="593"/>
      <c r="DS82" s="593"/>
      <c r="DT82" s="593"/>
      <c r="DU82" s="593"/>
      <c r="DV82" s="593"/>
      <c r="DW82" s="593"/>
      <c r="DX82" s="593"/>
      <c r="DY82" s="593"/>
      <c r="DZ82" s="593"/>
      <c r="EA82" s="593"/>
      <c r="EB82" s="593"/>
      <c r="EC82" s="593"/>
      <c r="ED82" s="593"/>
      <c r="EE82" s="593"/>
      <c r="EF82" s="593"/>
      <c r="EG82" s="593"/>
      <c r="EH82" s="593"/>
      <c r="EI82" s="593"/>
      <c r="EJ82" s="593"/>
      <c r="EK82" s="593"/>
      <c r="EL82" s="593"/>
      <c r="EM82" s="593"/>
      <c r="EN82" s="593"/>
      <c r="EO82" s="593"/>
      <c r="EP82" s="593"/>
      <c r="EQ82" s="593"/>
      <c r="ER82" s="593"/>
      <c r="ES82" s="593"/>
      <c r="ET82" s="593"/>
      <c r="EU82" s="593"/>
      <c r="EV82" s="593"/>
      <c r="EW82" s="593"/>
      <c r="EX82" s="593"/>
      <c r="EY82" s="593"/>
      <c r="EZ82" s="593"/>
      <c r="FA82" s="593"/>
      <c r="FB82" s="593"/>
      <c r="FC82" s="593"/>
      <c r="FD82" s="593"/>
      <c r="FE82" s="593"/>
      <c r="FF82" s="593"/>
      <c r="FG82" s="593"/>
      <c r="FH82" s="593"/>
      <c r="FI82" s="593"/>
      <c r="FJ82" s="593"/>
      <c r="FK82" s="593"/>
      <c r="FL82" s="593"/>
      <c r="FM82" s="593"/>
      <c r="FN82" s="593"/>
      <c r="FO82" s="593"/>
      <c r="FP82" s="593"/>
      <c r="FQ82" s="593"/>
      <c r="FR82" s="593"/>
      <c r="FS82" s="593"/>
      <c r="FT82" s="593"/>
      <c r="FU82" s="593"/>
      <c r="FV82" s="593"/>
      <c r="FW82" s="593"/>
      <c r="FX82" s="593"/>
      <c r="FY82" s="593"/>
      <c r="FZ82" s="593"/>
      <c r="GA82" s="593"/>
      <c r="GB82" s="593"/>
      <c r="GC82" s="593"/>
      <c r="GD82" s="593"/>
      <c r="GE82" s="593"/>
      <c r="GF82" s="593"/>
      <c r="GG82" s="593"/>
      <c r="GH82" s="593"/>
      <c r="GI82" s="593"/>
      <c r="GJ82" s="593"/>
      <c r="GK82" s="593"/>
      <c r="GL82" s="593"/>
      <c r="GM82" s="593"/>
      <c r="GN82" s="593"/>
      <c r="GO82" s="593"/>
      <c r="GP82" s="593"/>
      <c r="GQ82" s="593"/>
      <c r="GR82" s="593"/>
      <c r="GS82" s="593"/>
      <c r="GT82" s="593"/>
      <c r="GU82" s="593"/>
      <c r="GV82" s="593"/>
      <c r="GW82" s="593"/>
      <c r="GX82" s="593"/>
      <c r="GY82" s="593"/>
      <c r="GZ82" s="593"/>
      <c r="HA82" s="593"/>
      <c r="HB82" s="593"/>
      <c r="HC82" s="593"/>
      <c r="HD82" s="593"/>
      <c r="HE82" s="593"/>
      <c r="HF82" s="593"/>
      <c r="HG82" s="593"/>
      <c r="HH82" s="593"/>
      <c r="HI82" s="593"/>
      <c r="HJ82" s="593"/>
      <c r="HK82" s="593"/>
      <c r="HL82" s="593"/>
      <c r="HM82" s="593"/>
      <c r="HN82" s="593"/>
      <c r="HO82" s="593"/>
      <c r="HP82" s="593"/>
      <c r="HQ82" s="6"/>
      <c r="HR82" s="6"/>
      <c r="HS82" s="6"/>
      <c r="HT82" s="6"/>
      <c r="HU82" s="6"/>
      <c r="HV82" s="6"/>
      <c r="HW82" s="6"/>
      <c r="HX82" s="6"/>
      <c r="HY82" s="6"/>
      <c r="HZ82" s="6"/>
      <c r="IA82" s="6"/>
      <c r="IB82" s="6"/>
      <c r="IC82" s="6"/>
      <c r="ID82" s="6"/>
      <c r="IE82" s="6"/>
      <c r="IF82" s="6"/>
      <c r="IG82" s="6"/>
      <c r="IH82" s="6"/>
      <c r="II82" s="6"/>
      <c r="IJ82" s="6"/>
      <c r="IK82" s="6"/>
      <c r="IL82" s="6"/>
      <c r="IM82" s="6"/>
      <c r="IN82" s="6"/>
      <c r="IO82" s="6"/>
      <c r="IP82" s="6"/>
      <c r="IQ82" s="6"/>
      <c r="IR82" s="6"/>
      <c r="IS82" s="6"/>
      <c r="IT82" s="6"/>
      <c r="IU82" s="6"/>
      <c r="IV82" s="6"/>
    </row>
    <row r="83" spans="1:256" s="117" customFormat="1" ht="12" customHeight="1" collapsed="1">
      <c r="A83" s="624" t="s">
        <v>619</v>
      </c>
      <c r="B83" s="161"/>
      <c r="C83" s="160"/>
      <c r="D83" s="155"/>
      <c r="E83" s="155"/>
      <c r="F83" s="55"/>
      <c r="G83" s="161"/>
      <c r="H83" s="160"/>
      <c r="I83" s="155"/>
      <c r="J83" s="155"/>
      <c r="K83" s="55"/>
      <c r="L83" s="155"/>
      <c r="M83" s="160"/>
      <c r="N83" s="155"/>
      <c r="O83" s="155"/>
      <c r="P83" s="55"/>
      <c r="Q83" s="161"/>
      <c r="R83" s="160"/>
      <c r="S83" s="155"/>
      <c r="T83" s="155"/>
      <c r="U83" s="55"/>
      <c r="V83" s="55"/>
      <c r="W83" s="155"/>
      <c r="X83" s="155"/>
      <c r="Y83" s="155"/>
      <c r="Z83" s="155"/>
      <c r="AA83" s="161"/>
      <c r="AB83" s="155"/>
      <c r="AC83" s="155"/>
      <c r="AD83" s="155"/>
      <c r="AE83" s="155"/>
      <c r="AF83" s="161"/>
      <c r="AG83" s="155"/>
      <c r="AH83" s="155"/>
      <c r="AI83" s="155"/>
      <c r="AJ83" s="155"/>
      <c r="AK83" s="609"/>
      <c r="AL83" s="155"/>
      <c r="AM83" s="155"/>
      <c r="AN83" s="155"/>
      <c r="AO83" s="155"/>
      <c r="AP83" s="609"/>
      <c r="AQ83" s="155"/>
      <c r="AR83" s="155"/>
      <c r="AS83" s="155"/>
      <c r="AT83" s="155"/>
      <c r="AU83" s="609"/>
      <c r="AV83" s="155"/>
      <c r="AW83" s="155"/>
      <c r="AX83" s="155"/>
      <c r="AY83" s="155"/>
      <c r="AZ83" s="609"/>
      <c r="BA83" s="155"/>
      <c r="BB83" s="155"/>
      <c r="BC83" s="155"/>
      <c r="BD83" s="155"/>
      <c r="BE83" s="609"/>
      <c r="BF83" s="155"/>
      <c r="BG83" s="155"/>
      <c r="BH83" s="155"/>
      <c r="BI83" s="155"/>
      <c r="BJ83" s="609"/>
      <c r="BK83" s="155"/>
      <c r="BL83" s="155"/>
      <c r="BM83" s="155"/>
      <c r="BN83" s="155"/>
      <c r="BO83" s="609"/>
      <c r="BP83" s="155"/>
      <c r="BQ83" s="155"/>
      <c r="BR83" s="155"/>
      <c r="BS83" s="155">
        <f t="shared" ref="BS83" si="162">1-BS25/BS15</f>
        <v>0.55581766801818411</v>
      </c>
      <c r="BT83" s="609">
        <f>1-BT25/BT15</f>
        <v>0.87376654212786753</v>
      </c>
      <c r="BU83" s="155"/>
      <c r="BV83" s="155">
        <f t="shared" ref="BV83:CN83" si="163">1-BV25/BV15</f>
        <v>0.53346116970278046</v>
      </c>
      <c r="BW83" s="155">
        <f t="shared" ref="BW83" si="164">1-BW25/BW15</f>
        <v>0.52111387369467921</v>
      </c>
      <c r="BX83" s="155">
        <f t="shared" ref="BX83" si="165">1-BX25/BX15</f>
        <v>0.53629742276292625</v>
      </c>
      <c r="BY83" s="609">
        <f t="shared" si="163"/>
        <v>0.53700683850604936</v>
      </c>
      <c r="BZ83" s="155">
        <f t="shared" si="163"/>
        <v>0.54</v>
      </c>
      <c r="CA83" s="155">
        <f t="shared" si="163"/>
        <v>0.53999999999999992</v>
      </c>
      <c r="CB83" s="155">
        <f t="shared" si="163"/>
        <v>0.54</v>
      </c>
      <c r="CC83" s="155">
        <f t="shared" si="163"/>
        <v>0.54</v>
      </c>
      <c r="CD83" s="609">
        <f t="shared" si="163"/>
        <v>0.54</v>
      </c>
      <c r="CE83" s="155">
        <f t="shared" si="163"/>
        <v>0.54</v>
      </c>
      <c r="CF83" s="155">
        <f t="shared" si="163"/>
        <v>0.54</v>
      </c>
      <c r="CG83" s="155">
        <f t="shared" si="163"/>
        <v>0.54</v>
      </c>
      <c r="CH83" s="155">
        <f t="shared" si="163"/>
        <v>0.54</v>
      </c>
      <c r="CI83" s="609">
        <f t="shared" si="163"/>
        <v>0.54</v>
      </c>
      <c r="CJ83" s="155">
        <f t="shared" si="163"/>
        <v>0.54</v>
      </c>
      <c r="CK83" s="155">
        <f t="shared" si="163"/>
        <v>0.54</v>
      </c>
      <c r="CL83" s="155">
        <f t="shared" si="163"/>
        <v>0.54</v>
      </c>
      <c r="CM83" s="155">
        <f t="shared" si="163"/>
        <v>0.54</v>
      </c>
      <c r="CN83" s="609">
        <f t="shared" si="163"/>
        <v>0.54</v>
      </c>
      <c r="CO83" s="45"/>
      <c r="CR83" s="624"/>
      <c r="CS83" s="155"/>
      <c r="CT83" s="155"/>
      <c r="CU83" s="161"/>
      <c r="CV83" s="155"/>
      <c r="CW83" s="161"/>
      <c r="DB83"/>
      <c r="DC83"/>
      <c r="DD83"/>
      <c r="DE83"/>
      <c r="DF83"/>
      <c r="DG83"/>
      <c r="HQ83" s="3"/>
      <c r="HR83" s="3"/>
      <c r="HS83" s="3"/>
      <c r="HT83" s="3"/>
      <c r="HU83" s="3"/>
      <c r="HV83" s="3"/>
      <c r="HW83" s="3"/>
      <c r="HX83" s="3"/>
      <c r="HY83" s="3"/>
      <c r="HZ83" s="3"/>
      <c r="IA83" s="3"/>
      <c r="IB83" s="3"/>
      <c r="IC83" s="3"/>
      <c r="ID83" s="3"/>
      <c r="IE83" s="3"/>
      <c r="IF83" s="3"/>
      <c r="IG83" s="3"/>
      <c r="IH83" s="3"/>
      <c r="II83" s="3"/>
      <c r="IJ83" s="3"/>
      <c r="IK83" s="3"/>
      <c r="IL83" s="3"/>
      <c r="IM83" s="3"/>
      <c r="IN83" s="3"/>
      <c r="IO83" s="3"/>
      <c r="IP83" s="3"/>
      <c r="IQ83" s="3"/>
      <c r="IR83" s="3"/>
      <c r="IS83" s="3"/>
      <c r="IT83" s="3"/>
      <c r="IU83" s="3"/>
      <c r="IV83" s="3"/>
    </row>
    <row r="84" spans="1:256" s="117" customFormat="1" ht="12" customHeight="1" collapsed="1">
      <c r="A84" s="624" t="s">
        <v>29</v>
      </c>
      <c r="B84" s="161"/>
      <c r="C84" s="160"/>
      <c r="D84" s="155"/>
      <c r="E84" s="155"/>
      <c r="F84" s="55"/>
      <c r="G84" s="161"/>
      <c r="H84" s="160"/>
      <c r="I84" s="155"/>
      <c r="J84" s="155"/>
      <c r="K84" s="55"/>
      <c r="L84" s="155"/>
      <c r="M84" s="160"/>
      <c r="N84" s="155"/>
      <c r="O84" s="155"/>
      <c r="P84" s="55"/>
      <c r="Q84" s="161"/>
      <c r="R84" s="160"/>
      <c r="S84" s="155"/>
      <c r="T84" s="155"/>
      <c r="U84" s="55"/>
      <c r="V84" s="55"/>
      <c r="W84" s="155"/>
      <c r="X84" s="155"/>
      <c r="Y84" s="155"/>
      <c r="Z84" s="155"/>
      <c r="AA84" s="161">
        <f t="shared" ref="AA84:BF84" si="166">AA28/AA17</f>
        <v>0.1224064405225071</v>
      </c>
      <c r="AB84" s="155">
        <f t="shared" si="166"/>
        <v>0.13172119487908962</v>
      </c>
      <c r="AC84" s="155">
        <f t="shared" si="166"/>
        <v>0.11590926402383291</v>
      </c>
      <c r="AD84" s="155">
        <f t="shared" si="166"/>
        <v>0.11010158369613225</v>
      </c>
      <c r="AE84" s="155">
        <f t="shared" si="166"/>
        <v>0.14010810666107471</v>
      </c>
      <c r="AF84" s="161">
        <f t="shared" si="166"/>
        <v>0.1241597519010771</v>
      </c>
      <c r="AG84" s="155">
        <f t="shared" si="166"/>
        <v>0.12717596622159669</v>
      </c>
      <c r="AH84" s="155">
        <f t="shared" si="166"/>
        <v>0.12353194468640398</v>
      </c>
      <c r="AI84" s="155">
        <f t="shared" si="166"/>
        <v>0.10839982684193571</v>
      </c>
      <c r="AJ84" s="155">
        <f t="shared" si="166"/>
        <v>0.14671294410412203</v>
      </c>
      <c r="AK84" s="609">
        <f t="shared" si="166"/>
        <v>0.1264266574695567</v>
      </c>
      <c r="AL84" s="155">
        <f t="shared" si="166"/>
        <v>0.13192715479307945</v>
      </c>
      <c r="AM84" s="155">
        <f t="shared" si="166"/>
        <v>0.11118547902501764</v>
      </c>
      <c r="AN84" s="155">
        <f t="shared" si="166"/>
        <v>0.11373247531972307</v>
      </c>
      <c r="AO84" s="155">
        <f t="shared" si="166"/>
        <v>0.13162815260986854</v>
      </c>
      <c r="AP84" s="609">
        <f t="shared" si="166"/>
        <v>0.12194248120982994</v>
      </c>
      <c r="AQ84" s="155">
        <f t="shared" si="166"/>
        <v>0.12822229661868095</v>
      </c>
      <c r="AR84" s="155">
        <f t="shared" si="166"/>
        <v>0.11960803212851404</v>
      </c>
      <c r="AS84" s="155">
        <f t="shared" si="166"/>
        <v>0.10795595797296768</v>
      </c>
      <c r="AT84" s="155">
        <f t="shared" si="166"/>
        <v>0.12559469804135812</v>
      </c>
      <c r="AU84" s="609">
        <f t="shared" si="166"/>
        <v>0.12025621536963188</v>
      </c>
      <c r="AV84" s="155">
        <f t="shared" si="166"/>
        <v>0.12189669531558202</v>
      </c>
      <c r="AW84" s="155">
        <f t="shared" si="166"/>
        <v>0.11356035598605288</v>
      </c>
      <c r="AX84" s="155">
        <f t="shared" si="166"/>
        <v>0.11343401338733532</v>
      </c>
      <c r="AY84" s="155">
        <f t="shared" si="166"/>
        <v>0.11110705389447813</v>
      </c>
      <c r="AZ84" s="609">
        <f t="shared" si="166"/>
        <v>0.11488524967088168</v>
      </c>
      <c r="BA84" s="155">
        <f t="shared" si="166"/>
        <v>0.10818125951410364</v>
      </c>
      <c r="BB84" s="155">
        <f t="shared" si="166"/>
        <v>0.11497265374008911</v>
      </c>
      <c r="BC84" s="155">
        <f t="shared" si="166"/>
        <v>0.11941402574054394</v>
      </c>
      <c r="BD84" s="155">
        <f t="shared" si="166"/>
        <v>0.13026392417349617</v>
      </c>
      <c r="BE84" s="609">
        <f t="shared" si="166"/>
        <v>0.11811298711375538</v>
      </c>
      <c r="BF84" s="155">
        <f t="shared" si="166"/>
        <v>0.13449261844509514</v>
      </c>
      <c r="BG84" s="155">
        <f t="shared" ref="BG84:CN84" si="167">BG28/BG17</f>
        <v>0.12796817894376866</v>
      </c>
      <c r="BH84" s="155">
        <f t="shared" si="167"/>
        <v>0.1283422668584106</v>
      </c>
      <c r="BI84" s="155">
        <f t="shared" si="167"/>
        <v>0.11980253052588798</v>
      </c>
      <c r="BJ84" s="609">
        <f t="shared" si="167"/>
        <v>0.12772546523339784</v>
      </c>
      <c r="BK84" s="155">
        <f t="shared" si="167"/>
        <v>0.13214275437225662</v>
      </c>
      <c r="BL84" s="155">
        <f t="shared" si="167"/>
        <v>0.12414050913726116</v>
      </c>
      <c r="BM84" s="155">
        <f t="shared" si="167"/>
        <v>0.1370620430494007</v>
      </c>
      <c r="BN84" s="155">
        <f t="shared" si="167"/>
        <v>0.15591399007246454</v>
      </c>
      <c r="BO84" s="609">
        <f t="shared" si="167"/>
        <v>0.13717233145323979</v>
      </c>
      <c r="BP84" s="155">
        <f t="shared" si="167"/>
        <v>0.17066583594473939</v>
      </c>
      <c r="BQ84" s="155">
        <f t="shared" si="167"/>
        <v>0.1597102827669459</v>
      </c>
      <c r="BR84" s="155">
        <f t="shared" si="167"/>
        <v>0.16191224465127527</v>
      </c>
      <c r="BS84" s="155">
        <f t="shared" si="167"/>
        <v>0.19735657516432667</v>
      </c>
      <c r="BT84" s="609">
        <f t="shared" si="167"/>
        <v>0.17128738806396468</v>
      </c>
      <c r="BU84" s="155">
        <f t="shared" ref="BU84" si="168">BU28/BU17</f>
        <v>0.18350774441167317</v>
      </c>
      <c r="BV84" s="155">
        <f t="shared" si="167"/>
        <v>0.16007891565888954</v>
      </c>
      <c r="BW84" s="155">
        <f t="shared" ref="BW84" si="169">BW28/BW17</f>
        <v>0.17194805194805196</v>
      </c>
      <c r="BX84" s="155">
        <f t="shared" ref="BX84" si="170">BX28/BX17</f>
        <v>0.16779790911472059</v>
      </c>
      <c r="BY84" s="609">
        <f t="shared" si="167"/>
        <v>0.17049219187431799</v>
      </c>
      <c r="BZ84" s="155">
        <f t="shared" si="167"/>
        <v>0.16708060922408974</v>
      </c>
      <c r="CA84" s="155">
        <f t="shared" si="167"/>
        <v>0.15036519952146304</v>
      </c>
      <c r="CB84" s="155">
        <f t="shared" si="167"/>
        <v>0.14752378818662201</v>
      </c>
      <c r="CC84" s="155">
        <f t="shared" si="167"/>
        <v>0.14854726018133349</v>
      </c>
      <c r="CD84" s="609">
        <f t="shared" si="167"/>
        <v>0.15310410226359927</v>
      </c>
      <c r="CE84" s="155">
        <f t="shared" si="167"/>
        <v>0.15212589340676924</v>
      </c>
      <c r="CF84" s="155">
        <f t="shared" si="167"/>
        <v>0.1380263649226498</v>
      </c>
      <c r="CG84" s="155">
        <f t="shared" si="167"/>
        <v>0.13507510576745599</v>
      </c>
      <c r="CH84" s="155">
        <f t="shared" si="167"/>
        <v>0.1350886792910492</v>
      </c>
      <c r="CI84" s="609">
        <f t="shared" si="167"/>
        <v>0.13985021494323366</v>
      </c>
      <c r="CJ84" s="155">
        <f t="shared" si="167"/>
        <v>0.13602940637320965</v>
      </c>
      <c r="CK84" s="155">
        <f t="shared" si="167"/>
        <v>0.12442190362311425</v>
      </c>
      <c r="CL84" s="155">
        <f t="shared" si="167"/>
        <v>0.12137986482684841</v>
      </c>
      <c r="CM84" s="155">
        <f t="shared" si="167"/>
        <v>0.12052913590662577</v>
      </c>
      <c r="CN84" s="609">
        <f t="shared" si="167"/>
        <v>0.12539824559206145</v>
      </c>
      <c r="CO84" s="45"/>
      <c r="CR84" s="624" t="s">
        <v>29</v>
      </c>
      <c r="CS84" s="155">
        <f>BX84</f>
        <v>0.16779790911472059</v>
      </c>
      <c r="CT84" s="155">
        <v>0.17123512898853371</v>
      </c>
      <c r="CU84" s="161">
        <f t="shared" si="21"/>
        <v>-3.4372198738131243E-3</v>
      </c>
      <c r="CV84" s="155">
        <f>BS84</f>
        <v>0.19735657516432667</v>
      </c>
      <c r="CW84" s="161">
        <f t="shared" si="130"/>
        <v>-2.955866604960608E-2</v>
      </c>
      <c r="DB84"/>
      <c r="DC84"/>
      <c r="DD84"/>
      <c r="DE84"/>
      <c r="DF84"/>
      <c r="DG84"/>
      <c r="HQ84" s="3"/>
      <c r="HR84" s="3"/>
      <c r="HS84" s="3"/>
      <c r="HT84" s="3"/>
      <c r="HU84" s="3"/>
      <c r="HV84" s="3"/>
      <c r="HW84" s="3"/>
      <c r="HX84" s="3"/>
      <c r="HY84" s="3"/>
      <c r="HZ84" s="3"/>
      <c r="IA84" s="3"/>
      <c r="IB84" s="3"/>
      <c r="IC84" s="3"/>
      <c r="ID84" s="3"/>
      <c r="IE84" s="3"/>
      <c r="IF84" s="3"/>
      <c r="IG84" s="3"/>
      <c r="IH84" s="3"/>
      <c r="II84" s="3"/>
      <c r="IJ84" s="3"/>
      <c r="IK84" s="3"/>
      <c r="IL84" s="3"/>
      <c r="IM84" s="3"/>
      <c r="IN84" s="3"/>
      <c r="IO84" s="3"/>
      <c r="IP84" s="3"/>
      <c r="IQ84" s="3"/>
      <c r="IR84" s="3"/>
      <c r="IS84" s="3"/>
      <c r="IT84" s="3"/>
      <c r="IU84" s="3"/>
      <c r="IV84" s="3"/>
    </row>
    <row r="85" spans="1:256" s="229" customFormat="1" ht="12" customHeight="1">
      <c r="A85" s="1272" t="s">
        <v>624</v>
      </c>
      <c r="B85" s="223"/>
      <c r="C85" s="220"/>
      <c r="D85" s="222"/>
      <c r="E85" s="222"/>
      <c r="F85" s="1273"/>
      <c r="G85" s="223"/>
      <c r="H85" s="220"/>
      <c r="I85" s="222"/>
      <c r="J85" s="222"/>
      <c r="K85" s="1273"/>
      <c r="L85" s="222"/>
      <c r="M85" s="220"/>
      <c r="N85" s="222"/>
      <c r="O85" s="222"/>
      <c r="P85" s="1273"/>
      <c r="Q85" s="223"/>
      <c r="R85" s="220"/>
      <c r="S85" s="222"/>
      <c r="T85" s="222"/>
      <c r="U85" s="1273"/>
      <c r="V85" s="1273"/>
      <c r="W85" s="222"/>
      <c r="X85" s="222"/>
      <c r="Y85" s="222"/>
      <c r="Z85" s="222"/>
      <c r="AA85" s="223"/>
      <c r="AB85" s="222"/>
      <c r="AC85" s="222"/>
      <c r="AD85" s="222"/>
      <c r="AE85" s="222"/>
      <c r="AF85" s="223"/>
      <c r="AG85" s="222"/>
      <c r="AH85" s="222"/>
      <c r="AI85" s="222"/>
      <c r="AJ85" s="222"/>
      <c r="AK85" s="858"/>
      <c r="AL85" s="222"/>
      <c r="AM85" s="222"/>
      <c r="AN85" s="222"/>
      <c r="AO85" s="222"/>
      <c r="AP85" s="858"/>
      <c r="AQ85" s="222"/>
      <c r="AR85" s="222"/>
      <c r="AS85" s="222"/>
      <c r="AT85" s="222"/>
      <c r="AU85" s="858"/>
      <c r="AV85" s="222"/>
      <c r="AW85" s="222"/>
      <c r="AX85" s="222"/>
      <c r="AY85" s="222"/>
      <c r="AZ85" s="858"/>
      <c r="BA85" s="222"/>
      <c r="BB85" s="222"/>
      <c r="BC85" s="222"/>
      <c r="BD85" s="222"/>
      <c r="BE85" s="858"/>
      <c r="BF85" s="222"/>
      <c r="BG85" s="222"/>
      <c r="BH85" s="222"/>
      <c r="BI85" s="222"/>
      <c r="BJ85" s="858">
        <v>2.6765447402062752E-2</v>
      </c>
      <c r="BK85" s="222">
        <v>2.5085722292021408E-2</v>
      </c>
      <c r="BL85" s="222">
        <v>2.3157582237939379E-2</v>
      </c>
      <c r="BM85" s="222">
        <v>2.4738944231332011E-2</v>
      </c>
      <c r="BN85" s="222">
        <v>2.86580858536023E-2</v>
      </c>
      <c r="BO85" s="858">
        <v>2.5389797265494431E-2</v>
      </c>
      <c r="BP85" s="222">
        <v>2.7220147776862668E-2</v>
      </c>
      <c r="BQ85" s="222">
        <v>2.4159349574215373E-2</v>
      </c>
      <c r="BR85" s="222">
        <v>2.3261633184670644E-2</v>
      </c>
      <c r="BS85" s="222">
        <v>2.3496350364963503E-2</v>
      </c>
      <c r="BT85" s="858">
        <v>2.4760221550855995E-2</v>
      </c>
      <c r="BU85" s="222">
        <v>2.1408932239198798E-2</v>
      </c>
      <c r="BV85" s="222">
        <v>1.9424544093298416E-2</v>
      </c>
      <c r="BW85" s="222">
        <v>2.0172164241639368E-2</v>
      </c>
      <c r="BX85" s="222">
        <v>2.0206775700934577E-2</v>
      </c>
      <c r="BY85" s="858">
        <v>2.0283526516027824E-2</v>
      </c>
      <c r="BZ85" s="222">
        <v>2.0071630282242153E-2</v>
      </c>
      <c r="CA85" s="222">
        <v>1.8421080970349855E-2</v>
      </c>
      <c r="CB85" s="222">
        <v>1.7813218440768722E-2</v>
      </c>
      <c r="CC85" s="222">
        <v>1.7745463406526062E-2</v>
      </c>
      <c r="CD85" s="858">
        <v>1.8483059495583029E-2</v>
      </c>
      <c r="CE85" s="222">
        <v>1.8354785825196025E-2</v>
      </c>
      <c r="CF85" s="222">
        <v>1.6985434509938425E-2</v>
      </c>
      <c r="CG85" s="222">
        <v>1.6408021643099447E-2</v>
      </c>
      <c r="CH85" s="222">
        <v>1.6312951287740449E-2</v>
      </c>
      <c r="CI85" s="858">
        <v>1.6991607369580743E-2</v>
      </c>
      <c r="CJ85" s="222">
        <v>1.6527231468124352E-2</v>
      </c>
      <c r="CK85" s="222">
        <v>1.5412618185507562E-2</v>
      </c>
      <c r="CL85" s="222">
        <v>1.4854803626662055E-2</v>
      </c>
      <c r="CM85" s="222">
        <v>1.4726106000184794E-2</v>
      </c>
      <c r="CN85" s="858">
        <v>1.5360769581981236E-2</v>
      </c>
      <c r="CO85" s="195"/>
      <c r="CR85" s="1272"/>
      <c r="CS85" s="222"/>
      <c r="CT85" s="222"/>
      <c r="CU85" s="223"/>
      <c r="CV85" s="222"/>
      <c r="CW85" s="223"/>
      <c r="DB85"/>
      <c r="DC85"/>
      <c r="DD85"/>
      <c r="DE85"/>
      <c r="DF85"/>
      <c r="DG85"/>
      <c r="HQ85" s="867"/>
      <c r="HR85" s="867"/>
      <c r="HS85" s="867"/>
      <c r="HT85" s="867"/>
      <c r="HU85" s="867"/>
      <c r="HV85" s="867"/>
      <c r="HW85" s="867"/>
      <c r="HX85" s="867"/>
      <c r="HY85" s="867"/>
      <c r="HZ85" s="867"/>
      <c r="IA85" s="867"/>
      <c r="IB85" s="867"/>
      <c r="IC85" s="867"/>
      <c r="ID85" s="867"/>
      <c r="IE85" s="867"/>
      <c r="IF85" s="867"/>
      <c r="IG85" s="867"/>
      <c r="IH85" s="867"/>
      <c r="II85" s="867"/>
      <c r="IJ85" s="867"/>
      <c r="IK85" s="867"/>
      <c r="IL85" s="867"/>
      <c r="IM85" s="867"/>
      <c r="IN85" s="867"/>
      <c r="IO85" s="867"/>
      <c r="IP85" s="867"/>
      <c r="IQ85" s="867"/>
      <c r="IR85" s="867"/>
      <c r="IS85" s="867"/>
      <c r="IT85" s="867"/>
      <c r="IU85" s="867"/>
      <c r="IV85" s="867"/>
    </row>
    <row r="86" spans="1:256" s="66" customFormat="1" ht="12" customHeight="1">
      <c r="A86" s="601" t="s">
        <v>17</v>
      </c>
      <c r="B86" s="161"/>
      <c r="C86" s="160"/>
      <c r="D86" s="155"/>
      <c r="E86" s="155"/>
      <c r="F86" s="55"/>
      <c r="G86" s="161"/>
      <c r="H86" s="160"/>
      <c r="I86" s="155"/>
      <c r="J86" s="155"/>
      <c r="K86" s="55"/>
      <c r="L86" s="155"/>
      <c r="M86" s="160"/>
      <c r="N86" s="159"/>
      <c r="O86" s="159"/>
      <c r="P86" s="55"/>
      <c r="Q86" s="161"/>
      <c r="R86" s="160"/>
      <c r="S86" s="155"/>
      <c r="T86" s="155"/>
      <c r="U86" s="55"/>
      <c r="V86" s="55"/>
      <c r="W86" s="155"/>
      <c r="X86" s="155"/>
      <c r="Y86" s="155"/>
      <c r="Z86" s="155"/>
      <c r="AA86" s="161">
        <f t="shared" ref="AA86:BF86" si="171">AA29/AA17</f>
        <v>4.9775673261190236E-2</v>
      </c>
      <c r="AB86" s="155">
        <f t="shared" si="171"/>
        <v>5.3777461672198511E-2</v>
      </c>
      <c r="AC86" s="155">
        <f t="shared" si="171"/>
        <v>4.9430414028910928E-2</v>
      </c>
      <c r="AD86" s="155">
        <f t="shared" si="171"/>
        <v>4.9433691480294438E-2</v>
      </c>
      <c r="AE86" s="155">
        <f t="shared" si="171"/>
        <v>5.1328355578558034E-2</v>
      </c>
      <c r="AF86" s="161">
        <f t="shared" si="171"/>
        <v>5.0941359056852813E-2</v>
      </c>
      <c r="AG86" s="155">
        <f t="shared" si="171"/>
        <v>5.9795088797940696E-2</v>
      </c>
      <c r="AH86" s="155">
        <f t="shared" si="171"/>
        <v>4.8962020933792198E-2</v>
      </c>
      <c r="AI86" s="155">
        <f t="shared" si="171"/>
        <v>5.2058134166499674E-2</v>
      </c>
      <c r="AJ86" s="155">
        <f t="shared" si="171"/>
        <v>5.2036588330227326E-2</v>
      </c>
      <c r="AK86" s="609">
        <f t="shared" si="171"/>
        <v>5.3130345296557926E-2</v>
      </c>
      <c r="AL86" s="155">
        <f t="shared" si="171"/>
        <v>5.5318127594940335E-2</v>
      </c>
      <c r="AM86" s="155">
        <f t="shared" si="171"/>
        <v>5.1246207331409402E-2</v>
      </c>
      <c r="AN86" s="155">
        <f t="shared" si="171"/>
        <v>5.3619657831851311E-2</v>
      </c>
      <c r="AO86" s="155">
        <f t="shared" si="171"/>
        <v>5.3196500192689226E-2</v>
      </c>
      <c r="AP86" s="609">
        <f t="shared" si="171"/>
        <v>5.3322577415968894E-2</v>
      </c>
      <c r="AQ86" s="155">
        <f t="shared" si="171"/>
        <v>5.2044328843793189E-2</v>
      </c>
      <c r="AR86" s="155">
        <f t="shared" si="171"/>
        <v>4.7938955823293161E-2</v>
      </c>
      <c r="AS86" s="155">
        <f t="shared" si="171"/>
        <v>5.0401036282988997E-2</v>
      </c>
      <c r="AT86" s="155">
        <f t="shared" si="171"/>
        <v>5.2063516840157524E-2</v>
      </c>
      <c r="AU86" s="609">
        <f t="shared" si="171"/>
        <v>5.0585014674721311E-2</v>
      </c>
      <c r="AV86" s="155">
        <f t="shared" si="171"/>
        <v>5.4472838602868036E-2</v>
      </c>
      <c r="AW86" s="155">
        <f t="shared" si="171"/>
        <v>5.5656883449869021E-2</v>
      </c>
      <c r="AX86" s="155">
        <f t="shared" si="171"/>
        <v>6.5817660029578506E-2</v>
      </c>
      <c r="AY86" s="155">
        <f t="shared" si="171"/>
        <v>5.8487423775042513E-2</v>
      </c>
      <c r="AZ86" s="609">
        <f t="shared" si="171"/>
        <v>5.8668885005376863E-2</v>
      </c>
      <c r="BA86" s="155">
        <f t="shared" si="171"/>
        <v>8.5797958950421471E-2</v>
      </c>
      <c r="BB86" s="155">
        <f t="shared" si="171"/>
        <v>5.9517697441841169E-2</v>
      </c>
      <c r="BC86" s="155">
        <f t="shared" si="171"/>
        <v>6.9173615240199826E-2</v>
      </c>
      <c r="BD86" s="155">
        <f t="shared" si="171"/>
        <v>8.0212017116668505E-2</v>
      </c>
      <c r="BE86" s="609">
        <f t="shared" si="171"/>
        <v>7.3313658020222869E-2</v>
      </c>
      <c r="BF86" s="155">
        <f t="shared" si="171"/>
        <v>8.0315981009029119E-2</v>
      </c>
      <c r="BG86" s="155">
        <f t="shared" ref="BG86:CN86" si="172">BG29/BG17</f>
        <v>7.5454647926071816E-2</v>
      </c>
      <c r="BH86" s="155">
        <f t="shared" si="172"/>
        <v>7.0780055767050612E-2</v>
      </c>
      <c r="BI86" s="155">
        <f t="shared" si="172"/>
        <v>8.2802903072212233E-2</v>
      </c>
      <c r="BJ86" s="609">
        <f t="shared" si="172"/>
        <v>7.7313940603051939E-2</v>
      </c>
      <c r="BK86" s="155">
        <f t="shared" si="172"/>
        <v>7.8679590675765715E-2</v>
      </c>
      <c r="BL86" s="155">
        <f t="shared" si="172"/>
        <v>8.0351926526043144E-2</v>
      </c>
      <c r="BM86" s="155">
        <f t="shared" si="172"/>
        <v>7.8385120171147307E-2</v>
      </c>
      <c r="BN86" s="155">
        <f t="shared" si="172"/>
        <v>7.2682049680746819E-2</v>
      </c>
      <c r="BO86" s="609">
        <f t="shared" si="172"/>
        <v>7.7555062110456249E-2</v>
      </c>
      <c r="BP86" s="155">
        <f t="shared" si="172"/>
        <v>8.5390998107115604E-2</v>
      </c>
      <c r="BQ86" s="155">
        <f t="shared" si="172"/>
        <v>8.0343751796361801E-2</v>
      </c>
      <c r="BR86" s="155">
        <f t="shared" si="172"/>
        <v>8.0662175972220709E-2</v>
      </c>
      <c r="BS86" s="155">
        <f t="shared" si="172"/>
        <v>9.7605364293758323E-2</v>
      </c>
      <c r="BT86" s="609">
        <f t="shared" si="172"/>
        <v>8.548311362961869E-2</v>
      </c>
      <c r="BU86" s="155">
        <f t="shared" ref="BU86" si="173">BU29/BU17</f>
        <v>0.10204010230250614</v>
      </c>
      <c r="BV86" s="155">
        <f t="shared" si="172"/>
        <v>9.7736169468880127E-2</v>
      </c>
      <c r="BW86" s="155">
        <f t="shared" ref="BW86" si="174">BW29/BW17</f>
        <v>0.10135064935064936</v>
      </c>
      <c r="BX86" s="155">
        <f t="shared" ref="BX86" si="175">BX29/BX17</f>
        <v>0.10993477705523416</v>
      </c>
      <c r="BY86" s="609">
        <f t="shared" si="172"/>
        <v>0.10273539833497493</v>
      </c>
      <c r="BZ86" s="155">
        <f t="shared" si="172"/>
        <v>0.10286003595581783</v>
      </c>
      <c r="CA86" s="155">
        <f t="shared" si="172"/>
        <v>0.10067046225089758</v>
      </c>
      <c r="CB86" s="155">
        <f t="shared" si="172"/>
        <v>0.10084152262207627</v>
      </c>
      <c r="CC86" s="155">
        <f t="shared" si="172"/>
        <v>9.8998484197815595E-2</v>
      </c>
      <c r="CD86" s="609">
        <f t="shared" si="172"/>
        <v>0.10080798323781306</v>
      </c>
      <c r="CE86" s="155">
        <f t="shared" si="172"/>
        <v>9.909372863345238E-2</v>
      </c>
      <c r="CF86" s="155">
        <f t="shared" si="172"/>
        <v>9.777226499485081E-2</v>
      </c>
      <c r="CG86" s="155">
        <f t="shared" si="172"/>
        <v>9.7680452661341441E-2</v>
      </c>
      <c r="CH86" s="155">
        <f t="shared" si="172"/>
        <v>9.5238956712817763E-2</v>
      </c>
      <c r="CI86" s="609">
        <f t="shared" si="172"/>
        <v>9.7420183602069013E-2</v>
      </c>
      <c r="CJ86" s="155">
        <f t="shared" si="172"/>
        <v>9.4620834343534341E-2</v>
      </c>
      <c r="CK86" s="155">
        <f t="shared" si="172"/>
        <v>9.4108916733940395E-2</v>
      </c>
      <c r="CL86" s="155">
        <f t="shared" si="172"/>
        <v>9.3713491925348918E-2</v>
      </c>
      <c r="CM86" s="155">
        <f t="shared" si="172"/>
        <v>9.0715306969444701E-2</v>
      </c>
      <c r="CN86" s="609">
        <f t="shared" si="172"/>
        <v>9.32674195807187E-2</v>
      </c>
      <c r="CO86" s="68"/>
      <c r="CP86" s="593"/>
      <c r="CQ86" s="593"/>
      <c r="CR86" s="601" t="s">
        <v>17</v>
      </c>
      <c r="CS86" s="155">
        <f t="shared" ref="CS86:CS97" si="176">BX86</f>
        <v>0.10993477705523416</v>
      </c>
      <c r="CT86" s="162">
        <v>9.5877415397291832E-2</v>
      </c>
      <c r="CU86" s="161">
        <f t="shared" si="21"/>
        <v>1.405736165794233E-2</v>
      </c>
      <c r="CV86" s="155">
        <f t="shared" ref="CV86:CV97" si="177">BS86</f>
        <v>9.7605364293758323E-2</v>
      </c>
      <c r="CW86" s="161">
        <f t="shared" si="130"/>
        <v>1.2329412761475839E-2</v>
      </c>
      <c r="CX86" s="593"/>
      <c r="CY86" s="593"/>
      <c r="CZ86" s="593"/>
      <c r="DA86" s="593"/>
      <c r="DB86"/>
      <c r="DC86"/>
      <c r="DD86"/>
      <c r="DE86"/>
      <c r="DF86"/>
      <c r="DG86"/>
      <c r="DH86" s="593"/>
      <c r="DI86" s="593"/>
      <c r="DJ86" s="593"/>
      <c r="DK86" s="593"/>
      <c r="DL86" s="593"/>
      <c r="DM86" s="593"/>
      <c r="DN86" s="593"/>
      <c r="DO86" s="593"/>
      <c r="DP86" s="593"/>
      <c r="DQ86" s="593"/>
      <c r="DR86" s="593"/>
      <c r="DS86" s="593"/>
      <c r="DT86" s="593"/>
      <c r="DU86" s="593"/>
      <c r="DV86" s="593"/>
      <c r="DW86" s="593"/>
      <c r="DX86" s="593"/>
      <c r="DY86" s="593"/>
      <c r="DZ86" s="593"/>
      <c r="EA86" s="593"/>
      <c r="EB86" s="593"/>
      <c r="EC86" s="593"/>
      <c r="ED86" s="593"/>
      <c r="EE86" s="593"/>
      <c r="EF86" s="593"/>
      <c r="EG86" s="593"/>
      <c r="EH86" s="593"/>
      <c r="EI86" s="593"/>
      <c r="EJ86" s="593"/>
      <c r="EK86" s="593"/>
      <c r="EL86" s="593"/>
      <c r="EM86" s="593"/>
      <c r="EN86" s="593"/>
      <c r="EO86" s="593"/>
      <c r="EP86" s="593"/>
      <c r="EQ86" s="593"/>
      <c r="ER86" s="593"/>
      <c r="ES86" s="593"/>
      <c r="ET86" s="593"/>
      <c r="EU86" s="593"/>
      <c r="EV86" s="593"/>
      <c r="EW86" s="593"/>
      <c r="EX86" s="593"/>
      <c r="EY86" s="593"/>
      <c r="EZ86" s="593"/>
      <c r="FA86" s="593"/>
      <c r="FB86" s="593"/>
      <c r="FC86" s="593"/>
      <c r="FD86" s="593"/>
      <c r="FE86" s="593"/>
      <c r="FF86" s="593"/>
      <c r="FG86" s="593"/>
      <c r="FH86" s="593"/>
      <c r="FI86" s="593"/>
      <c r="FJ86" s="593"/>
      <c r="FK86" s="593"/>
      <c r="FL86" s="593"/>
      <c r="FM86" s="593"/>
      <c r="FN86" s="593"/>
      <c r="FO86" s="593"/>
      <c r="FP86" s="593"/>
      <c r="FQ86" s="593"/>
      <c r="FR86" s="593"/>
      <c r="FS86" s="593"/>
      <c r="FT86" s="593"/>
      <c r="FU86" s="593"/>
      <c r="FV86" s="593"/>
      <c r="FW86" s="593"/>
      <c r="FX86" s="593"/>
      <c r="FY86" s="593"/>
      <c r="FZ86" s="593"/>
      <c r="GA86" s="593"/>
      <c r="GB86" s="593"/>
      <c r="GC86" s="593"/>
      <c r="GD86" s="593"/>
      <c r="GE86" s="593"/>
      <c r="GF86" s="593"/>
      <c r="GG86" s="593"/>
      <c r="GH86" s="593"/>
      <c r="GI86" s="593"/>
      <c r="GJ86" s="593"/>
      <c r="GK86" s="593"/>
      <c r="GL86" s="593"/>
      <c r="GM86" s="593"/>
      <c r="GN86" s="593"/>
      <c r="GO86" s="593"/>
      <c r="GP86" s="593"/>
      <c r="GQ86" s="593"/>
      <c r="GR86" s="593"/>
      <c r="GS86" s="593"/>
      <c r="GT86" s="593"/>
      <c r="GU86" s="593"/>
      <c r="GV86" s="593"/>
      <c r="GW86" s="593"/>
      <c r="GX86" s="593"/>
      <c r="GY86" s="593"/>
      <c r="GZ86" s="593"/>
      <c r="HA86" s="593"/>
      <c r="HB86" s="593"/>
      <c r="HC86" s="593"/>
      <c r="HD86" s="593"/>
      <c r="HE86" s="593"/>
      <c r="HF86" s="593"/>
      <c r="HG86" s="593"/>
      <c r="HH86" s="593"/>
      <c r="HI86" s="593"/>
      <c r="HJ86" s="593"/>
      <c r="HK86" s="593"/>
      <c r="HL86" s="593"/>
      <c r="HM86" s="593"/>
      <c r="HN86" s="593"/>
      <c r="HO86" s="593"/>
      <c r="HP86" s="593"/>
      <c r="HQ86" s="6"/>
      <c r="HR86" s="6"/>
      <c r="HS86" s="6"/>
      <c r="HT86" s="6"/>
      <c r="HU86" s="6"/>
      <c r="HV86" s="6"/>
      <c r="HW86" s="6"/>
      <c r="HX86" s="6"/>
      <c r="HY86" s="6"/>
      <c r="HZ86" s="6"/>
      <c r="IA86" s="6"/>
      <c r="IB86" s="6"/>
      <c r="IC86" s="6"/>
      <c r="ID86" s="6"/>
      <c r="IE86" s="6"/>
      <c r="IF86" s="6"/>
      <c r="IG86" s="6"/>
      <c r="IH86" s="6"/>
      <c r="II86" s="6"/>
      <c r="IJ86" s="6"/>
      <c r="IK86" s="6"/>
      <c r="IL86" s="6"/>
      <c r="IM86" s="6"/>
      <c r="IN86" s="6"/>
      <c r="IO86" s="6"/>
      <c r="IP86" s="6"/>
      <c r="IQ86" s="6"/>
      <c r="IR86" s="6"/>
      <c r="IS86" s="6"/>
      <c r="IT86" s="6"/>
      <c r="IU86" s="6"/>
      <c r="IV86" s="6"/>
    </row>
    <row r="87" spans="1:256" s="66" customFormat="1" ht="12" hidden="1" customHeight="1" outlineLevel="1">
      <c r="A87" s="595" t="s">
        <v>414</v>
      </c>
      <c r="B87" s="161"/>
      <c r="C87" s="160"/>
      <c r="D87" s="155"/>
      <c r="E87" s="155"/>
      <c r="F87" s="55"/>
      <c r="G87" s="161"/>
      <c r="H87" s="160"/>
      <c r="I87" s="155"/>
      <c r="J87" s="155"/>
      <c r="K87" s="55"/>
      <c r="L87" s="155"/>
      <c r="M87" s="160"/>
      <c r="N87" s="159"/>
      <c r="O87" s="159"/>
      <c r="P87" s="55"/>
      <c r="Q87" s="161"/>
      <c r="R87" s="160"/>
      <c r="S87" s="155"/>
      <c r="T87" s="155"/>
      <c r="U87" s="55"/>
      <c r="V87" s="55"/>
      <c r="W87" s="155"/>
      <c r="X87" s="155"/>
      <c r="Y87" s="155"/>
      <c r="Z87" s="155"/>
      <c r="AA87" s="161">
        <f t="shared" ref="AA87:AL87" si="178">AA31/AA$17</f>
        <v>2.6089170940894905E-2</v>
      </c>
      <c r="AB87" s="155">
        <f t="shared" si="178"/>
        <v>1.2881302354986566E-3</v>
      </c>
      <c r="AC87" s="155">
        <f t="shared" si="178"/>
        <v>1.5297572700497647E-3</v>
      </c>
      <c r="AD87" s="155">
        <f t="shared" si="178"/>
        <v>7.9885273198009618E-4</v>
      </c>
      <c r="AE87" s="155">
        <f t="shared" si="178"/>
        <v>3.4589223688877685E-3</v>
      </c>
      <c r="AF87" s="161">
        <f t="shared" si="178"/>
        <v>1.7567303794237322E-3</v>
      </c>
      <c r="AG87" s="155">
        <f t="shared" si="178"/>
        <v>4.8160614085446017E-3</v>
      </c>
      <c r="AH87" s="155">
        <f t="shared" si="178"/>
        <v>3.301241279869221E-3</v>
      </c>
      <c r="AI87" s="155">
        <f t="shared" si="178"/>
        <v>1.9098315916038268E-3</v>
      </c>
      <c r="AJ87" s="155">
        <f t="shared" si="178"/>
        <v>2.358639780763045E-3</v>
      </c>
      <c r="AK87" s="609">
        <f t="shared" si="178"/>
        <v>3.0786115528919928E-3</v>
      </c>
      <c r="AL87" s="155">
        <f t="shared" si="178"/>
        <v>0</v>
      </c>
      <c r="AM87" s="155"/>
      <c r="AN87" s="155"/>
      <c r="AO87" s="155"/>
      <c r="AP87" s="609">
        <f>AP31/AP$17</f>
        <v>0</v>
      </c>
      <c r="AQ87" s="155"/>
      <c r="AR87" s="155"/>
      <c r="AS87" s="162"/>
      <c r="AT87" s="155"/>
      <c r="AU87" s="609">
        <f>AU31/AU$17</f>
        <v>0</v>
      </c>
      <c r="AV87" s="155"/>
      <c r="AW87" s="162"/>
      <c r="AX87" s="155"/>
      <c r="AY87" s="155"/>
      <c r="AZ87" s="609">
        <f>AZ31/AZ$17</f>
        <v>1.5851967405110537E-2</v>
      </c>
      <c r="BA87" s="162"/>
      <c r="BB87" s="162"/>
      <c r="BC87" s="162"/>
      <c r="BD87" s="162"/>
      <c r="BE87" s="609">
        <f>BE31/BE$17</f>
        <v>9.7918252169651512E-3</v>
      </c>
      <c r="BF87" s="155"/>
      <c r="BG87" s="155"/>
      <c r="BH87" s="155"/>
      <c r="BI87" s="155"/>
      <c r="BJ87" s="609">
        <f>BJ31/BJ$17</f>
        <v>1.4382499577898576E-2</v>
      </c>
      <c r="BK87" s="155"/>
      <c r="BL87" s="155"/>
      <c r="BM87" s="155"/>
      <c r="BN87" s="155"/>
      <c r="BO87" s="609">
        <f>BO31/BO$17</f>
        <v>1.1714716967412128E-2</v>
      </c>
      <c r="BP87" s="155"/>
      <c r="BQ87" s="162"/>
      <c r="BR87" s="155"/>
      <c r="BS87" s="162"/>
      <c r="BT87" s="609">
        <f>BT31/BT$17</f>
        <v>7.024434694284174E-3</v>
      </c>
      <c r="BU87" s="155"/>
      <c r="BV87" s="162"/>
      <c r="BW87" s="155"/>
      <c r="BX87" s="155"/>
      <c r="BY87" s="609">
        <f>BY31/BY$17</f>
        <v>1.8451780072829521E-2</v>
      </c>
      <c r="BZ87" s="162"/>
      <c r="CA87" s="162"/>
      <c r="CB87" s="162"/>
      <c r="CC87" s="162"/>
      <c r="CD87" s="609">
        <f>CD31/CD$17</f>
        <v>9.8102623246143338E-3</v>
      </c>
      <c r="CE87" s="162"/>
      <c r="CF87" s="162"/>
      <c r="CG87" s="162"/>
      <c r="CH87" s="162"/>
      <c r="CI87" s="609">
        <f>CI31/CI$17</f>
        <v>0</v>
      </c>
      <c r="CJ87" s="162"/>
      <c r="CK87" s="162"/>
      <c r="CL87" s="162"/>
      <c r="CM87" s="162"/>
      <c r="CN87" s="609">
        <f>CN31/CN$17</f>
        <v>0</v>
      </c>
      <c r="CO87" s="68"/>
      <c r="CP87" s="593"/>
      <c r="CQ87" s="593"/>
      <c r="CR87" s="595" t="s">
        <v>414</v>
      </c>
      <c r="CS87" s="155">
        <f t="shared" si="176"/>
        <v>0</v>
      </c>
      <c r="CT87" s="162">
        <v>0</v>
      </c>
      <c r="CU87" s="161">
        <f t="shared" si="21"/>
        <v>0</v>
      </c>
      <c r="CV87" s="155">
        <f t="shared" si="177"/>
        <v>0</v>
      </c>
      <c r="CW87" s="161">
        <f t="shared" si="130"/>
        <v>0</v>
      </c>
      <c r="CX87" s="593"/>
      <c r="CY87" s="593"/>
      <c r="CZ87" s="593"/>
      <c r="DA87" s="593"/>
      <c r="DB87"/>
      <c r="DC87"/>
      <c r="DD87"/>
      <c r="DE87"/>
      <c r="DF87"/>
      <c r="DG87"/>
      <c r="DH87" s="593"/>
      <c r="DI87" s="593"/>
      <c r="DJ87" s="593"/>
      <c r="DK87" s="593"/>
      <c r="DL87" s="593"/>
      <c r="DM87" s="593"/>
      <c r="DN87" s="593"/>
      <c r="DO87" s="593"/>
      <c r="DP87" s="593"/>
      <c r="DQ87" s="593"/>
      <c r="DR87" s="593"/>
      <c r="DS87" s="593"/>
      <c r="DT87" s="593"/>
      <c r="DU87" s="593"/>
      <c r="DV87" s="593"/>
      <c r="DW87" s="593"/>
      <c r="DX87" s="593"/>
      <c r="DY87" s="593"/>
      <c r="DZ87" s="593"/>
      <c r="EA87" s="593"/>
      <c r="EB87" s="593"/>
      <c r="EC87" s="593"/>
      <c r="ED87" s="593"/>
      <c r="EE87" s="593"/>
      <c r="EF87" s="593"/>
      <c r="EG87" s="593"/>
      <c r="EH87" s="593"/>
      <c r="EI87" s="593"/>
      <c r="EJ87" s="593"/>
      <c r="EK87" s="593"/>
      <c r="EL87" s="593"/>
      <c r="EM87" s="593"/>
      <c r="EN87" s="593"/>
      <c r="EO87" s="593"/>
      <c r="EP87" s="593"/>
      <c r="EQ87" s="593"/>
      <c r="ER87" s="593"/>
      <c r="ES87" s="593"/>
      <c r="ET87" s="593"/>
      <c r="EU87" s="593"/>
      <c r="EV87" s="593"/>
      <c r="EW87" s="593"/>
      <c r="EX87" s="593"/>
      <c r="EY87" s="593"/>
      <c r="EZ87" s="593"/>
      <c r="FA87" s="593"/>
      <c r="FB87" s="593"/>
      <c r="FC87" s="593"/>
      <c r="FD87" s="593"/>
      <c r="FE87" s="593"/>
      <c r="FF87" s="593"/>
      <c r="FG87" s="593"/>
      <c r="FH87" s="593"/>
      <c r="FI87" s="593"/>
      <c r="FJ87" s="593"/>
      <c r="FK87" s="593"/>
      <c r="FL87" s="593"/>
      <c r="FM87" s="593"/>
      <c r="FN87" s="593"/>
      <c r="FO87" s="593"/>
      <c r="FP87" s="593"/>
      <c r="FQ87" s="593"/>
      <c r="FR87" s="593"/>
      <c r="FS87" s="593"/>
      <c r="FT87" s="593"/>
      <c r="FU87" s="593"/>
      <c r="FV87" s="593"/>
      <c r="FW87" s="593"/>
      <c r="FX87" s="593"/>
      <c r="FY87" s="593"/>
      <c r="FZ87" s="593"/>
      <c r="GA87" s="593"/>
      <c r="GB87" s="593"/>
      <c r="GC87" s="593"/>
      <c r="GD87" s="593"/>
      <c r="GE87" s="593"/>
      <c r="GF87" s="593"/>
      <c r="GG87" s="593"/>
      <c r="GH87" s="593"/>
      <c r="GI87" s="593"/>
      <c r="GJ87" s="593"/>
      <c r="GK87" s="593"/>
      <c r="GL87" s="593"/>
      <c r="GM87" s="593"/>
      <c r="GN87" s="593"/>
      <c r="GO87" s="593"/>
      <c r="GP87" s="593"/>
      <c r="GQ87" s="593"/>
      <c r="GR87" s="593"/>
      <c r="GS87" s="593"/>
      <c r="GT87" s="593"/>
      <c r="GU87" s="593"/>
      <c r="GV87" s="593"/>
      <c r="GW87" s="593"/>
      <c r="GX87" s="593"/>
      <c r="GY87" s="593"/>
      <c r="GZ87" s="593"/>
      <c r="HA87" s="593"/>
      <c r="HB87" s="593"/>
      <c r="HC87" s="593"/>
      <c r="HD87" s="593"/>
      <c r="HE87" s="593"/>
      <c r="HF87" s="593"/>
      <c r="HG87" s="593"/>
      <c r="HH87" s="593"/>
      <c r="HI87" s="593"/>
      <c r="HJ87" s="593"/>
      <c r="HK87" s="593"/>
      <c r="HL87" s="593"/>
      <c r="HM87" s="593"/>
      <c r="HN87" s="593"/>
      <c r="HO87" s="593"/>
      <c r="HP87" s="593"/>
      <c r="HQ87" s="6"/>
      <c r="HR87" s="6"/>
      <c r="HS87" s="6"/>
      <c r="HT87" s="6"/>
      <c r="HU87" s="6"/>
      <c r="HV87" s="6"/>
      <c r="HW87" s="6"/>
      <c r="HX87" s="6"/>
      <c r="HY87" s="6"/>
      <c r="HZ87" s="6"/>
      <c r="IA87" s="6"/>
      <c r="IB87" s="6"/>
      <c r="IC87" s="6"/>
      <c r="ID87" s="6"/>
      <c r="IE87" s="6"/>
      <c r="IF87" s="6"/>
      <c r="IG87" s="6"/>
      <c r="IH87" s="6"/>
      <c r="II87" s="6"/>
      <c r="IJ87" s="6"/>
      <c r="IK87" s="6"/>
      <c r="IL87" s="6"/>
      <c r="IM87" s="6"/>
      <c r="IN87" s="6"/>
      <c r="IO87" s="6"/>
      <c r="IP87" s="6"/>
      <c r="IQ87" s="6"/>
      <c r="IR87" s="6"/>
      <c r="IS87" s="6"/>
      <c r="IT87" s="6"/>
      <c r="IU87" s="6"/>
      <c r="IV87" s="6"/>
    </row>
    <row r="88" spans="1:256" s="66" customFormat="1" ht="12" hidden="1" customHeight="1" outlineLevel="1">
      <c r="A88" s="595" t="s">
        <v>415</v>
      </c>
      <c r="B88" s="161"/>
      <c r="C88" s="160"/>
      <c r="D88" s="155"/>
      <c r="E88" s="155"/>
      <c r="F88" s="55"/>
      <c r="G88" s="161"/>
      <c r="H88" s="160"/>
      <c r="I88" s="155"/>
      <c r="J88" s="155"/>
      <c r="K88" s="55"/>
      <c r="L88" s="155"/>
      <c r="M88" s="160"/>
      <c r="N88" s="159"/>
      <c r="O88" s="159"/>
      <c r="P88" s="55"/>
      <c r="Q88" s="161"/>
      <c r="R88" s="160"/>
      <c r="S88" s="155"/>
      <c r="T88" s="155"/>
      <c r="U88" s="55"/>
      <c r="V88" s="55"/>
      <c r="W88" s="155"/>
      <c r="X88" s="155"/>
      <c r="Y88" s="155"/>
      <c r="Z88" s="155"/>
      <c r="AA88" s="161">
        <f t="shared" ref="AA88:AL88" si="179">AA35/AA$17</f>
        <v>6.7625595972836839E-3</v>
      </c>
      <c r="AB88" s="155">
        <f t="shared" si="179"/>
        <v>7.5154101469890947E-3</v>
      </c>
      <c r="AC88" s="155">
        <f t="shared" si="179"/>
        <v>9.0621720437387872E-3</v>
      </c>
      <c r="AD88" s="155">
        <f t="shared" si="179"/>
        <v>7.3798165098370103E-2</v>
      </c>
      <c r="AE88" s="155">
        <f t="shared" si="179"/>
        <v>0</v>
      </c>
      <c r="AF88" s="161">
        <f t="shared" si="179"/>
        <v>2.2994740728708683E-2</v>
      </c>
      <c r="AG88" s="155">
        <f t="shared" si="179"/>
        <v>0</v>
      </c>
      <c r="AH88" s="155">
        <f t="shared" si="179"/>
        <v>0</v>
      </c>
      <c r="AI88" s="155">
        <f t="shared" si="179"/>
        <v>0</v>
      </c>
      <c r="AJ88" s="155">
        <f t="shared" si="179"/>
        <v>0</v>
      </c>
      <c r="AK88" s="609">
        <f t="shared" si="179"/>
        <v>0</v>
      </c>
      <c r="AL88" s="155">
        <f t="shared" si="179"/>
        <v>0</v>
      </c>
      <c r="AM88" s="155"/>
      <c r="AN88" s="155"/>
      <c r="AO88" s="155"/>
      <c r="AP88" s="609">
        <f>AP35/AP$17</f>
        <v>0</v>
      </c>
      <c r="AQ88" s="155"/>
      <c r="AR88" s="155"/>
      <c r="AS88" s="162"/>
      <c r="AT88" s="155"/>
      <c r="AU88" s="609">
        <f>AU35/AU$17</f>
        <v>1.8025476763927826E-2</v>
      </c>
      <c r="AV88" s="155"/>
      <c r="AW88" s="162"/>
      <c r="AX88" s="155"/>
      <c r="AY88" s="155"/>
      <c r="AZ88" s="609">
        <f>AZ35/AZ$17</f>
        <v>5.2650949353698622E-4</v>
      </c>
      <c r="BA88" s="162"/>
      <c r="BB88" s="162"/>
      <c r="BC88" s="162"/>
      <c r="BD88" s="162"/>
      <c r="BE88" s="609">
        <f>BE35/BE$17</f>
        <v>0</v>
      </c>
      <c r="BF88" s="155"/>
      <c r="BG88" s="155"/>
      <c r="BH88" s="155"/>
      <c r="BI88" s="155"/>
      <c r="BJ88" s="609">
        <f>BJ35/BJ$17</f>
        <v>0</v>
      </c>
      <c r="BK88" s="155"/>
      <c r="BL88" s="155"/>
      <c r="BM88" s="155"/>
      <c r="BN88" s="155"/>
      <c r="BO88" s="609">
        <f>BO35/BO$17</f>
        <v>0</v>
      </c>
      <c r="BP88" s="155"/>
      <c r="BQ88" s="162"/>
      <c r="BR88" s="155"/>
      <c r="BS88" s="162"/>
      <c r="BT88" s="609">
        <f>BT35/BT$17</f>
        <v>0</v>
      </c>
      <c r="BU88" s="155"/>
      <c r="BV88" s="162"/>
      <c r="BW88" s="155"/>
      <c r="BX88" s="155"/>
      <c r="BY88" s="609">
        <f>BY35/BY$17</f>
        <v>0</v>
      </c>
      <c r="BZ88" s="162"/>
      <c r="CA88" s="162"/>
      <c r="CB88" s="162"/>
      <c r="CC88" s="162"/>
      <c r="CD88" s="609">
        <f>CD35/CD$17</f>
        <v>0</v>
      </c>
      <c r="CE88" s="162"/>
      <c r="CF88" s="162"/>
      <c r="CG88" s="162"/>
      <c r="CH88" s="162"/>
      <c r="CI88" s="609">
        <f>CI35/CI$17</f>
        <v>0</v>
      </c>
      <c r="CJ88" s="162"/>
      <c r="CK88" s="162"/>
      <c r="CL88" s="162"/>
      <c r="CM88" s="162"/>
      <c r="CN88" s="609">
        <f>CN35/CN$17</f>
        <v>0</v>
      </c>
      <c r="CO88" s="68"/>
      <c r="CP88" s="593"/>
      <c r="CQ88" s="593"/>
      <c r="CR88" s="595" t="s">
        <v>415</v>
      </c>
      <c r="CS88" s="155">
        <f t="shared" si="176"/>
        <v>0</v>
      </c>
      <c r="CT88" s="162">
        <v>0</v>
      </c>
      <c r="CU88" s="161">
        <f t="shared" si="21"/>
        <v>0</v>
      </c>
      <c r="CV88" s="155">
        <f t="shared" si="177"/>
        <v>0</v>
      </c>
      <c r="CW88" s="161">
        <f t="shared" si="130"/>
        <v>0</v>
      </c>
      <c r="CX88" s="593"/>
      <c r="CY88" s="593"/>
      <c r="CZ88" s="593"/>
      <c r="DA88" s="593"/>
      <c r="DB88"/>
      <c r="DC88"/>
      <c r="DD88"/>
      <c r="DE88"/>
      <c r="DF88"/>
      <c r="DG88"/>
      <c r="DH88" s="593"/>
      <c r="DI88" s="593"/>
      <c r="DJ88" s="593"/>
      <c r="DK88" s="593"/>
      <c r="DL88" s="593"/>
      <c r="DM88" s="593"/>
      <c r="DN88" s="593"/>
      <c r="DO88" s="593"/>
      <c r="DP88" s="593"/>
      <c r="DQ88" s="593"/>
      <c r="DR88" s="593"/>
      <c r="DS88" s="593"/>
      <c r="DT88" s="593"/>
      <c r="DU88" s="593"/>
      <c r="DV88" s="593"/>
      <c r="DW88" s="593"/>
      <c r="DX88" s="593"/>
      <c r="DY88" s="593"/>
      <c r="DZ88" s="593"/>
      <c r="EA88" s="593"/>
      <c r="EB88" s="593"/>
      <c r="EC88" s="593"/>
      <c r="ED88" s="593"/>
      <c r="EE88" s="593"/>
      <c r="EF88" s="593"/>
      <c r="EG88" s="593"/>
      <c r="EH88" s="593"/>
      <c r="EI88" s="593"/>
      <c r="EJ88" s="593"/>
      <c r="EK88" s="593"/>
      <c r="EL88" s="593"/>
      <c r="EM88" s="593"/>
      <c r="EN88" s="593"/>
      <c r="EO88" s="593"/>
      <c r="EP88" s="593"/>
      <c r="EQ88" s="593"/>
      <c r="ER88" s="593"/>
      <c r="ES88" s="593"/>
      <c r="ET88" s="593"/>
      <c r="EU88" s="593"/>
      <c r="EV88" s="593"/>
      <c r="EW88" s="593"/>
      <c r="EX88" s="593"/>
      <c r="EY88" s="593"/>
      <c r="EZ88" s="593"/>
      <c r="FA88" s="593"/>
      <c r="FB88" s="593"/>
      <c r="FC88" s="593"/>
      <c r="FD88" s="593"/>
      <c r="FE88" s="593"/>
      <c r="FF88" s="593"/>
      <c r="FG88" s="593"/>
      <c r="FH88" s="593"/>
      <c r="FI88" s="593"/>
      <c r="FJ88" s="593"/>
      <c r="FK88" s="593"/>
      <c r="FL88" s="593"/>
      <c r="FM88" s="593"/>
      <c r="FN88" s="593"/>
      <c r="FO88" s="593"/>
      <c r="FP88" s="593"/>
      <c r="FQ88" s="593"/>
      <c r="FR88" s="593"/>
      <c r="FS88" s="593"/>
      <c r="FT88" s="593"/>
      <c r="FU88" s="593"/>
      <c r="FV88" s="593"/>
      <c r="FW88" s="593"/>
      <c r="FX88" s="593"/>
      <c r="FY88" s="593"/>
      <c r="FZ88" s="593"/>
      <c r="GA88" s="593"/>
      <c r="GB88" s="593"/>
      <c r="GC88" s="593"/>
      <c r="GD88" s="593"/>
      <c r="GE88" s="593"/>
      <c r="GF88" s="593"/>
      <c r="GG88" s="593"/>
      <c r="GH88" s="593"/>
      <c r="GI88" s="593"/>
      <c r="GJ88" s="593"/>
      <c r="GK88" s="593"/>
      <c r="GL88" s="593"/>
      <c r="GM88" s="593"/>
      <c r="GN88" s="593"/>
      <c r="GO88" s="593"/>
      <c r="GP88" s="593"/>
      <c r="GQ88" s="593"/>
      <c r="GR88" s="593"/>
      <c r="GS88" s="593"/>
      <c r="GT88" s="593"/>
      <c r="GU88" s="593"/>
      <c r="GV88" s="593"/>
      <c r="GW88" s="593"/>
      <c r="GX88" s="593"/>
      <c r="GY88" s="593"/>
      <c r="GZ88" s="593"/>
      <c r="HA88" s="593"/>
      <c r="HB88" s="593"/>
      <c r="HC88" s="593"/>
      <c r="HD88" s="593"/>
      <c r="HE88" s="593"/>
      <c r="HF88" s="593"/>
      <c r="HG88" s="593"/>
      <c r="HH88" s="593"/>
      <c r="HI88" s="593"/>
      <c r="HJ88" s="593"/>
      <c r="HK88" s="593"/>
      <c r="HL88" s="593"/>
      <c r="HM88" s="593"/>
      <c r="HN88" s="593"/>
      <c r="HO88" s="593"/>
      <c r="HP88" s="593"/>
      <c r="HQ88" s="6"/>
      <c r="HR88" s="6"/>
      <c r="HS88" s="6"/>
      <c r="HT88" s="6"/>
      <c r="HU88" s="6"/>
      <c r="HV88" s="6"/>
      <c r="HW88" s="6"/>
      <c r="HX88" s="6"/>
      <c r="HY88" s="6"/>
      <c r="HZ88" s="6"/>
      <c r="IA88" s="6"/>
      <c r="IB88" s="6"/>
      <c r="IC88" s="6"/>
      <c r="ID88" s="6"/>
      <c r="IE88" s="6"/>
      <c r="IF88" s="6"/>
      <c r="IG88" s="6"/>
      <c r="IH88" s="6"/>
      <c r="II88" s="6"/>
      <c r="IJ88" s="6"/>
      <c r="IK88" s="6"/>
      <c r="IL88" s="6"/>
      <c r="IM88" s="6"/>
      <c r="IN88" s="6"/>
      <c r="IO88" s="6"/>
      <c r="IP88" s="6"/>
      <c r="IQ88" s="6"/>
      <c r="IR88" s="6"/>
      <c r="IS88" s="6"/>
      <c r="IT88" s="6"/>
      <c r="IU88" s="6"/>
      <c r="IV88" s="6"/>
    </row>
    <row r="89" spans="1:256" s="66" customFormat="1" ht="12" hidden="1" customHeight="1" outlineLevel="1">
      <c r="A89" s="595" t="s">
        <v>416</v>
      </c>
      <c r="B89" s="161"/>
      <c r="C89" s="160"/>
      <c r="D89" s="155"/>
      <c r="E89" s="155"/>
      <c r="F89" s="55"/>
      <c r="G89" s="161"/>
      <c r="H89" s="160"/>
      <c r="I89" s="155"/>
      <c r="J89" s="155"/>
      <c r="K89" s="55"/>
      <c r="L89" s="155"/>
      <c r="M89" s="160"/>
      <c r="N89" s="159"/>
      <c r="O89" s="159"/>
      <c r="P89" s="55"/>
      <c r="Q89" s="161"/>
      <c r="R89" s="160"/>
      <c r="S89" s="155"/>
      <c r="T89" s="155"/>
      <c r="U89" s="55"/>
      <c r="V89" s="55"/>
      <c r="W89" s="155"/>
      <c r="X89" s="155"/>
      <c r="Y89" s="155"/>
      <c r="Z89" s="155"/>
      <c r="AA89" s="161">
        <f t="shared" ref="AA89:AL89" si="180">AA36/AA$17</f>
        <v>7.2093764656895368E-5</v>
      </c>
      <c r="AB89" s="155">
        <f t="shared" si="180"/>
        <v>0</v>
      </c>
      <c r="AC89" s="155">
        <f t="shared" si="180"/>
        <v>0</v>
      </c>
      <c r="AD89" s="155">
        <f t="shared" si="180"/>
        <v>0</v>
      </c>
      <c r="AE89" s="155">
        <f t="shared" si="180"/>
        <v>0</v>
      </c>
      <c r="AF89" s="161">
        <f t="shared" si="180"/>
        <v>0</v>
      </c>
      <c r="AG89" s="155">
        <f t="shared" si="180"/>
        <v>0</v>
      </c>
      <c r="AH89" s="155">
        <f t="shared" si="180"/>
        <v>0</v>
      </c>
      <c r="AI89" s="155">
        <f t="shared" si="180"/>
        <v>0</v>
      </c>
      <c r="AJ89" s="155">
        <f t="shared" si="180"/>
        <v>0</v>
      </c>
      <c r="AK89" s="609">
        <f t="shared" si="180"/>
        <v>0</v>
      </c>
      <c r="AL89" s="155">
        <f t="shared" si="180"/>
        <v>0</v>
      </c>
      <c r="AM89" s="155"/>
      <c r="AN89" s="155"/>
      <c r="AO89" s="155"/>
      <c r="AP89" s="609">
        <f>AP36/AP$17</f>
        <v>0</v>
      </c>
      <c r="AQ89" s="155"/>
      <c r="AR89" s="155"/>
      <c r="AS89" s="162"/>
      <c r="AT89" s="155"/>
      <c r="AU89" s="609">
        <f>AU36/AU$17</f>
        <v>0</v>
      </c>
      <c r="AV89" s="155"/>
      <c r="AW89" s="162"/>
      <c r="AX89" s="155"/>
      <c r="AY89" s="155"/>
      <c r="AZ89" s="609">
        <f>AZ36/AZ$17</f>
        <v>0</v>
      </c>
      <c r="BA89" s="162"/>
      <c r="BB89" s="162"/>
      <c r="BC89" s="162"/>
      <c r="BD89" s="162"/>
      <c r="BE89" s="609">
        <f>BE36/BE$17</f>
        <v>0</v>
      </c>
      <c r="BF89" s="155"/>
      <c r="BG89" s="155"/>
      <c r="BH89" s="155"/>
      <c r="BI89" s="155"/>
      <c r="BJ89" s="609">
        <f>BJ36/BJ$17</f>
        <v>0</v>
      </c>
      <c r="BK89" s="155"/>
      <c r="BL89" s="155"/>
      <c r="BM89" s="155"/>
      <c r="BN89" s="155"/>
      <c r="BO89" s="609">
        <f>BO36/BO$17</f>
        <v>0</v>
      </c>
      <c r="BP89" s="155"/>
      <c r="BQ89" s="162"/>
      <c r="BR89" s="155"/>
      <c r="BS89" s="162"/>
      <c r="BT89" s="609">
        <f>BT36/BT$17</f>
        <v>0</v>
      </c>
      <c r="BU89" s="155"/>
      <c r="BV89" s="162"/>
      <c r="BW89" s="155"/>
      <c r="BX89" s="155"/>
      <c r="BY89" s="609">
        <f>BY36/BY$17</f>
        <v>0</v>
      </c>
      <c r="BZ89" s="162"/>
      <c r="CA89" s="162"/>
      <c r="CB89" s="162"/>
      <c r="CC89" s="162"/>
      <c r="CD89" s="609">
        <f>CD36/CD$17</f>
        <v>0</v>
      </c>
      <c r="CE89" s="162"/>
      <c r="CF89" s="162"/>
      <c r="CG89" s="162"/>
      <c r="CH89" s="162"/>
      <c r="CI89" s="609">
        <f>CI36/CI$17</f>
        <v>0</v>
      </c>
      <c r="CJ89" s="162"/>
      <c r="CK89" s="162"/>
      <c r="CL89" s="162"/>
      <c r="CM89" s="162"/>
      <c r="CN89" s="609">
        <f>CN36/CN$17</f>
        <v>0</v>
      </c>
      <c r="CO89" s="68"/>
      <c r="CP89" s="593"/>
      <c r="CQ89" s="593"/>
      <c r="CR89" s="595" t="s">
        <v>416</v>
      </c>
      <c r="CS89" s="155">
        <f t="shared" si="176"/>
        <v>0</v>
      </c>
      <c r="CT89" s="162">
        <v>0</v>
      </c>
      <c r="CU89" s="161">
        <f t="shared" si="21"/>
        <v>0</v>
      </c>
      <c r="CV89" s="155">
        <f t="shared" si="177"/>
        <v>0</v>
      </c>
      <c r="CW89" s="161">
        <f t="shared" si="130"/>
        <v>0</v>
      </c>
      <c r="CX89" s="593"/>
      <c r="CY89" s="593"/>
      <c r="CZ89" s="593"/>
      <c r="DA89" s="593"/>
      <c r="DB89"/>
      <c r="DC89"/>
      <c r="DD89"/>
      <c r="DE89"/>
      <c r="DF89"/>
      <c r="DG89"/>
      <c r="DH89" s="593"/>
      <c r="DI89" s="593"/>
      <c r="DJ89" s="593"/>
      <c r="DK89" s="593"/>
      <c r="DL89" s="593"/>
      <c r="DM89" s="593"/>
      <c r="DN89" s="593"/>
      <c r="DO89" s="593"/>
      <c r="DP89" s="593"/>
      <c r="DQ89" s="593"/>
      <c r="DR89" s="593"/>
      <c r="DS89" s="593"/>
      <c r="DT89" s="593"/>
      <c r="DU89" s="593"/>
      <c r="DV89" s="593"/>
      <c r="DW89" s="593"/>
      <c r="DX89" s="593"/>
      <c r="DY89" s="593"/>
      <c r="DZ89" s="593"/>
      <c r="EA89" s="593"/>
      <c r="EB89" s="593"/>
      <c r="EC89" s="593"/>
      <c r="ED89" s="593"/>
      <c r="EE89" s="593"/>
      <c r="EF89" s="593"/>
      <c r="EG89" s="593"/>
      <c r="EH89" s="593"/>
      <c r="EI89" s="593"/>
      <c r="EJ89" s="593"/>
      <c r="EK89" s="593"/>
      <c r="EL89" s="593"/>
      <c r="EM89" s="593"/>
      <c r="EN89" s="593"/>
      <c r="EO89" s="593"/>
      <c r="EP89" s="593"/>
      <c r="EQ89" s="593"/>
      <c r="ER89" s="593"/>
      <c r="ES89" s="593"/>
      <c r="ET89" s="593"/>
      <c r="EU89" s="593"/>
      <c r="EV89" s="593"/>
      <c r="EW89" s="593"/>
      <c r="EX89" s="593"/>
      <c r="EY89" s="593"/>
      <c r="EZ89" s="593"/>
      <c r="FA89" s="593"/>
      <c r="FB89" s="593"/>
      <c r="FC89" s="593"/>
      <c r="FD89" s="593"/>
      <c r="FE89" s="593"/>
      <c r="FF89" s="593"/>
      <c r="FG89" s="593"/>
      <c r="FH89" s="593"/>
      <c r="FI89" s="593"/>
      <c r="FJ89" s="593"/>
      <c r="FK89" s="593"/>
      <c r="FL89" s="593"/>
      <c r="FM89" s="593"/>
      <c r="FN89" s="593"/>
      <c r="FO89" s="593"/>
      <c r="FP89" s="593"/>
      <c r="FQ89" s="593"/>
      <c r="FR89" s="593"/>
      <c r="FS89" s="593"/>
      <c r="FT89" s="593"/>
      <c r="FU89" s="593"/>
      <c r="FV89" s="593"/>
      <c r="FW89" s="593"/>
      <c r="FX89" s="593"/>
      <c r="FY89" s="593"/>
      <c r="FZ89" s="593"/>
      <c r="GA89" s="593"/>
      <c r="GB89" s="593"/>
      <c r="GC89" s="593"/>
      <c r="GD89" s="593"/>
      <c r="GE89" s="593"/>
      <c r="GF89" s="593"/>
      <c r="GG89" s="593"/>
      <c r="GH89" s="593"/>
      <c r="GI89" s="593"/>
      <c r="GJ89" s="593"/>
      <c r="GK89" s="593"/>
      <c r="GL89" s="593"/>
      <c r="GM89" s="593"/>
      <c r="GN89" s="593"/>
      <c r="GO89" s="593"/>
      <c r="GP89" s="593"/>
      <c r="GQ89" s="593"/>
      <c r="GR89" s="593"/>
      <c r="GS89" s="593"/>
      <c r="GT89" s="593"/>
      <c r="GU89" s="593"/>
      <c r="GV89" s="593"/>
      <c r="GW89" s="593"/>
      <c r="GX89" s="593"/>
      <c r="GY89" s="593"/>
      <c r="GZ89" s="593"/>
      <c r="HA89" s="593"/>
      <c r="HB89" s="593"/>
      <c r="HC89" s="593"/>
      <c r="HD89" s="593"/>
      <c r="HE89" s="593"/>
      <c r="HF89" s="593"/>
      <c r="HG89" s="593"/>
      <c r="HH89" s="593"/>
      <c r="HI89" s="593"/>
      <c r="HJ89" s="593"/>
      <c r="HK89" s="593"/>
      <c r="HL89" s="593"/>
      <c r="HM89" s="593"/>
      <c r="HN89" s="593"/>
      <c r="HO89" s="593"/>
      <c r="HP89" s="593"/>
      <c r="HQ89" s="6"/>
      <c r="HR89" s="6"/>
      <c r="HS89" s="6"/>
      <c r="HT89" s="6"/>
      <c r="HU89" s="6"/>
      <c r="HV89" s="6"/>
      <c r="HW89" s="6"/>
      <c r="HX89" s="6"/>
      <c r="HY89" s="6"/>
      <c r="HZ89" s="6"/>
      <c r="IA89" s="6"/>
      <c r="IB89" s="6"/>
      <c r="IC89" s="6"/>
      <c r="ID89" s="6"/>
      <c r="IE89" s="6"/>
      <c r="IF89" s="6"/>
      <c r="IG89" s="6"/>
      <c r="IH89" s="6"/>
      <c r="II89" s="6"/>
      <c r="IJ89" s="6"/>
      <c r="IK89" s="6"/>
      <c r="IL89" s="6"/>
      <c r="IM89" s="6"/>
      <c r="IN89" s="6"/>
      <c r="IO89" s="6"/>
      <c r="IP89" s="6"/>
      <c r="IQ89" s="6"/>
      <c r="IR89" s="6"/>
      <c r="IS89" s="6"/>
      <c r="IT89" s="6"/>
      <c r="IU89" s="6"/>
      <c r="IV89" s="6"/>
    </row>
    <row r="90" spans="1:256" s="117" customFormat="1" ht="12" customHeight="1" collapsed="1">
      <c r="A90" s="624" t="s">
        <v>18</v>
      </c>
      <c r="B90" s="161"/>
      <c r="C90" s="160"/>
      <c r="D90" s="155"/>
      <c r="E90" s="155"/>
      <c r="F90" s="55"/>
      <c r="G90" s="161"/>
      <c r="H90" s="160"/>
      <c r="I90" s="155"/>
      <c r="J90" s="155"/>
      <c r="K90" s="55"/>
      <c r="L90" s="155"/>
      <c r="M90" s="160"/>
      <c r="N90" s="155"/>
      <c r="O90" s="155"/>
      <c r="P90" s="55"/>
      <c r="Q90" s="161"/>
      <c r="R90" s="160"/>
      <c r="S90" s="155"/>
      <c r="T90" s="155"/>
      <c r="U90" s="55"/>
      <c r="V90" s="55"/>
      <c r="W90" s="155"/>
      <c r="X90" s="155"/>
      <c r="Y90" s="155"/>
      <c r="Z90" s="155"/>
      <c r="AA90" s="161">
        <f t="shared" ref="AA90:BF90" si="181">AA37/AA17</f>
        <v>-3.0134097143469612E-3</v>
      </c>
      <c r="AB90" s="155">
        <f t="shared" si="181"/>
        <v>2.8562396983449617E-4</v>
      </c>
      <c r="AC90" s="155">
        <f t="shared" si="181"/>
        <v>-8.2306442330478357E-4</v>
      </c>
      <c r="AD90" s="155">
        <f t="shared" si="181"/>
        <v>-4.085163903833959E-4</v>
      </c>
      <c r="AE90" s="155">
        <f t="shared" si="181"/>
        <v>1.271580619326687E-3</v>
      </c>
      <c r="AF90" s="161">
        <f t="shared" si="181"/>
        <v>6.3608108532358886E-5</v>
      </c>
      <c r="AG90" s="155">
        <f t="shared" si="181"/>
        <v>1.767393840626678E-3</v>
      </c>
      <c r="AH90" s="155">
        <f t="shared" si="181"/>
        <v>6.2672088021413692E-4</v>
      </c>
      <c r="AI90" s="155">
        <f t="shared" si="181"/>
        <v>1.6164371731835285E-4</v>
      </c>
      <c r="AJ90" s="155">
        <f t="shared" si="181"/>
        <v>2.2309957455688093E-3</v>
      </c>
      <c r="AK90" s="609">
        <f t="shared" si="181"/>
        <v>1.1882703335953761E-3</v>
      </c>
      <c r="AL90" s="155">
        <f t="shared" si="181"/>
        <v>1.5320372513126202E-3</v>
      </c>
      <c r="AM90" s="155">
        <f t="shared" si="181"/>
        <v>4.606503151007787E-4</v>
      </c>
      <c r="AN90" s="155">
        <f t="shared" si="181"/>
        <v>2.6369752465705385E-3</v>
      </c>
      <c r="AO90" s="155">
        <f t="shared" si="181"/>
        <v>1.2512905420514506E-3</v>
      </c>
      <c r="AP90" s="609">
        <f t="shared" si="181"/>
        <v>1.4664499091737707E-3</v>
      </c>
      <c r="AQ90" s="155">
        <f t="shared" si="181"/>
        <v>1.3683225601538291E-3</v>
      </c>
      <c r="AR90" s="155">
        <f t="shared" si="181"/>
        <v>8.4337349397590349E-4</v>
      </c>
      <c r="AS90" s="155">
        <f t="shared" si="181"/>
        <v>5.9697489107252675E-4</v>
      </c>
      <c r="AT90" s="155">
        <f t="shared" si="181"/>
        <v>4.0080127736098776E-3</v>
      </c>
      <c r="AU90" s="609">
        <f t="shared" si="181"/>
        <v>1.7076637580447746E-3</v>
      </c>
      <c r="AV90" s="155">
        <f t="shared" si="181"/>
        <v>2.5878433739408386E-3</v>
      </c>
      <c r="AW90" s="155">
        <f t="shared" si="181"/>
        <v>2.8597174654883045E-3</v>
      </c>
      <c r="AX90" s="155">
        <f t="shared" si="181"/>
        <v>1.9127009946988168E-3</v>
      </c>
      <c r="AY90" s="155">
        <f t="shared" si="181"/>
        <v>-4.1912811825763361E-4</v>
      </c>
      <c r="AZ90" s="609">
        <f t="shared" si="181"/>
        <v>1.7304159624585559E-3</v>
      </c>
      <c r="BA90" s="155">
        <f t="shared" si="181"/>
        <v>4.0582466055665885E-4</v>
      </c>
      <c r="BB90" s="155">
        <f t="shared" si="181"/>
        <v>5.6106716511976102E-4</v>
      </c>
      <c r="BC90" s="155">
        <f t="shared" si="181"/>
        <v>-5.700873468075577E-3</v>
      </c>
      <c r="BD90" s="155">
        <f t="shared" si="181"/>
        <v>5.5502570032325855E-3</v>
      </c>
      <c r="BE90" s="609">
        <f t="shared" si="181"/>
        <v>9.8497174337184218E-5</v>
      </c>
      <c r="BF90" s="155">
        <f t="shared" si="181"/>
        <v>6.4163334582068672E-3</v>
      </c>
      <c r="BG90" s="155">
        <f t="shared" ref="BG90:CN90" si="182">BG37/BG17</f>
        <v>8.4691848146924015E-3</v>
      </c>
      <c r="BH90" s="155">
        <f t="shared" si="182"/>
        <v>1.7137928814081861E-2</v>
      </c>
      <c r="BI90" s="155">
        <f t="shared" si="182"/>
        <v>-5.1399439387509935E-4</v>
      </c>
      <c r="BJ90" s="609">
        <f t="shared" si="182"/>
        <v>7.9156146475986809E-3</v>
      </c>
      <c r="BK90" s="155">
        <f t="shared" si="182"/>
        <v>1.361093833352886E-2</v>
      </c>
      <c r="BL90" s="155">
        <f t="shared" si="182"/>
        <v>1.911001074491251E-2</v>
      </c>
      <c r="BM90" s="155">
        <f t="shared" si="182"/>
        <v>2.0872567144969427E-2</v>
      </c>
      <c r="BN90" s="155">
        <f t="shared" si="182"/>
        <v>2.5940800878619188E-2</v>
      </c>
      <c r="BO90" s="609">
        <f t="shared" si="182"/>
        <v>1.9915553519040025E-2</v>
      </c>
      <c r="BP90" s="155">
        <f t="shared" si="182"/>
        <v>3.4372879745081008E-3</v>
      </c>
      <c r="BQ90" s="155">
        <f t="shared" si="182"/>
        <v>4.3256392435161134E-2</v>
      </c>
      <c r="BR90" s="155">
        <f t="shared" si="182"/>
        <v>5.0393943056822314E-2</v>
      </c>
      <c r="BS90" s="155">
        <f t="shared" si="182"/>
        <v>-4.2142490666374098E-3</v>
      </c>
      <c r="BT90" s="609">
        <f t="shared" si="182"/>
        <v>2.4309991932663522E-2</v>
      </c>
      <c r="BU90" s="155">
        <f t="shared" ref="BU90" si="183">BU37/BU17</f>
        <v>6.7350316109146009E-3</v>
      </c>
      <c r="BV90" s="155">
        <f t="shared" si="182"/>
        <v>5.3068283272252768E-3</v>
      </c>
      <c r="BW90" s="155">
        <f t="shared" ref="BW90" si="184">BW37/BW17</f>
        <v>5.4188311688311694E-3</v>
      </c>
      <c r="BX90" s="155">
        <f t="shared" ref="BX90" si="185">BX37/BX17</f>
        <v>7.6928798015825535E-3</v>
      </c>
      <c r="BY90" s="609">
        <f t="shared" si="182"/>
        <v>6.2718396606193374E-3</v>
      </c>
      <c r="BZ90" s="155">
        <f t="shared" si="182"/>
        <v>-3.0086712831060422E-3</v>
      </c>
      <c r="CA90" s="155">
        <f t="shared" si="182"/>
        <v>-2.7429817365722049E-3</v>
      </c>
      <c r="CB90" s="155">
        <f t="shared" si="182"/>
        <v>-2.7558285324535432E-3</v>
      </c>
      <c r="CC90" s="155">
        <f t="shared" si="182"/>
        <v>-2.8094280627144774E-3</v>
      </c>
      <c r="CD90" s="609">
        <f t="shared" si="182"/>
        <v>-2.8253555494889282E-3</v>
      </c>
      <c r="CE90" s="155">
        <f t="shared" si="182"/>
        <v>-2.8416727806042184E-3</v>
      </c>
      <c r="CF90" s="155">
        <f t="shared" si="182"/>
        <v>-2.6117785910988113E-3</v>
      </c>
      <c r="CG90" s="155">
        <f t="shared" si="182"/>
        <v>-2.6170998315720832E-3</v>
      </c>
      <c r="CH90" s="155">
        <f t="shared" si="182"/>
        <v>-2.6497434587968017E-3</v>
      </c>
      <c r="CI90" s="609">
        <f t="shared" si="182"/>
        <v>-2.6768679864722532E-3</v>
      </c>
      <c r="CJ90" s="155">
        <f t="shared" si="182"/>
        <v>-2.6602012840206144E-3</v>
      </c>
      <c r="CK90" s="155">
        <f t="shared" si="182"/>
        <v>-2.4646274664359849E-3</v>
      </c>
      <c r="CL90" s="155">
        <f t="shared" si="182"/>
        <v>-2.4615835158509998E-3</v>
      </c>
      <c r="CM90" s="155">
        <f t="shared" si="182"/>
        <v>-2.4743982631410173E-3</v>
      </c>
      <c r="CN90" s="609">
        <f t="shared" si="182"/>
        <v>-2.5125100044725017E-3</v>
      </c>
      <c r="CO90" s="45"/>
      <c r="CR90" s="624" t="s">
        <v>18</v>
      </c>
      <c r="CS90" s="155">
        <f t="shared" si="176"/>
        <v>7.6928798015825535E-3</v>
      </c>
      <c r="CT90" s="155">
        <v>4.4652283673064222E-3</v>
      </c>
      <c r="CU90" s="161">
        <f t="shared" si="21"/>
        <v>3.2276514342761313E-3</v>
      </c>
      <c r="CV90" s="155">
        <f t="shared" si="177"/>
        <v>-4.2142490666374098E-3</v>
      </c>
      <c r="CW90" s="161">
        <f t="shared" si="130"/>
        <v>1.1907128868219964E-2</v>
      </c>
      <c r="DB90"/>
      <c r="DC90"/>
      <c r="DD90"/>
      <c r="DE90"/>
      <c r="DF90"/>
      <c r="DG90"/>
      <c r="HQ90" s="3"/>
      <c r="HR90" s="3"/>
      <c r="HS90" s="3"/>
      <c r="HT90" s="3"/>
      <c r="HU90" s="3"/>
      <c r="HV90" s="3"/>
      <c r="HW90" s="3"/>
      <c r="HX90" s="3"/>
      <c r="HY90" s="3"/>
      <c r="HZ90" s="3"/>
      <c r="IA90" s="3"/>
      <c r="IB90" s="3"/>
      <c r="IC90" s="3"/>
      <c r="ID90" s="3"/>
      <c r="IE90" s="3"/>
      <c r="IF90" s="3"/>
      <c r="IG90" s="3"/>
      <c r="IH90" s="3"/>
      <c r="II90" s="3"/>
      <c r="IJ90" s="3"/>
      <c r="IK90" s="3"/>
      <c r="IL90" s="3"/>
      <c r="IM90" s="3"/>
      <c r="IN90" s="3"/>
      <c r="IO90" s="3"/>
      <c r="IP90" s="3"/>
      <c r="IQ90" s="3"/>
      <c r="IR90" s="3"/>
      <c r="IS90" s="3"/>
      <c r="IT90" s="3"/>
      <c r="IU90" s="3"/>
      <c r="IV90" s="3"/>
    </row>
    <row r="91" spans="1:256" s="117" customFormat="1" ht="12" customHeight="1">
      <c r="A91" s="601" t="s">
        <v>30</v>
      </c>
      <c r="B91" s="153"/>
      <c r="C91" s="152"/>
      <c r="D91" s="46"/>
      <c r="E91" s="46"/>
      <c r="F91" s="97"/>
      <c r="G91" s="153"/>
      <c r="H91" s="152"/>
      <c r="I91" s="46"/>
      <c r="J91" s="46"/>
      <c r="K91" s="97"/>
      <c r="L91" s="152"/>
      <c r="M91" s="152"/>
      <c r="N91" s="154"/>
      <c r="O91" s="154"/>
      <c r="P91" s="97"/>
      <c r="Q91" s="153"/>
      <c r="R91" s="152"/>
      <c r="S91" s="46"/>
      <c r="T91" s="46"/>
      <c r="U91" s="97"/>
      <c r="V91" s="97"/>
      <c r="W91" s="46"/>
      <c r="X91" s="46"/>
      <c r="Y91" s="46"/>
      <c r="Z91" s="46"/>
      <c r="AA91" s="153">
        <f t="shared" ref="AA91:BF91" si="186">AA38/AA17</f>
        <v>8.9561837124560686E-2</v>
      </c>
      <c r="AB91" s="46">
        <f t="shared" si="186"/>
        <v>2.1912890333942801E-2</v>
      </c>
      <c r="AC91" s="46">
        <f t="shared" si="186"/>
        <v>4.8009622871457928E-2</v>
      </c>
      <c r="AD91" s="46">
        <f t="shared" si="186"/>
        <v>-1.8634550006363337E-2</v>
      </c>
      <c r="AE91" s="46">
        <f t="shared" si="186"/>
        <v>-0.49103089494736357</v>
      </c>
      <c r="AF91" s="153">
        <f t="shared" si="186"/>
        <v>-0.10713461850832148</v>
      </c>
      <c r="AG91" s="46">
        <f t="shared" si="186"/>
        <v>1.6127613474323562E-2</v>
      </c>
      <c r="AH91" s="46">
        <f t="shared" si="186"/>
        <v>6.191279157038497E-2</v>
      </c>
      <c r="AI91" s="46">
        <f t="shared" si="186"/>
        <v>6.2910406201804436E-2</v>
      </c>
      <c r="AJ91" s="46">
        <f t="shared" si="186"/>
        <v>-1.6967777095776352E-2</v>
      </c>
      <c r="AK91" s="606">
        <f t="shared" si="186"/>
        <v>3.1270918654447817E-2</v>
      </c>
      <c r="AL91" s="46">
        <f t="shared" si="186"/>
        <v>3.144437797257614E-2</v>
      </c>
      <c r="AM91" s="46">
        <f t="shared" si="186"/>
        <v>8.2852063975663082E-2</v>
      </c>
      <c r="AN91" s="46">
        <f t="shared" si="186"/>
        <v>2.3623628970267714E-2</v>
      </c>
      <c r="AO91" s="46">
        <f t="shared" si="186"/>
        <v>1.5518619488731145E-2</v>
      </c>
      <c r="AP91" s="606">
        <f t="shared" si="186"/>
        <v>3.875057296920114E-2</v>
      </c>
      <c r="AQ91" s="46">
        <f t="shared" si="186"/>
        <v>4.8341102040466016E-2</v>
      </c>
      <c r="AR91" s="46">
        <f t="shared" si="186"/>
        <v>7.6261847389558518E-2</v>
      </c>
      <c r="AS91" s="154">
        <f t="shared" si="186"/>
        <v>5.2975388279011139E-2</v>
      </c>
      <c r="AT91" s="46">
        <f t="shared" si="186"/>
        <v>4.760836268206798E-2</v>
      </c>
      <c r="AU91" s="606">
        <f t="shared" si="186"/>
        <v>5.6483282004711553E-2</v>
      </c>
      <c r="AV91" s="46">
        <f t="shared" si="186"/>
        <v>3.5157580273721595E-2</v>
      </c>
      <c r="AW91" s="154">
        <f t="shared" si="186"/>
        <v>5.9440938396080702E-2</v>
      </c>
      <c r="AX91" s="46">
        <f t="shared" si="186"/>
        <v>4.8993120877359075E-2</v>
      </c>
      <c r="AY91" s="46">
        <f t="shared" si="186"/>
        <v>5.121142314635025E-2</v>
      </c>
      <c r="AZ91" s="606">
        <f t="shared" si="186"/>
        <v>4.8968576284798865E-2</v>
      </c>
      <c r="BA91" s="154">
        <f t="shared" si="186"/>
        <v>3.7254703839101448E-2</v>
      </c>
      <c r="BB91" s="154">
        <f t="shared" si="186"/>
        <v>8.7606410615083286E-2</v>
      </c>
      <c r="BC91" s="154">
        <f t="shared" si="186"/>
        <v>4.1839698242295623E-2</v>
      </c>
      <c r="BD91" s="154">
        <f t="shared" si="186"/>
        <v>4.8747056490069829E-2</v>
      </c>
      <c r="BE91" s="606">
        <f t="shared" si="186"/>
        <v>5.4335463686504271E-2</v>
      </c>
      <c r="BF91" s="46">
        <f t="shared" si="186"/>
        <v>0.17013509277593866</v>
      </c>
      <c r="BG91" s="46">
        <f t="shared" ref="BG91:CN91" si="187">BG38/BG17</f>
        <v>0.12199217846996829</v>
      </c>
      <c r="BH91" s="46">
        <f t="shared" si="187"/>
        <v>9.1559038340335103E-2</v>
      </c>
      <c r="BI91" s="46">
        <f t="shared" si="187"/>
        <v>0.10303196925596331</v>
      </c>
      <c r="BJ91" s="606">
        <f t="shared" si="187"/>
        <v>0.12205086952893467</v>
      </c>
      <c r="BK91" s="46">
        <f t="shared" si="187"/>
        <v>8.3916780478518888E-2</v>
      </c>
      <c r="BL91" s="46">
        <f t="shared" si="187"/>
        <v>0.13136574783365404</v>
      </c>
      <c r="BM91" s="46">
        <f t="shared" si="187"/>
        <v>0.12039498180268562</v>
      </c>
      <c r="BN91" s="46">
        <f t="shared" si="187"/>
        <v>0.2504753803581235</v>
      </c>
      <c r="BO91" s="606">
        <f t="shared" si="187"/>
        <v>0.14673765717423501</v>
      </c>
      <c r="BP91" s="46">
        <f t="shared" si="187"/>
        <v>0.16850895094076618</v>
      </c>
      <c r="BQ91" s="154">
        <f t="shared" si="187"/>
        <v>0.17153099671298441</v>
      </c>
      <c r="BR91" s="46">
        <f t="shared" si="187"/>
        <v>0.29144094150742278</v>
      </c>
      <c r="BS91" s="154">
        <f t="shared" si="187"/>
        <v>0.25561388959700032</v>
      </c>
      <c r="BT91" s="606">
        <f t="shared" si="187"/>
        <v>0.2192950067506467</v>
      </c>
      <c r="BU91" s="46">
        <f t="shared" ref="BU91" si="188">BU38/BU17</f>
        <v>0.21244213995570607</v>
      </c>
      <c r="BV91" s="154">
        <f t="shared" si="187"/>
        <v>8.0520194042617066E-2</v>
      </c>
      <c r="BW91" s="46">
        <f t="shared" ref="BW91" si="189">BW38/BW17</f>
        <v>0.20018506493506488</v>
      </c>
      <c r="BX91" s="46">
        <f t="shared" ref="BX91" si="190">BX38/BX17</f>
        <v>0.2153197929163419</v>
      </c>
      <c r="BY91" s="606">
        <f t="shared" si="187"/>
        <v>0.17557718008345552</v>
      </c>
      <c r="BZ91" s="154">
        <f t="shared" si="187"/>
        <v>0.20309701845442013</v>
      </c>
      <c r="CA91" s="154">
        <f t="shared" si="187"/>
        <v>0.24436016517724432</v>
      </c>
      <c r="CB91" s="154">
        <f t="shared" si="187"/>
        <v>0.22528901248001187</v>
      </c>
      <c r="CC91" s="154">
        <f t="shared" si="187"/>
        <v>0.23720798683479172</v>
      </c>
      <c r="CD91" s="606">
        <f t="shared" si="187"/>
        <v>0.22798665381271185</v>
      </c>
      <c r="CE91" s="154">
        <f t="shared" si="187"/>
        <v>0.23022988606745048</v>
      </c>
      <c r="CF91" s="154">
        <f t="shared" si="187"/>
        <v>0.26663118593904156</v>
      </c>
      <c r="CG91" s="154">
        <f t="shared" si="187"/>
        <v>0.24786204775009904</v>
      </c>
      <c r="CH91" s="154">
        <f t="shared" si="187"/>
        <v>0.25958780815483512</v>
      </c>
      <c r="CI91" s="606">
        <f t="shared" si="187"/>
        <v>0.25148032620517041</v>
      </c>
      <c r="CJ91" s="154">
        <f t="shared" si="187"/>
        <v>0.24892822847347926</v>
      </c>
      <c r="CK91" s="154">
        <f t="shared" si="187"/>
        <v>0.28167698925008872</v>
      </c>
      <c r="CL91" s="154">
        <f t="shared" si="187"/>
        <v>0.26347885678600175</v>
      </c>
      <c r="CM91" s="154">
        <f t="shared" si="187"/>
        <v>0.27478528042804484</v>
      </c>
      <c r="CN91" s="606">
        <f t="shared" si="187"/>
        <v>0.2675512216947139</v>
      </c>
      <c r="CO91" s="68"/>
      <c r="CR91" s="601" t="s">
        <v>30</v>
      </c>
      <c r="CS91" s="46">
        <f t="shared" si="176"/>
        <v>0.2153197929163419</v>
      </c>
      <c r="CT91" s="154">
        <v>0.22837108264808595</v>
      </c>
      <c r="CU91" s="153">
        <f t="shared" si="21"/>
        <v>-1.3051289731744048E-2</v>
      </c>
      <c r="CV91" s="46">
        <f t="shared" si="177"/>
        <v>0.25561388959700032</v>
      </c>
      <c r="CW91" s="153">
        <f t="shared" si="130"/>
        <v>-4.029409668065842E-2</v>
      </c>
      <c r="DB91"/>
      <c r="DC91"/>
      <c r="DD91"/>
      <c r="DE91"/>
      <c r="DF91"/>
      <c r="DG91"/>
      <c r="HQ91" s="3"/>
      <c r="HR91" s="3"/>
      <c r="HS91" s="3"/>
      <c r="HT91" s="3"/>
      <c r="HU91" s="3"/>
      <c r="HV91" s="3"/>
      <c r="HW91" s="3"/>
      <c r="HX91" s="3"/>
      <c r="HY91" s="3"/>
      <c r="HZ91" s="3"/>
      <c r="IA91" s="3"/>
      <c r="IB91" s="3"/>
      <c r="IC91" s="3"/>
      <c r="ID91" s="3"/>
      <c r="IE91" s="3"/>
      <c r="IF91" s="3"/>
      <c r="IG91" s="3"/>
      <c r="IH91" s="3"/>
      <c r="II91" s="3"/>
      <c r="IJ91" s="3"/>
      <c r="IK91" s="3"/>
      <c r="IL91" s="3"/>
      <c r="IM91" s="3"/>
      <c r="IN91" s="3"/>
      <c r="IO91" s="3"/>
      <c r="IP91" s="3"/>
      <c r="IQ91" s="3"/>
      <c r="IR91" s="3"/>
      <c r="IS91" s="3"/>
      <c r="IT91" s="3"/>
      <c r="IU91" s="3"/>
      <c r="IV91" s="3"/>
    </row>
    <row r="92" spans="1:256" s="59" customFormat="1" ht="12" customHeight="1">
      <c r="A92" s="602" t="s">
        <v>417</v>
      </c>
      <c r="B92" s="167"/>
      <c r="C92" s="164"/>
      <c r="D92" s="165"/>
      <c r="E92" s="165"/>
      <c r="F92" s="165"/>
      <c r="G92" s="167"/>
      <c r="H92" s="164"/>
      <c r="I92" s="165"/>
      <c r="J92" s="165"/>
      <c r="K92" s="166"/>
      <c r="L92" s="164"/>
      <c r="M92" s="164"/>
      <c r="N92" s="163"/>
      <c r="O92" s="163"/>
      <c r="P92" s="165"/>
      <c r="Q92" s="167"/>
      <c r="R92" s="164"/>
      <c r="S92" s="165"/>
      <c r="T92" s="165"/>
      <c r="U92" s="166"/>
      <c r="V92" s="166"/>
      <c r="W92" s="165"/>
      <c r="X92" s="165"/>
      <c r="Y92" s="165"/>
      <c r="Z92" s="165"/>
      <c r="AA92" s="167">
        <f>(AA38+AA31+AA35+AA36)/AA17</f>
        <v>0.12248566142739616</v>
      </c>
      <c r="AB92" s="165">
        <f>(AB38+AB31+AB35+AB36)/AB17</f>
        <v>3.071643071643055E-2</v>
      </c>
      <c r="AC92" s="165">
        <f>(AC38+AC31+AC35+AC36+AC32+AC33)/AC17</f>
        <v>6.0043501811164753E-2</v>
      </c>
      <c r="AD92" s="165">
        <f>(AD38+AD31+AD35+AD36+AD32+AD33)/AD17</f>
        <v>7.2479576854017097E-2</v>
      </c>
      <c r="AE92" s="165">
        <f>(AE38+AE31+AE35+AE36+AE32+AE33)/AE17</f>
        <v>2.9601058312009897E-2</v>
      </c>
      <c r="AF92" s="167">
        <f>(AF38+AF31+AF35+AF36+AF32+AF33)/AF17</f>
        <v>4.8837104547979862E-2</v>
      </c>
      <c r="AG92" s="165">
        <f>(AG38+AG31+AG35+AG36+AG33+3.653+6.5)/AG17</f>
        <v>4.0658160336302492E-2</v>
      </c>
      <c r="AH92" s="165">
        <f>(AH38+AH35+AH31+AH33+AH32)/AH17</f>
        <v>7.4746325958406273E-2</v>
      </c>
      <c r="AI92" s="165">
        <f>(AI38+AI35+AI31+AI33+AI32)/AI17</f>
        <v>8.2012043564088963E-2</v>
      </c>
      <c r="AJ92" s="165">
        <f>(AJ42-AJ29)/AJ17</f>
        <v>6.2667671539708952E-2</v>
      </c>
      <c r="AK92" s="607">
        <f t="shared" ref="AK92:AR92" si="191">(AK38+AK35+AK31+AK33+AK32)/AK17</f>
        <v>5.7286079922699497E-2</v>
      </c>
      <c r="AL92" s="165">
        <f t="shared" si="191"/>
        <v>4.5297194926962506E-2</v>
      </c>
      <c r="AM92" s="165">
        <f t="shared" si="191"/>
        <v>8.5604563630745464E-2</v>
      </c>
      <c r="AN92" s="165">
        <f t="shared" si="191"/>
        <v>5.5449632727754238E-2</v>
      </c>
      <c r="AO92" s="165">
        <f t="shared" si="191"/>
        <v>4.8885970796876899E-2</v>
      </c>
      <c r="AP92" s="607">
        <f t="shared" si="191"/>
        <v>5.9086808565940875E-2</v>
      </c>
      <c r="AQ92" s="165">
        <f t="shared" si="191"/>
        <v>6.4843381147365139E-2</v>
      </c>
      <c r="AR92" s="165">
        <f t="shared" si="191"/>
        <v>8.4942971887550484E-2</v>
      </c>
      <c r="AS92" s="163">
        <f>(AS38+AS35+AS31+AS33+AS32+23.6)/AS17</f>
        <v>0.1305641330943251</v>
      </c>
      <c r="AT92" s="165">
        <f>(AT38+AT35+AT31+AT33+AT32)/AT17</f>
        <v>7.9428569570321655E-2</v>
      </c>
      <c r="AU92" s="607">
        <f>(AU38+AU35+AU31+AU33+AU32)/AU17</f>
        <v>8.0512726865926865E-2</v>
      </c>
      <c r="AV92" s="165">
        <f>(AV38+AV35+AV31+AV33+AV32)/AV17</f>
        <v>5.3119067769464713E-2</v>
      </c>
      <c r="AW92" s="163">
        <f>(AW38+AW35+AW31+AW33+AW32)/AW17</f>
        <v>7.9968352666488912E-2</v>
      </c>
      <c r="AX92" s="165">
        <f>(AX38+AX35+AX31+AX33+AX32+23.6)/AX17</f>
        <v>0.10404810513726011</v>
      </c>
      <c r="AY92" s="165">
        <f>(AY38+AY35+AY31+AY33+AY32+23.6)/AY17</f>
        <v>0.13120456468623329</v>
      </c>
      <c r="AZ92" s="607">
        <f>(AZ38+AZ35+AZ31+AZ33+AZ32)/AZ17</f>
        <v>7.3768410867411358E-2</v>
      </c>
      <c r="BA92" s="163">
        <f t="shared" ref="BA92:BN92" si="192">BA39/BA17</f>
        <v>4.2286929630004022E-2</v>
      </c>
      <c r="BB92" s="163">
        <f t="shared" si="192"/>
        <v>9.7408945716367434E-2</v>
      </c>
      <c r="BC92" s="163">
        <f t="shared" si="192"/>
        <v>8.4915392046243626E-2</v>
      </c>
      <c r="BD92" s="163">
        <f t="shared" si="192"/>
        <v>5.4179151087515837E-2</v>
      </c>
      <c r="BE92" s="607">
        <f t="shared" si="192"/>
        <v>7.0518348415461812E-2</v>
      </c>
      <c r="BF92" s="165">
        <f t="shared" si="192"/>
        <v>0.20308641503375408</v>
      </c>
      <c r="BG92" s="165">
        <f t="shared" si="192"/>
        <v>0.12367913768300086</v>
      </c>
      <c r="BH92" s="165">
        <f t="shared" si="192"/>
        <v>0.11288242284224637</v>
      </c>
      <c r="BI92" s="165">
        <f t="shared" si="192"/>
        <v>0.13047488699096135</v>
      </c>
      <c r="BJ92" s="607">
        <f t="shared" si="192"/>
        <v>0.14280321922686554</v>
      </c>
      <c r="BK92" s="165">
        <f t="shared" si="192"/>
        <v>9.8415340583351218E-2</v>
      </c>
      <c r="BL92" s="165">
        <f t="shared" si="192"/>
        <v>0.16465659177912054</v>
      </c>
      <c r="BM92" s="165">
        <f t="shared" si="192"/>
        <v>0.1360354175051493</v>
      </c>
      <c r="BN92" s="165">
        <f t="shared" si="192"/>
        <v>0.28664735714362627</v>
      </c>
      <c r="BO92" s="607">
        <f>(BO38+BO35+BO31+BO33+BO32)/BO17</f>
        <v>0.17181976980126698</v>
      </c>
      <c r="BP92" s="165">
        <f>BP39/BP17</f>
        <v>0.19584621436321734</v>
      </c>
      <c r="BQ92" s="163">
        <f>BQ39/BQ17</f>
        <v>0.19246547065985914</v>
      </c>
      <c r="BR92" s="163">
        <f t="shared" ref="BR92:CN92" si="193">(BR38+BR35+BR31+BR33+BR32)/BR17</f>
        <v>0.29828137533927451</v>
      </c>
      <c r="BS92" s="163">
        <f t="shared" si="193"/>
        <v>0.27325500724424895</v>
      </c>
      <c r="BT92" s="607">
        <f t="shared" si="193"/>
        <v>0.23763391569563694</v>
      </c>
      <c r="BU92" s="165">
        <f>BU39/BU17</f>
        <v>0.21485975390019538</v>
      </c>
      <c r="BV92" s="163">
        <f t="shared" si="193"/>
        <v>0.13656030117811599</v>
      </c>
      <c r="BW92" s="165">
        <f t="shared" ref="BW92" si="194">(BW38+BW35+BW31+BW33+BW32)/BW17</f>
        <v>0.2129415584415584</v>
      </c>
      <c r="BX92" s="165">
        <f t="shared" ref="BX92" si="195">(BX38+BX35+BX31+BX33+BX32)/BX17</f>
        <v>0.22857456984222965</v>
      </c>
      <c r="BY92" s="607">
        <f t="shared" si="193"/>
        <v>0.1973778102917676</v>
      </c>
      <c r="BZ92" s="163">
        <f t="shared" si="193"/>
        <v>0.21354379374298277</v>
      </c>
      <c r="CA92" s="163">
        <f t="shared" si="193"/>
        <v>0.25388440731812001</v>
      </c>
      <c r="CB92" s="163">
        <f t="shared" si="193"/>
        <v>0.23485786155103111</v>
      </c>
      <c r="CC92" s="163">
        <f t="shared" si="193"/>
        <v>0.24696294538588365</v>
      </c>
      <c r="CD92" s="607">
        <f t="shared" si="193"/>
        <v>0.23779691613732618</v>
      </c>
      <c r="CE92" s="163">
        <f t="shared" si="193"/>
        <v>0.23022988606745048</v>
      </c>
      <c r="CF92" s="163">
        <f t="shared" si="193"/>
        <v>0.26663118593904156</v>
      </c>
      <c r="CG92" s="163">
        <f t="shared" si="193"/>
        <v>0.24786204775009904</v>
      </c>
      <c r="CH92" s="163">
        <f t="shared" si="193"/>
        <v>0.25958780815483512</v>
      </c>
      <c r="CI92" s="607">
        <f t="shared" si="193"/>
        <v>0.25148032620517041</v>
      </c>
      <c r="CJ92" s="163">
        <f t="shared" si="193"/>
        <v>0.24892822847347926</v>
      </c>
      <c r="CK92" s="163">
        <f t="shared" si="193"/>
        <v>0.28167698925008872</v>
      </c>
      <c r="CL92" s="163">
        <f t="shared" si="193"/>
        <v>0.26347885678600175</v>
      </c>
      <c r="CM92" s="163">
        <f t="shared" si="193"/>
        <v>0.27478528042804484</v>
      </c>
      <c r="CN92" s="607">
        <f t="shared" si="193"/>
        <v>0.2675512216947139</v>
      </c>
      <c r="CO92" s="168"/>
      <c r="CR92" s="602" t="s">
        <v>417</v>
      </c>
      <c r="CS92" s="165">
        <f t="shared" si="176"/>
        <v>0.22857456984222965</v>
      </c>
      <c r="CT92" s="163">
        <v>0.22837108264808595</v>
      </c>
      <c r="CU92" s="1073">
        <f t="shared" si="21"/>
        <v>2.0348719414370331E-4</v>
      </c>
      <c r="CV92" s="165">
        <f t="shared" si="177"/>
        <v>0.27325500724424895</v>
      </c>
      <c r="CW92" s="167">
        <f t="shared" si="130"/>
        <v>-4.4680437402019296E-2</v>
      </c>
      <c r="DB92"/>
      <c r="DC92"/>
      <c r="DD92"/>
      <c r="DE92"/>
      <c r="DF92"/>
      <c r="DG92"/>
      <c r="HQ92" s="4"/>
      <c r="HR92" s="4"/>
      <c r="HS92" s="4"/>
      <c r="HT92" s="4"/>
      <c r="HU92" s="4"/>
      <c r="HV92" s="4"/>
      <c r="HW92" s="4"/>
      <c r="HX92" s="4"/>
      <c r="HY92" s="4"/>
      <c r="HZ92" s="4"/>
      <c r="IA92" s="4"/>
      <c r="IB92" s="4"/>
      <c r="IC92" s="4"/>
      <c r="ID92" s="4"/>
      <c r="IE92" s="4"/>
      <c r="IF92" s="4"/>
      <c r="IG92" s="4"/>
      <c r="IH92" s="4"/>
      <c r="II92" s="4"/>
      <c r="IJ92" s="4"/>
      <c r="IK92" s="4"/>
      <c r="IL92" s="4"/>
      <c r="IM92" s="4"/>
      <c r="IN92" s="4"/>
      <c r="IO92" s="4"/>
      <c r="IP92" s="4"/>
      <c r="IQ92" s="4"/>
      <c r="IR92" s="4"/>
      <c r="IS92" s="4"/>
      <c r="IT92" s="4"/>
      <c r="IU92" s="4"/>
      <c r="IV92" s="4"/>
    </row>
    <row r="93" spans="1:256" s="59" customFormat="1" ht="12" customHeight="1">
      <c r="A93" s="601" t="s">
        <v>82</v>
      </c>
      <c r="B93" s="153"/>
      <c r="C93" s="152"/>
      <c r="D93" s="46"/>
      <c r="E93" s="46"/>
      <c r="F93" s="46"/>
      <c r="G93" s="153"/>
      <c r="H93" s="152"/>
      <c r="I93" s="46"/>
      <c r="J93" s="46"/>
      <c r="K93" s="97"/>
      <c r="L93" s="152"/>
      <c r="M93" s="152"/>
      <c r="N93" s="154"/>
      <c r="O93" s="154"/>
      <c r="P93" s="46"/>
      <c r="Q93" s="153"/>
      <c r="R93" s="152"/>
      <c r="S93" s="46"/>
      <c r="T93" s="46"/>
      <c r="U93" s="97"/>
      <c r="V93" s="97"/>
      <c r="W93" s="46"/>
      <c r="X93" s="46"/>
      <c r="Y93" s="46"/>
      <c r="Z93" s="46"/>
      <c r="AA93" s="153">
        <f t="shared" ref="AA93:BF93" si="196">AA40/AA17</f>
        <v>0.1393375103857509</v>
      </c>
      <c r="AB93" s="46">
        <f t="shared" si="196"/>
        <v>7.5918399602609959E-2</v>
      </c>
      <c r="AC93" s="46">
        <f t="shared" si="196"/>
        <v>9.888198652628713E-2</v>
      </c>
      <c r="AD93" s="46">
        <f t="shared" si="196"/>
        <v>4.7316250503961335E-2</v>
      </c>
      <c r="AE93" s="46">
        <f t="shared" si="196"/>
        <v>7.7470491521680146E-2</v>
      </c>
      <c r="AF93" s="153">
        <f t="shared" si="196"/>
        <v>7.4913972080681041E-2</v>
      </c>
      <c r="AG93" s="46">
        <f t="shared" si="196"/>
        <v>7.5922702272264275E-2</v>
      </c>
      <c r="AH93" s="46">
        <f t="shared" si="196"/>
        <v>0.12040710561232926</v>
      </c>
      <c r="AI93" s="46">
        <f t="shared" si="196"/>
        <v>0.11496854036830412</v>
      </c>
      <c r="AJ93" s="46">
        <f t="shared" si="196"/>
        <v>9.1702804727935058E-2</v>
      </c>
      <c r="AK93" s="606">
        <f t="shared" si="196"/>
        <v>8.4401263951005737E-2</v>
      </c>
      <c r="AL93" s="46">
        <f t="shared" si="196"/>
        <v>0.10061532252190283</v>
      </c>
      <c r="AM93" s="46">
        <f t="shared" si="196"/>
        <v>0.13685077096215487</v>
      </c>
      <c r="AN93" s="46">
        <f t="shared" si="196"/>
        <v>0.10906929055960554</v>
      </c>
      <c r="AO93" s="46">
        <f t="shared" si="196"/>
        <v>0.10208247098956613</v>
      </c>
      <c r="AP93" s="606">
        <f t="shared" si="196"/>
        <v>0.11240938598190978</v>
      </c>
      <c r="AQ93" s="46">
        <f t="shared" si="196"/>
        <v>0.11688770999115833</v>
      </c>
      <c r="AR93" s="46">
        <f t="shared" si="196"/>
        <v>0.12474216867469907</v>
      </c>
      <c r="AS93" s="154">
        <f t="shared" si="196"/>
        <v>0.10337642456200015</v>
      </c>
      <c r="AT93" s="46">
        <f t="shared" si="196"/>
        <v>0.10718548075015705</v>
      </c>
      <c r="AU93" s="606">
        <f t="shared" si="196"/>
        <v>0.10706829667943285</v>
      </c>
      <c r="AV93" s="46">
        <f t="shared" si="196"/>
        <v>8.9630418876589638E-2</v>
      </c>
      <c r="AW93" s="154">
        <f t="shared" si="196"/>
        <v>0.11509782184594973</v>
      </c>
      <c r="AX93" s="46">
        <f t="shared" si="196"/>
        <v>0.11481078090693758</v>
      </c>
      <c r="AY93" s="46">
        <f t="shared" si="196"/>
        <v>0.10969884692139276</v>
      </c>
      <c r="AZ93" s="606">
        <f t="shared" si="196"/>
        <v>0.10763746129017573</v>
      </c>
      <c r="BA93" s="154">
        <f t="shared" si="196"/>
        <v>0.12305266278952291</v>
      </c>
      <c r="BB93" s="154">
        <f t="shared" si="196"/>
        <v>0.14712410805692444</v>
      </c>
      <c r="BC93" s="154">
        <f t="shared" si="196"/>
        <v>0.11101331348249545</v>
      </c>
      <c r="BD93" s="154">
        <f t="shared" si="196"/>
        <v>0.12895907360673833</v>
      </c>
      <c r="BE93" s="606">
        <f t="shared" si="196"/>
        <v>0.12764912170672715</v>
      </c>
      <c r="BF93" s="46">
        <f t="shared" si="196"/>
        <v>0.25045107378496784</v>
      </c>
      <c r="BG93" s="46">
        <f t="shared" ref="BG93:CN93" si="197">BG40/BG17</f>
        <v>0.19744682639604014</v>
      </c>
      <c r="BH93" s="46">
        <f t="shared" si="197"/>
        <v>0.1623390941073857</v>
      </c>
      <c r="BI93" s="46">
        <f t="shared" si="197"/>
        <v>0.18583487232817553</v>
      </c>
      <c r="BJ93" s="606">
        <f t="shared" si="197"/>
        <v>0.19936481013198662</v>
      </c>
      <c r="BK93" s="46">
        <f t="shared" si="197"/>
        <v>0.1625963711542846</v>
      </c>
      <c r="BL93" s="46">
        <f t="shared" si="197"/>
        <v>0.21171767435969718</v>
      </c>
      <c r="BM93" s="46">
        <f t="shared" si="197"/>
        <v>0.19878010197383292</v>
      </c>
      <c r="BN93" s="46">
        <f t="shared" si="197"/>
        <v>0.32315743003887032</v>
      </c>
      <c r="BO93" s="606">
        <f t="shared" si="197"/>
        <v>0.22429271928469124</v>
      </c>
      <c r="BP93" s="46">
        <f t="shared" si="197"/>
        <v>0.25389994904788177</v>
      </c>
      <c r="BQ93" s="154">
        <f t="shared" si="197"/>
        <v>0.25187474850934621</v>
      </c>
      <c r="BR93" s="154">
        <f t="shared" si="197"/>
        <v>0.37210311747964347</v>
      </c>
      <c r="BS93" s="154">
        <f t="shared" si="197"/>
        <v>0.3532192538907587</v>
      </c>
      <c r="BT93" s="606">
        <f t="shared" si="197"/>
        <v>0.30477812038026542</v>
      </c>
      <c r="BU93" s="46">
        <f t="shared" ref="BU93" si="198">BU40/BU17</f>
        <v>0.3144822422582122</v>
      </c>
      <c r="BV93" s="154">
        <f t="shared" si="197"/>
        <v>0.17825636351149718</v>
      </c>
      <c r="BW93" s="46">
        <f t="shared" ref="BW93" si="199">BW40/BW17</f>
        <v>0.30153571428571424</v>
      </c>
      <c r="BX93" s="46">
        <f t="shared" ref="BX93" si="200">BX40/BX17</f>
        <v>0.32525456997157609</v>
      </c>
      <c r="BY93" s="606">
        <f t="shared" si="197"/>
        <v>0.27831257841843049</v>
      </c>
      <c r="BZ93" s="154">
        <f t="shared" si="197"/>
        <v>0.30595705441023796</v>
      </c>
      <c r="CA93" s="154">
        <f t="shared" si="197"/>
        <v>0.34503062742814189</v>
      </c>
      <c r="CB93" s="154">
        <f t="shared" si="197"/>
        <v>0.32613053510208811</v>
      </c>
      <c r="CC93" s="154">
        <f t="shared" si="197"/>
        <v>0.33620647103260731</v>
      </c>
      <c r="CD93" s="606">
        <f t="shared" si="197"/>
        <v>0.32879463705052486</v>
      </c>
      <c r="CE93" s="154">
        <f t="shared" si="197"/>
        <v>0.32932361470090288</v>
      </c>
      <c r="CF93" s="154">
        <f t="shared" si="197"/>
        <v>0.36440345093389231</v>
      </c>
      <c r="CG93" s="154">
        <f t="shared" si="197"/>
        <v>0.34554250041144047</v>
      </c>
      <c r="CH93" s="154">
        <f t="shared" si="197"/>
        <v>0.35482676486765291</v>
      </c>
      <c r="CI93" s="606">
        <f t="shared" si="197"/>
        <v>0.34890050980723947</v>
      </c>
      <c r="CJ93" s="154">
        <f t="shared" si="197"/>
        <v>0.34354906281701358</v>
      </c>
      <c r="CK93" s="154">
        <f t="shared" si="197"/>
        <v>0.37578590598402911</v>
      </c>
      <c r="CL93" s="154">
        <f t="shared" si="197"/>
        <v>0.35719234871135064</v>
      </c>
      <c r="CM93" s="154">
        <f t="shared" si="197"/>
        <v>0.36550058739748953</v>
      </c>
      <c r="CN93" s="606">
        <f t="shared" si="197"/>
        <v>0.36081864127543262</v>
      </c>
      <c r="CO93" s="168"/>
      <c r="CR93" s="601" t="s">
        <v>82</v>
      </c>
      <c r="CS93" s="46">
        <f t="shared" si="176"/>
        <v>0.32525456997157609</v>
      </c>
      <c r="CT93" s="154">
        <v>0.32424849804537781</v>
      </c>
      <c r="CU93" s="153">
        <f t="shared" si="21"/>
        <v>1.006071926198282E-3</v>
      </c>
      <c r="CV93" s="46">
        <f t="shared" si="177"/>
        <v>0.3532192538907587</v>
      </c>
      <c r="CW93" s="153">
        <f t="shared" si="130"/>
        <v>-2.7964683919182609E-2</v>
      </c>
      <c r="DB93"/>
      <c r="DC93"/>
      <c r="DD93"/>
      <c r="DE93"/>
      <c r="DF93"/>
      <c r="DG93"/>
      <c r="HQ93" s="4"/>
      <c r="HR93" s="4"/>
      <c r="HS93" s="4"/>
      <c r="HT93" s="4"/>
      <c r="HU93" s="4"/>
      <c r="HV93" s="4"/>
      <c r="HW93" s="4"/>
      <c r="HX93" s="4"/>
      <c r="HY93" s="4"/>
      <c r="HZ93" s="4"/>
      <c r="IA93" s="4"/>
      <c r="IB93" s="4"/>
      <c r="IC93" s="4"/>
      <c r="ID93" s="4"/>
      <c r="IE93" s="4"/>
      <c r="IF93" s="4"/>
      <c r="IG93" s="4"/>
      <c r="IH93" s="4"/>
      <c r="II93" s="4"/>
      <c r="IJ93" s="4"/>
      <c r="IK93" s="4"/>
      <c r="IL93" s="4"/>
      <c r="IM93" s="4"/>
      <c r="IN93" s="4"/>
      <c r="IO93" s="4"/>
      <c r="IP93" s="4"/>
      <c r="IQ93" s="4"/>
      <c r="IR93" s="4"/>
      <c r="IS93" s="4"/>
      <c r="IT93" s="4"/>
      <c r="IU93" s="4"/>
      <c r="IV93" s="4"/>
    </row>
    <row r="94" spans="1:256" s="59" customFormat="1" ht="12" customHeight="1">
      <c r="A94" s="602" t="s">
        <v>116</v>
      </c>
      <c r="B94" s="167"/>
      <c r="C94" s="164"/>
      <c r="D94" s="165"/>
      <c r="E94" s="165"/>
      <c r="F94" s="165"/>
      <c r="G94" s="167"/>
      <c r="H94" s="164"/>
      <c r="I94" s="165"/>
      <c r="J94" s="165"/>
      <c r="K94" s="166"/>
      <c r="L94" s="164"/>
      <c r="M94" s="164"/>
      <c r="N94" s="163"/>
      <c r="O94" s="163"/>
      <c r="P94" s="165"/>
      <c r="Q94" s="167"/>
      <c r="R94" s="164"/>
      <c r="S94" s="165"/>
      <c r="T94" s="165"/>
      <c r="U94" s="166"/>
      <c r="V94" s="166"/>
      <c r="W94" s="165"/>
      <c r="X94" s="165"/>
      <c r="Y94" s="165"/>
      <c r="Z94" s="165"/>
      <c r="AA94" s="167">
        <f t="shared" ref="AA94:BF94" si="201">AA42/AA17</f>
        <v>0.17226133468858637</v>
      </c>
      <c r="AB94" s="165">
        <f t="shared" si="201"/>
        <v>8.4721939985097708E-2</v>
      </c>
      <c r="AC94" s="165">
        <f t="shared" si="201"/>
        <v>0.10947391584007568</v>
      </c>
      <c r="AD94" s="165">
        <f t="shared" si="201"/>
        <v>0.12191326833431154</v>
      </c>
      <c r="AE94" s="165">
        <f t="shared" si="201"/>
        <v>8.3000751794155336E-2</v>
      </c>
      <c r="AF94" s="167">
        <f t="shared" si="201"/>
        <v>0.10017239708385461</v>
      </c>
      <c r="AG94" s="165">
        <f t="shared" si="201"/>
        <v>9.2929961665956753E-2</v>
      </c>
      <c r="AH94" s="165">
        <f t="shared" si="201"/>
        <v>0.12838245751281652</v>
      </c>
      <c r="AI94" s="165">
        <f t="shared" si="201"/>
        <v>0.13772930434522671</v>
      </c>
      <c r="AJ94" s="165">
        <f t="shared" si="201"/>
        <v>0.11470425986993628</v>
      </c>
      <c r="AK94" s="607">
        <f t="shared" si="201"/>
        <v>0.11874465033993466</v>
      </c>
      <c r="AL94" s="165">
        <f t="shared" si="201"/>
        <v>0.109922180149908</v>
      </c>
      <c r="AM94" s="165">
        <f t="shared" si="201"/>
        <v>0.13782680232286343</v>
      </c>
      <c r="AN94" s="165">
        <f t="shared" si="201"/>
        <v>0.10974159732656473</v>
      </c>
      <c r="AO94" s="165">
        <f t="shared" si="201"/>
        <v>9.7865907328375759E-2</v>
      </c>
      <c r="AP94" s="607">
        <f t="shared" si="201"/>
        <v>0.1140731187730761</v>
      </c>
      <c r="AQ94" s="165">
        <f t="shared" si="201"/>
        <v>0.12657412891761735</v>
      </c>
      <c r="AR94" s="165">
        <f t="shared" si="201"/>
        <v>0.14365622489959867</v>
      </c>
      <c r="AS94" s="163">
        <f t="shared" si="201"/>
        <v>0.14236624491344663</v>
      </c>
      <c r="AT94" s="165">
        <f t="shared" si="201"/>
        <v>0.13149208641047919</v>
      </c>
      <c r="AU94" s="607">
        <f t="shared" si="201"/>
        <v>0.13616315263026291</v>
      </c>
      <c r="AV94" s="165">
        <f t="shared" si="201"/>
        <v>9.9986850046699452E-2</v>
      </c>
      <c r="AW94" s="163">
        <f t="shared" si="201"/>
        <v>0.13791208110635589</v>
      </c>
      <c r="AX94" s="165">
        <f t="shared" si="201"/>
        <v>0.132774768063394</v>
      </c>
      <c r="AY94" s="165">
        <f t="shared" si="201"/>
        <v>0.15222447485945706</v>
      </c>
      <c r="AZ94" s="607">
        <f t="shared" si="201"/>
        <v>0.13122620428568343</v>
      </c>
      <c r="BA94" s="163">
        <f t="shared" si="201"/>
        <v>0.12808488858042547</v>
      </c>
      <c r="BB94" s="163">
        <f t="shared" si="201"/>
        <v>0.15692664315820859</v>
      </c>
      <c r="BC94" s="163">
        <f t="shared" si="201"/>
        <v>0.15408900728644342</v>
      </c>
      <c r="BD94" s="163">
        <f t="shared" si="201"/>
        <v>0.15025362716384877</v>
      </c>
      <c r="BE94" s="607">
        <f t="shared" si="201"/>
        <v>0.14760263908102567</v>
      </c>
      <c r="BF94" s="165">
        <f t="shared" si="201"/>
        <v>0.26036896306546692</v>
      </c>
      <c r="BG94" s="165">
        <f t="shared" ref="BG94:CN94" si="202">BG42/BG17</f>
        <v>0.18933299199315301</v>
      </c>
      <c r="BH94" s="165">
        <f t="shared" si="202"/>
        <v>0.18366247860929696</v>
      </c>
      <c r="BI94" s="165">
        <f t="shared" si="202"/>
        <v>0.2132777900631736</v>
      </c>
      <c r="BJ94" s="607">
        <f t="shared" si="202"/>
        <v>0.18472904969928899</v>
      </c>
      <c r="BK94" s="165">
        <f t="shared" si="202"/>
        <v>0.17887681536360397</v>
      </c>
      <c r="BL94" s="165">
        <f t="shared" si="202"/>
        <v>0.21303116841731115</v>
      </c>
      <c r="BM94" s="165">
        <f t="shared" si="202"/>
        <v>0.21463145864765226</v>
      </c>
      <c r="BN94" s="165">
        <f t="shared" si="202"/>
        <v>0.23171858344190455</v>
      </c>
      <c r="BO94" s="607">
        <f t="shared" si="202"/>
        <v>0.20980411132563448</v>
      </c>
      <c r="BP94" s="165">
        <f t="shared" si="202"/>
        <v>0.2589925208626484</v>
      </c>
      <c r="BQ94" s="163">
        <f t="shared" si="202"/>
        <v>0.26778202227227343</v>
      </c>
      <c r="BR94" s="163">
        <f t="shared" si="202"/>
        <v>0.27522169598804425</v>
      </c>
      <c r="BS94" s="163">
        <f t="shared" si="202"/>
        <v>0.29398098102297188</v>
      </c>
      <c r="BT94" s="607">
        <f t="shared" si="202"/>
        <v>0.27300549387007811</v>
      </c>
      <c r="BU94" s="165">
        <f t="shared" ref="BU94" si="203">BU42/BU17</f>
        <v>0.31197716037072398</v>
      </c>
      <c r="BV94" s="163">
        <f t="shared" si="202"/>
        <v>0.36244076643087708</v>
      </c>
      <c r="BW94" s="165">
        <f t="shared" ref="BW94" si="204">BW42/BW17</f>
        <v>0.3146363636363636</v>
      </c>
      <c r="BX94" s="165">
        <f t="shared" ref="BX94" si="205">BX42/BX17</f>
        <v>0.33633309296452346</v>
      </c>
      <c r="BY94" s="607">
        <f t="shared" si="202"/>
        <v>0.332053571793478</v>
      </c>
      <c r="BZ94" s="163">
        <f t="shared" si="202"/>
        <v>0.3164038296988006</v>
      </c>
      <c r="CA94" s="163">
        <f t="shared" si="202"/>
        <v>0.35455486956901761</v>
      </c>
      <c r="CB94" s="163">
        <f t="shared" si="202"/>
        <v>0.33569938417310735</v>
      </c>
      <c r="CC94" s="163">
        <f t="shared" si="202"/>
        <v>0.34596142958369924</v>
      </c>
      <c r="CD94" s="607">
        <f t="shared" si="202"/>
        <v>0.33860489937513921</v>
      </c>
      <c r="CE94" s="163">
        <f t="shared" si="202"/>
        <v>0.32932361470090288</v>
      </c>
      <c r="CF94" s="163">
        <f t="shared" si="202"/>
        <v>0.36440345093389231</v>
      </c>
      <c r="CG94" s="163">
        <f t="shared" si="202"/>
        <v>0.34554250041144047</v>
      </c>
      <c r="CH94" s="163">
        <f t="shared" si="202"/>
        <v>0.35482676486765291</v>
      </c>
      <c r="CI94" s="607">
        <f t="shared" si="202"/>
        <v>0.34890050980723947</v>
      </c>
      <c r="CJ94" s="163">
        <f t="shared" si="202"/>
        <v>0.34354906281701358</v>
      </c>
      <c r="CK94" s="163">
        <f t="shared" si="202"/>
        <v>0.37578590598402911</v>
      </c>
      <c r="CL94" s="163">
        <f t="shared" si="202"/>
        <v>0.35719234871135064</v>
      </c>
      <c r="CM94" s="163">
        <f t="shared" si="202"/>
        <v>0.36550058739748953</v>
      </c>
      <c r="CN94" s="607">
        <f t="shared" si="202"/>
        <v>0.36081864127543262</v>
      </c>
      <c r="CO94" s="168"/>
      <c r="CR94" s="602" t="s">
        <v>116</v>
      </c>
      <c r="CS94" s="165">
        <f t="shared" si="176"/>
        <v>0.33633309296452346</v>
      </c>
      <c r="CT94" s="163">
        <v>0.32424849804537781</v>
      </c>
      <c r="CU94" s="167">
        <f t="shared" si="21"/>
        <v>1.2084594919145653E-2</v>
      </c>
      <c r="CV94" s="165">
        <f t="shared" si="177"/>
        <v>0.29398098102297188</v>
      </c>
      <c r="CW94" s="167">
        <f t="shared" si="130"/>
        <v>4.2352111941551585E-2</v>
      </c>
      <c r="DB94"/>
      <c r="DC94"/>
      <c r="DD94"/>
      <c r="DE94"/>
      <c r="DF94"/>
      <c r="DG94"/>
      <c r="HQ94" s="4"/>
      <c r="HR94" s="4"/>
      <c r="HS94" s="4"/>
      <c r="HT94" s="4"/>
      <c r="HU94" s="4"/>
      <c r="HV94" s="4"/>
      <c r="HW94" s="4"/>
      <c r="HX94" s="4"/>
      <c r="HY94" s="4"/>
      <c r="HZ94" s="4"/>
      <c r="IA94" s="4"/>
      <c r="IB94" s="4"/>
      <c r="IC94" s="4"/>
      <c r="ID94" s="4"/>
      <c r="IE94" s="4"/>
      <c r="IF94" s="4"/>
      <c r="IG94" s="4"/>
      <c r="IH94" s="4"/>
      <c r="II94" s="4"/>
      <c r="IJ94" s="4"/>
      <c r="IK94" s="4"/>
      <c r="IL94" s="4"/>
      <c r="IM94" s="4"/>
      <c r="IN94" s="4"/>
      <c r="IO94" s="4"/>
      <c r="IP94" s="4"/>
      <c r="IQ94" s="4"/>
      <c r="IR94" s="4"/>
      <c r="IS94" s="4"/>
      <c r="IT94" s="4"/>
      <c r="IU94" s="4"/>
      <c r="IV94" s="4"/>
    </row>
    <row r="95" spans="1:256" s="66" customFormat="1" ht="12" customHeight="1">
      <c r="A95" s="603" t="s">
        <v>31</v>
      </c>
      <c r="B95" s="153"/>
      <c r="C95" s="152"/>
      <c r="D95" s="46"/>
      <c r="E95" s="46"/>
      <c r="F95" s="46"/>
      <c r="G95" s="153"/>
      <c r="H95" s="152"/>
      <c r="I95" s="46"/>
      <c r="J95" s="46"/>
      <c r="K95" s="97"/>
      <c r="L95" s="152"/>
      <c r="M95" s="152"/>
      <c r="N95" s="46"/>
      <c r="O95" s="154"/>
      <c r="P95" s="46"/>
      <c r="Q95" s="153"/>
      <c r="R95" s="152"/>
      <c r="S95" s="46"/>
      <c r="T95" s="46"/>
      <c r="U95" s="97"/>
      <c r="V95" s="97"/>
      <c r="W95" s="46"/>
      <c r="X95" s="46"/>
      <c r="Y95" s="46"/>
      <c r="Z95" s="46"/>
      <c r="AA95" s="153">
        <f>(AA51/AA50)</f>
        <v>-7.229038818764702E-2</v>
      </c>
      <c r="AB95" s="46">
        <f>(AB51/AB50)</f>
        <v>-0.122148936457195</v>
      </c>
      <c r="AC95" s="46">
        <f>-(AC51/AC50)</f>
        <v>0.16678966789668057</v>
      </c>
      <c r="AD95" s="46">
        <f>-(AD51/AD50)</f>
        <v>2.0071879026242495E-2</v>
      </c>
      <c r="AE95" s="46">
        <f>-(AE51/AE50)</f>
        <v>0.18343770376840826</v>
      </c>
      <c r="AF95" s="153">
        <f>(AF51/AF50)</f>
        <v>-0.16394518582924089</v>
      </c>
      <c r="AG95" s="46">
        <f>-(AG51/AG50)</f>
        <v>0.30566325557744806</v>
      </c>
      <c r="AH95" s="46">
        <f>-(AH51/AH50)</f>
        <v>0.36470287103792576</v>
      </c>
      <c r="AI95" s="46">
        <f>-(AI51/AI50)</f>
        <v>0.36372151108335926</v>
      </c>
      <c r="AJ95" s="46">
        <v>0.22</v>
      </c>
      <c r="AK95" s="606">
        <f t="shared" ref="AK95:AP95" si="206">-(AK51/AK50)</f>
        <v>1.1746386529578103</v>
      </c>
      <c r="AL95" s="46">
        <f t="shared" si="206"/>
        <v>0.60173363008082248</v>
      </c>
      <c r="AM95" s="46">
        <f t="shared" si="206"/>
        <v>0.42104128489813508</v>
      </c>
      <c r="AN95" s="46">
        <f t="shared" si="206"/>
        <v>0.93102139930187666</v>
      </c>
      <c r="AO95" s="46">
        <f t="shared" si="206"/>
        <v>0.42879898056705751</v>
      </c>
      <c r="AP95" s="606">
        <f t="shared" si="206"/>
        <v>0.80336440100024198</v>
      </c>
      <c r="AQ95" s="46">
        <f t="shared" ref="AQ95:AV95" si="207">-(AQ51/AQ50)</f>
        <v>0.84883720930235773</v>
      </c>
      <c r="AR95" s="46">
        <f t="shared" si="207"/>
        <v>0.42127681152071</v>
      </c>
      <c r="AS95" s="46">
        <f t="shared" si="207"/>
        <v>0.40974477958237854</v>
      </c>
      <c r="AT95" s="46">
        <f t="shared" si="207"/>
        <v>-1.6481481481480598</v>
      </c>
      <c r="AU95" s="606">
        <f t="shared" si="207"/>
        <v>0.26480610092487811</v>
      </c>
      <c r="AV95" s="46">
        <f t="shared" si="207"/>
        <v>0.31916473317865196</v>
      </c>
      <c r="AW95" s="46">
        <f t="shared" ref="AW95:BC95" si="208">-(AW51/AW50)</f>
        <v>0.61224057602710069</v>
      </c>
      <c r="AX95" s="46">
        <f t="shared" si="208"/>
        <v>0.32183674506019111</v>
      </c>
      <c r="AY95" s="46">
        <f t="shared" si="208"/>
        <v>-0.35204597456499853</v>
      </c>
      <c r="AZ95" s="606">
        <f t="shared" si="208"/>
        <v>1.5975600515268435</v>
      </c>
      <c r="BA95" s="46">
        <f t="shared" si="208"/>
        <v>3.9032258064521357</v>
      </c>
      <c r="BB95" s="46">
        <f t="shared" si="208"/>
        <v>0.29624201207715367</v>
      </c>
      <c r="BC95" s="46">
        <f t="shared" si="208"/>
        <v>1.1605882789868576</v>
      </c>
      <c r="BD95" s="46">
        <f>(BD51/BD50)</f>
        <v>0.12352840812148175</v>
      </c>
      <c r="BE95" s="606">
        <f t="shared" ref="BE95:BJ95" si="209">-(BE51/BE50)</f>
        <v>0.23964241572557837</v>
      </c>
      <c r="BF95" s="46">
        <f t="shared" si="209"/>
        <v>0.39507205100401077</v>
      </c>
      <c r="BG95" s="46">
        <f t="shared" si="209"/>
        <v>0.43764176731742233</v>
      </c>
      <c r="BH95" s="46">
        <f t="shared" si="209"/>
        <v>0.33034142907426967</v>
      </c>
      <c r="BI95" s="46">
        <f t="shared" si="209"/>
        <v>0.40352853814047535</v>
      </c>
      <c r="BJ95" s="606">
        <f t="shared" si="209"/>
        <v>0.39655377951739063</v>
      </c>
      <c r="BK95" s="46">
        <f t="shared" ref="BK95:BP95" si="210">-(BK51/BK50)</f>
        <v>0.28562994450348334</v>
      </c>
      <c r="BL95" s="46">
        <f t="shared" si="210"/>
        <v>0.3806755812793135</v>
      </c>
      <c r="BM95" s="46">
        <f t="shared" si="210"/>
        <v>0.70501506290979921</v>
      </c>
      <c r="BN95" s="46">
        <f t="shared" si="210"/>
        <v>0.3684679038897038</v>
      </c>
      <c r="BO95" s="606">
        <f t="shared" si="210"/>
        <v>0.4021725665417914</v>
      </c>
      <c r="BP95" s="46">
        <f t="shared" si="210"/>
        <v>0.29511978211327883</v>
      </c>
      <c r="BQ95" s="46">
        <f>-(BQ51/BQ50)</f>
        <v>0.28971862342748345</v>
      </c>
      <c r="BR95" s="46">
        <f>-(BR51/BR50)</f>
        <v>0.37203776250722514</v>
      </c>
      <c r="BS95" s="46">
        <f>-(BS51/BS50)</f>
        <v>0.42872397223705289</v>
      </c>
      <c r="BT95" s="606">
        <f>-(BT51/BT50)</f>
        <v>0.35731249597152098</v>
      </c>
      <c r="BU95" s="46">
        <f t="shared" ref="BU95:BV95" si="211">-(BU51/BU50)</f>
        <v>0.30475508806871277</v>
      </c>
      <c r="BV95" s="46">
        <f t="shared" si="211"/>
        <v>-5.21212121212195</v>
      </c>
      <c r="BW95" s="46">
        <f t="shared" ref="BW95" si="212">-(BW51/BW50)</f>
        <v>0.54818570749485052</v>
      </c>
      <c r="BX95" s="1335">
        <f t="shared" ref="BX95" si="213">-(BX51/BX50)</f>
        <v>-3.2330241581842838</v>
      </c>
      <c r="BY95" s="606">
        <f>-(BY51/BY50)</f>
        <v>-0.92597017302829465</v>
      </c>
      <c r="BZ95" s="169">
        <v>0.24</v>
      </c>
      <c r="CA95" s="169">
        <v>0.24</v>
      </c>
      <c r="CB95" s="169">
        <v>0.24</v>
      </c>
      <c r="CC95" s="169">
        <v>0.24</v>
      </c>
      <c r="CD95" s="606">
        <f>-(CD51/CD50)</f>
        <v>0.23999999999999977</v>
      </c>
      <c r="CE95" s="169">
        <f>BZ95</f>
        <v>0.24</v>
      </c>
      <c r="CF95" s="169">
        <f>CA95</f>
        <v>0.24</v>
      </c>
      <c r="CG95" s="169">
        <f>CB95</f>
        <v>0.24</v>
      </c>
      <c r="CH95" s="169">
        <f>CC95</f>
        <v>0.24</v>
      </c>
      <c r="CI95" s="606">
        <f>-(CI51/CI50)</f>
        <v>0.23999999999999985</v>
      </c>
      <c r="CJ95" s="169">
        <f>CE95</f>
        <v>0.24</v>
      </c>
      <c r="CK95" s="169">
        <f>CF95</f>
        <v>0.24</v>
      </c>
      <c r="CL95" s="169">
        <f>CG95</f>
        <v>0.24</v>
      </c>
      <c r="CM95" s="169">
        <f>CH95</f>
        <v>0.24</v>
      </c>
      <c r="CN95" s="606">
        <f>-(CN51/CN50)</f>
        <v>0.23999999999999991</v>
      </c>
      <c r="CO95" s="45"/>
      <c r="CP95" s="593"/>
      <c r="CQ95" s="593"/>
      <c r="CR95" s="603" t="s">
        <v>31</v>
      </c>
      <c r="CS95" s="46">
        <f t="shared" si="176"/>
        <v>-3.2330241581842838</v>
      </c>
      <c r="CT95" s="169">
        <v>0.3</v>
      </c>
      <c r="CU95" s="153">
        <f t="shared" si="21"/>
        <v>-3.5330241581842836</v>
      </c>
      <c r="CV95" s="46">
        <f t="shared" si="177"/>
        <v>0.42872397223705289</v>
      </c>
      <c r="CW95" s="153">
        <f t="shared" si="130"/>
        <v>-3.6617481304213366</v>
      </c>
      <c r="CX95" s="593"/>
      <c r="CY95" s="593"/>
      <c r="CZ95" s="593"/>
      <c r="DA95" s="593"/>
      <c r="DB95"/>
      <c r="DC95"/>
      <c r="DD95"/>
      <c r="DE95"/>
      <c r="DF95"/>
      <c r="DG95"/>
      <c r="DH95" s="593"/>
      <c r="DI95" s="593"/>
      <c r="DJ95" s="593"/>
      <c r="DK95" s="593"/>
      <c r="DL95" s="593"/>
      <c r="DM95" s="593"/>
      <c r="DN95" s="593"/>
      <c r="DO95" s="593"/>
      <c r="DP95" s="593"/>
      <c r="DQ95" s="593"/>
      <c r="DR95" s="593"/>
      <c r="DS95" s="593"/>
      <c r="DT95" s="593"/>
      <c r="DU95" s="593"/>
      <c r="DV95" s="593"/>
      <c r="DW95" s="593"/>
      <c r="DX95" s="593"/>
      <c r="DY95" s="593"/>
      <c r="DZ95" s="593"/>
      <c r="EA95" s="593"/>
      <c r="EB95" s="593"/>
      <c r="EC95" s="593"/>
      <c r="ED95" s="593"/>
      <c r="EE95" s="593"/>
      <c r="EF95" s="593"/>
      <c r="EG95" s="593"/>
      <c r="EH95" s="593"/>
      <c r="EI95" s="593"/>
      <c r="EJ95" s="593"/>
      <c r="EK95" s="593"/>
      <c r="EL95" s="593"/>
      <c r="EM95" s="593"/>
      <c r="EN95" s="593"/>
      <c r="EO95" s="593"/>
      <c r="EP95" s="593"/>
      <c r="EQ95" s="593"/>
      <c r="ER95" s="593"/>
      <c r="ES95" s="593"/>
      <c r="ET95" s="593"/>
      <c r="EU95" s="593"/>
      <c r="EV95" s="593"/>
      <c r="EW95" s="593"/>
      <c r="EX95" s="593"/>
      <c r="EY95" s="593"/>
      <c r="EZ95" s="593"/>
      <c r="FA95" s="593"/>
      <c r="FB95" s="593"/>
      <c r="FC95" s="593"/>
      <c r="FD95" s="593"/>
      <c r="FE95" s="593"/>
      <c r="FF95" s="593"/>
      <c r="FG95" s="593"/>
      <c r="FH95" s="593"/>
      <c r="FI95" s="593"/>
      <c r="FJ95" s="593"/>
      <c r="FK95" s="593"/>
      <c r="FL95" s="593"/>
      <c r="FM95" s="593"/>
      <c r="FN95" s="593"/>
      <c r="FO95" s="593"/>
      <c r="FP95" s="593"/>
      <c r="FQ95" s="593"/>
      <c r="FR95" s="593"/>
      <c r="FS95" s="593"/>
      <c r="FT95" s="593"/>
      <c r="FU95" s="593"/>
      <c r="FV95" s="593"/>
      <c r="FW95" s="593"/>
      <c r="FX95" s="593"/>
      <c r="FY95" s="593"/>
      <c r="FZ95" s="593"/>
      <c r="GA95" s="593"/>
      <c r="GB95" s="593"/>
      <c r="GC95" s="593"/>
      <c r="GD95" s="593"/>
      <c r="GE95" s="593"/>
      <c r="GF95" s="593"/>
      <c r="GG95" s="593"/>
      <c r="GH95" s="593"/>
      <c r="GI95" s="593"/>
      <c r="GJ95" s="593"/>
      <c r="GK95" s="593"/>
      <c r="GL95" s="593"/>
      <c r="GM95" s="593"/>
      <c r="GN95" s="593"/>
      <c r="GO95" s="593"/>
      <c r="GP95" s="593"/>
      <c r="GQ95" s="593"/>
      <c r="GR95" s="593"/>
      <c r="GS95" s="593"/>
      <c r="GT95" s="593"/>
      <c r="GU95" s="593"/>
      <c r="GV95" s="593"/>
      <c r="GW95" s="593"/>
      <c r="GX95" s="593"/>
      <c r="GY95" s="593"/>
      <c r="GZ95" s="593"/>
      <c r="HA95" s="593"/>
      <c r="HB95" s="593"/>
      <c r="HC95" s="593"/>
      <c r="HD95" s="593"/>
      <c r="HE95" s="593"/>
      <c r="HF95" s="593"/>
      <c r="HG95" s="593"/>
      <c r="HH95" s="593"/>
      <c r="HI95" s="593"/>
      <c r="HJ95" s="593"/>
      <c r="HK95" s="593"/>
      <c r="HL95" s="593"/>
      <c r="HM95" s="593"/>
      <c r="HN95" s="593"/>
      <c r="HO95" s="593"/>
      <c r="HP95" s="593"/>
      <c r="HQ95" s="6"/>
      <c r="HR95" s="6"/>
      <c r="HS95" s="6"/>
      <c r="HT95" s="6"/>
      <c r="HU95" s="6"/>
      <c r="HV95" s="6"/>
      <c r="HW95" s="6"/>
      <c r="HX95" s="6"/>
      <c r="HY95" s="6"/>
      <c r="HZ95" s="6"/>
      <c r="IA95" s="6"/>
      <c r="IB95" s="6"/>
      <c r="IC95" s="6"/>
      <c r="ID95" s="6"/>
      <c r="IE95" s="6"/>
      <c r="IF95" s="6"/>
      <c r="IG95" s="6"/>
      <c r="IH95" s="6"/>
      <c r="II95" s="6"/>
      <c r="IJ95" s="6"/>
      <c r="IK95" s="6"/>
      <c r="IL95" s="6"/>
      <c r="IM95" s="6"/>
      <c r="IN95" s="6"/>
      <c r="IO95" s="6"/>
      <c r="IP95" s="6"/>
      <c r="IQ95" s="6"/>
      <c r="IR95" s="6"/>
      <c r="IS95" s="6"/>
      <c r="IT95" s="6"/>
      <c r="IU95" s="6"/>
      <c r="IV95" s="6"/>
    </row>
    <row r="96" spans="1:256" s="66" customFormat="1" ht="12" hidden="1" customHeight="1" outlineLevel="1">
      <c r="A96" s="577" t="s">
        <v>98</v>
      </c>
      <c r="B96" s="153"/>
      <c r="C96" s="152"/>
      <c r="D96" s="46"/>
      <c r="E96" s="46"/>
      <c r="F96" s="46"/>
      <c r="G96" s="153"/>
      <c r="H96" s="152"/>
      <c r="I96" s="46"/>
      <c r="J96" s="46"/>
      <c r="K96" s="97"/>
      <c r="L96" s="46"/>
      <c r="M96" s="152"/>
      <c r="N96" s="46"/>
      <c r="O96" s="154"/>
      <c r="P96" s="46"/>
      <c r="Q96" s="153"/>
      <c r="R96" s="152"/>
      <c r="S96" s="46"/>
      <c r="T96" s="46"/>
      <c r="U96" s="97"/>
      <c r="V96" s="97"/>
      <c r="W96" s="46"/>
      <c r="X96" s="46"/>
      <c r="Y96" s="46"/>
      <c r="Z96" s="46"/>
      <c r="AA96" s="153">
        <f t="shared" ref="AA96:AI96" si="214">AA52/AA17</f>
        <v>-5.8990791460699179E-4</v>
      </c>
      <c r="AB96" s="46">
        <f t="shared" si="214"/>
        <v>0</v>
      </c>
      <c r="AC96" s="46">
        <f t="shared" si="214"/>
        <v>0</v>
      </c>
      <c r="AD96" s="46">
        <f t="shared" si="214"/>
        <v>0</v>
      </c>
      <c r="AE96" s="46">
        <f t="shared" si="214"/>
        <v>0</v>
      </c>
      <c r="AF96" s="153">
        <f t="shared" si="214"/>
        <v>0</v>
      </c>
      <c r="AG96" s="46">
        <f t="shared" si="214"/>
        <v>0</v>
      </c>
      <c r="AH96" s="46">
        <f t="shared" si="214"/>
        <v>0</v>
      </c>
      <c r="AI96" s="46">
        <f t="shared" si="214"/>
        <v>4.6721677197496513E-4</v>
      </c>
      <c r="AJ96" s="46">
        <v>0</v>
      </c>
      <c r="AK96" s="606">
        <f>AK52/AK17</f>
        <v>1.1784960770323122E-4</v>
      </c>
      <c r="AL96" s="46">
        <f>AL52/AL17</f>
        <v>0</v>
      </c>
      <c r="AM96" s="46">
        <v>0</v>
      </c>
      <c r="AN96" s="46">
        <v>0</v>
      </c>
      <c r="AO96" s="46">
        <v>0</v>
      </c>
      <c r="AP96" s="606">
        <f>AP52/AP17</f>
        <v>0</v>
      </c>
      <c r="AQ96" s="46">
        <v>0</v>
      </c>
      <c r="AR96" s="46">
        <v>0</v>
      </c>
      <c r="AS96" s="46">
        <v>0</v>
      </c>
      <c r="AT96" s="46">
        <v>0</v>
      </c>
      <c r="AU96" s="606">
        <f>AU52/AU17</f>
        <v>0</v>
      </c>
      <c r="AV96" s="46">
        <v>0</v>
      </c>
      <c r="AW96" s="46">
        <v>0</v>
      </c>
      <c r="AX96" s="46">
        <v>0</v>
      </c>
      <c r="AY96" s="46">
        <v>0</v>
      </c>
      <c r="AZ96" s="606">
        <f>AZ52/AZ17</f>
        <v>-9.5162898604410546E-4</v>
      </c>
      <c r="BA96" s="46">
        <v>0</v>
      </c>
      <c r="BB96" s="46">
        <v>0</v>
      </c>
      <c r="BC96" s="46">
        <v>0</v>
      </c>
      <c r="BD96" s="46">
        <v>0</v>
      </c>
      <c r="BE96" s="606">
        <f>BE52/BE17</f>
        <v>2.5408250686163473E-4</v>
      </c>
      <c r="BF96" s="46">
        <v>0</v>
      </c>
      <c r="BG96" s="46">
        <v>0</v>
      </c>
      <c r="BH96" s="46">
        <v>0</v>
      </c>
      <c r="BI96" s="46">
        <v>0</v>
      </c>
      <c r="BJ96" s="606">
        <f>BJ52/BJ17</f>
        <v>0</v>
      </c>
      <c r="BK96" s="46">
        <v>0</v>
      </c>
      <c r="BL96" s="46">
        <v>0</v>
      </c>
      <c r="BM96" s="46">
        <v>0</v>
      </c>
      <c r="BN96" s="46">
        <v>0</v>
      </c>
      <c r="BO96" s="606">
        <f>BO52/BO17</f>
        <v>0</v>
      </c>
      <c r="BP96" s="46">
        <v>0</v>
      </c>
      <c r="BQ96" s="169">
        <v>0</v>
      </c>
      <c r="BR96" s="169">
        <v>0</v>
      </c>
      <c r="BS96" s="169">
        <v>0</v>
      </c>
      <c r="BT96" s="606">
        <f>BT52/BT17</f>
        <v>0</v>
      </c>
      <c r="BU96" s="46">
        <v>0</v>
      </c>
      <c r="BV96" s="169">
        <v>0</v>
      </c>
      <c r="BW96" s="169">
        <v>0</v>
      </c>
      <c r="BX96" s="46">
        <v>0</v>
      </c>
      <c r="BY96" s="606">
        <f>BY52/BY17</f>
        <v>0</v>
      </c>
      <c r="BZ96" s="169">
        <v>0</v>
      </c>
      <c r="CA96" s="169">
        <v>0</v>
      </c>
      <c r="CB96" s="169">
        <v>0</v>
      </c>
      <c r="CC96" s="169">
        <v>0</v>
      </c>
      <c r="CD96" s="606">
        <f>CD52/CD17</f>
        <v>0</v>
      </c>
      <c r="CE96" s="169">
        <v>0</v>
      </c>
      <c r="CF96" s="169">
        <v>0</v>
      </c>
      <c r="CG96" s="169">
        <v>0</v>
      </c>
      <c r="CH96" s="169">
        <v>0</v>
      </c>
      <c r="CI96" s="606">
        <f>CI52/CI17</f>
        <v>0</v>
      </c>
      <c r="CJ96" s="169">
        <v>0</v>
      </c>
      <c r="CK96" s="169">
        <v>0</v>
      </c>
      <c r="CL96" s="169">
        <v>0</v>
      </c>
      <c r="CM96" s="169">
        <v>0</v>
      </c>
      <c r="CN96" s="606">
        <f>CN52/CN17</f>
        <v>0</v>
      </c>
      <c r="CO96" s="45"/>
      <c r="CR96" s="603" t="s">
        <v>111</v>
      </c>
      <c r="CS96" s="46">
        <f t="shared" si="176"/>
        <v>0</v>
      </c>
      <c r="CT96" s="169">
        <v>0</v>
      </c>
      <c r="CU96" s="153">
        <f t="shared" si="21"/>
        <v>0</v>
      </c>
      <c r="CV96" s="46">
        <f t="shared" si="177"/>
        <v>0</v>
      </c>
      <c r="CW96" s="153">
        <f t="shared" si="130"/>
        <v>0</v>
      </c>
      <c r="DB96"/>
      <c r="DC96"/>
      <c r="DD96"/>
      <c r="DE96"/>
      <c r="DF96"/>
      <c r="DG96"/>
      <c r="HQ96" s="6"/>
      <c r="HR96" s="6"/>
      <c r="HS96" s="6"/>
      <c r="HT96" s="6"/>
      <c r="HU96" s="6"/>
      <c r="HV96" s="6"/>
      <c r="HW96" s="6"/>
      <c r="HX96" s="6"/>
      <c r="HY96" s="6"/>
      <c r="HZ96" s="6"/>
      <c r="IA96" s="6"/>
      <c r="IB96" s="6"/>
      <c r="IC96" s="6"/>
      <c r="ID96" s="6"/>
      <c r="IE96" s="6"/>
      <c r="IF96" s="6"/>
      <c r="IG96" s="6"/>
      <c r="IH96" s="6"/>
      <c r="II96" s="6"/>
      <c r="IJ96" s="6"/>
      <c r="IK96" s="6"/>
      <c r="IL96" s="6"/>
      <c r="IM96" s="6"/>
      <c r="IN96" s="6"/>
      <c r="IO96" s="6"/>
      <c r="IP96" s="6"/>
      <c r="IQ96" s="6"/>
      <c r="IR96" s="6"/>
      <c r="IS96" s="6"/>
      <c r="IT96" s="6"/>
      <c r="IU96" s="6"/>
      <c r="IV96" s="6"/>
    </row>
    <row r="97" spans="1:256" s="66" customFormat="1" ht="12" customHeight="1" collapsed="1">
      <c r="A97" s="601" t="s">
        <v>32</v>
      </c>
      <c r="B97" s="153"/>
      <c r="C97" s="152"/>
      <c r="D97" s="46"/>
      <c r="E97" s="46"/>
      <c r="F97" s="97"/>
      <c r="G97" s="170"/>
      <c r="H97" s="152"/>
      <c r="I97" s="46"/>
      <c r="J97" s="46"/>
      <c r="K97" s="97"/>
      <c r="L97" s="46"/>
      <c r="M97" s="152"/>
      <c r="N97" s="154"/>
      <c r="O97" s="154"/>
      <c r="P97" s="97"/>
      <c r="Q97" s="170"/>
      <c r="R97" s="196"/>
      <c r="S97" s="172"/>
      <c r="T97" s="172"/>
      <c r="U97" s="127"/>
      <c r="V97" s="127"/>
      <c r="W97" s="46"/>
      <c r="X97" s="46"/>
      <c r="Y97" s="46"/>
      <c r="Z97" s="46"/>
      <c r="AA97" s="170">
        <f t="shared" ref="AA97:BF97" si="215">AA55/AA17</f>
        <v>7.1557036173251931E-2</v>
      </c>
      <c r="AB97" s="46">
        <f t="shared" si="215"/>
        <v>-7.3475355054302596E-2</v>
      </c>
      <c r="AC97" s="46">
        <f t="shared" si="215"/>
        <v>1.3138350993601531E-2</v>
      </c>
      <c r="AD97" s="46">
        <f t="shared" si="215"/>
        <v>-4.5058716210508172E-2</v>
      </c>
      <c r="AE97" s="46">
        <f t="shared" si="215"/>
        <v>-0.44307668969640485</v>
      </c>
      <c r="AF97" s="170">
        <f t="shared" si="215"/>
        <v>-0.13432121548816514</v>
      </c>
      <c r="AG97" s="46">
        <f t="shared" si="215"/>
        <v>-1.2643752662086371E-2</v>
      </c>
      <c r="AH97" s="46">
        <f t="shared" si="215"/>
        <v>1.6316656203057511E-2</v>
      </c>
      <c r="AI97" s="154">
        <f t="shared" si="215"/>
        <v>1.6261800821725805E-2</v>
      </c>
      <c r="AJ97" s="46">
        <f t="shared" si="215"/>
        <v>-1.5088634908090788E-2</v>
      </c>
      <c r="AK97" s="610">
        <f t="shared" si="215"/>
        <v>1.4136367634922172E-3</v>
      </c>
      <c r="AL97" s="46">
        <f t="shared" si="215"/>
        <v>-4.0599584212493798E-3</v>
      </c>
      <c r="AM97" s="46">
        <f t="shared" si="215"/>
        <v>1.2248281398050908E-2</v>
      </c>
      <c r="AN97" s="46">
        <f t="shared" si="215"/>
        <v>-1.0554867895782702E-3</v>
      </c>
      <c r="AO97" s="46">
        <f t="shared" si="215"/>
        <v>-1.2795992064058572E-2</v>
      </c>
      <c r="AP97" s="610">
        <f t="shared" si="215"/>
        <v>-1.2659472768814309E-3</v>
      </c>
      <c r="AQ97" s="154">
        <f t="shared" si="215"/>
        <v>-2.678272514227652E-4</v>
      </c>
      <c r="AR97" s="46">
        <f t="shared" si="215"/>
        <v>1.8160642570281417E-2</v>
      </c>
      <c r="AS97" s="154">
        <f t="shared" si="215"/>
        <v>-6.4865819671060714E-3</v>
      </c>
      <c r="AT97" s="154">
        <f t="shared" si="215"/>
        <v>6.4778591846093719E-3</v>
      </c>
      <c r="AU97" s="610">
        <f t="shared" si="215"/>
        <v>7.45416617312208E-3</v>
      </c>
      <c r="AV97" s="154">
        <f t="shared" si="215"/>
        <v>2.0716234123117544E-2</v>
      </c>
      <c r="AW97" s="154">
        <f t="shared" si="215"/>
        <v>-8.5048338050501809E-3</v>
      </c>
      <c r="AX97" s="46">
        <f t="shared" si="215"/>
        <v>-4.113328712675237E-2</v>
      </c>
      <c r="AY97" s="46">
        <f t="shared" si="215"/>
        <v>4.1893760547660655E-2</v>
      </c>
      <c r="AZ97" s="610">
        <f t="shared" si="215"/>
        <v>2.7986035323637071E-3</v>
      </c>
      <c r="BA97" s="154">
        <f t="shared" si="215"/>
        <v>3.5778827216425453E-3</v>
      </c>
      <c r="BB97" s="154">
        <f t="shared" si="215"/>
        <v>1.8793444276038844E-2</v>
      </c>
      <c r="BC97" s="154">
        <f t="shared" si="215"/>
        <v>-3.3740181872378059E-3</v>
      </c>
      <c r="BD97" s="154">
        <f t="shared" si="215"/>
        <v>5.5821608527949325E-2</v>
      </c>
      <c r="BE97" s="610">
        <f t="shared" si="215"/>
        <v>1.8201875788228936E-2</v>
      </c>
      <c r="BF97" s="46">
        <f t="shared" si="215"/>
        <v>8.8500294344758007E-2</v>
      </c>
      <c r="BG97" s="46">
        <f t="shared" ref="BG97:CN97" si="216">BG55/BG17</f>
        <v>5.5417469866858401E-2</v>
      </c>
      <c r="BH97" s="46">
        <f t="shared" si="216"/>
        <v>4.4547297600533858E-2</v>
      </c>
      <c r="BI97" s="46">
        <f t="shared" si="216"/>
        <v>4.6406920197389859E-2</v>
      </c>
      <c r="BJ97" s="610">
        <f t="shared" si="216"/>
        <v>5.8942339975042501E-2</v>
      </c>
      <c r="BK97" s="46">
        <f t="shared" si="216"/>
        <v>6.0887311878415735E-2</v>
      </c>
      <c r="BL97" s="46">
        <f t="shared" si="216"/>
        <v>8.2108699293613918E-2</v>
      </c>
      <c r="BM97" s="46">
        <f t="shared" si="216"/>
        <v>1.6322700477154936E-2</v>
      </c>
      <c r="BN97" s="46">
        <f t="shared" si="216"/>
        <v>0.18488904202513115</v>
      </c>
      <c r="BO97" s="610">
        <f t="shared" si="216"/>
        <v>8.6144072305093911E-2</v>
      </c>
      <c r="BP97" s="46">
        <f t="shared" si="216"/>
        <v>6.695847534366281E-2</v>
      </c>
      <c r="BQ97" s="154">
        <f t="shared" si="216"/>
        <v>6.9189324776989747E-2</v>
      </c>
      <c r="BR97" s="154">
        <f t="shared" si="216"/>
        <v>0.13430875905189929</v>
      </c>
      <c r="BS97" s="154">
        <f t="shared" si="216"/>
        <v>9.3223319705325242E-2</v>
      </c>
      <c r="BT97" s="610">
        <f t="shared" si="216"/>
        <v>9.0303312345253961E-2</v>
      </c>
      <c r="BU97" s="46">
        <f t="shared" ref="BU97" si="217">BU55/BU17</f>
        <v>7.8164852581528679E-2</v>
      </c>
      <c r="BV97" s="154">
        <f t="shared" si="216"/>
        <v>-5.7594695669002435E-3</v>
      </c>
      <c r="BW97" s="46">
        <f t="shared" ref="BW97" si="218">BW55/BW17</f>
        <v>4.6288961038960984E-2</v>
      </c>
      <c r="BX97" s="46">
        <f t="shared" ref="BX97" si="219">BX55/BX17</f>
        <v>0.51504460835513355</v>
      </c>
      <c r="BY97" s="610">
        <f t="shared" si="216"/>
        <v>0.15812915592138327</v>
      </c>
      <c r="BZ97" s="154">
        <f t="shared" si="216"/>
        <v>7.9520950234766061E-2</v>
      </c>
      <c r="CA97" s="154">
        <f t="shared" si="216"/>
        <v>0.11748927031188529</v>
      </c>
      <c r="CB97" s="154">
        <f t="shared" si="216"/>
        <v>0.10267566400822238</v>
      </c>
      <c r="CC97" s="154">
        <f t="shared" si="216"/>
        <v>0.11040093719736978</v>
      </c>
      <c r="CD97" s="610">
        <f t="shared" si="216"/>
        <v>0.10299656976468255</v>
      </c>
      <c r="CE97" s="154">
        <f t="shared" si="216"/>
        <v>0.10429557807713009</v>
      </c>
      <c r="CF97" s="154">
        <f t="shared" si="216"/>
        <v>0.13767857920171206</v>
      </c>
      <c r="CG97" s="154">
        <f t="shared" si="216"/>
        <v>0.12328168231898441</v>
      </c>
      <c r="CH97" s="154">
        <f t="shared" si="216"/>
        <v>0.13138133586915579</v>
      </c>
      <c r="CI97" s="610">
        <f t="shared" si="216"/>
        <v>0.12454499831315663</v>
      </c>
      <c r="CJ97" s="154">
        <f t="shared" si="216"/>
        <v>0.12301994441842463</v>
      </c>
      <c r="CK97" s="154">
        <f t="shared" si="216"/>
        <v>0.15277338685979225</v>
      </c>
      <c r="CL97" s="154">
        <f t="shared" si="216"/>
        <v>0.13901851645070801</v>
      </c>
      <c r="CM97" s="154">
        <f t="shared" si="216"/>
        <v>0.1472926652892991</v>
      </c>
      <c r="CN97" s="610">
        <f t="shared" si="216"/>
        <v>0.14084685134012945</v>
      </c>
      <c r="CO97" s="68"/>
      <c r="CP97" s="593"/>
      <c r="CQ97" s="593"/>
      <c r="CR97" s="601" t="s">
        <v>32</v>
      </c>
      <c r="CS97" s="46">
        <f t="shared" si="176"/>
        <v>0.51504460835513355</v>
      </c>
      <c r="CT97" s="154">
        <v>9.287378234470782E-2</v>
      </c>
      <c r="CU97" s="153">
        <f t="shared" si="21"/>
        <v>0.42217082601042571</v>
      </c>
      <c r="CV97" s="46">
        <f t="shared" si="177"/>
        <v>9.3223319705325242E-2</v>
      </c>
      <c r="CW97" s="153">
        <f t="shared" si="130"/>
        <v>0.42182128864980828</v>
      </c>
      <c r="CX97" s="593"/>
      <c r="CY97" s="593"/>
      <c r="CZ97" s="593"/>
      <c r="DA97" s="593"/>
      <c r="DB97"/>
      <c r="DC97"/>
      <c r="DD97"/>
      <c r="DE97"/>
      <c r="DF97"/>
      <c r="DG97"/>
      <c r="DH97" s="593"/>
      <c r="DI97" s="593"/>
      <c r="DJ97" s="593"/>
      <c r="DK97" s="593"/>
      <c r="DL97" s="593"/>
      <c r="DM97" s="593"/>
      <c r="DN97" s="593"/>
      <c r="DO97" s="593"/>
      <c r="DP97" s="593"/>
      <c r="DQ97" s="593"/>
      <c r="DR97" s="593"/>
      <c r="DS97" s="593"/>
      <c r="DT97" s="593"/>
      <c r="DU97" s="593"/>
      <c r="DV97" s="593"/>
      <c r="DW97" s="593"/>
      <c r="DX97" s="593"/>
      <c r="DY97" s="593"/>
      <c r="DZ97" s="593"/>
      <c r="EA97" s="593"/>
      <c r="EB97" s="593"/>
      <c r="EC97" s="593"/>
      <c r="ED97" s="593"/>
      <c r="EE97" s="593"/>
      <c r="EF97" s="593"/>
      <c r="EG97" s="593"/>
      <c r="EH97" s="593"/>
      <c r="EI97" s="593"/>
      <c r="EJ97" s="593"/>
      <c r="EK97" s="593"/>
      <c r="EL97" s="593"/>
      <c r="EM97" s="593"/>
      <c r="EN97" s="593"/>
      <c r="EO97" s="593"/>
      <c r="EP97" s="593"/>
      <c r="EQ97" s="593"/>
      <c r="ER97" s="593"/>
      <c r="ES97" s="593"/>
      <c r="ET97" s="593"/>
      <c r="EU97" s="593"/>
      <c r="EV97" s="593"/>
      <c r="EW97" s="593"/>
      <c r="EX97" s="593"/>
      <c r="EY97" s="593"/>
      <c r="EZ97" s="593"/>
      <c r="FA97" s="593"/>
      <c r="FB97" s="593"/>
      <c r="FC97" s="593"/>
      <c r="FD97" s="593"/>
      <c r="FE97" s="593"/>
      <c r="FF97" s="593"/>
      <c r="FG97" s="593"/>
      <c r="FH97" s="593"/>
      <c r="FI97" s="593"/>
      <c r="FJ97" s="593"/>
      <c r="FK97" s="593"/>
      <c r="FL97" s="593"/>
      <c r="FM97" s="593"/>
      <c r="FN97" s="593"/>
      <c r="FO97" s="593"/>
      <c r="FP97" s="593"/>
      <c r="FQ97" s="593"/>
      <c r="FR97" s="593"/>
      <c r="FS97" s="593"/>
      <c r="FT97" s="593"/>
      <c r="FU97" s="593"/>
      <c r="FV97" s="593"/>
      <c r="FW97" s="593"/>
      <c r="FX97" s="593"/>
      <c r="FY97" s="593"/>
      <c r="FZ97" s="593"/>
      <c r="GA97" s="593"/>
      <c r="GB97" s="593"/>
      <c r="GC97" s="593"/>
      <c r="GD97" s="593"/>
      <c r="GE97" s="593"/>
      <c r="GF97" s="593"/>
      <c r="GG97" s="593"/>
      <c r="GH97" s="593"/>
      <c r="GI97" s="593"/>
      <c r="GJ97" s="593"/>
      <c r="GK97" s="593"/>
      <c r="GL97" s="593"/>
      <c r="GM97" s="593"/>
      <c r="GN97" s="593"/>
      <c r="GO97" s="593"/>
      <c r="GP97" s="593"/>
      <c r="GQ97" s="593"/>
      <c r="GR97" s="593"/>
      <c r="GS97" s="593"/>
      <c r="GT97" s="593"/>
      <c r="GU97" s="593"/>
      <c r="GV97" s="593"/>
      <c r="GW97" s="593"/>
      <c r="GX97" s="593"/>
      <c r="GY97" s="593"/>
      <c r="GZ97" s="593"/>
      <c r="HA97" s="593"/>
      <c r="HB97" s="593"/>
      <c r="HC97" s="593"/>
      <c r="HD97" s="593"/>
      <c r="HE97" s="593"/>
      <c r="HF97" s="593"/>
      <c r="HG97" s="593"/>
      <c r="HH97" s="593"/>
      <c r="HI97" s="593"/>
      <c r="HJ97" s="593"/>
      <c r="HK97" s="593"/>
      <c r="HL97" s="593"/>
      <c r="HM97" s="593"/>
      <c r="HN97" s="593"/>
      <c r="HO97" s="593"/>
      <c r="HP97" s="593"/>
      <c r="HQ97" s="6"/>
      <c r="HR97" s="6"/>
      <c r="HS97" s="6"/>
      <c r="HT97" s="6"/>
      <c r="HU97" s="6"/>
      <c r="HV97" s="6"/>
      <c r="HW97" s="6"/>
      <c r="HX97" s="6"/>
      <c r="HY97" s="6"/>
      <c r="HZ97" s="6"/>
      <c r="IA97" s="6"/>
      <c r="IB97" s="6"/>
      <c r="IC97" s="6"/>
      <c r="ID97" s="6"/>
      <c r="IE97" s="6"/>
      <c r="IF97" s="6"/>
      <c r="IG97" s="6"/>
      <c r="IH97" s="6"/>
      <c r="II97" s="6"/>
      <c r="IJ97" s="6"/>
      <c r="IK97" s="6"/>
      <c r="IL97" s="6"/>
      <c r="IM97" s="6"/>
      <c r="IN97" s="6"/>
      <c r="IO97" s="6"/>
      <c r="IP97" s="6"/>
      <c r="IQ97" s="6"/>
      <c r="IR97" s="6"/>
      <c r="IS97" s="6"/>
      <c r="IT97" s="6"/>
      <c r="IU97" s="6"/>
      <c r="IV97" s="6"/>
    </row>
    <row r="98" spans="1:256" s="66" customFormat="1" ht="11.25" customHeight="1">
      <c r="A98" s="604" t="s">
        <v>33</v>
      </c>
      <c r="B98" s="15"/>
      <c r="C98" s="13"/>
      <c r="D98" s="12"/>
      <c r="E98" s="12"/>
      <c r="F98" s="14"/>
      <c r="G98" s="15"/>
      <c r="H98" s="13"/>
      <c r="I98" s="12"/>
      <c r="J98" s="12"/>
      <c r="K98" s="14"/>
      <c r="L98" s="12"/>
      <c r="M98" s="13"/>
      <c r="N98" s="16"/>
      <c r="O98" s="16"/>
      <c r="P98" s="14" t="s">
        <v>341</v>
      </c>
      <c r="Q98" s="14"/>
      <c r="R98" s="389"/>
      <c r="S98" s="389"/>
      <c r="T98" s="389"/>
      <c r="U98" s="413"/>
      <c r="V98" s="17"/>
      <c r="W98" s="12"/>
      <c r="X98" s="12"/>
      <c r="Y98" s="16"/>
      <c r="Z98" s="17"/>
      <c r="AA98" s="17"/>
      <c r="AB98" s="12"/>
      <c r="AC98" s="16"/>
      <c r="AD98" s="12"/>
      <c r="AE98" s="14"/>
      <c r="AF98" s="14"/>
      <c r="AG98" s="12"/>
      <c r="AH98" s="12"/>
      <c r="AI98" s="16"/>
      <c r="AJ98" s="14"/>
      <c r="AK98" s="611"/>
      <c r="AL98" s="12"/>
      <c r="AM98" s="16"/>
      <c r="AN98" s="12"/>
      <c r="AO98" s="14"/>
      <c r="AP98" s="611"/>
      <c r="AQ98" s="16"/>
      <c r="AR98" s="16"/>
      <c r="AS98" s="16"/>
      <c r="AT98" s="17"/>
      <c r="AU98" s="611"/>
      <c r="AV98" s="16"/>
      <c r="AW98" s="16"/>
      <c r="AX98" s="16"/>
      <c r="AY98" s="17"/>
      <c r="AZ98" s="611"/>
      <c r="BA98" s="1080"/>
      <c r="BB98" s="1080"/>
      <c r="BC98" s="1080"/>
      <c r="BD98" s="1079"/>
      <c r="BE98" s="1081"/>
      <c r="BF98" s="1080"/>
      <c r="BG98" s="1080"/>
      <c r="BH98" s="1080"/>
      <c r="BI98" s="1079"/>
      <c r="BJ98" s="1081"/>
      <c r="BK98" s="1080"/>
      <c r="BL98" s="1188"/>
      <c r="BM98" s="1188"/>
      <c r="BN98" s="1080"/>
      <c r="BO98" s="1082"/>
      <c r="BP98" s="1080"/>
      <c r="BQ98" s="1080"/>
      <c r="BR98" s="1080"/>
      <c r="BS98" s="1080"/>
      <c r="BT98" s="1082"/>
      <c r="BU98" s="1188"/>
      <c r="BV98" s="1080"/>
      <c r="BW98" s="1188"/>
      <c r="BX98" s="1188"/>
      <c r="BY98" s="1082"/>
      <c r="BZ98" s="1080"/>
      <c r="CA98" s="1080"/>
      <c r="CB98" s="1080"/>
      <c r="CC98" s="1080"/>
      <c r="CD98" s="1082"/>
      <c r="CE98" s="1080"/>
      <c r="CF98" s="1080"/>
      <c r="CG98" s="1080"/>
      <c r="CH98" s="1080"/>
      <c r="CI98" s="1082"/>
      <c r="CJ98" s="1080"/>
      <c r="CK98" s="1080"/>
      <c r="CL98" s="1080"/>
      <c r="CM98" s="1080"/>
      <c r="CN98" s="1082"/>
      <c r="CO98" s="45"/>
      <c r="CP98" s="593"/>
      <c r="CQ98" s="593"/>
      <c r="CR98" s="604" t="s">
        <v>33</v>
      </c>
      <c r="CS98" s="12"/>
      <c r="CT98" s="16"/>
      <c r="CU98" s="15"/>
      <c r="CV98" s="12"/>
      <c r="CW98" s="15"/>
      <c r="CX98" s="593"/>
      <c r="CY98" s="593"/>
      <c r="CZ98" s="593"/>
      <c r="DA98" s="593"/>
      <c r="DB98"/>
      <c r="DC98"/>
      <c r="DD98"/>
      <c r="DE98"/>
      <c r="DF98"/>
      <c r="DG98"/>
      <c r="DH98" s="593"/>
      <c r="DI98" s="593"/>
      <c r="DJ98" s="593"/>
      <c r="DK98" s="593"/>
      <c r="DL98" s="593"/>
      <c r="DM98" s="593"/>
      <c r="DN98" s="593"/>
      <c r="DO98" s="593"/>
      <c r="DP98" s="593"/>
      <c r="DQ98" s="593"/>
      <c r="DR98" s="593"/>
      <c r="DS98" s="593"/>
      <c r="DT98" s="593"/>
      <c r="DU98" s="593"/>
      <c r="DV98" s="593"/>
      <c r="DW98" s="593"/>
      <c r="DX98" s="593"/>
      <c r="DY98" s="593"/>
      <c r="DZ98" s="593"/>
      <c r="EA98" s="593"/>
      <c r="EB98" s="593"/>
      <c r="EC98" s="593"/>
      <c r="ED98" s="593"/>
      <c r="EE98" s="593"/>
      <c r="EF98" s="593"/>
      <c r="EG98" s="593"/>
      <c r="EH98" s="593"/>
      <c r="EI98" s="593"/>
      <c r="EJ98" s="593"/>
      <c r="EK98" s="593"/>
      <c r="EL98" s="593"/>
      <c r="EM98" s="593"/>
      <c r="EN98" s="593"/>
      <c r="EO98" s="593"/>
      <c r="EP98" s="593"/>
      <c r="EQ98" s="593"/>
      <c r="ER98" s="593"/>
      <c r="ES98" s="593"/>
      <c r="ET98" s="593"/>
      <c r="EU98" s="593"/>
      <c r="EV98" s="593"/>
      <c r="EW98" s="593"/>
      <c r="EX98" s="593"/>
      <c r="EY98" s="593"/>
      <c r="EZ98" s="593"/>
      <c r="FA98" s="593"/>
      <c r="FB98" s="593"/>
      <c r="FC98" s="593"/>
      <c r="FD98" s="593"/>
      <c r="FE98" s="593"/>
      <c r="FF98" s="593"/>
      <c r="FG98" s="593"/>
      <c r="FH98" s="593"/>
      <c r="FI98" s="593"/>
      <c r="FJ98" s="593"/>
      <c r="FK98" s="593"/>
      <c r="FL98" s="593"/>
      <c r="FM98" s="593"/>
      <c r="FN98" s="593"/>
      <c r="FO98" s="593"/>
      <c r="FP98" s="593"/>
      <c r="FQ98" s="593"/>
      <c r="FR98" s="593"/>
      <c r="FS98" s="593"/>
      <c r="FT98" s="593"/>
      <c r="FU98" s="593"/>
      <c r="FV98" s="593"/>
      <c r="FW98" s="593"/>
      <c r="FX98" s="593"/>
      <c r="FY98" s="593"/>
      <c r="FZ98" s="593"/>
      <c r="GA98" s="593"/>
      <c r="GB98" s="593"/>
      <c r="GC98" s="593"/>
      <c r="GD98" s="593"/>
      <c r="GE98" s="593"/>
      <c r="GF98" s="593"/>
      <c r="GG98" s="593"/>
      <c r="GH98" s="593"/>
      <c r="GI98" s="593"/>
      <c r="GJ98" s="593"/>
      <c r="GK98" s="593"/>
      <c r="GL98" s="593"/>
      <c r="GM98" s="593"/>
      <c r="GN98" s="593"/>
      <c r="GO98" s="593"/>
      <c r="GP98" s="593"/>
      <c r="GQ98" s="593"/>
      <c r="GR98" s="593"/>
      <c r="GS98" s="593"/>
      <c r="GT98" s="593"/>
      <c r="GU98" s="593"/>
      <c r="GV98" s="593"/>
      <c r="GW98" s="593"/>
      <c r="GX98" s="593"/>
      <c r="GY98" s="593"/>
      <c r="GZ98" s="593"/>
      <c r="HA98" s="593"/>
      <c r="HB98" s="593"/>
      <c r="HC98" s="593"/>
      <c r="HD98" s="593"/>
      <c r="HE98" s="593"/>
      <c r="HF98" s="593"/>
      <c r="HG98" s="593"/>
      <c r="HH98" s="593"/>
      <c r="HI98" s="593"/>
      <c r="HJ98" s="593"/>
      <c r="HK98" s="593"/>
      <c r="HL98" s="593"/>
      <c r="HM98" s="593"/>
      <c r="HN98" s="593"/>
      <c r="HO98" s="593"/>
      <c r="HP98" s="593"/>
      <c r="HQ98" s="6"/>
      <c r="HR98" s="6"/>
      <c r="HS98" s="6"/>
      <c r="HT98" s="6"/>
      <c r="HU98" s="6"/>
      <c r="HV98" s="6"/>
      <c r="HW98" s="6"/>
      <c r="HX98" s="6"/>
      <c r="HY98" s="6"/>
      <c r="HZ98" s="6"/>
      <c r="IA98" s="6"/>
      <c r="IB98" s="6"/>
      <c r="IC98" s="6"/>
      <c r="ID98" s="6"/>
      <c r="IE98" s="6"/>
      <c r="IF98" s="6"/>
      <c r="IG98" s="6"/>
      <c r="IH98" s="6"/>
      <c r="II98" s="6"/>
      <c r="IJ98" s="6"/>
      <c r="IK98" s="6"/>
      <c r="IL98" s="6"/>
      <c r="IM98" s="6"/>
      <c r="IN98" s="6"/>
      <c r="IO98" s="6"/>
      <c r="IP98" s="6"/>
      <c r="IQ98" s="6"/>
      <c r="IR98" s="6"/>
      <c r="IS98" s="6"/>
      <c r="IT98" s="6"/>
      <c r="IU98" s="6"/>
      <c r="IV98" s="6"/>
    </row>
    <row r="99" spans="1:256" s="66" customFormat="1" ht="11.25" customHeight="1">
      <c r="A99" s="1315" t="s">
        <v>34</v>
      </c>
      <c r="B99" s="1316"/>
      <c r="C99" s="1317"/>
      <c r="D99" s="1318"/>
      <c r="E99" s="1318"/>
      <c r="F99" s="1318"/>
      <c r="G99" s="1316"/>
      <c r="H99" s="1317"/>
      <c r="I99" s="1318"/>
      <c r="J99" s="1318"/>
      <c r="K99" s="1319"/>
      <c r="L99" s="1318"/>
      <c r="M99" s="1317"/>
      <c r="N99" s="1320"/>
      <c r="O99" s="1320"/>
      <c r="P99" s="1318"/>
      <c r="Q99" s="1319"/>
      <c r="R99" s="1318"/>
      <c r="S99" s="1318"/>
      <c r="T99" s="1318"/>
      <c r="U99" s="1319"/>
      <c r="V99" s="1321"/>
      <c r="W99" s="1318"/>
      <c r="X99" s="1318"/>
      <c r="Y99" s="1320"/>
      <c r="Z99" s="1320"/>
      <c r="AA99" s="1321"/>
      <c r="AB99" s="1318"/>
      <c r="AC99" s="1320"/>
      <c r="AD99" s="1318"/>
      <c r="AE99" s="1318"/>
      <c r="AF99" s="1319"/>
      <c r="AG99" s="1318"/>
      <c r="AH99" s="1318"/>
      <c r="AI99" s="1320"/>
      <c r="AJ99" s="1318"/>
      <c r="AK99" s="1322"/>
      <c r="AL99" s="1318"/>
      <c r="AM99" s="1320"/>
      <c r="AN99" s="1318"/>
      <c r="AO99" s="1318"/>
      <c r="AP99" s="1322"/>
      <c r="AQ99" s="1320"/>
      <c r="AR99" s="1320"/>
      <c r="AS99" s="1320"/>
      <c r="AT99" s="1320"/>
      <c r="AU99" s="1322"/>
      <c r="AV99" s="1320"/>
      <c r="AW99" s="1320"/>
      <c r="AX99" s="1320"/>
      <c r="AY99" s="1320"/>
      <c r="AZ99" s="1322"/>
      <c r="BA99" s="1323"/>
      <c r="BB99" s="1323"/>
      <c r="BC99" s="1323"/>
      <c r="BD99" s="1323"/>
      <c r="BE99" s="1324"/>
      <c r="BF99" s="1323"/>
      <c r="BG99" s="1323"/>
      <c r="BH99" s="1323"/>
      <c r="BI99" s="1323"/>
      <c r="BJ99" s="1324"/>
      <c r="BK99" s="1323"/>
      <c r="BL99" s="1207"/>
      <c r="BM99" s="1207"/>
      <c r="BN99" s="1323"/>
      <c r="BO99" s="1325"/>
      <c r="BP99" s="1323"/>
      <c r="BQ99" s="1323"/>
      <c r="BR99" s="1323"/>
      <c r="BS99" s="1323"/>
      <c r="BT99" s="1325"/>
      <c r="BU99" s="1318">
        <f>BU9/BP9-1</f>
        <v>3.1571430255687316E-2</v>
      </c>
      <c r="BV99" s="1318">
        <f t="shared" ref="BV99:BX99" si="220">BV9/BQ9-1</f>
        <v>4.3447620289837952E-2</v>
      </c>
      <c r="BW99" s="1318">
        <f t="shared" si="220"/>
        <v>3.6192130086434959E-2</v>
      </c>
      <c r="BX99" s="1318">
        <f t="shared" si="220"/>
        <v>-1.3446023818670771E-2</v>
      </c>
      <c r="BY99" s="1326">
        <f>BY9/BT9-1</f>
        <v>3.557613293051376E-2</v>
      </c>
      <c r="BZ99" s="1318">
        <f>BZ9/BU9-1</f>
        <v>1.6390705903096547E-2</v>
      </c>
      <c r="CA99" s="1318">
        <f t="shared" ref="CA99" si="221">CA9/BV9-1</f>
        <v>1.4506034730857875E-2</v>
      </c>
      <c r="CB99" s="1318">
        <f t="shared" ref="CB99" si="222">CB9/BW9-1</f>
        <v>3.0183283663435923E-2</v>
      </c>
      <c r="CC99" s="1318">
        <f t="shared" ref="CC99" si="223">CC9/BX9-1</f>
        <v>4.4255748985990495E-2</v>
      </c>
      <c r="CD99" s="1326">
        <f>CD9/BY9-1</f>
        <v>2.6386845231300082E-2</v>
      </c>
      <c r="CE99" s="1318">
        <f>CE9/BZ9-1</f>
        <v>5.4171067632229564E-2</v>
      </c>
      <c r="CF99" s="1318">
        <f t="shared" ref="CF99" si="224">CF9/CA9-1</f>
        <v>4.5537765193075286E-2</v>
      </c>
      <c r="CG99" s="1318">
        <f t="shared" ref="CG99" si="225">CG9/CB9-1</f>
        <v>4.6721962233511549E-2</v>
      </c>
      <c r="CH99" s="1318">
        <f t="shared" ref="CH99" si="226">CH9/CC9-1</f>
        <v>4.8873717033191655E-2</v>
      </c>
      <c r="CI99" s="1326">
        <f>CI9/CD9-1</f>
        <v>4.8725583301347575E-2</v>
      </c>
      <c r="CJ99" s="1318">
        <f>CJ9/CE9-1</f>
        <v>6.0812042715910453E-2</v>
      </c>
      <c r="CK99" s="1318">
        <f t="shared" ref="CK99" si="227">CK9/CF9-1</f>
        <v>5.2737530670577515E-2</v>
      </c>
      <c r="CL99" s="1318">
        <f t="shared" ref="CL99" si="228">CL9/CG9-1</f>
        <v>5.5276709079085995E-2</v>
      </c>
      <c r="CM99" s="1318">
        <f t="shared" ref="CM99" si="229">CM9/CH9-1</f>
        <v>5.8405117202594115E-2</v>
      </c>
      <c r="CN99" s="1326" t="s">
        <v>645</v>
      </c>
      <c r="CO99" s="45"/>
      <c r="CP99" s="593"/>
      <c r="CQ99" s="593"/>
      <c r="CR99" s="1314"/>
      <c r="CS99" s="1015"/>
      <c r="CT99" s="1017"/>
      <c r="CU99" s="1013"/>
      <c r="CV99" s="1015"/>
      <c r="CW99" s="1013"/>
      <c r="CX99" s="593"/>
      <c r="CY99" s="593"/>
      <c r="CZ99" s="593"/>
      <c r="DA99" s="593"/>
      <c r="DB99"/>
      <c r="DC99"/>
      <c r="DD99"/>
      <c r="DE99"/>
      <c r="DF99"/>
      <c r="DG99"/>
      <c r="DH99" s="593"/>
      <c r="DI99" s="593"/>
      <c r="DJ99" s="593"/>
      <c r="DK99" s="593"/>
      <c r="DL99" s="593"/>
      <c r="DM99" s="593"/>
      <c r="DN99" s="593"/>
      <c r="DO99" s="593"/>
      <c r="DP99" s="593"/>
      <c r="DQ99" s="593"/>
      <c r="DR99" s="593"/>
      <c r="DS99" s="593"/>
      <c r="DT99" s="593"/>
      <c r="DU99" s="593"/>
      <c r="DV99" s="593"/>
      <c r="DW99" s="593"/>
      <c r="DX99" s="593"/>
      <c r="DY99" s="593"/>
      <c r="DZ99" s="593"/>
      <c r="EA99" s="593"/>
      <c r="EB99" s="593"/>
      <c r="EC99" s="593"/>
      <c r="ED99" s="593"/>
      <c r="EE99" s="593"/>
      <c r="EF99" s="593"/>
      <c r="EG99" s="593"/>
      <c r="EH99" s="593"/>
      <c r="EI99" s="593"/>
      <c r="EJ99" s="593"/>
      <c r="EK99" s="593"/>
      <c r="EL99" s="593"/>
      <c r="EM99" s="593"/>
      <c r="EN99" s="593"/>
      <c r="EO99" s="593"/>
      <c r="EP99" s="593"/>
      <c r="EQ99" s="593"/>
      <c r="ER99" s="593"/>
      <c r="ES99" s="593"/>
      <c r="ET99" s="593"/>
      <c r="EU99" s="593"/>
      <c r="EV99" s="593"/>
      <c r="EW99" s="593"/>
      <c r="EX99" s="593"/>
      <c r="EY99" s="593"/>
      <c r="EZ99" s="593"/>
      <c r="FA99" s="593"/>
      <c r="FB99" s="593"/>
      <c r="FC99" s="593"/>
      <c r="FD99" s="593"/>
      <c r="FE99" s="593"/>
      <c r="FF99" s="593"/>
      <c r="FG99" s="593"/>
      <c r="FH99" s="593"/>
      <c r="FI99" s="593"/>
      <c r="FJ99" s="593"/>
      <c r="FK99" s="593"/>
      <c r="FL99" s="593"/>
      <c r="FM99" s="593"/>
      <c r="FN99" s="593"/>
      <c r="FO99" s="593"/>
      <c r="FP99" s="593"/>
      <c r="FQ99" s="593"/>
      <c r="FR99" s="593"/>
      <c r="FS99" s="593"/>
      <c r="FT99" s="593"/>
      <c r="FU99" s="593"/>
      <c r="FV99" s="593"/>
      <c r="FW99" s="593"/>
      <c r="FX99" s="593"/>
      <c r="FY99" s="593"/>
      <c r="FZ99" s="593"/>
      <c r="GA99" s="593"/>
      <c r="GB99" s="593"/>
      <c r="GC99" s="593"/>
      <c r="GD99" s="593"/>
      <c r="GE99" s="593"/>
      <c r="GF99" s="593"/>
      <c r="GG99" s="593"/>
      <c r="GH99" s="593"/>
      <c r="GI99" s="593"/>
      <c r="GJ99" s="593"/>
      <c r="GK99" s="593"/>
      <c r="GL99" s="593"/>
      <c r="GM99" s="593"/>
      <c r="GN99" s="593"/>
      <c r="GO99" s="593"/>
      <c r="GP99" s="593"/>
      <c r="GQ99" s="593"/>
      <c r="GR99" s="593"/>
      <c r="GS99" s="593"/>
      <c r="GT99" s="593"/>
      <c r="GU99" s="593"/>
      <c r="GV99" s="593"/>
      <c r="GW99" s="593"/>
      <c r="GX99" s="593"/>
      <c r="GY99" s="593"/>
      <c r="GZ99" s="593"/>
      <c r="HA99" s="593"/>
      <c r="HB99" s="593"/>
      <c r="HC99" s="593"/>
      <c r="HD99" s="593"/>
      <c r="HE99" s="593"/>
      <c r="HF99" s="593"/>
      <c r="HG99" s="593"/>
      <c r="HH99" s="593"/>
      <c r="HI99" s="593"/>
      <c r="HJ99" s="593"/>
      <c r="HK99" s="593"/>
      <c r="HL99" s="593"/>
      <c r="HM99" s="593"/>
      <c r="HN99" s="593"/>
      <c r="HO99" s="593"/>
      <c r="HP99" s="593"/>
      <c r="HQ99" s="6"/>
      <c r="HR99" s="6"/>
      <c r="HS99" s="6"/>
      <c r="HT99" s="6"/>
      <c r="HU99" s="6"/>
      <c r="HV99" s="6"/>
      <c r="HW99" s="6"/>
      <c r="HX99" s="6"/>
      <c r="HY99" s="6"/>
      <c r="HZ99" s="6"/>
      <c r="IA99" s="6"/>
      <c r="IB99" s="6"/>
      <c r="IC99" s="6"/>
      <c r="ID99" s="6"/>
      <c r="IE99" s="6"/>
      <c r="IF99" s="6"/>
      <c r="IG99" s="6"/>
      <c r="IH99" s="6"/>
      <c r="II99" s="6"/>
      <c r="IJ99" s="6"/>
      <c r="IK99" s="6"/>
      <c r="IL99" s="6"/>
      <c r="IM99" s="6"/>
      <c r="IN99" s="6"/>
      <c r="IO99" s="6"/>
      <c r="IP99" s="6"/>
      <c r="IQ99" s="6"/>
      <c r="IR99" s="6"/>
      <c r="IS99" s="6"/>
      <c r="IT99" s="6"/>
      <c r="IU99" s="6"/>
      <c r="IV99" s="6"/>
    </row>
    <row r="100" spans="1:256" s="66" customFormat="1" ht="11.25" customHeight="1">
      <c r="A100" s="603" t="s">
        <v>35</v>
      </c>
      <c r="B100" s="181"/>
      <c r="C100" s="182"/>
      <c r="D100" s="180"/>
      <c r="E100" s="180"/>
      <c r="F100" s="180"/>
      <c r="G100" s="181"/>
      <c r="H100" s="182"/>
      <c r="I100" s="180"/>
      <c r="J100" s="180"/>
      <c r="K100" s="183"/>
      <c r="L100" s="182"/>
      <c r="M100" s="182"/>
      <c r="N100" s="180"/>
      <c r="O100" s="180"/>
      <c r="P100" s="180"/>
      <c r="Q100" s="181"/>
      <c r="R100" s="180"/>
      <c r="S100" s="180"/>
      <c r="T100" s="180"/>
      <c r="U100" s="183"/>
      <c r="V100" s="183"/>
      <c r="W100" s="180"/>
      <c r="X100" s="180"/>
      <c r="Y100" s="180"/>
      <c r="Z100" s="180"/>
      <c r="AA100" s="181"/>
      <c r="AB100" s="180"/>
      <c r="AC100" s="180"/>
      <c r="AD100" s="180"/>
      <c r="AE100" s="180"/>
      <c r="AF100" s="181">
        <f t="shared" ref="AF100:BK100" si="230">AF14/AA14-1</f>
        <v>1.8457528591300232E-3</v>
      </c>
      <c r="AG100" s="180">
        <f t="shared" si="230"/>
        <v>-2.6872775599172338E-2</v>
      </c>
      <c r="AH100" s="180">
        <f t="shared" si="230"/>
        <v>-3.6852818833524981E-2</v>
      </c>
      <c r="AI100" s="180">
        <f t="shared" si="230"/>
        <v>-3.5553609204644343E-2</v>
      </c>
      <c r="AJ100" s="180">
        <f t="shared" si="230"/>
        <v>1.4231706145826362E-3</v>
      </c>
      <c r="AK100" s="612">
        <f t="shared" si="230"/>
        <v>-2.4746127690689734E-2</v>
      </c>
      <c r="AL100" s="180">
        <f t="shared" si="230"/>
        <v>-3.2390852552173222E-2</v>
      </c>
      <c r="AM100" s="180">
        <f t="shared" si="230"/>
        <v>-4.1058815601663912E-2</v>
      </c>
      <c r="AN100" s="180">
        <f t="shared" si="230"/>
        <v>-4.9687483716648551E-2</v>
      </c>
      <c r="AO100" s="180">
        <f t="shared" si="230"/>
        <v>-6.7785400412519015E-2</v>
      </c>
      <c r="AP100" s="612">
        <f t="shared" si="230"/>
        <v>-4.784688845616536E-2</v>
      </c>
      <c r="AQ100" s="180">
        <f t="shared" si="230"/>
        <v>-0.31931563478602565</v>
      </c>
      <c r="AR100" s="180">
        <f t="shared" si="230"/>
        <v>-0.30457158262029449</v>
      </c>
      <c r="AS100" s="180">
        <f t="shared" si="230"/>
        <v>-0.30217575210055514</v>
      </c>
      <c r="AT100" s="180">
        <f t="shared" si="230"/>
        <v>-0.28051744340629758</v>
      </c>
      <c r="AU100" s="612">
        <f t="shared" si="230"/>
        <v>-0.301681893871804</v>
      </c>
      <c r="AV100" s="180">
        <f t="shared" si="230"/>
        <v>2.0840942024716869E-2</v>
      </c>
      <c r="AW100" s="180">
        <f t="shared" si="230"/>
        <v>4.0080837773286637E-2</v>
      </c>
      <c r="AX100" s="180">
        <f t="shared" si="230"/>
        <v>4.4478742809036076E-2</v>
      </c>
      <c r="AY100" s="180">
        <f t="shared" si="230"/>
        <v>2.8685449845495592E-2</v>
      </c>
      <c r="AZ100" s="612">
        <f t="shared" si="230"/>
        <v>3.3696510862409434E-2</v>
      </c>
      <c r="BA100" s="180">
        <f t="shared" si="230"/>
        <v>2.0773225620311697E-2</v>
      </c>
      <c r="BB100" s="180">
        <f t="shared" si="230"/>
        <v>8.9804916306903682E-3</v>
      </c>
      <c r="BC100" s="180">
        <f t="shared" si="230"/>
        <v>-4.8540211355896368E-4</v>
      </c>
      <c r="BD100" s="180">
        <f t="shared" si="230"/>
        <v>-8.6676788044979358E-2</v>
      </c>
      <c r="BE100" s="612">
        <f t="shared" si="230"/>
        <v>-1.476577600728568E-2</v>
      </c>
      <c r="BF100" s="180">
        <f t="shared" si="230"/>
        <v>-0.18479366873940084</v>
      </c>
      <c r="BG100" s="180">
        <f t="shared" si="230"/>
        <v>-0.25629551820728291</v>
      </c>
      <c r="BH100" s="180">
        <f t="shared" si="230"/>
        <v>-0.26695745203206278</v>
      </c>
      <c r="BI100" s="180">
        <f t="shared" si="230"/>
        <v>-0.20195521505982061</v>
      </c>
      <c r="BJ100" s="612">
        <f t="shared" si="230"/>
        <v>-0.2287838212207961</v>
      </c>
      <c r="BK100" s="180">
        <f t="shared" si="230"/>
        <v>-0.17349929500959249</v>
      </c>
      <c r="BL100" s="180">
        <f t="shared" ref="BL100:CN100" si="231">BL14/BG14-1</f>
        <v>-9.3586689390872002E-2</v>
      </c>
      <c r="BM100" s="180">
        <f t="shared" si="231"/>
        <v>-0.12233932024475691</v>
      </c>
      <c r="BN100" s="180">
        <f t="shared" si="231"/>
        <v>-0.16491229808249575</v>
      </c>
      <c r="BO100" s="612">
        <f t="shared" si="231"/>
        <v>-0.13859665928276343</v>
      </c>
      <c r="BP100" s="180">
        <f t="shared" si="231"/>
        <v>-0.2747357852610266</v>
      </c>
      <c r="BQ100" s="180">
        <f t="shared" si="231"/>
        <v>-0.32674627578899251</v>
      </c>
      <c r="BR100" s="180">
        <f t="shared" si="231"/>
        <v>-0.36313524504547157</v>
      </c>
      <c r="BS100" s="180">
        <f t="shared" si="231"/>
        <v>-0.48528338820179739</v>
      </c>
      <c r="BT100" s="612">
        <f t="shared" si="231"/>
        <v>-0.3600523213061978</v>
      </c>
      <c r="BU100" s="180">
        <f t="shared" si="231"/>
        <v>-0.42848549349868126</v>
      </c>
      <c r="BV100" s="180">
        <f t="shared" si="231"/>
        <v>-0.37948579474222233</v>
      </c>
      <c r="BW100" s="180">
        <f t="shared" si="231"/>
        <v>-0.30528244782281633</v>
      </c>
      <c r="BX100" s="180">
        <f t="shared" si="231"/>
        <v>-0.10751554333984448</v>
      </c>
      <c r="BY100" s="612">
        <f t="shared" si="231"/>
        <v>-0.32359860028367937</v>
      </c>
      <c r="BZ100" s="180">
        <f t="shared" si="231"/>
        <v>7.9387291981845687E-2</v>
      </c>
      <c r="CA100" s="180">
        <f t="shared" si="231"/>
        <v>7.6348187311178206E-2</v>
      </c>
      <c r="CB100" s="180">
        <f t="shared" si="231"/>
        <v>9.9284638554216764E-2</v>
      </c>
      <c r="CC100" s="180">
        <f t="shared" si="231"/>
        <v>8.2485074626865718E-2</v>
      </c>
      <c r="CD100" s="612">
        <f t="shared" si="231"/>
        <v>8.444748164356497E-2</v>
      </c>
      <c r="CE100" s="180">
        <f t="shared" si="231"/>
        <v>6.4000000000000057E-2</v>
      </c>
      <c r="CF100" s="180">
        <f t="shared" si="231"/>
        <v>5.6898079763663345E-2</v>
      </c>
      <c r="CG100" s="180">
        <f t="shared" si="231"/>
        <v>5.991163475699568E-2</v>
      </c>
      <c r="CH100" s="180">
        <f t="shared" si="231"/>
        <v>7.3127753303964704E-2</v>
      </c>
      <c r="CI100" s="612">
        <f t="shared" si="231"/>
        <v>6.3388332451944196E-2</v>
      </c>
      <c r="CJ100" s="180">
        <f t="shared" si="231"/>
        <v>7.6096491228070162E-2</v>
      </c>
      <c r="CK100" s="180">
        <f t="shared" si="231"/>
        <v>6.8720930232558208E-2</v>
      </c>
      <c r="CL100" s="180">
        <f t="shared" si="231"/>
        <v>7.1560693641618656E-2</v>
      </c>
      <c r="CM100" s="180">
        <f t="shared" si="231"/>
        <v>8.4698275862068906E-2</v>
      </c>
      <c r="CN100" s="612">
        <f t="shared" si="231"/>
        <v>7.5203359867151987E-2</v>
      </c>
      <c r="CO100" s="45"/>
      <c r="CP100" s="593"/>
      <c r="CQ100" s="593"/>
      <c r="CR100" s="603" t="s">
        <v>35</v>
      </c>
      <c r="CS100" s="180">
        <f t="shared" ref="CS100:CS112" si="232">BX100</f>
        <v>-0.10751554333984448</v>
      </c>
      <c r="CT100" s="180">
        <v>-7.0429326287978933E-2</v>
      </c>
      <c r="CU100" s="181">
        <f t="shared" si="21"/>
        <v>-3.7086217051865544E-2</v>
      </c>
      <c r="CV100" s="180">
        <f t="shared" ref="CV100:CV113" si="233">BS100</f>
        <v>-0.48528338820179739</v>
      </c>
      <c r="CW100" s="181"/>
      <c r="CX100" s="593"/>
      <c r="CY100" s="593"/>
      <c r="CZ100" s="593"/>
      <c r="DA100" s="593"/>
      <c r="DB100"/>
      <c r="DC100"/>
      <c r="DD100"/>
      <c r="DE100"/>
      <c r="DF100"/>
      <c r="DG100"/>
      <c r="DH100" s="593"/>
      <c r="DI100" s="593"/>
      <c r="DJ100" s="593"/>
      <c r="DK100" s="593"/>
      <c r="DL100" s="593"/>
      <c r="DM100" s="593"/>
      <c r="DN100" s="593"/>
      <c r="DO100" s="593"/>
      <c r="DP100" s="593"/>
      <c r="DQ100" s="593"/>
      <c r="DR100" s="593"/>
      <c r="DS100" s="593"/>
      <c r="DT100" s="593"/>
      <c r="DU100" s="593"/>
      <c r="DV100" s="593"/>
      <c r="DW100" s="593"/>
      <c r="DX100" s="593"/>
      <c r="DY100" s="593"/>
      <c r="DZ100" s="593"/>
      <c r="EA100" s="593"/>
      <c r="EB100" s="593"/>
      <c r="EC100" s="593"/>
      <c r="ED100" s="593"/>
      <c r="EE100" s="593"/>
      <c r="EF100" s="593"/>
      <c r="EG100" s="593"/>
      <c r="EH100" s="593"/>
      <c r="EI100" s="593"/>
      <c r="EJ100" s="593"/>
      <c r="EK100" s="593"/>
      <c r="EL100" s="593"/>
      <c r="EM100" s="593"/>
      <c r="EN100" s="593"/>
      <c r="EO100" s="593"/>
      <c r="EP100" s="593"/>
      <c r="EQ100" s="593"/>
      <c r="ER100" s="593"/>
      <c r="ES100" s="593"/>
      <c r="ET100" s="593"/>
      <c r="EU100" s="593"/>
      <c r="EV100" s="593"/>
      <c r="EW100" s="593"/>
      <c r="EX100" s="593"/>
      <c r="EY100" s="593"/>
      <c r="EZ100" s="593"/>
      <c r="FA100" s="593"/>
      <c r="FB100" s="593"/>
      <c r="FC100" s="593"/>
      <c r="FD100" s="593"/>
      <c r="FE100" s="593"/>
      <c r="FF100" s="593"/>
      <c r="FG100" s="593"/>
      <c r="FH100" s="593"/>
      <c r="FI100" s="593"/>
      <c r="FJ100" s="593"/>
      <c r="FK100" s="593"/>
      <c r="FL100" s="593"/>
      <c r="FM100" s="593"/>
      <c r="FN100" s="593"/>
      <c r="FO100" s="593"/>
      <c r="FP100" s="593"/>
      <c r="FQ100" s="593"/>
      <c r="FR100" s="593"/>
      <c r="FS100" s="593"/>
      <c r="FT100" s="593"/>
      <c r="FU100" s="593"/>
      <c r="FV100" s="593"/>
      <c r="FW100" s="593"/>
      <c r="FX100" s="593"/>
      <c r="FY100" s="593"/>
      <c r="FZ100" s="593"/>
      <c r="GA100" s="593"/>
      <c r="GB100" s="593"/>
      <c r="GC100" s="593"/>
      <c r="GD100" s="593"/>
      <c r="GE100" s="593"/>
      <c r="GF100" s="593"/>
      <c r="GG100" s="593"/>
      <c r="GH100" s="593"/>
      <c r="GI100" s="593"/>
      <c r="GJ100" s="593"/>
      <c r="GK100" s="593"/>
      <c r="GL100" s="593"/>
      <c r="GM100" s="593"/>
      <c r="GN100" s="593"/>
      <c r="GO100" s="593"/>
      <c r="GP100" s="593"/>
      <c r="GQ100" s="593"/>
      <c r="GR100" s="593"/>
      <c r="GS100" s="593"/>
      <c r="GT100" s="593"/>
      <c r="GU100" s="593"/>
      <c r="GV100" s="593"/>
      <c r="GW100" s="593"/>
      <c r="GX100" s="593"/>
      <c r="GY100" s="593"/>
      <c r="GZ100" s="593"/>
      <c r="HA100" s="593"/>
      <c r="HB100" s="593"/>
      <c r="HC100" s="593"/>
      <c r="HD100" s="593"/>
      <c r="HE100" s="593"/>
      <c r="HF100" s="593"/>
      <c r="HG100" s="593"/>
      <c r="HH100" s="593"/>
      <c r="HI100" s="593"/>
      <c r="HJ100" s="593"/>
      <c r="HK100" s="593"/>
      <c r="HL100" s="593"/>
      <c r="HM100" s="593"/>
      <c r="HN100" s="593"/>
      <c r="HO100" s="593"/>
      <c r="HP100" s="593"/>
      <c r="HQ100" s="6"/>
      <c r="HR100" s="6"/>
      <c r="HS100" s="6"/>
      <c r="HT100" s="6"/>
      <c r="HU100" s="6"/>
      <c r="HV100" s="6"/>
      <c r="HW100" s="6"/>
      <c r="HX100" s="6"/>
      <c r="HY100" s="6"/>
      <c r="HZ100" s="6"/>
      <c r="IA100" s="6"/>
      <c r="IB100" s="6"/>
      <c r="IC100" s="6"/>
      <c r="ID100" s="6"/>
      <c r="IE100" s="6"/>
      <c r="IF100" s="6"/>
      <c r="IG100" s="6"/>
      <c r="IH100" s="6"/>
      <c r="II100" s="6"/>
      <c r="IJ100" s="6"/>
      <c r="IK100" s="6"/>
      <c r="IL100" s="6"/>
      <c r="IM100" s="6"/>
      <c r="IN100" s="6"/>
      <c r="IO100" s="6"/>
      <c r="IP100" s="6"/>
      <c r="IQ100" s="6"/>
      <c r="IR100" s="6"/>
      <c r="IS100" s="6"/>
      <c r="IT100" s="6"/>
      <c r="IU100" s="6"/>
      <c r="IV100" s="6"/>
    </row>
    <row r="101" spans="1:256" s="66" customFormat="1" ht="11.25" customHeight="1">
      <c r="A101" s="603" t="s">
        <v>442</v>
      </c>
      <c r="B101" s="181"/>
      <c r="C101" s="182"/>
      <c r="D101" s="180"/>
      <c r="E101" s="180"/>
      <c r="F101" s="180"/>
      <c r="G101" s="181"/>
      <c r="H101" s="182"/>
      <c r="I101" s="180"/>
      <c r="J101" s="180"/>
      <c r="K101" s="183"/>
      <c r="L101" s="182"/>
      <c r="M101" s="182"/>
      <c r="N101" s="180"/>
      <c r="O101" s="180"/>
      <c r="P101" s="180"/>
      <c r="Q101" s="181"/>
      <c r="R101" s="180"/>
      <c r="S101" s="180"/>
      <c r="T101" s="180"/>
      <c r="U101" s="183"/>
      <c r="V101" s="183"/>
      <c r="W101" s="180"/>
      <c r="X101" s="180"/>
      <c r="Y101" s="180"/>
      <c r="Z101" s="180"/>
      <c r="AA101" s="181"/>
      <c r="AB101" s="180"/>
      <c r="AC101" s="180"/>
      <c r="AD101" s="180"/>
      <c r="AE101" s="180"/>
      <c r="AF101" s="181">
        <f t="shared" ref="AF101:AO101" si="234">AF16/AA16-1</f>
        <v>2.3990431592830319E-2</v>
      </c>
      <c r="AG101" s="180">
        <f t="shared" si="234"/>
        <v>-4.8583084751711025E-3</v>
      </c>
      <c r="AH101" s="180">
        <f t="shared" si="234"/>
        <v>-1.3606207129202685E-2</v>
      </c>
      <c r="AI101" s="180">
        <f t="shared" si="234"/>
        <v>-2.1703459869738873E-2</v>
      </c>
      <c r="AJ101" s="180">
        <f t="shared" si="234"/>
        <v>3.4602441160025643E-2</v>
      </c>
      <c r="AK101" s="612">
        <f t="shared" si="234"/>
        <v>-2.7766769564493421E-3</v>
      </c>
      <c r="AL101" s="180">
        <f t="shared" si="234"/>
        <v>-1.6431381624623875E-2</v>
      </c>
      <c r="AM101" s="180">
        <f t="shared" si="234"/>
        <v>-2.2323094142519651E-2</v>
      </c>
      <c r="AN101" s="180">
        <f t="shared" si="234"/>
        <v>-2.0137266805922871E-2</v>
      </c>
      <c r="AO101" s="180">
        <f t="shared" si="234"/>
        <v>-5.9018466213253684E-2</v>
      </c>
      <c r="AP101" s="612">
        <f t="shared" ref="AP101:AY101" si="235">AP16/AK16-1</f>
        <v>-2.9778789867368038E-2</v>
      </c>
      <c r="AQ101" s="180">
        <f t="shared" si="235"/>
        <v>-0.18006722689075627</v>
      </c>
      <c r="AR101" s="180">
        <f t="shared" si="235"/>
        <v>-0.17106574233076799</v>
      </c>
      <c r="AS101" s="180">
        <f t="shared" si="235"/>
        <v>-0.19254195282800912</v>
      </c>
      <c r="AT101" s="180">
        <f t="shared" si="235"/>
        <v>-0.1707898529523314</v>
      </c>
      <c r="AU101" s="612">
        <f t="shared" si="235"/>
        <v>-0.17867296151680001</v>
      </c>
      <c r="AV101" s="180">
        <f t="shared" si="235"/>
        <v>1.079544678117994E-3</v>
      </c>
      <c r="AW101" s="180">
        <f t="shared" si="235"/>
        <v>1.9846547314577911E-2</v>
      </c>
      <c r="AX101" s="180">
        <f t="shared" si="235"/>
        <v>1.4071867968942886E-2</v>
      </c>
      <c r="AY101" s="180">
        <f t="shared" si="235"/>
        <v>-7.657928438880357E-3</v>
      </c>
      <c r="AZ101" s="612">
        <f t="shared" ref="AZ101:BI101" si="236">AZ16/AU16-1</f>
        <v>6.978529620199847E-3</v>
      </c>
      <c r="BA101" s="180">
        <f t="shared" si="236"/>
        <v>-3.3989461901771101E-3</v>
      </c>
      <c r="BB101" s="180">
        <f t="shared" si="236"/>
        <v>-5.0907814224093739E-3</v>
      </c>
      <c r="BC101" s="180">
        <f t="shared" si="236"/>
        <v>6.1264796788631948E-2</v>
      </c>
      <c r="BD101" s="180">
        <f t="shared" si="236"/>
        <v>0.13880109565950272</v>
      </c>
      <c r="BE101" s="612">
        <f t="shared" si="236"/>
        <v>4.7771561877889779E-2</v>
      </c>
      <c r="BF101" s="180">
        <f t="shared" si="236"/>
        <v>0.24047720144091822</v>
      </c>
      <c r="BG101" s="180">
        <f t="shared" si="236"/>
        <v>0.24294860484460457</v>
      </c>
      <c r="BH101" s="180">
        <f t="shared" si="236"/>
        <v>0.24990936555891241</v>
      </c>
      <c r="BI101" s="180">
        <f t="shared" si="236"/>
        <v>0.13554049678523516</v>
      </c>
      <c r="BJ101" s="612">
        <f t="shared" ref="BJ101:BS101" si="237">BJ16/BE16-1</f>
        <v>0.21529567978207664</v>
      </c>
      <c r="BK101" s="180">
        <f t="shared" si="237"/>
        <v>4.0125433385597153E-2</v>
      </c>
      <c r="BL101" s="180">
        <f t="shared" si="237"/>
        <v>5.9448607322835523E-2</v>
      </c>
      <c r="BM101" s="180">
        <f t="shared" si="237"/>
        <v>2.1115730445712133E-2</v>
      </c>
      <c r="BN101" s="180">
        <f t="shared" si="237"/>
        <v>0.29530433719971061</v>
      </c>
      <c r="BO101" s="612">
        <f t="shared" si="237"/>
        <v>0.10408734545156784</v>
      </c>
      <c r="BP101" s="180">
        <f t="shared" si="237"/>
        <v>-5.6740976645435426E-2</v>
      </c>
      <c r="BQ101" s="180">
        <f t="shared" si="237"/>
        <v>-0.14837394483471467</v>
      </c>
      <c r="BR101" s="180">
        <f t="shared" si="237"/>
        <v>-7.2395705114852382E-2</v>
      </c>
      <c r="BS101" s="180">
        <f t="shared" si="237"/>
        <v>-0.24793427414599623</v>
      </c>
      <c r="BT101" s="612">
        <f t="shared" ref="BT101:CC101" si="238">BT16/BO16-1</f>
        <v>-0.13912096316295675</v>
      </c>
      <c r="BU101" s="180">
        <f t="shared" si="238"/>
        <v>6.5668786224748255E-2</v>
      </c>
      <c r="BV101" s="180">
        <f t="shared" si="238"/>
        <v>0.26482586561478039</v>
      </c>
      <c r="BW101" s="180">
        <f t="shared" si="238"/>
        <v>9.3295770047363558E-3</v>
      </c>
      <c r="BX101" s="180">
        <f t="shared" si="238"/>
        <v>9.1198946257017077E-2</v>
      </c>
      <c r="BY101" s="612">
        <f t="shared" si="238"/>
        <v>0.10509200059224955</v>
      </c>
      <c r="BZ101" s="180">
        <f t="shared" si="238"/>
        <v>-1.4622386366800688E-2</v>
      </c>
      <c r="CA101" s="180">
        <f t="shared" si="238"/>
        <v>-6.1077640940617517E-2</v>
      </c>
      <c r="CB101" s="180">
        <f t="shared" si="238"/>
        <v>3.3359174342635356E-2</v>
      </c>
      <c r="CC101" s="180">
        <f t="shared" si="238"/>
        <v>-1.118550936479823E-2</v>
      </c>
      <c r="CD101" s="612">
        <f t="shared" ref="CD101:CM101" si="239">CD16/BY16-1</f>
        <v>-1.492733364758414E-2</v>
      </c>
      <c r="CE101" s="180">
        <f t="shared" si="239"/>
        <v>5.2386986962511983E-2</v>
      </c>
      <c r="CF101" s="180">
        <f t="shared" si="239"/>
        <v>4.1875966729966185E-2</v>
      </c>
      <c r="CG101" s="180">
        <f t="shared" si="239"/>
        <v>4.4718696077607367E-2</v>
      </c>
      <c r="CH101" s="180">
        <f t="shared" si="239"/>
        <v>4.5603142963333232E-2</v>
      </c>
      <c r="CI101" s="612">
        <f t="shared" si="239"/>
        <v>4.5970947306599896E-2</v>
      </c>
      <c r="CJ101" s="180">
        <f t="shared" si="239"/>
        <v>5.8722816689744439E-2</v>
      </c>
      <c r="CK101" s="180">
        <f t="shared" si="239"/>
        <v>4.8502632867432283E-2</v>
      </c>
      <c r="CL101" s="180">
        <f t="shared" si="239"/>
        <v>5.3052004759351012E-2</v>
      </c>
      <c r="CM101" s="180">
        <f t="shared" si="239"/>
        <v>5.4642709009614654E-2</v>
      </c>
      <c r="CN101" s="612">
        <f t="shared" ref="CN101" si="240">CN16/CI16-1</f>
        <v>5.3590175855648292E-2</v>
      </c>
      <c r="CO101" s="45"/>
      <c r="CP101" s="593"/>
      <c r="CQ101" s="593"/>
      <c r="CR101" s="603" t="s">
        <v>442</v>
      </c>
      <c r="CS101" s="180">
        <f t="shared" si="232"/>
        <v>9.1198946257017077E-2</v>
      </c>
      <c r="CT101" s="180">
        <v>6.3896092231914059E-2</v>
      </c>
      <c r="CU101" s="181">
        <f t="shared" si="21"/>
        <v>2.7302854025103018E-2</v>
      </c>
      <c r="CV101" s="180">
        <f t="shared" si="233"/>
        <v>-0.24793427414599623</v>
      </c>
      <c r="CW101" s="181"/>
      <c r="CX101" s="593"/>
      <c r="CY101" s="593"/>
      <c r="CZ101" s="593"/>
      <c r="DA101" s="593"/>
      <c r="DB101"/>
      <c r="DC101"/>
      <c r="DD101"/>
      <c r="DE101"/>
      <c r="DF101"/>
      <c r="DG101"/>
      <c r="DH101" s="593"/>
      <c r="DI101" s="593"/>
      <c r="DJ101" s="593"/>
      <c r="DK101" s="593"/>
      <c r="DL101" s="593"/>
      <c r="DM101" s="593"/>
      <c r="DN101" s="593"/>
      <c r="DO101" s="593"/>
      <c r="DP101" s="593"/>
      <c r="DQ101" s="593"/>
      <c r="DR101" s="593"/>
      <c r="DS101" s="593"/>
      <c r="DT101" s="593"/>
      <c r="DU101" s="593"/>
      <c r="DV101" s="593"/>
      <c r="DW101" s="593"/>
      <c r="DX101" s="593"/>
      <c r="DY101" s="593"/>
      <c r="DZ101" s="593"/>
      <c r="EA101" s="593"/>
      <c r="EB101" s="593"/>
      <c r="EC101" s="593"/>
      <c r="ED101" s="593"/>
      <c r="EE101" s="593"/>
      <c r="EF101" s="593"/>
      <c r="EG101" s="593"/>
      <c r="EH101" s="593"/>
      <c r="EI101" s="593"/>
      <c r="EJ101" s="593"/>
      <c r="EK101" s="593"/>
      <c r="EL101" s="593"/>
      <c r="EM101" s="593"/>
      <c r="EN101" s="593"/>
      <c r="EO101" s="593"/>
      <c r="EP101" s="593"/>
      <c r="EQ101" s="593"/>
      <c r="ER101" s="593"/>
      <c r="ES101" s="593"/>
      <c r="ET101" s="593"/>
      <c r="EU101" s="593"/>
      <c r="EV101" s="593"/>
      <c r="EW101" s="593"/>
      <c r="EX101" s="593"/>
      <c r="EY101" s="593"/>
      <c r="EZ101" s="593"/>
      <c r="FA101" s="593"/>
      <c r="FB101" s="593"/>
      <c r="FC101" s="593"/>
      <c r="FD101" s="593"/>
      <c r="FE101" s="593"/>
      <c r="FF101" s="593"/>
      <c r="FG101" s="593"/>
      <c r="FH101" s="593"/>
      <c r="FI101" s="593"/>
      <c r="FJ101" s="593"/>
      <c r="FK101" s="593"/>
      <c r="FL101" s="593"/>
      <c r="FM101" s="593"/>
      <c r="FN101" s="593"/>
      <c r="FO101" s="593"/>
      <c r="FP101" s="593"/>
      <c r="FQ101" s="593"/>
      <c r="FR101" s="593"/>
      <c r="FS101" s="593"/>
      <c r="FT101" s="593"/>
      <c r="FU101" s="593"/>
      <c r="FV101" s="593"/>
      <c r="FW101" s="593"/>
      <c r="FX101" s="593"/>
      <c r="FY101" s="593"/>
      <c r="FZ101" s="593"/>
      <c r="GA101" s="593"/>
      <c r="GB101" s="593"/>
      <c r="GC101" s="593"/>
      <c r="GD101" s="593"/>
      <c r="GE101" s="593"/>
      <c r="GF101" s="593"/>
      <c r="GG101" s="593"/>
      <c r="GH101" s="593"/>
      <c r="GI101" s="593"/>
      <c r="GJ101" s="593"/>
      <c r="GK101" s="593"/>
      <c r="GL101" s="593"/>
      <c r="GM101" s="593"/>
      <c r="GN101" s="593"/>
      <c r="GO101" s="593"/>
      <c r="GP101" s="593"/>
      <c r="GQ101" s="593"/>
      <c r="GR101" s="593"/>
      <c r="GS101" s="593"/>
      <c r="GT101" s="593"/>
      <c r="GU101" s="593"/>
      <c r="GV101" s="593"/>
      <c r="GW101" s="593"/>
      <c r="GX101" s="593"/>
      <c r="GY101" s="593"/>
      <c r="GZ101" s="593"/>
      <c r="HA101" s="593"/>
      <c r="HB101" s="593"/>
      <c r="HC101" s="593"/>
      <c r="HD101" s="593"/>
      <c r="HE101" s="593"/>
      <c r="HF101" s="593"/>
      <c r="HG101" s="593"/>
      <c r="HH101" s="593"/>
      <c r="HI101" s="593"/>
      <c r="HJ101" s="593"/>
      <c r="HK101" s="593"/>
      <c r="HL101" s="593"/>
      <c r="HM101" s="593"/>
      <c r="HN101" s="593"/>
      <c r="HO101" s="593"/>
      <c r="HP101" s="593"/>
      <c r="HQ101" s="6"/>
      <c r="HR101" s="6"/>
      <c r="HS101" s="6"/>
      <c r="HT101" s="6"/>
      <c r="HU101" s="6"/>
      <c r="HV101" s="6"/>
      <c r="HW101" s="6"/>
      <c r="HX101" s="6"/>
      <c r="HY101" s="6"/>
      <c r="HZ101" s="6"/>
      <c r="IA101" s="6"/>
      <c r="IB101" s="6"/>
      <c r="IC101" s="6"/>
      <c r="ID101" s="6"/>
      <c r="IE101" s="6"/>
      <c r="IF101" s="6"/>
      <c r="IG101" s="6"/>
      <c r="IH101" s="6"/>
      <c r="II101" s="6"/>
      <c r="IJ101" s="6"/>
      <c r="IK101" s="6"/>
      <c r="IL101" s="6"/>
      <c r="IM101" s="6"/>
      <c r="IN101" s="6"/>
      <c r="IO101" s="6"/>
      <c r="IP101" s="6"/>
      <c r="IQ101" s="6"/>
      <c r="IR101" s="6"/>
      <c r="IS101" s="6"/>
      <c r="IT101" s="6"/>
      <c r="IU101" s="6"/>
      <c r="IV101" s="6"/>
    </row>
    <row r="102" spans="1:256" s="59" customFormat="1" ht="11.25" customHeight="1">
      <c r="A102" s="597" t="s">
        <v>443</v>
      </c>
      <c r="B102" s="177"/>
      <c r="C102" s="178"/>
      <c r="D102" s="176"/>
      <c r="E102" s="176"/>
      <c r="F102" s="179"/>
      <c r="G102" s="177"/>
      <c r="H102" s="178"/>
      <c r="I102" s="176"/>
      <c r="J102" s="176"/>
      <c r="K102" s="179"/>
      <c r="L102" s="178"/>
      <c r="M102" s="178"/>
      <c r="N102" s="176"/>
      <c r="O102" s="176"/>
      <c r="P102" s="179"/>
      <c r="Q102" s="177"/>
      <c r="R102" s="176"/>
      <c r="S102" s="176"/>
      <c r="T102" s="176"/>
      <c r="U102" s="179"/>
      <c r="V102" s="179"/>
      <c r="W102" s="176"/>
      <c r="X102" s="176"/>
      <c r="Y102" s="176"/>
      <c r="Z102" s="179"/>
      <c r="AA102" s="177"/>
      <c r="AB102" s="176"/>
      <c r="AC102" s="176"/>
      <c r="AD102" s="176"/>
      <c r="AE102" s="179"/>
      <c r="AF102" s="177">
        <f t="shared" ref="AF102:BK102" si="241">(AF17-AA17)/AA17</f>
        <v>4.1194870542352628E-3</v>
      </c>
      <c r="AG102" s="176">
        <f t="shared" si="241"/>
        <v>-2.4606561448666641E-2</v>
      </c>
      <c r="AH102" s="176">
        <f t="shared" si="241"/>
        <v>-3.4447044585124667E-2</v>
      </c>
      <c r="AI102" s="176">
        <f t="shared" si="241"/>
        <v>-3.408224440188163E-2</v>
      </c>
      <c r="AJ102" s="179">
        <f t="shared" si="241"/>
        <v>4.931278875476619E-3</v>
      </c>
      <c r="AK102" s="613">
        <f t="shared" si="241"/>
        <v>-2.2445745422877965E-2</v>
      </c>
      <c r="AL102" s="176">
        <f t="shared" si="241"/>
        <v>-3.0714689160910427E-2</v>
      </c>
      <c r="AM102" s="176">
        <f t="shared" si="241"/>
        <v>-3.9078019079925599E-2</v>
      </c>
      <c r="AN102" s="176">
        <f t="shared" si="241"/>
        <v>-4.6507997488986583E-2</v>
      </c>
      <c r="AO102" s="179">
        <f t="shared" si="241"/>
        <v>-6.6831086983305282E-2</v>
      </c>
      <c r="AP102" s="613">
        <f t="shared" si="241"/>
        <v>-4.5916943953016369E-2</v>
      </c>
      <c r="AQ102" s="176">
        <f t="shared" si="241"/>
        <v>-0.30447538769617655</v>
      </c>
      <c r="AR102" s="176">
        <f t="shared" si="241"/>
        <v>-0.29021083873704262</v>
      </c>
      <c r="AS102" s="176">
        <f t="shared" si="241"/>
        <v>-0.29005334330375504</v>
      </c>
      <c r="AT102" s="179">
        <f t="shared" si="241"/>
        <v>-0.26847318765076145</v>
      </c>
      <c r="AU102" s="613">
        <f t="shared" si="241"/>
        <v>-0.28832044359963421</v>
      </c>
      <c r="AV102" s="176">
        <f t="shared" si="241"/>
        <v>1.8358184611950903E-2</v>
      </c>
      <c r="AW102" s="176">
        <f t="shared" si="241"/>
        <v>3.7538955823292884E-2</v>
      </c>
      <c r="AX102" s="176">
        <f t="shared" si="241"/>
        <v>4.0654807855862417E-2</v>
      </c>
      <c r="AY102" s="179">
        <f t="shared" si="241"/>
        <v>2.4163520417288583E-2</v>
      </c>
      <c r="AZ102" s="613">
        <f t="shared" si="241"/>
        <v>3.0347224964135798E-2</v>
      </c>
      <c r="BA102" s="176">
        <f t="shared" si="241"/>
        <v>1.7787840676514594E-2</v>
      </c>
      <c r="BB102" s="176">
        <f t="shared" si="241"/>
        <v>7.2429660549833677E-3</v>
      </c>
      <c r="BC102" s="176">
        <f t="shared" si="241"/>
        <v>7.0818658028866319E-3</v>
      </c>
      <c r="BD102" s="179">
        <f t="shared" si="241"/>
        <v>-5.9493966301464321E-2</v>
      </c>
      <c r="BE102" s="613">
        <f t="shared" si="241"/>
        <v>-7.1040860170413327E-3</v>
      </c>
      <c r="BF102" s="176">
        <f t="shared" si="241"/>
        <v>-0.13336392202203384</v>
      </c>
      <c r="BG102" s="176">
        <f t="shared" si="241"/>
        <v>-0.19540355332290096</v>
      </c>
      <c r="BH102" s="176">
        <f t="shared" si="241"/>
        <v>-0.20020943258127991</v>
      </c>
      <c r="BI102" s="179">
        <f t="shared" si="241"/>
        <v>-0.15268946075742096</v>
      </c>
      <c r="BJ102" s="613">
        <f t="shared" si="241"/>
        <v>-0.17137101232179561</v>
      </c>
      <c r="BK102" s="176">
        <f t="shared" si="241"/>
        <v>-0.13652053914785284</v>
      </c>
      <c r="BL102" s="176">
        <f t="shared" ref="BL102:CN102" si="242">(BL17-BG17)/BG17</f>
        <v>-6.475210487804417E-2</v>
      </c>
      <c r="BM102" s="176">
        <f t="shared" si="242"/>
        <v>-9.3387370265508154E-2</v>
      </c>
      <c r="BN102" s="179">
        <f t="shared" si="242"/>
        <v>-7.4879818946470889E-2</v>
      </c>
      <c r="BO102" s="613">
        <f t="shared" si="242"/>
        <v>-9.258042730249047E-2</v>
      </c>
      <c r="BP102" s="176">
        <f t="shared" si="242"/>
        <v>-0.16154716237723254</v>
      </c>
      <c r="BQ102" s="176">
        <f t="shared" si="242"/>
        <v>-0.21819934876842054</v>
      </c>
      <c r="BR102" s="176">
        <f t="shared" si="242"/>
        <v>-0.21655342219276039</v>
      </c>
      <c r="BS102" s="179">
        <f t="shared" si="242"/>
        <v>-0.33263488850365552</v>
      </c>
      <c r="BT102" s="613">
        <f t="shared" si="242"/>
        <v>-0.23251868553497126</v>
      </c>
      <c r="BU102" s="176">
        <f t="shared" si="242"/>
        <v>-0.24543608941172762</v>
      </c>
      <c r="BV102" s="176">
        <f t="shared" si="242"/>
        <v>-0.16298162093238355</v>
      </c>
      <c r="BW102" s="176">
        <f t="shared" si="242"/>
        <v>-0.15387404810830399</v>
      </c>
      <c r="BX102" s="179">
        <f t="shared" si="242"/>
        <v>-2.1103513702763021E-3</v>
      </c>
      <c r="BY102" s="613">
        <f t="shared" si="242"/>
        <v>-0.14770122709900527</v>
      </c>
      <c r="BZ102" s="176">
        <f t="shared" si="242"/>
        <v>4.6590222614588603E-2</v>
      </c>
      <c r="CA102" s="176">
        <f t="shared" si="242"/>
        <v>2.4249382432424228E-2</v>
      </c>
      <c r="CB102" s="176">
        <f t="shared" si="242"/>
        <v>6.0326463590376286E-2</v>
      </c>
      <c r="CC102" s="179">
        <f t="shared" si="242"/>
        <v>3.590301724683799E-2</v>
      </c>
      <c r="CD102" s="613">
        <f t="shared" si="242"/>
        <v>4.1499681352467711E-2</v>
      </c>
      <c r="CE102" s="176">
        <f t="shared" si="242"/>
        <v>5.8767675026367899E-2</v>
      </c>
      <c r="CF102" s="176">
        <f t="shared" si="242"/>
        <v>5.0235171511301205E-2</v>
      </c>
      <c r="CG102" s="176">
        <f t="shared" si="242"/>
        <v>5.3008562840388823E-2</v>
      </c>
      <c r="CH102" s="179">
        <f t="shared" si="242"/>
        <v>6.0264175155350971E-2</v>
      </c>
      <c r="CI102" s="613">
        <f t="shared" si="242"/>
        <v>5.5470633504180092E-2</v>
      </c>
      <c r="CJ102" s="176">
        <f t="shared" si="242"/>
        <v>6.8217205094093014E-2</v>
      </c>
      <c r="CK102" s="176">
        <f t="shared" si="242"/>
        <v>5.9705219821970447E-2</v>
      </c>
      <c r="CL102" s="176">
        <f t="shared" si="242"/>
        <v>6.3177346906842485E-2</v>
      </c>
      <c r="CM102" s="179">
        <f t="shared" si="242"/>
        <v>7.0863772525122951E-2</v>
      </c>
      <c r="CN102" s="613">
        <f t="shared" si="242"/>
        <v>6.5415851760661239E-2</v>
      </c>
      <c r="CO102" s="80"/>
      <c r="CR102" s="597" t="s">
        <v>443</v>
      </c>
      <c r="CS102" s="176">
        <f t="shared" si="232"/>
        <v>-2.1103513702763021E-3</v>
      </c>
      <c r="CT102" s="176">
        <v>1.1722440386137047E-2</v>
      </c>
      <c r="CU102" s="177">
        <f t="shared" si="21"/>
        <v>-1.3832791756413349E-2</v>
      </c>
      <c r="CV102" s="176">
        <f t="shared" si="233"/>
        <v>-0.33263488850365552</v>
      </c>
      <c r="CW102" s="177"/>
      <c r="DB102"/>
      <c r="DC102"/>
      <c r="DD102"/>
      <c r="DE102"/>
      <c r="DF102"/>
      <c r="DG102"/>
      <c r="HQ102" s="4"/>
      <c r="HR102" s="4"/>
      <c r="HS102" s="4"/>
      <c r="HT102" s="4"/>
      <c r="HU102" s="4"/>
      <c r="HV102" s="4"/>
      <c r="HW102" s="4"/>
      <c r="HX102" s="4"/>
      <c r="HY102" s="4"/>
      <c r="HZ102" s="4"/>
      <c r="IA102" s="4"/>
      <c r="IB102" s="4"/>
      <c r="IC102" s="4"/>
      <c r="ID102" s="4"/>
      <c r="IE102" s="4"/>
      <c r="IF102" s="4"/>
      <c r="IG102" s="4"/>
      <c r="IH102" s="4"/>
      <c r="II102" s="4"/>
      <c r="IJ102" s="4"/>
      <c r="IK102" s="4"/>
      <c r="IL102" s="4"/>
      <c r="IM102" s="4"/>
      <c r="IN102" s="4"/>
      <c r="IO102" s="4"/>
      <c r="IP102" s="4"/>
      <c r="IQ102" s="4"/>
      <c r="IR102" s="4"/>
      <c r="IS102" s="4"/>
      <c r="IT102" s="4"/>
      <c r="IU102" s="4"/>
      <c r="IV102" s="4"/>
    </row>
    <row r="103" spans="1:256" s="59" customFormat="1" ht="11.25" customHeight="1">
      <c r="A103" s="598" t="s">
        <v>15</v>
      </c>
      <c r="B103" s="181"/>
      <c r="C103" s="182"/>
      <c r="D103" s="180"/>
      <c r="E103" s="180"/>
      <c r="F103" s="180"/>
      <c r="G103" s="181"/>
      <c r="H103" s="182"/>
      <c r="I103" s="180"/>
      <c r="J103" s="180"/>
      <c r="K103" s="183"/>
      <c r="L103" s="182"/>
      <c r="M103" s="182"/>
      <c r="N103" s="180"/>
      <c r="O103" s="180"/>
      <c r="P103" s="180"/>
      <c r="Q103" s="181"/>
      <c r="R103" s="180"/>
      <c r="S103" s="180"/>
      <c r="T103" s="180"/>
      <c r="U103" s="183"/>
      <c r="V103" s="183"/>
      <c r="W103" s="180"/>
      <c r="X103" s="180"/>
      <c r="Y103" s="180"/>
      <c r="Z103" s="180"/>
      <c r="AA103" s="181"/>
      <c r="AB103" s="180"/>
      <c r="AC103" s="180"/>
      <c r="AD103" s="180"/>
      <c r="AE103" s="180"/>
      <c r="AF103" s="181">
        <f t="shared" ref="AF103:BK103" si="243">AF27/AA27-1</f>
        <v>0.10002074252030901</v>
      </c>
      <c r="AG103" s="180">
        <f t="shared" si="243"/>
        <v>-2.5747831526392151E-2</v>
      </c>
      <c r="AH103" s="180">
        <f t="shared" si="243"/>
        <v>-6.346804769005554E-2</v>
      </c>
      <c r="AI103" s="180">
        <f t="shared" si="243"/>
        <v>-4.7941735628056592E-2</v>
      </c>
      <c r="AJ103" s="180">
        <f t="shared" si="243"/>
        <v>-2.181243429233648E-2</v>
      </c>
      <c r="AK103" s="612">
        <f t="shared" si="243"/>
        <v>-4.0119274278774819E-2</v>
      </c>
      <c r="AL103" s="180">
        <f t="shared" si="243"/>
        <v>-5.1069470457524413E-2</v>
      </c>
      <c r="AM103" s="180">
        <f t="shared" si="243"/>
        <v>-3.9882761172504888E-2</v>
      </c>
      <c r="AN103" s="180">
        <f t="shared" si="243"/>
        <v>-2.4862916276234492E-2</v>
      </c>
      <c r="AO103" s="180">
        <f t="shared" si="243"/>
        <v>-5.6915671200819973E-2</v>
      </c>
      <c r="AP103" s="612">
        <f t="shared" si="243"/>
        <v>-4.3145937450980054E-2</v>
      </c>
      <c r="AQ103" s="180">
        <f t="shared" si="243"/>
        <v>-0.31573909220450813</v>
      </c>
      <c r="AR103" s="180">
        <f t="shared" si="243"/>
        <v>-0.29477881423308705</v>
      </c>
      <c r="AS103" s="180">
        <f t="shared" si="243"/>
        <v>-0.31340817883768102</v>
      </c>
      <c r="AT103" s="180">
        <f t="shared" si="243"/>
        <v>-0.29346136145971968</v>
      </c>
      <c r="AU103" s="612">
        <f t="shared" si="243"/>
        <v>-0.30437906801886516</v>
      </c>
      <c r="AV103" s="180">
        <f t="shared" si="243"/>
        <v>3.7821827295511534E-2</v>
      </c>
      <c r="AW103" s="180">
        <f t="shared" si="243"/>
        <v>3.9328743545611111E-2</v>
      </c>
      <c r="AX103" s="180">
        <f t="shared" si="243"/>
        <v>4.4541484716157376E-2</v>
      </c>
      <c r="AY103" s="180">
        <f t="shared" si="243"/>
        <v>2.1644221459378388E-2</v>
      </c>
      <c r="AZ103" s="612">
        <f t="shared" si="243"/>
        <v>3.5876879026485398E-2</v>
      </c>
      <c r="BA103" s="180">
        <f t="shared" si="243"/>
        <v>1.1697036223929924E-2</v>
      </c>
      <c r="BB103" s="180">
        <f t="shared" si="243"/>
        <v>-2.0249234081311629E-2</v>
      </c>
      <c r="BC103" s="180">
        <f t="shared" si="243"/>
        <v>-1.927884615384623E-2</v>
      </c>
      <c r="BD103" s="180">
        <f t="shared" si="243"/>
        <v>-8.9039709138529544E-2</v>
      </c>
      <c r="BE103" s="612">
        <f t="shared" si="243"/>
        <v>-2.9265554501885949E-2</v>
      </c>
      <c r="BF103" s="180">
        <f t="shared" si="243"/>
        <v>-0.18800506913642401</v>
      </c>
      <c r="BG103" s="180">
        <f t="shared" si="243"/>
        <v>-0.2651986697598554</v>
      </c>
      <c r="BH103" s="180">
        <f t="shared" si="243"/>
        <v>-0.26721258714728136</v>
      </c>
      <c r="BI103" s="180">
        <f t="shared" si="243"/>
        <v>-0.20787493172742044</v>
      </c>
      <c r="BJ103" s="612">
        <f t="shared" si="243"/>
        <v>-0.23294491293396113</v>
      </c>
      <c r="BK103" s="180">
        <f t="shared" si="243"/>
        <v>-0.18460942302039074</v>
      </c>
      <c r="BL103" s="180">
        <f t="shared" ref="BL103:CN103" si="244">BL27/BG27-1</f>
        <v>-9.3904192305480416E-2</v>
      </c>
      <c r="BM103" s="180">
        <f t="shared" si="244"/>
        <v>-0.15207078389910622</v>
      </c>
      <c r="BN103" s="180">
        <f t="shared" si="244"/>
        <v>-0.18716251914070559</v>
      </c>
      <c r="BO103" s="612">
        <f t="shared" si="244"/>
        <v>-0.15469490204141079</v>
      </c>
      <c r="BP103" s="180">
        <f t="shared" si="244"/>
        <v>-0.29620367669471115</v>
      </c>
      <c r="BQ103" s="180">
        <f t="shared" si="244"/>
        <v>-0.35722037813926033</v>
      </c>
      <c r="BR103" s="180">
        <f t="shared" si="244"/>
        <v>-0.36010071211975692</v>
      </c>
      <c r="BS103" s="180">
        <f t="shared" si="244"/>
        <v>-0.48271493412065392</v>
      </c>
      <c r="BT103" s="612">
        <f t="shared" si="244"/>
        <v>-0.37108267882780166</v>
      </c>
      <c r="BU103" s="180">
        <f t="shared" si="244"/>
        <v>-0.42530828552268829</v>
      </c>
      <c r="BV103" s="180">
        <f t="shared" si="244"/>
        <v>-0.36135549038774839</v>
      </c>
      <c r="BW103" s="180">
        <f t="shared" si="244"/>
        <v>-0.29032517448779382</v>
      </c>
      <c r="BX103" s="180">
        <f t="shared" si="244"/>
        <v>-9.2798069073226186E-2</v>
      </c>
      <c r="BY103" s="612">
        <f t="shared" si="244"/>
        <v>-0.31126720657015361</v>
      </c>
      <c r="BZ103" s="180">
        <f t="shared" si="244"/>
        <v>8.8400486810263912E-2</v>
      </c>
      <c r="CA103" s="180">
        <f t="shared" si="244"/>
        <v>8.7388510996969204E-2</v>
      </c>
      <c r="CB103" s="180">
        <f t="shared" si="244"/>
        <v>0.1086253320452264</v>
      </c>
      <c r="CC103" s="180">
        <f t="shared" si="244"/>
        <v>9.6129267334498891E-2</v>
      </c>
      <c r="CD103" s="612">
        <f t="shared" si="244"/>
        <v>9.5391004001386559E-2</v>
      </c>
      <c r="CE103" s="180">
        <f t="shared" si="244"/>
        <v>6.4000000000000279E-2</v>
      </c>
      <c r="CF103" s="180">
        <f t="shared" si="244"/>
        <v>5.6898079763663123E-2</v>
      </c>
      <c r="CG103" s="180">
        <f t="shared" si="244"/>
        <v>5.9911634756995458E-2</v>
      </c>
      <c r="CH103" s="180">
        <f t="shared" si="244"/>
        <v>7.3127753303964482E-2</v>
      </c>
      <c r="CI103" s="612">
        <f t="shared" si="244"/>
        <v>6.3429656412786084E-2</v>
      </c>
      <c r="CJ103" s="180">
        <f t="shared" si="244"/>
        <v>7.3533109069718217E-2</v>
      </c>
      <c r="CK103" s="180">
        <f t="shared" si="244"/>
        <v>6.6090009812084904E-2</v>
      </c>
      <c r="CL103" s="180">
        <f t="shared" si="244"/>
        <v>6.9010959663070803E-2</v>
      </c>
      <c r="CM103" s="180">
        <f t="shared" si="244"/>
        <v>8.2101647508067366E-2</v>
      </c>
      <c r="CN103" s="612">
        <f t="shared" si="244"/>
        <v>7.2659435637312031E-2</v>
      </c>
      <c r="CO103" s="45"/>
      <c r="CR103" s="598" t="s">
        <v>15</v>
      </c>
      <c r="CS103" s="180">
        <f t="shared" si="232"/>
        <v>-9.2798069073226186E-2</v>
      </c>
      <c r="CT103" s="180">
        <v>-5.5287649174918574E-2</v>
      </c>
      <c r="CU103" s="181">
        <f t="shared" si="21"/>
        <v>-3.7510419898307612E-2</v>
      </c>
      <c r="CV103" s="180">
        <f t="shared" si="233"/>
        <v>-0.48271493412065392</v>
      </c>
      <c r="CW103" s="181"/>
      <c r="DB103"/>
      <c r="DC103"/>
      <c r="DD103"/>
      <c r="DE103"/>
      <c r="DF103"/>
      <c r="DG103"/>
      <c r="HQ103" s="4"/>
      <c r="HR103" s="4"/>
      <c r="HS103" s="4"/>
      <c r="HT103" s="4"/>
      <c r="HU103" s="4"/>
      <c r="HV103" s="4"/>
      <c r="HW103" s="4"/>
      <c r="HX103" s="4"/>
      <c r="HY103" s="4"/>
      <c r="HZ103" s="4"/>
      <c r="IA103" s="4"/>
      <c r="IB103" s="4"/>
      <c r="IC103" s="4"/>
      <c r="ID103" s="4"/>
      <c r="IE103" s="4"/>
      <c r="IF103" s="4"/>
      <c r="IG103" s="4"/>
      <c r="IH103" s="4"/>
      <c r="II103" s="4"/>
      <c r="IJ103" s="4"/>
      <c r="IK103" s="4"/>
      <c r="IL103" s="4"/>
      <c r="IM103" s="4"/>
      <c r="IN103" s="4"/>
      <c r="IO103" s="4"/>
      <c r="IP103" s="4"/>
      <c r="IQ103" s="4"/>
      <c r="IR103" s="4"/>
      <c r="IS103" s="4"/>
      <c r="IT103" s="4"/>
      <c r="IU103" s="4"/>
      <c r="IV103" s="4"/>
    </row>
    <row r="104" spans="1:256" s="59" customFormat="1" ht="11.25" hidden="1" customHeight="1" outlineLevel="1">
      <c r="A104" s="598" t="s">
        <v>114</v>
      </c>
      <c r="B104" s="181"/>
      <c r="C104" s="182"/>
      <c r="D104" s="180"/>
      <c r="E104" s="180"/>
      <c r="F104" s="180"/>
      <c r="G104" s="181"/>
      <c r="H104" s="182"/>
      <c r="I104" s="180"/>
      <c r="J104" s="180"/>
      <c r="K104" s="183"/>
      <c r="L104" s="182"/>
      <c r="M104" s="182"/>
      <c r="N104" s="180"/>
      <c r="O104" s="180"/>
      <c r="P104" s="180"/>
      <c r="Q104" s="181"/>
      <c r="R104" s="180"/>
      <c r="S104" s="180"/>
      <c r="T104" s="180"/>
      <c r="U104" s="183"/>
      <c r="V104" s="183"/>
      <c r="W104" s="180"/>
      <c r="X104" s="180"/>
      <c r="Y104" s="180"/>
      <c r="Z104" s="180"/>
      <c r="AA104" s="181"/>
      <c r="AB104" s="180"/>
      <c r="AC104" s="180"/>
      <c r="AD104" s="180"/>
      <c r="AE104" s="180"/>
      <c r="AF104" s="181"/>
      <c r="AG104" s="180"/>
      <c r="AH104" s="180"/>
      <c r="AI104" s="180"/>
      <c r="AJ104" s="180"/>
      <c r="AK104" s="612"/>
      <c r="AL104" s="180"/>
      <c r="AM104" s="180"/>
      <c r="AN104" s="180"/>
      <c r="AO104" s="180"/>
      <c r="AP104" s="612"/>
      <c r="AQ104" s="180"/>
      <c r="AR104" s="180"/>
      <c r="AS104" s="180"/>
      <c r="AT104" s="180"/>
      <c r="AU104" s="612"/>
      <c r="AV104" s="180"/>
      <c r="AW104" s="180"/>
      <c r="AX104" s="180"/>
      <c r="AY104" s="180"/>
      <c r="AZ104" s="612"/>
      <c r="BA104" s="180"/>
      <c r="BB104" s="180"/>
      <c r="BC104" s="180"/>
      <c r="BD104" s="180"/>
      <c r="BE104" s="612"/>
      <c r="BF104" s="180"/>
      <c r="BG104" s="180"/>
      <c r="BH104" s="180"/>
      <c r="BI104" s="180"/>
      <c r="BJ104" s="612"/>
      <c r="BK104" s="180"/>
      <c r="BL104" s="180"/>
      <c r="BM104" s="180"/>
      <c r="BN104" s="180"/>
      <c r="BO104" s="612"/>
      <c r="BP104" s="180"/>
      <c r="BQ104" s="180"/>
      <c r="BR104" s="180"/>
      <c r="BS104" s="180"/>
      <c r="BT104" s="612"/>
      <c r="BU104" s="180"/>
      <c r="BV104" s="180"/>
      <c r="BW104" s="180"/>
      <c r="BX104" s="180"/>
      <c r="BY104" s="612"/>
      <c r="BZ104" s="180"/>
      <c r="CA104" s="180"/>
      <c r="CB104" s="180"/>
      <c r="CC104" s="180"/>
      <c r="CD104" s="612"/>
      <c r="CE104" s="180"/>
      <c r="CF104" s="180"/>
      <c r="CG104" s="180"/>
      <c r="CH104" s="180"/>
      <c r="CI104" s="612"/>
      <c r="CJ104" s="180"/>
      <c r="CK104" s="180"/>
      <c r="CL104" s="180"/>
      <c r="CM104" s="180"/>
      <c r="CN104" s="612"/>
      <c r="CO104" s="45"/>
      <c r="CR104" s="598" t="s">
        <v>114</v>
      </c>
      <c r="CS104" s="180">
        <f t="shared" si="232"/>
        <v>0</v>
      </c>
      <c r="CT104" s="180">
        <v>0</v>
      </c>
      <c r="CU104" s="181"/>
      <c r="CV104" s="180">
        <f t="shared" si="233"/>
        <v>0</v>
      </c>
      <c r="CW104" s="181"/>
      <c r="DB104"/>
      <c r="DC104"/>
      <c r="DD104"/>
      <c r="DE104"/>
      <c r="DF104"/>
      <c r="DG104"/>
      <c r="HQ104" s="4"/>
      <c r="HR104" s="4"/>
      <c r="HS104" s="4"/>
      <c r="HT104" s="4"/>
      <c r="HU104" s="4"/>
      <c r="HV104" s="4"/>
      <c r="HW104" s="4"/>
      <c r="HX104" s="4"/>
      <c r="HY104" s="4"/>
      <c r="HZ104" s="4"/>
      <c r="IA104" s="4"/>
      <c r="IB104" s="4"/>
      <c r="IC104" s="4"/>
      <c r="ID104" s="4"/>
      <c r="IE104" s="4"/>
      <c r="IF104" s="4"/>
      <c r="IG104" s="4"/>
      <c r="IH104" s="4"/>
      <c r="II104" s="4"/>
      <c r="IJ104" s="4"/>
      <c r="IK104" s="4"/>
      <c r="IL104" s="4"/>
      <c r="IM104" s="4"/>
      <c r="IN104" s="4"/>
      <c r="IO104" s="4"/>
      <c r="IP104" s="4"/>
      <c r="IQ104" s="4"/>
      <c r="IR104" s="4"/>
      <c r="IS104" s="4"/>
      <c r="IT104" s="4"/>
      <c r="IU104" s="4"/>
      <c r="IV104" s="4"/>
    </row>
    <row r="105" spans="1:256" s="66" customFormat="1" ht="11.25" customHeight="1" collapsed="1">
      <c r="A105" s="598" t="s">
        <v>16</v>
      </c>
      <c r="B105" s="181"/>
      <c r="C105" s="182"/>
      <c r="D105" s="180"/>
      <c r="E105" s="180"/>
      <c r="F105" s="180"/>
      <c r="G105" s="181"/>
      <c r="H105" s="182"/>
      <c r="I105" s="180"/>
      <c r="J105" s="180"/>
      <c r="K105" s="183"/>
      <c r="L105" s="182"/>
      <c r="M105" s="182"/>
      <c r="N105" s="180"/>
      <c r="O105" s="180"/>
      <c r="P105" s="180"/>
      <c r="Q105" s="181"/>
      <c r="R105" s="180"/>
      <c r="S105" s="180"/>
      <c r="T105" s="180"/>
      <c r="U105" s="183"/>
      <c r="V105" s="183"/>
      <c r="W105" s="180"/>
      <c r="X105" s="180"/>
      <c r="Y105" s="180"/>
      <c r="Z105" s="180"/>
      <c r="AA105" s="181"/>
      <c r="AB105" s="180"/>
      <c r="AC105" s="180"/>
      <c r="AD105" s="180"/>
      <c r="AE105" s="180"/>
      <c r="AF105" s="181">
        <f t="shared" ref="AF105:AO106" si="245">AF28/AA28-1</f>
        <v>1.850217896636841E-2</v>
      </c>
      <c r="AG105" s="180">
        <f t="shared" si="245"/>
        <v>-5.8263910315746181E-2</v>
      </c>
      <c r="AH105" s="180">
        <f t="shared" si="245"/>
        <v>2.9051778428849095E-2</v>
      </c>
      <c r="AI105" s="180">
        <f t="shared" si="245"/>
        <v>-4.9011704142586487E-2</v>
      </c>
      <c r="AJ105" s="180">
        <f t="shared" si="245"/>
        <v>5.2304752806305199E-2</v>
      </c>
      <c r="AK105" s="612">
        <f t="shared" si="245"/>
        <v>-4.5975848937124253E-3</v>
      </c>
      <c r="AL105" s="180">
        <f t="shared" si="245"/>
        <v>5.4970057700358677E-3</v>
      </c>
      <c r="AM105" s="180">
        <f t="shared" si="245"/>
        <v>-0.13511787557873445</v>
      </c>
      <c r="AN105" s="180">
        <f t="shared" si="245"/>
        <v>3.9832906065817575E-4</v>
      </c>
      <c r="AO105" s="180">
        <f t="shared" si="245"/>
        <v>-0.1627780299591467</v>
      </c>
      <c r="AP105" s="612">
        <f t="shared" ref="AP105:AY106" si="246">AP28/AK28-1</f>
        <v>-7.9756932096052058E-2</v>
      </c>
      <c r="AQ105" s="180">
        <f t="shared" si="246"/>
        <v>-0.32400753063847498</v>
      </c>
      <c r="AR105" s="180">
        <f t="shared" si="246"/>
        <v>-0.23644269423250464</v>
      </c>
      <c r="AS105" s="180">
        <f t="shared" si="246"/>
        <v>-0.32611181443214765</v>
      </c>
      <c r="AT105" s="180">
        <f t="shared" si="246"/>
        <v>-0.30200426516301604</v>
      </c>
      <c r="AU105" s="612">
        <f t="shared" si="246"/>
        <v>-0.2981618123598796</v>
      </c>
      <c r="AV105" s="180">
        <f t="shared" si="246"/>
        <v>-3.1880565039833941E-2</v>
      </c>
      <c r="AW105" s="180">
        <f t="shared" si="246"/>
        <v>-1.4921564413882038E-2</v>
      </c>
      <c r="AX105" s="180">
        <f t="shared" si="246"/>
        <v>9.3461200496924413E-2</v>
      </c>
      <c r="AY105" s="180">
        <f t="shared" si="246"/>
        <v>-9.3976153178928823E-2</v>
      </c>
      <c r="AZ105" s="612">
        <f t="shared" ref="AZ105:BI106" si="247">AZ28/AU28-1</f>
        <v>-1.5670850576285034E-2</v>
      </c>
      <c r="BA105" s="180">
        <f t="shared" si="247"/>
        <v>-9.673047134321755E-2</v>
      </c>
      <c r="BB105" s="180">
        <f t="shared" si="247"/>
        <v>1.9769582111936801E-2</v>
      </c>
      <c r="BC105" s="180">
        <f t="shared" si="247"/>
        <v>6.0173190162798873E-2</v>
      </c>
      <c r="BD105" s="180">
        <f t="shared" si="247"/>
        <v>0.10266632373113849</v>
      </c>
      <c r="BE105" s="612">
        <f t="shared" si="247"/>
        <v>2.0791638870358176E-2</v>
      </c>
      <c r="BF105" s="180">
        <f t="shared" si="247"/>
        <v>7.741540346041953E-2</v>
      </c>
      <c r="BG105" s="180">
        <f t="shared" si="247"/>
        <v>-0.10445885420148404</v>
      </c>
      <c r="BH105" s="180">
        <f t="shared" si="247"/>
        <v>-0.14041140646645234</v>
      </c>
      <c r="BI105" s="180">
        <f t="shared" si="247"/>
        <v>-0.22073630602962324</v>
      </c>
      <c r="BJ105" s="612">
        <f t="shared" ref="BJ105:BS106" si="248">BJ28/BE28-1</f>
        <v>-0.10393407580873548</v>
      </c>
      <c r="BK105" s="180">
        <f t="shared" si="248"/>
        <v>-0.15160731034874797</v>
      </c>
      <c r="BL105" s="180">
        <f t="shared" si="248"/>
        <v>-9.2726404108566474E-2</v>
      </c>
      <c r="BM105" s="180">
        <f t="shared" si="248"/>
        <v>-3.1790677167269799E-2</v>
      </c>
      <c r="BN105" s="180">
        <f t="shared" si="248"/>
        <v>0.20397439095368752</v>
      </c>
      <c r="BO105" s="612">
        <f t="shared" si="248"/>
        <v>-2.5465609651405319E-2</v>
      </c>
      <c r="BP105" s="180">
        <f t="shared" si="248"/>
        <v>8.288384870514931E-2</v>
      </c>
      <c r="BQ105" s="180">
        <f t="shared" si="248"/>
        <v>5.8086916456863147E-3</v>
      </c>
      <c r="BR105" s="180">
        <f t="shared" si="248"/>
        <v>-7.4509680762526842E-2</v>
      </c>
      <c r="BS105" s="180">
        <f t="shared" si="248"/>
        <v>-0.15524647449620854</v>
      </c>
      <c r="BT105" s="612">
        <f t="shared" ref="BT105:CC106" si="249">BT28/BO28-1</f>
        <v>-4.1644416553304642E-2</v>
      </c>
      <c r="BU105" s="180">
        <f t="shared" si="249"/>
        <v>-0.18865823098103518</v>
      </c>
      <c r="BV105" s="180">
        <f t="shared" si="249"/>
        <v>-0.16104966952424582</v>
      </c>
      <c r="BW105" s="180">
        <f t="shared" si="249"/>
        <v>-0.10142861990566365</v>
      </c>
      <c r="BX105" s="180">
        <f t="shared" si="249"/>
        <v>-0.15156717516064167</v>
      </c>
      <c r="BY105" s="612">
        <f t="shared" si="249"/>
        <v>-0.15165799673810054</v>
      </c>
      <c r="BZ105" s="180">
        <f t="shared" si="249"/>
        <v>-4.709780743565295E-2</v>
      </c>
      <c r="CA105" s="180">
        <f t="shared" si="249"/>
        <v>-3.7902886115444678E-2</v>
      </c>
      <c r="CB105" s="180">
        <f t="shared" si="249"/>
        <v>-9.0287009063444112E-2</v>
      </c>
      <c r="CC105" s="180">
        <f t="shared" si="249"/>
        <v>-8.2941165134608918E-2</v>
      </c>
      <c r="CD105" s="612">
        <f t="shared" ref="CD105:CM106" si="250">CD28/BY28-1</f>
        <v>-6.4720372421265382E-2</v>
      </c>
      <c r="CE105" s="180">
        <f t="shared" si="250"/>
        <v>-3.5998376941687615E-2</v>
      </c>
      <c r="CF105" s="180">
        <f t="shared" si="250"/>
        <v>-3.5946193009047778E-2</v>
      </c>
      <c r="CG105" s="180">
        <f t="shared" si="250"/>
        <v>-3.5848762100858522E-2</v>
      </c>
      <c r="CH105" s="180">
        <f t="shared" si="250"/>
        <v>-3.5797180328282274E-2</v>
      </c>
      <c r="CI105" s="612">
        <f t="shared" si="250"/>
        <v>-3.5899151103774396E-2</v>
      </c>
      <c r="CJ105" s="180">
        <f t="shared" si="250"/>
        <v>-4.4811182156497265E-2</v>
      </c>
      <c r="CK105" s="180">
        <f t="shared" si="250"/>
        <v>-4.474380091448793E-2</v>
      </c>
      <c r="CL105" s="180">
        <f t="shared" si="250"/>
        <v>-4.4618015130869271E-2</v>
      </c>
      <c r="CM105" s="180">
        <f t="shared" si="250"/>
        <v>-4.4551432040578431E-2</v>
      </c>
      <c r="CN105" s="612">
        <f t="shared" ref="CN105:CN106" si="251">CN28/CI28-1</f>
        <v>-4.4683065442634007E-2</v>
      </c>
      <c r="CO105" s="45"/>
      <c r="CP105" s="593"/>
      <c r="CQ105" s="593"/>
      <c r="CR105" s="598" t="s">
        <v>16</v>
      </c>
      <c r="CS105" s="180">
        <f t="shared" si="232"/>
        <v>-0.15156717516064167</v>
      </c>
      <c r="CT105" s="180">
        <v>-0.1221857065777211</v>
      </c>
      <c r="CU105" s="181">
        <f t="shared" si="21"/>
        <v>-2.9381468582920567E-2</v>
      </c>
      <c r="CV105" s="180">
        <f t="shared" si="233"/>
        <v>-0.15524647449620854</v>
      </c>
      <c r="CW105" s="181"/>
      <c r="CX105" s="593"/>
      <c r="CY105" s="593"/>
      <c r="CZ105" s="593"/>
      <c r="DA105" s="593"/>
      <c r="DB105"/>
      <c r="DC105"/>
      <c r="DD105"/>
      <c r="DE105"/>
      <c r="DF105"/>
      <c r="DG105"/>
      <c r="DH105" s="593"/>
      <c r="DI105" s="593"/>
      <c r="DJ105" s="593"/>
      <c r="DK105" s="593"/>
      <c r="DL105" s="593"/>
      <c r="DM105" s="593"/>
      <c r="DN105" s="593"/>
      <c r="DO105" s="593"/>
      <c r="DP105" s="593"/>
      <c r="DQ105" s="593"/>
      <c r="DR105" s="593"/>
      <c r="DS105" s="593"/>
      <c r="DT105" s="593"/>
      <c r="DU105" s="593"/>
      <c r="DV105" s="593"/>
      <c r="DW105" s="593"/>
      <c r="DX105" s="593"/>
      <c r="DY105" s="593"/>
      <c r="DZ105" s="593"/>
      <c r="EA105" s="593"/>
      <c r="EB105" s="593"/>
      <c r="EC105" s="593"/>
      <c r="ED105" s="593"/>
      <c r="EE105" s="593"/>
      <c r="EF105" s="593"/>
      <c r="EG105" s="593"/>
      <c r="EH105" s="593"/>
      <c r="EI105" s="593"/>
      <c r="EJ105" s="593"/>
      <c r="EK105" s="593"/>
      <c r="EL105" s="593"/>
      <c r="EM105" s="593"/>
      <c r="EN105" s="593"/>
      <c r="EO105" s="593"/>
      <c r="EP105" s="593"/>
      <c r="EQ105" s="593"/>
      <c r="ER105" s="593"/>
      <c r="ES105" s="593"/>
      <c r="ET105" s="593"/>
      <c r="EU105" s="593"/>
      <c r="EV105" s="593"/>
      <c r="EW105" s="593"/>
      <c r="EX105" s="593"/>
      <c r="EY105" s="593"/>
      <c r="EZ105" s="593"/>
      <c r="FA105" s="593"/>
      <c r="FB105" s="593"/>
      <c r="FC105" s="593"/>
      <c r="FD105" s="593"/>
      <c r="FE105" s="593"/>
      <c r="FF105" s="593"/>
      <c r="FG105" s="593"/>
      <c r="FH105" s="593"/>
      <c r="FI105" s="593"/>
      <c r="FJ105" s="593"/>
      <c r="FK105" s="593"/>
      <c r="FL105" s="593"/>
      <c r="FM105" s="593"/>
      <c r="FN105" s="593"/>
      <c r="FO105" s="593"/>
      <c r="FP105" s="593"/>
      <c r="FQ105" s="593"/>
      <c r="FR105" s="593"/>
      <c r="FS105" s="593"/>
      <c r="FT105" s="593"/>
      <c r="FU105" s="593"/>
      <c r="FV105" s="593"/>
      <c r="FW105" s="593"/>
      <c r="FX105" s="593"/>
      <c r="FY105" s="593"/>
      <c r="FZ105" s="593"/>
      <c r="GA105" s="593"/>
      <c r="GB105" s="593"/>
      <c r="GC105" s="593"/>
      <c r="GD105" s="593"/>
      <c r="GE105" s="593"/>
      <c r="GF105" s="593"/>
      <c r="GG105" s="593"/>
      <c r="GH105" s="593"/>
      <c r="GI105" s="593"/>
      <c r="GJ105" s="593"/>
      <c r="GK105" s="593"/>
      <c r="GL105" s="593"/>
      <c r="GM105" s="593"/>
      <c r="GN105" s="593"/>
      <c r="GO105" s="593"/>
      <c r="GP105" s="593"/>
      <c r="GQ105" s="593"/>
      <c r="GR105" s="593"/>
      <c r="GS105" s="593"/>
      <c r="GT105" s="593"/>
      <c r="GU105" s="593"/>
      <c r="GV105" s="593"/>
      <c r="GW105" s="593"/>
      <c r="GX105" s="593"/>
      <c r="GY105" s="593"/>
      <c r="GZ105" s="593"/>
      <c r="HA105" s="593"/>
      <c r="HB105" s="593"/>
      <c r="HC105" s="593"/>
      <c r="HD105" s="593"/>
      <c r="HE105" s="593"/>
      <c r="HF105" s="593"/>
      <c r="HG105" s="593"/>
      <c r="HH105" s="593"/>
      <c r="HI105" s="593"/>
      <c r="HJ105" s="593"/>
      <c r="HK105" s="593"/>
      <c r="HL105" s="593"/>
      <c r="HM105" s="593"/>
      <c r="HN105" s="593"/>
      <c r="HO105" s="593"/>
      <c r="HP105" s="593"/>
      <c r="HQ105" s="6"/>
      <c r="HR105" s="6"/>
      <c r="HS105" s="6"/>
      <c r="HT105" s="6"/>
      <c r="HU105" s="6"/>
      <c r="HV105" s="6"/>
      <c r="HW105" s="6"/>
      <c r="HX105" s="6"/>
      <c r="HY105" s="6"/>
      <c r="HZ105" s="6"/>
      <c r="IA105" s="6"/>
      <c r="IB105" s="6"/>
      <c r="IC105" s="6"/>
      <c r="ID105" s="6"/>
      <c r="IE105" s="6"/>
      <c r="IF105" s="6"/>
      <c r="IG105" s="6"/>
      <c r="IH105" s="6"/>
      <c r="II105" s="6"/>
      <c r="IJ105" s="6"/>
      <c r="IK105" s="6"/>
      <c r="IL105" s="6"/>
      <c r="IM105" s="6"/>
      <c r="IN105" s="6"/>
      <c r="IO105" s="6"/>
      <c r="IP105" s="6"/>
      <c r="IQ105" s="6"/>
      <c r="IR105" s="6"/>
      <c r="IS105" s="6"/>
      <c r="IT105" s="6"/>
      <c r="IU105" s="6"/>
      <c r="IV105" s="6"/>
    </row>
    <row r="106" spans="1:256" s="66" customFormat="1" ht="11.25" customHeight="1">
      <c r="A106" s="598" t="s">
        <v>44</v>
      </c>
      <c r="B106" s="181"/>
      <c r="C106" s="182"/>
      <c r="D106" s="180"/>
      <c r="E106" s="180"/>
      <c r="F106" s="180"/>
      <c r="G106" s="181"/>
      <c r="H106" s="182"/>
      <c r="I106" s="180"/>
      <c r="J106" s="180"/>
      <c r="K106" s="183"/>
      <c r="L106" s="182"/>
      <c r="M106" s="182"/>
      <c r="N106" s="180"/>
      <c r="O106" s="180"/>
      <c r="P106" s="180"/>
      <c r="Q106" s="181"/>
      <c r="R106" s="180"/>
      <c r="S106" s="180"/>
      <c r="T106" s="180"/>
      <c r="U106" s="183"/>
      <c r="V106" s="183"/>
      <c r="W106" s="180"/>
      <c r="X106" s="180"/>
      <c r="Y106" s="180"/>
      <c r="Z106" s="180"/>
      <c r="AA106" s="181"/>
      <c r="AB106" s="180"/>
      <c r="AC106" s="180"/>
      <c r="AD106" s="180"/>
      <c r="AE106" s="180"/>
      <c r="AF106" s="181">
        <f t="shared" si="245"/>
        <v>2.7634745543360317E-2</v>
      </c>
      <c r="AG106" s="180">
        <f t="shared" si="245"/>
        <v>8.4538679542353279E-2</v>
      </c>
      <c r="AH106" s="180">
        <f t="shared" si="245"/>
        <v>-4.3596438661073544E-2</v>
      </c>
      <c r="AI106" s="180">
        <f t="shared" si="245"/>
        <v>1.7198485667928587E-2</v>
      </c>
      <c r="AJ106" s="180">
        <f t="shared" si="245"/>
        <v>1.8797400960514521E-2</v>
      </c>
      <c r="AK106" s="612">
        <f t="shared" si="245"/>
        <v>1.9560452516331761E-2</v>
      </c>
      <c r="AL106" s="180">
        <f t="shared" si="245"/>
        <v>-0.1032867484805079</v>
      </c>
      <c r="AM106" s="180">
        <f t="shared" si="245"/>
        <v>5.7511132991698855E-3</v>
      </c>
      <c r="AN106" s="180">
        <f t="shared" si="245"/>
        <v>-1.7907273500638143E-2</v>
      </c>
      <c r="AO106" s="180">
        <f t="shared" si="245"/>
        <v>-4.6030459451388617E-2</v>
      </c>
      <c r="AP106" s="612">
        <f t="shared" si="246"/>
        <v>-4.2464954192093618E-2</v>
      </c>
      <c r="AQ106" s="180">
        <f t="shared" si="246"/>
        <v>-0.34563743901912536</v>
      </c>
      <c r="AR106" s="180">
        <f t="shared" si="246"/>
        <v>-0.33601815592737638</v>
      </c>
      <c r="AS106" s="180">
        <f t="shared" si="246"/>
        <v>-0.33266923643293345</v>
      </c>
      <c r="AT106" s="180">
        <f t="shared" si="246"/>
        <v>-0.28405330471335288</v>
      </c>
      <c r="AU106" s="612">
        <f t="shared" si="246"/>
        <v>-0.32485782666930163</v>
      </c>
      <c r="AV106" s="180">
        <f t="shared" si="246"/>
        <v>6.58771524708055E-2</v>
      </c>
      <c r="AW106" s="180">
        <f t="shared" si="246"/>
        <v>0.20457744119026899</v>
      </c>
      <c r="AX106" s="180">
        <f t="shared" si="246"/>
        <v>0.35896936656282463</v>
      </c>
      <c r="AY106" s="180">
        <f t="shared" si="246"/>
        <v>0.15053091817613984</v>
      </c>
      <c r="AZ106" s="612">
        <f t="shared" si="247"/>
        <v>0.19500455314166776</v>
      </c>
      <c r="BA106" s="180">
        <f t="shared" si="247"/>
        <v>0.60307635170684892</v>
      </c>
      <c r="BB106" s="180">
        <f t="shared" si="247"/>
        <v>7.7113528249923347E-2</v>
      </c>
      <c r="BC106" s="180">
        <f t="shared" si="247"/>
        <v>5.8431634748555394E-2</v>
      </c>
      <c r="BD106" s="180">
        <f t="shared" si="247"/>
        <v>0.28984799131378924</v>
      </c>
      <c r="BE106" s="612">
        <f t="shared" si="247"/>
        <v>0.24073998475941649</v>
      </c>
      <c r="BF106" s="180">
        <f t="shared" si="247"/>
        <v>-0.18873679942853827</v>
      </c>
      <c r="BG106" s="180">
        <f t="shared" si="247"/>
        <v>2.0041839923551574E-2</v>
      </c>
      <c r="BH106" s="180">
        <f t="shared" si="247"/>
        <v>-0.18163564579808233</v>
      </c>
      <c r="BI106" s="180">
        <f t="shared" si="247"/>
        <v>-0.12532093101561514</v>
      </c>
      <c r="BJ106" s="612">
        <f t="shared" si="248"/>
        <v>-0.12615774379109335</v>
      </c>
      <c r="BK106" s="180">
        <f t="shared" si="248"/>
        <v>-0.15411341948073576</v>
      </c>
      <c r="BL106" s="180">
        <f t="shared" si="248"/>
        <v>-4.0511457146473751E-3</v>
      </c>
      <c r="BM106" s="180">
        <f t="shared" si="248"/>
        <v>4.0249214313281545E-3</v>
      </c>
      <c r="BN106" s="180">
        <f t="shared" si="248"/>
        <v>-0.18795563361643775</v>
      </c>
      <c r="BO106" s="609">
        <f t="shared" si="248"/>
        <v>-8.9750428294415707E-2</v>
      </c>
      <c r="BP106" s="155">
        <f t="shared" si="248"/>
        <v>-9.0026726684484526E-2</v>
      </c>
      <c r="BQ106" s="155">
        <f t="shared" si="248"/>
        <v>-0.21827888648786076</v>
      </c>
      <c r="BR106" s="155">
        <f t="shared" si="248"/>
        <v>-0.19379461834157063</v>
      </c>
      <c r="BS106" s="155">
        <f t="shared" si="248"/>
        <v>-0.10378951734763409</v>
      </c>
      <c r="BT106" s="609">
        <f t="shared" si="249"/>
        <v>-0.15406305368456608</v>
      </c>
      <c r="BU106" s="180">
        <f t="shared" si="249"/>
        <v>-9.831504096460042E-2</v>
      </c>
      <c r="BV106" s="180">
        <f t="shared" si="249"/>
        <v>1.8211974373150364E-2</v>
      </c>
      <c r="BW106" s="180">
        <f t="shared" si="249"/>
        <v>6.3142837681356978E-2</v>
      </c>
      <c r="BX106" s="180">
        <f t="shared" si="249"/>
        <v>0.1239420788151282</v>
      </c>
      <c r="BY106" s="612">
        <f t="shared" si="249"/>
        <v>2.4310535923849352E-2</v>
      </c>
      <c r="BZ106" s="180">
        <f t="shared" si="249"/>
        <v>5.4999999999999938E-2</v>
      </c>
      <c r="CA106" s="180">
        <f t="shared" si="249"/>
        <v>5.4999999999999938E-2</v>
      </c>
      <c r="CB106" s="180">
        <f t="shared" si="249"/>
        <v>5.4999999999999938E-2</v>
      </c>
      <c r="CC106" s="180">
        <f t="shared" si="249"/>
        <v>-6.7148438097479279E-2</v>
      </c>
      <c r="CD106" s="612">
        <f t="shared" si="250"/>
        <v>2.196014345158992E-2</v>
      </c>
      <c r="CE106" s="180">
        <f t="shared" si="250"/>
        <v>2.0000000000000018E-2</v>
      </c>
      <c r="CF106" s="180">
        <f t="shared" si="250"/>
        <v>2.0000000000000018E-2</v>
      </c>
      <c r="CG106" s="180">
        <f t="shared" si="250"/>
        <v>2.0000000000000018E-2</v>
      </c>
      <c r="CH106" s="180">
        <f t="shared" si="250"/>
        <v>2.0000000000000018E-2</v>
      </c>
      <c r="CI106" s="612">
        <f t="shared" si="250"/>
        <v>2.0000000000000018E-2</v>
      </c>
      <c r="CJ106" s="180">
        <f t="shared" si="250"/>
        <v>2.0000000000000018E-2</v>
      </c>
      <c r="CK106" s="180">
        <f t="shared" si="250"/>
        <v>2.0000000000000018E-2</v>
      </c>
      <c r="CL106" s="180">
        <f t="shared" si="250"/>
        <v>2.0000000000000018E-2</v>
      </c>
      <c r="CM106" s="180">
        <f t="shared" si="250"/>
        <v>2.0000000000000018E-2</v>
      </c>
      <c r="CN106" s="612">
        <f t="shared" si="251"/>
        <v>2.0000000000000018E-2</v>
      </c>
      <c r="CO106" s="45"/>
      <c r="CP106" s="593"/>
      <c r="CQ106" s="593"/>
      <c r="CR106" s="598" t="s">
        <v>44</v>
      </c>
      <c r="CS106" s="180">
        <f t="shared" si="232"/>
        <v>0.1239420788151282</v>
      </c>
      <c r="CT106" s="180">
        <v>-6.1885083311293831E-3</v>
      </c>
      <c r="CU106" s="181">
        <f t="shared" si="21"/>
        <v>0.13013058714625758</v>
      </c>
      <c r="CV106" s="180">
        <f t="shared" si="233"/>
        <v>-0.10378951734763409</v>
      </c>
      <c r="CW106" s="181"/>
      <c r="CX106" s="593"/>
      <c r="CY106" s="593"/>
      <c r="CZ106" s="593"/>
      <c r="DA106" s="593"/>
      <c r="DB106"/>
      <c r="DC106"/>
      <c r="DD106"/>
      <c r="DE106"/>
      <c r="DF106"/>
      <c r="DG106"/>
      <c r="DH106" s="593"/>
      <c r="DI106" s="593"/>
      <c r="DJ106" s="593"/>
      <c r="DK106" s="593"/>
      <c r="DL106" s="593"/>
      <c r="DM106" s="593"/>
      <c r="DN106" s="593"/>
      <c r="DO106" s="593"/>
      <c r="DP106" s="593"/>
      <c r="DQ106" s="593"/>
      <c r="DR106" s="593"/>
      <c r="DS106" s="593"/>
      <c r="DT106" s="593"/>
      <c r="DU106" s="593"/>
      <c r="DV106" s="593"/>
      <c r="DW106" s="593"/>
      <c r="DX106" s="593"/>
      <c r="DY106" s="593"/>
      <c r="DZ106" s="593"/>
      <c r="EA106" s="593"/>
      <c r="EB106" s="593"/>
      <c r="EC106" s="593"/>
      <c r="ED106" s="593"/>
      <c r="EE106" s="593"/>
      <c r="EF106" s="593"/>
      <c r="EG106" s="593"/>
      <c r="EH106" s="593"/>
      <c r="EI106" s="593"/>
      <c r="EJ106" s="593"/>
      <c r="EK106" s="593"/>
      <c r="EL106" s="593"/>
      <c r="EM106" s="593"/>
      <c r="EN106" s="593"/>
      <c r="EO106" s="593"/>
      <c r="EP106" s="593"/>
      <c r="EQ106" s="593"/>
      <c r="ER106" s="593"/>
      <c r="ES106" s="593"/>
      <c r="ET106" s="593"/>
      <c r="EU106" s="593"/>
      <c r="EV106" s="593"/>
      <c r="EW106" s="593"/>
      <c r="EX106" s="593"/>
      <c r="EY106" s="593"/>
      <c r="EZ106" s="593"/>
      <c r="FA106" s="593"/>
      <c r="FB106" s="593"/>
      <c r="FC106" s="593"/>
      <c r="FD106" s="593"/>
      <c r="FE106" s="593"/>
      <c r="FF106" s="593"/>
      <c r="FG106" s="593"/>
      <c r="FH106" s="593"/>
      <c r="FI106" s="593"/>
      <c r="FJ106" s="593"/>
      <c r="FK106" s="593"/>
      <c r="FL106" s="593"/>
      <c r="FM106" s="593"/>
      <c r="FN106" s="593"/>
      <c r="FO106" s="593"/>
      <c r="FP106" s="593"/>
      <c r="FQ106" s="593"/>
      <c r="FR106" s="593"/>
      <c r="FS106" s="593"/>
      <c r="FT106" s="593"/>
      <c r="FU106" s="593"/>
      <c r="FV106" s="593"/>
      <c r="FW106" s="593"/>
      <c r="FX106" s="593"/>
      <c r="FY106" s="593"/>
      <c r="FZ106" s="593"/>
      <c r="GA106" s="593"/>
      <c r="GB106" s="593"/>
      <c r="GC106" s="593"/>
      <c r="GD106" s="593"/>
      <c r="GE106" s="593"/>
      <c r="GF106" s="593"/>
      <c r="GG106" s="593"/>
      <c r="GH106" s="593"/>
      <c r="GI106" s="593"/>
      <c r="GJ106" s="593"/>
      <c r="GK106" s="593"/>
      <c r="GL106" s="593"/>
      <c r="GM106" s="593"/>
      <c r="GN106" s="593"/>
      <c r="GO106" s="593"/>
      <c r="GP106" s="593"/>
      <c r="GQ106" s="593"/>
      <c r="GR106" s="593"/>
      <c r="GS106" s="593"/>
      <c r="GT106" s="593"/>
      <c r="GU106" s="593"/>
      <c r="GV106" s="593"/>
      <c r="GW106" s="593"/>
      <c r="GX106" s="593"/>
      <c r="GY106" s="593"/>
      <c r="GZ106" s="593"/>
      <c r="HA106" s="593"/>
      <c r="HB106" s="593"/>
      <c r="HC106" s="593"/>
      <c r="HD106" s="593"/>
      <c r="HE106" s="593"/>
      <c r="HF106" s="593"/>
      <c r="HG106" s="593"/>
      <c r="HH106" s="593"/>
      <c r="HI106" s="593"/>
      <c r="HJ106" s="593"/>
      <c r="HK106" s="593"/>
      <c r="HL106" s="593"/>
      <c r="HM106" s="593"/>
      <c r="HN106" s="593"/>
      <c r="HO106" s="593"/>
      <c r="HP106" s="593"/>
      <c r="HQ106" s="6"/>
      <c r="HR106" s="6"/>
      <c r="HS106" s="6"/>
      <c r="HT106" s="6"/>
      <c r="HU106" s="6"/>
      <c r="HV106" s="6"/>
      <c r="HW106" s="6"/>
      <c r="HX106" s="6"/>
      <c r="HY106" s="6"/>
      <c r="HZ106" s="6"/>
      <c r="IA106" s="6"/>
      <c r="IB106" s="6"/>
      <c r="IC106" s="6"/>
      <c r="ID106" s="6"/>
      <c r="IE106" s="6"/>
      <c r="IF106" s="6"/>
      <c r="IG106" s="6"/>
      <c r="IH106" s="6"/>
      <c r="II106" s="6"/>
      <c r="IJ106" s="6"/>
      <c r="IK106" s="6"/>
      <c r="IL106" s="6"/>
      <c r="IM106" s="6"/>
      <c r="IN106" s="6"/>
      <c r="IO106" s="6"/>
      <c r="IP106" s="6"/>
      <c r="IQ106" s="6"/>
      <c r="IR106" s="6"/>
      <c r="IS106" s="6"/>
      <c r="IT106" s="6"/>
      <c r="IU106" s="6"/>
      <c r="IV106" s="6"/>
    </row>
    <row r="107" spans="1:256" s="66" customFormat="1" ht="11.25" customHeight="1">
      <c r="A107" s="600" t="s">
        <v>444</v>
      </c>
      <c r="B107" s="181"/>
      <c r="C107" s="182"/>
      <c r="D107" s="180"/>
      <c r="E107" s="180"/>
      <c r="F107" s="183"/>
      <c r="G107" s="181"/>
      <c r="H107" s="182"/>
      <c r="I107" s="180"/>
      <c r="J107" s="180"/>
      <c r="K107" s="183"/>
      <c r="L107" s="182"/>
      <c r="M107" s="182"/>
      <c r="N107" s="180"/>
      <c r="O107" s="180"/>
      <c r="P107" s="183"/>
      <c r="Q107" s="181"/>
      <c r="R107" s="180"/>
      <c r="S107" s="180"/>
      <c r="T107" s="180"/>
      <c r="U107" s="183"/>
      <c r="V107" s="183"/>
      <c r="W107" s="180"/>
      <c r="X107" s="180"/>
      <c r="Y107" s="180"/>
      <c r="Z107" s="183"/>
      <c r="AA107" s="181"/>
      <c r="AB107" s="180"/>
      <c r="AC107" s="180"/>
      <c r="AD107" s="180"/>
      <c r="AE107" s="183"/>
      <c r="AF107" s="181">
        <f t="shared" ref="AF107:BK107" si="252">AF38/AA38-1</f>
        <v>-2.201136127128708</v>
      </c>
      <c r="AG107" s="180">
        <f t="shared" si="252"/>
        <v>-0.28212261720762111</v>
      </c>
      <c r="AH107" s="180">
        <f t="shared" si="252"/>
        <v>0.24516868292898186</v>
      </c>
      <c r="AI107" s="180">
        <f t="shared" si="252"/>
        <v>-4.2609469153514512</v>
      </c>
      <c r="AJ107" s="183">
        <f t="shared" si="252"/>
        <v>-0.9652741810912725</v>
      </c>
      <c r="AK107" s="612">
        <f t="shared" si="252"/>
        <v>-1.2853327897258173</v>
      </c>
      <c r="AL107" s="180">
        <f t="shared" si="252"/>
        <v>0.88983780680350422</v>
      </c>
      <c r="AM107" s="180">
        <f t="shared" si="252"/>
        <v>0.28591147999363042</v>
      </c>
      <c r="AN107" s="180">
        <f t="shared" si="252"/>
        <v>-0.64195206082151035</v>
      </c>
      <c r="AO107" s="183">
        <f t="shared" si="252"/>
        <v>-1.8534702688558831</v>
      </c>
      <c r="AP107" s="612">
        <f t="shared" si="252"/>
        <v>0.18228906194185157</v>
      </c>
      <c r="AQ107" s="180">
        <f t="shared" si="252"/>
        <v>6.9266699578478308E-2</v>
      </c>
      <c r="AR107" s="180">
        <f t="shared" si="252"/>
        <v>-0.34666886861263402</v>
      </c>
      <c r="AS107" s="180">
        <f t="shared" si="252"/>
        <v>0.5920373556156131</v>
      </c>
      <c r="AT107" s="183">
        <f t="shared" si="252"/>
        <v>1.2441940676017693</v>
      </c>
      <c r="AU107" s="612">
        <f t="shared" si="252"/>
        <v>3.7352328005553659E-2</v>
      </c>
      <c r="AV107" s="180">
        <f t="shared" si="252"/>
        <v>-0.25936712007670826</v>
      </c>
      <c r="AW107" s="180">
        <f t="shared" si="252"/>
        <v>-0.19130874391760155</v>
      </c>
      <c r="AX107" s="180">
        <f t="shared" si="252"/>
        <v>-3.7573325100339283E-2</v>
      </c>
      <c r="AY107" s="183">
        <f t="shared" si="252"/>
        <v>0.10167349726775443</v>
      </c>
      <c r="AZ107" s="612">
        <f t="shared" si="252"/>
        <v>-0.10673326877006861</v>
      </c>
      <c r="BA107" s="180">
        <f t="shared" si="252"/>
        <v>7.8498129855180343E-2</v>
      </c>
      <c r="BB107" s="180">
        <f t="shared" si="252"/>
        <v>0.48451459977599409</v>
      </c>
      <c r="BC107" s="180">
        <f t="shared" si="252"/>
        <v>-0.13996086356782977</v>
      </c>
      <c r="BD107" s="183">
        <f t="shared" si="252"/>
        <v>-0.1047524568310797</v>
      </c>
      <c r="BE107" s="612">
        <f t="shared" si="252"/>
        <v>0.10171591603831986</v>
      </c>
      <c r="BF107" s="180">
        <f t="shared" si="252"/>
        <v>2.9577608821306129</v>
      </c>
      <c r="BG107" s="180">
        <f t="shared" si="252"/>
        <v>0.12040286355980045</v>
      </c>
      <c r="BH107" s="180">
        <f t="shared" si="252"/>
        <v>0.75020514733308841</v>
      </c>
      <c r="BI107" s="183">
        <f t="shared" si="252"/>
        <v>0.79087886972783328</v>
      </c>
      <c r="BJ107" s="612">
        <f t="shared" si="252"/>
        <v>0.8613053354346436</v>
      </c>
      <c r="BK107" s="180">
        <f t="shared" si="252"/>
        <v>-0.57410070326016138</v>
      </c>
      <c r="BL107" s="180">
        <f t="shared" ref="BL107:CN107" si="253">BL38/BG38-1</f>
        <v>7.1099696181897709E-3</v>
      </c>
      <c r="BM107" s="180">
        <f t="shared" si="253"/>
        <v>0.19214457728619272</v>
      </c>
      <c r="BN107" s="183">
        <f>BN38/BI38-1</f>
        <v>1.2490090299127932</v>
      </c>
      <c r="BO107" s="612">
        <f t="shared" si="253"/>
        <v>9.0960045476049745E-2</v>
      </c>
      <c r="BP107" s="180">
        <f t="shared" si="253"/>
        <v>0.68365382079079962</v>
      </c>
      <c r="BQ107" s="180">
        <f t="shared" si="253"/>
        <v>2.0837220874540874E-2</v>
      </c>
      <c r="BR107" s="180">
        <f t="shared" si="253"/>
        <v>0.8964943956810083</v>
      </c>
      <c r="BS107" s="183">
        <f t="shared" si="253"/>
        <v>-0.31894387509457323</v>
      </c>
      <c r="BT107" s="612">
        <f t="shared" si="253"/>
        <v>0.14697769664374571</v>
      </c>
      <c r="BU107" s="180">
        <f t="shared" si="253"/>
        <v>-4.8708267401965655E-2</v>
      </c>
      <c r="BV107" s="180">
        <f t="shared" si="253"/>
        <v>-0.60708627833292628</v>
      </c>
      <c r="BW107" s="180">
        <f t="shared" si="253"/>
        <v>-0.41881268380966741</v>
      </c>
      <c r="BX107" s="183">
        <f t="shared" si="253"/>
        <v>-0.15941425235119633</v>
      </c>
      <c r="BY107" s="612">
        <f t="shared" si="253"/>
        <v>-0.31761230065442503</v>
      </c>
      <c r="BZ107" s="180">
        <f t="shared" si="253"/>
        <v>5.5174458743989518E-4</v>
      </c>
      <c r="CA107" s="180">
        <f t="shared" si="253"/>
        <v>2.1083599741626116</v>
      </c>
      <c r="CB107" s="180">
        <f t="shared" si="253"/>
        <v>0.1932953238354016</v>
      </c>
      <c r="CC107" s="183">
        <f t="shared" si="253"/>
        <v>0.14120706670324612</v>
      </c>
      <c r="CD107" s="612">
        <f t="shared" si="253"/>
        <v>0.3523854705132563</v>
      </c>
      <c r="CE107" s="180">
        <f t="shared" si="253"/>
        <v>0.20021437561342514</v>
      </c>
      <c r="CF107" s="180">
        <f t="shared" si="253"/>
        <v>0.14595375679107581</v>
      </c>
      <c r="CG107" s="180">
        <f t="shared" si="253"/>
        <v>0.15851570305571028</v>
      </c>
      <c r="CH107" s="183">
        <f t="shared" si="253"/>
        <v>0.16029673775429143</v>
      </c>
      <c r="CI107" s="612">
        <f t="shared" si="253"/>
        <v>0.16423525138298922</v>
      </c>
      <c r="CJ107" s="180">
        <f t="shared" si="253"/>
        <v>0.15497349640810887</v>
      </c>
      <c r="CK107" s="180">
        <f t="shared" si="253"/>
        <v>0.11950361230549866</v>
      </c>
      <c r="CL107" s="180">
        <f t="shared" si="253"/>
        <v>0.13016395396772618</v>
      </c>
      <c r="CM107" s="183">
        <f t="shared" si="253"/>
        <v>0.13355709624866319</v>
      </c>
      <c r="CN107" s="612">
        <f t="shared" si="253"/>
        <v>0.13350144344459847</v>
      </c>
      <c r="CO107" s="45"/>
      <c r="CP107" s="593"/>
      <c r="CQ107" s="593"/>
      <c r="CR107" s="600" t="s">
        <v>444</v>
      </c>
      <c r="CS107" s="180">
        <f t="shared" si="232"/>
        <v>-0.15941425235119633</v>
      </c>
      <c r="CT107" s="180">
        <v>-9.6104873586426942E-2</v>
      </c>
      <c r="CU107" s="181">
        <f t="shared" si="21"/>
        <v>-6.3309378764769386E-2</v>
      </c>
      <c r="CV107" s="180">
        <f t="shared" si="233"/>
        <v>-0.31894387509457323</v>
      </c>
      <c r="CW107" s="181"/>
      <c r="CX107" s="593"/>
      <c r="CY107" s="593"/>
      <c r="CZ107" s="593"/>
      <c r="DA107" s="593"/>
      <c r="DB107"/>
      <c r="DC107"/>
      <c r="DD107"/>
      <c r="DE107"/>
      <c r="DF107"/>
      <c r="DG107"/>
      <c r="DH107" s="593"/>
      <c r="DI107" s="593"/>
      <c r="DJ107" s="593"/>
      <c r="DK107" s="593"/>
      <c r="DL107" s="593"/>
      <c r="DM107" s="593"/>
      <c r="DN107" s="593"/>
      <c r="DO107" s="593"/>
      <c r="DP107" s="593"/>
      <c r="DQ107" s="593"/>
      <c r="DR107" s="593"/>
      <c r="DS107" s="593"/>
      <c r="DT107" s="593"/>
      <c r="DU107" s="593"/>
      <c r="DV107" s="593"/>
      <c r="DW107" s="593"/>
      <c r="DX107" s="593"/>
      <c r="DY107" s="593"/>
      <c r="DZ107" s="593"/>
      <c r="EA107" s="593"/>
      <c r="EB107" s="593"/>
      <c r="EC107" s="593"/>
      <c r="ED107" s="593"/>
      <c r="EE107" s="593"/>
      <c r="EF107" s="593"/>
      <c r="EG107" s="593"/>
      <c r="EH107" s="593"/>
      <c r="EI107" s="593"/>
      <c r="EJ107" s="593"/>
      <c r="EK107" s="593"/>
      <c r="EL107" s="593"/>
      <c r="EM107" s="593"/>
      <c r="EN107" s="593"/>
      <c r="EO107" s="593"/>
      <c r="EP107" s="593"/>
      <c r="EQ107" s="593"/>
      <c r="ER107" s="593"/>
      <c r="ES107" s="593"/>
      <c r="ET107" s="593"/>
      <c r="EU107" s="593"/>
      <c r="EV107" s="593"/>
      <c r="EW107" s="593"/>
      <c r="EX107" s="593"/>
      <c r="EY107" s="593"/>
      <c r="EZ107" s="593"/>
      <c r="FA107" s="593"/>
      <c r="FB107" s="593"/>
      <c r="FC107" s="593"/>
      <c r="FD107" s="593"/>
      <c r="FE107" s="593"/>
      <c r="FF107" s="593"/>
      <c r="FG107" s="593"/>
      <c r="FH107" s="593"/>
      <c r="FI107" s="593"/>
      <c r="FJ107" s="593"/>
      <c r="FK107" s="593"/>
      <c r="FL107" s="593"/>
      <c r="FM107" s="593"/>
      <c r="FN107" s="593"/>
      <c r="FO107" s="593"/>
      <c r="FP107" s="593"/>
      <c r="FQ107" s="593"/>
      <c r="FR107" s="593"/>
      <c r="FS107" s="593"/>
      <c r="FT107" s="593"/>
      <c r="FU107" s="593"/>
      <c r="FV107" s="593"/>
      <c r="FW107" s="593"/>
      <c r="FX107" s="593"/>
      <c r="FY107" s="593"/>
      <c r="FZ107" s="593"/>
      <c r="GA107" s="593"/>
      <c r="GB107" s="593"/>
      <c r="GC107" s="593"/>
      <c r="GD107" s="593"/>
      <c r="GE107" s="593"/>
      <c r="GF107" s="593"/>
      <c r="GG107" s="593"/>
      <c r="GH107" s="593"/>
      <c r="GI107" s="593"/>
      <c r="GJ107" s="593"/>
      <c r="GK107" s="593"/>
      <c r="GL107" s="593"/>
      <c r="GM107" s="593"/>
      <c r="GN107" s="593"/>
      <c r="GO107" s="593"/>
      <c r="GP107" s="593"/>
      <c r="GQ107" s="593"/>
      <c r="GR107" s="593"/>
      <c r="GS107" s="593"/>
      <c r="GT107" s="593"/>
      <c r="GU107" s="593"/>
      <c r="GV107" s="593"/>
      <c r="GW107" s="593"/>
      <c r="GX107" s="593"/>
      <c r="GY107" s="593"/>
      <c r="GZ107" s="593"/>
      <c r="HA107" s="593"/>
      <c r="HB107" s="593"/>
      <c r="HC107" s="593"/>
      <c r="HD107" s="593"/>
      <c r="HE107" s="593"/>
      <c r="HF107" s="593"/>
      <c r="HG107" s="593"/>
      <c r="HH107" s="593"/>
      <c r="HI107" s="593"/>
      <c r="HJ107" s="593"/>
      <c r="HK107" s="593"/>
      <c r="HL107" s="593"/>
      <c r="HM107" s="593"/>
      <c r="HN107" s="593"/>
      <c r="HO107" s="593"/>
      <c r="HP107" s="593"/>
      <c r="HQ107" s="6"/>
      <c r="HR107" s="6"/>
      <c r="HS107" s="6"/>
      <c r="HT107" s="6"/>
      <c r="HU107" s="6"/>
      <c r="HV107" s="6"/>
      <c r="HW107" s="6"/>
      <c r="HX107" s="6"/>
      <c r="HY107" s="6"/>
      <c r="HZ107" s="6"/>
      <c r="IA107" s="6"/>
      <c r="IB107" s="6"/>
      <c r="IC107" s="6"/>
      <c r="ID107" s="6"/>
      <c r="IE107" s="6"/>
      <c r="IF107" s="6"/>
      <c r="IG107" s="6"/>
      <c r="IH107" s="6"/>
      <c r="II107" s="6"/>
      <c r="IJ107" s="6"/>
      <c r="IK107" s="6"/>
      <c r="IL107" s="6"/>
      <c r="IM107" s="6"/>
      <c r="IN107" s="6"/>
      <c r="IO107" s="6"/>
      <c r="IP107" s="6"/>
      <c r="IQ107" s="6"/>
      <c r="IR107" s="6"/>
      <c r="IS107" s="6"/>
      <c r="IT107" s="6"/>
      <c r="IU107" s="6"/>
      <c r="IV107" s="6"/>
    </row>
    <row r="108" spans="1:256" s="66" customFormat="1" ht="11.25" customHeight="1">
      <c r="A108" s="600" t="s">
        <v>439</v>
      </c>
      <c r="B108" s="181"/>
      <c r="C108" s="182"/>
      <c r="D108" s="180"/>
      <c r="E108" s="180"/>
      <c r="F108" s="183"/>
      <c r="G108" s="181"/>
      <c r="H108" s="182"/>
      <c r="I108" s="180"/>
      <c r="J108" s="180"/>
      <c r="K108" s="183"/>
      <c r="L108" s="182"/>
      <c r="M108" s="182"/>
      <c r="N108" s="180"/>
      <c r="O108" s="180"/>
      <c r="P108" s="183"/>
      <c r="Q108" s="181"/>
      <c r="R108" s="180"/>
      <c r="S108" s="180"/>
      <c r="T108" s="180"/>
      <c r="U108" s="183"/>
      <c r="V108" s="183"/>
      <c r="W108" s="180"/>
      <c r="X108" s="180"/>
      <c r="Y108" s="180"/>
      <c r="Z108" s="183"/>
      <c r="AA108" s="181"/>
      <c r="AB108" s="180"/>
      <c r="AC108" s="180"/>
      <c r="AD108" s="180"/>
      <c r="AE108" s="183"/>
      <c r="AF108" s="181">
        <f t="shared" ref="AF108:BK108" si="254">AF40/AA40-1</f>
        <v>-0.46014121387272</v>
      </c>
      <c r="AG108" s="180">
        <f t="shared" si="254"/>
        <v>-2.4551281098039612E-2</v>
      </c>
      <c r="AH108" s="180">
        <f t="shared" si="254"/>
        <v>0.17573929045234871</v>
      </c>
      <c r="AI108" s="180">
        <f t="shared" si="254"/>
        <v>1.3469770595547677</v>
      </c>
      <c r="AJ108" s="183">
        <f t="shared" si="254"/>
        <v>0.18954991793129738</v>
      </c>
      <c r="AK108" s="612">
        <f t="shared" si="254"/>
        <v>0.10135415831553996</v>
      </c>
      <c r="AL108" s="180">
        <f t="shared" si="254"/>
        <v>0.28452954448441981</v>
      </c>
      <c r="AM108" s="180">
        <f t="shared" si="254"/>
        <v>9.2152437803702414E-2</v>
      </c>
      <c r="AN108" s="180">
        <f t="shared" si="254"/>
        <v>-9.5433446967507218E-2</v>
      </c>
      <c r="AO108" s="183">
        <f t="shared" si="254"/>
        <v>3.8792529563416611E-2</v>
      </c>
      <c r="AP108" s="612">
        <f t="shared" si="254"/>
        <v>0.27069057364166937</v>
      </c>
      <c r="AQ108" s="180">
        <f t="shared" si="254"/>
        <v>-0.19198908141466808</v>
      </c>
      <c r="AR108" s="180">
        <f t="shared" si="254"/>
        <v>-0.35301322268602853</v>
      </c>
      <c r="AS108" s="180">
        <f t="shared" si="254"/>
        <v>-0.32710897244815629</v>
      </c>
      <c r="AT108" s="183">
        <f t="shared" si="254"/>
        <v>-0.23190482848620253</v>
      </c>
      <c r="AU108" s="612">
        <f t="shared" si="254"/>
        <v>-0.32213562755672154</v>
      </c>
      <c r="AV108" s="180">
        <f t="shared" si="254"/>
        <v>-0.21911490386733656</v>
      </c>
      <c r="AW108" s="180">
        <f t="shared" si="254"/>
        <v>-4.2677587183850063E-2</v>
      </c>
      <c r="AX108" s="180">
        <f t="shared" si="254"/>
        <v>0.15576052906369697</v>
      </c>
      <c r="AY108" s="183">
        <f t="shared" si="254"/>
        <v>4.8178880781539313E-2</v>
      </c>
      <c r="AZ108" s="612">
        <f t="shared" si="254"/>
        <v>3.5824450206473735E-2</v>
      </c>
      <c r="BA108" s="180">
        <f t="shared" si="254"/>
        <v>0.39731026050973162</v>
      </c>
      <c r="BB108" s="180">
        <f t="shared" si="254"/>
        <v>0.2875110979579778</v>
      </c>
      <c r="BC108" s="180">
        <f t="shared" si="254"/>
        <v>-2.6228251495529764E-2</v>
      </c>
      <c r="BD108" s="183">
        <f t="shared" si="254"/>
        <v>0.10563410857200561</v>
      </c>
      <c r="BE108" s="612">
        <f t="shared" si="254"/>
        <v>0.17749238830933667</v>
      </c>
      <c r="BF108" s="180">
        <f t="shared" si="254"/>
        <v>0.76387841912556342</v>
      </c>
      <c r="BG108" s="180">
        <f t="shared" si="254"/>
        <v>7.9802739497029096E-2</v>
      </c>
      <c r="BH108" s="180">
        <f t="shared" si="254"/>
        <v>0.16956491178744737</v>
      </c>
      <c r="BI108" s="183">
        <f t="shared" si="254"/>
        <v>0.22100633541023451</v>
      </c>
      <c r="BJ108" s="612">
        <f t="shared" si="254"/>
        <v>0.29416840938294841</v>
      </c>
      <c r="BK108" s="180">
        <f t="shared" si="254"/>
        <v>-0.43941694966993561</v>
      </c>
      <c r="BL108" s="180">
        <f t="shared" ref="BL108:CN108" si="255">BL40/BG40-1</f>
        <v>2.8447299925484781E-3</v>
      </c>
      <c r="BM108" s="180">
        <f t="shared" si="255"/>
        <v>0.11012416313088247</v>
      </c>
      <c r="BN108" s="183">
        <f t="shared" si="255"/>
        <v>0.60873713550600295</v>
      </c>
      <c r="BO108" s="612">
        <f t="shared" si="255"/>
        <v>2.0880281518761867E-2</v>
      </c>
      <c r="BP108" s="180">
        <f t="shared" si="255"/>
        <v>0.30927357874101502</v>
      </c>
      <c r="BQ108" s="180">
        <f t="shared" si="255"/>
        <v>-6.991306697027333E-2</v>
      </c>
      <c r="BR108" s="180">
        <f t="shared" si="255"/>
        <v>0.4665598371571793</v>
      </c>
      <c r="BS108" s="183">
        <f t="shared" si="255"/>
        <v>-0.270553034392222</v>
      </c>
      <c r="BT108" s="612">
        <f t="shared" si="255"/>
        <v>4.2884999547072367E-2</v>
      </c>
      <c r="BU108" s="180">
        <f t="shared" si="255"/>
        <v>-6.5391893859047867E-2</v>
      </c>
      <c r="BV108" s="180">
        <f t="shared" si="255"/>
        <v>-0.40762679336493812</v>
      </c>
      <c r="BW108" s="180">
        <f t="shared" si="255"/>
        <v>-0.31433739387227744</v>
      </c>
      <c r="BX108" s="183">
        <f t="shared" si="255"/>
        <v>-8.1114166430666268E-2</v>
      </c>
      <c r="BY108" s="612">
        <f t="shared" si="255"/>
        <v>-0.22171096542959257</v>
      </c>
      <c r="BZ108" s="180">
        <f t="shared" si="255"/>
        <v>1.8218578532005925E-2</v>
      </c>
      <c r="CA108" s="180">
        <f t="shared" si="255"/>
        <v>0.98252337308986304</v>
      </c>
      <c r="CB108" s="180">
        <f t="shared" si="255"/>
        <v>0.14681220356529168</v>
      </c>
      <c r="CC108" s="183">
        <f t="shared" si="255"/>
        <v>7.0783718092032988E-2</v>
      </c>
      <c r="CD108" s="612">
        <f t="shared" si="255"/>
        <v>0.23041334194992613</v>
      </c>
      <c r="CE108" s="180">
        <f t="shared" si="255"/>
        <v>0.13962790804174663</v>
      </c>
      <c r="CF108" s="180">
        <f t="shared" si="255"/>
        <v>0.10920390935605195</v>
      </c>
      <c r="CG108" s="180">
        <f t="shared" si="255"/>
        <v>0.11568581471412087</v>
      </c>
      <c r="CH108" s="183">
        <f t="shared" si="255"/>
        <v>0.11898532476180868</v>
      </c>
      <c r="CI108" s="612">
        <f t="shared" si="255"/>
        <v>0.12001292180319201</v>
      </c>
      <c r="CJ108" s="180">
        <f t="shared" si="255"/>
        <v>0.11435986765901096</v>
      </c>
      <c r="CK108" s="180">
        <f t="shared" si="255"/>
        <v>9.2806023340999522E-2</v>
      </c>
      <c r="CL108" s="180">
        <f t="shared" si="255"/>
        <v>9.9022010855901454E-2</v>
      </c>
      <c r="CM108" s="183">
        <f t="shared" si="255"/>
        <v>0.10307726652642213</v>
      </c>
      <c r="CN108" s="612">
        <f t="shared" si="255"/>
        <v>0.10180951079141409</v>
      </c>
      <c r="CO108" s="45"/>
      <c r="CP108" s="593"/>
      <c r="CQ108" s="593"/>
      <c r="CR108" s="600" t="s">
        <v>439</v>
      </c>
      <c r="CS108" s="180">
        <f t="shared" si="232"/>
        <v>-8.1114166430666268E-2</v>
      </c>
      <c r="CT108" s="180">
        <v>-7.1258211095519219E-2</v>
      </c>
      <c r="CU108" s="181">
        <f t="shared" si="21"/>
        <v>-9.8559553351470486E-3</v>
      </c>
      <c r="CV108" s="180">
        <f t="shared" si="233"/>
        <v>-0.270553034392222</v>
      </c>
      <c r="CW108" s="181"/>
      <c r="CX108" s="593"/>
      <c r="CY108" s="593"/>
      <c r="CZ108" s="593"/>
      <c r="DA108" s="593"/>
      <c r="DB108"/>
      <c r="DC108"/>
      <c r="DD108"/>
      <c r="DE108"/>
      <c r="DF108"/>
      <c r="DG108"/>
      <c r="DH108" s="593"/>
      <c r="DI108" s="593"/>
      <c r="DJ108" s="593"/>
      <c r="DK108" s="593"/>
      <c r="DL108" s="593"/>
      <c r="DM108" s="593"/>
      <c r="DN108" s="593"/>
      <c r="DO108" s="593"/>
      <c r="DP108" s="593"/>
      <c r="DQ108" s="593"/>
      <c r="DR108" s="593"/>
      <c r="DS108" s="593"/>
      <c r="DT108" s="593"/>
      <c r="DU108" s="593"/>
      <c r="DV108" s="593"/>
      <c r="DW108" s="593"/>
      <c r="DX108" s="593"/>
      <c r="DY108" s="593"/>
      <c r="DZ108" s="593"/>
      <c r="EA108" s="593"/>
      <c r="EB108" s="593"/>
      <c r="EC108" s="593"/>
      <c r="ED108" s="593"/>
      <c r="EE108" s="593"/>
      <c r="EF108" s="593"/>
      <c r="EG108" s="593"/>
      <c r="EH108" s="593"/>
      <c r="EI108" s="593"/>
      <c r="EJ108" s="593"/>
      <c r="EK108" s="593"/>
      <c r="EL108" s="593"/>
      <c r="EM108" s="593"/>
      <c r="EN108" s="593"/>
      <c r="EO108" s="593"/>
      <c r="EP108" s="593"/>
      <c r="EQ108" s="593"/>
      <c r="ER108" s="593"/>
      <c r="ES108" s="593"/>
      <c r="ET108" s="593"/>
      <c r="EU108" s="593"/>
      <c r="EV108" s="593"/>
      <c r="EW108" s="593"/>
      <c r="EX108" s="593"/>
      <c r="EY108" s="593"/>
      <c r="EZ108" s="593"/>
      <c r="FA108" s="593"/>
      <c r="FB108" s="593"/>
      <c r="FC108" s="593"/>
      <c r="FD108" s="593"/>
      <c r="FE108" s="593"/>
      <c r="FF108" s="593"/>
      <c r="FG108" s="593"/>
      <c r="FH108" s="593"/>
      <c r="FI108" s="593"/>
      <c r="FJ108" s="593"/>
      <c r="FK108" s="593"/>
      <c r="FL108" s="593"/>
      <c r="FM108" s="593"/>
      <c r="FN108" s="593"/>
      <c r="FO108" s="593"/>
      <c r="FP108" s="593"/>
      <c r="FQ108" s="593"/>
      <c r="FR108" s="593"/>
      <c r="FS108" s="593"/>
      <c r="FT108" s="593"/>
      <c r="FU108" s="593"/>
      <c r="FV108" s="593"/>
      <c r="FW108" s="593"/>
      <c r="FX108" s="593"/>
      <c r="FY108" s="593"/>
      <c r="FZ108" s="593"/>
      <c r="GA108" s="593"/>
      <c r="GB108" s="593"/>
      <c r="GC108" s="593"/>
      <c r="GD108" s="593"/>
      <c r="GE108" s="593"/>
      <c r="GF108" s="593"/>
      <c r="GG108" s="593"/>
      <c r="GH108" s="593"/>
      <c r="GI108" s="593"/>
      <c r="GJ108" s="593"/>
      <c r="GK108" s="593"/>
      <c r="GL108" s="593"/>
      <c r="GM108" s="593"/>
      <c r="GN108" s="593"/>
      <c r="GO108" s="593"/>
      <c r="GP108" s="593"/>
      <c r="GQ108" s="593"/>
      <c r="GR108" s="593"/>
      <c r="GS108" s="593"/>
      <c r="GT108" s="593"/>
      <c r="GU108" s="593"/>
      <c r="GV108" s="593"/>
      <c r="GW108" s="593"/>
      <c r="GX108" s="593"/>
      <c r="GY108" s="593"/>
      <c r="GZ108" s="593"/>
      <c r="HA108" s="593"/>
      <c r="HB108" s="593"/>
      <c r="HC108" s="593"/>
      <c r="HD108" s="593"/>
      <c r="HE108" s="593"/>
      <c r="HF108" s="593"/>
      <c r="HG108" s="593"/>
      <c r="HH108" s="593"/>
      <c r="HI108" s="593"/>
      <c r="HJ108" s="593"/>
      <c r="HK108" s="593"/>
      <c r="HL108" s="593"/>
      <c r="HM108" s="593"/>
      <c r="HN108" s="593"/>
      <c r="HO108" s="593"/>
      <c r="HP108" s="593"/>
      <c r="HQ108" s="6"/>
      <c r="HR108" s="6"/>
      <c r="HS108" s="6"/>
      <c r="HT108" s="6"/>
      <c r="HU108" s="6"/>
      <c r="HV108" s="6"/>
      <c r="HW108" s="6"/>
      <c r="HX108" s="6"/>
      <c r="HY108" s="6"/>
      <c r="HZ108" s="6"/>
      <c r="IA108" s="6"/>
      <c r="IB108" s="6"/>
      <c r="IC108" s="6"/>
      <c r="ID108" s="6"/>
      <c r="IE108" s="6"/>
      <c r="IF108" s="6"/>
      <c r="IG108" s="6"/>
      <c r="IH108" s="6"/>
      <c r="II108" s="6"/>
      <c r="IJ108" s="6"/>
      <c r="IK108" s="6"/>
      <c r="IL108" s="6"/>
      <c r="IM108" s="6"/>
      <c r="IN108" s="6"/>
      <c r="IO108" s="6"/>
      <c r="IP108" s="6"/>
      <c r="IQ108" s="6"/>
      <c r="IR108" s="6"/>
      <c r="IS108" s="6"/>
      <c r="IT108" s="6"/>
      <c r="IU108" s="6"/>
      <c r="IV108" s="6"/>
    </row>
    <row r="109" spans="1:256" s="66" customFormat="1" ht="11.25" customHeight="1">
      <c r="A109" s="775" t="s">
        <v>54</v>
      </c>
      <c r="B109" s="177"/>
      <c r="C109" s="178"/>
      <c r="D109" s="176"/>
      <c r="E109" s="176"/>
      <c r="F109" s="179"/>
      <c r="G109" s="177"/>
      <c r="H109" s="178"/>
      <c r="I109" s="176"/>
      <c r="J109" s="176"/>
      <c r="K109" s="179"/>
      <c r="L109" s="178"/>
      <c r="M109" s="178"/>
      <c r="N109" s="176"/>
      <c r="O109" s="176"/>
      <c r="P109" s="179"/>
      <c r="Q109" s="177"/>
      <c r="R109" s="176"/>
      <c r="S109" s="176"/>
      <c r="T109" s="176"/>
      <c r="U109" s="179"/>
      <c r="V109" s="179"/>
      <c r="W109" s="176"/>
      <c r="X109" s="176"/>
      <c r="Y109" s="176"/>
      <c r="Z109" s="179"/>
      <c r="AA109" s="177"/>
      <c r="AB109" s="176"/>
      <c r="AC109" s="176"/>
      <c r="AD109" s="176"/>
      <c r="AE109" s="179"/>
      <c r="AF109" s="177">
        <f t="shared" ref="AF109:BK109" si="256">AF42/AA42-1</f>
        <v>-0.41609034808263456</v>
      </c>
      <c r="AG109" s="176">
        <f t="shared" si="256"/>
        <v>6.9891398494238643E-2</v>
      </c>
      <c r="AH109" s="176">
        <f t="shared" si="256"/>
        <v>0.13232508697332945</v>
      </c>
      <c r="AI109" s="176">
        <f t="shared" si="256"/>
        <v>9.1228070175441545E-2</v>
      </c>
      <c r="AJ109" s="179">
        <f t="shared" si="256"/>
        <v>0.38878137934742218</v>
      </c>
      <c r="AK109" s="613">
        <f t="shared" si="256"/>
        <v>0.15879565156961806</v>
      </c>
      <c r="AL109" s="176">
        <f t="shared" si="256"/>
        <v>0.1465188690995145</v>
      </c>
      <c r="AM109" s="176">
        <f t="shared" si="256"/>
        <v>3.1611378047844196E-2</v>
      </c>
      <c r="AN109" s="176">
        <f t="shared" si="256"/>
        <v>-0.24026527331189618</v>
      </c>
      <c r="AO109" s="179">
        <f t="shared" si="256"/>
        <v>-0.20381838942540287</v>
      </c>
      <c r="AP109" s="613">
        <f t="shared" si="256"/>
        <v>-8.3451511623804597E-2</v>
      </c>
      <c r="AQ109" s="176">
        <f t="shared" si="256"/>
        <v>-0.19911139113998311</v>
      </c>
      <c r="AR109" s="176">
        <f t="shared" si="256"/>
        <v>-0.26019011060830277</v>
      </c>
      <c r="AS109" s="176">
        <f t="shared" si="256"/>
        <v>-7.8996095692567381E-2</v>
      </c>
      <c r="AT109" s="179">
        <f t="shared" si="256"/>
        <v>-1.7124661213674508E-2</v>
      </c>
      <c r="AU109" s="613">
        <f t="shared" si="256"/>
        <v>-0.15050510493404246</v>
      </c>
      <c r="AV109" s="176">
        <f t="shared" si="256"/>
        <v>-0.19555103424889575</v>
      </c>
      <c r="AW109" s="176">
        <f t="shared" si="256"/>
        <v>-3.947397848504175E-3</v>
      </c>
      <c r="AX109" s="176">
        <f t="shared" si="256"/>
        <v>-2.9456028491010366E-2</v>
      </c>
      <c r="AY109" s="179">
        <f t="shared" si="256"/>
        <v>0.18564362557190361</v>
      </c>
      <c r="AZ109" s="613">
        <f t="shared" si="256"/>
        <v>-7.0106866908722365E-3</v>
      </c>
      <c r="BA109" s="176">
        <f t="shared" si="256"/>
        <v>0.30380387131584086</v>
      </c>
      <c r="BB109" s="176">
        <f t="shared" si="256"/>
        <v>0.14611610701334987</v>
      </c>
      <c r="BC109" s="176">
        <f t="shared" si="256"/>
        <v>0.168748002509441</v>
      </c>
      <c r="BD109" s="179">
        <f t="shared" si="256"/>
        <v>-7.1670681976994111E-2</v>
      </c>
      <c r="BE109" s="613">
        <f t="shared" si="256"/>
        <v>0.11680481832423584</v>
      </c>
      <c r="BF109" s="176">
        <f t="shared" si="256"/>
        <v>0.76168429764891354</v>
      </c>
      <c r="BG109" s="176">
        <f t="shared" si="256"/>
        <v>-2.9249275135176056E-2</v>
      </c>
      <c r="BH109" s="176">
        <f t="shared" si="256"/>
        <v>-4.6709946625884347E-2</v>
      </c>
      <c r="BI109" s="179">
        <f t="shared" si="256"/>
        <v>0.20271651818314873</v>
      </c>
      <c r="BJ109" s="613">
        <f t="shared" si="256"/>
        <v>3.705358115616475E-2</v>
      </c>
      <c r="BK109" s="176">
        <f t="shared" si="256"/>
        <v>-0.40677854122621582</v>
      </c>
      <c r="BL109" s="176">
        <f t="shared" ref="BL109:CN109" si="257">BL42/BG42-1</f>
        <v>5.2309741478475669E-2</v>
      </c>
      <c r="BM109" s="176">
        <f t="shared" si="257"/>
        <v>5.9484727755644506E-2</v>
      </c>
      <c r="BN109" s="179">
        <f t="shared" si="257"/>
        <v>5.1095231423095022E-3</v>
      </c>
      <c r="BO109" s="613">
        <f t="shared" si="257"/>
        <v>3.0592412829484328E-2</v>
      </c>
      <c r="BP109" s="176">
        <f t="shared" si="257"/>
        <v>0.21398076994468584</v>
      </c>
      <c r="BQ109" s="176">
        <f t="shared" si="257"/>
        <v>-1.7269815699135549E-2</v>
      </c>
      <c r="BR109" s="176">
        <f t="shared" si="257"/>
        <v>4.6127311379398073E-3</v>
      </c>
      <c r="BS109" s="179">
        <f t="shared" si="257"/>
        <v>-0.1533149941450902</v>
      </c>
      <c r="BT109" s="613">
        <f t="shared" si="257"/>
        <v>-1.3226434520239305E-3</v>
      </c>
      <c r="BU109" s="176">
        <f t="shared" si="257"/>
        <v>-9.1067551451026629E-2</v>
      </c>
      <c r="BV109" s="176">
        <f t="shared" si="257"/>
        <v>0.13289749719471211</v>
      </c>
      <c r="BW109" s="176">
        <f t="shared" si="257"/>
        <v>-3.2699832308551779E-2</v>
      </c>
      <c r="BX109" s="179">
        <f t="shared" si="257"/>
        <v>0.14164974479995585</v>
      </c>
      <c r="BY109" s="613">
        <f t="shared" si="257"/>
        <v>3.6641599277324577E-2</v>
      </c>
      <c r="BZ109" s="176">
        <f t="shared" si="257"/>
        <v>6.1440376491262105E-2</v>
      </c>
      <c r="CA109" s="176">
        <f t="shared" si="257"/>
        <v>1.9640168257222257E-3</v>
      </c>
      <c r="CB109" s="176">
        <f t="shared" si="257"/>
        <v>0.1313089712069111</v>
      </c>
      <c r="CC109" s="179">
        <f t="shared" si="257"/>
        <v>6.5558210754437463E-2</v>
      </c>
      <c r="CD109" s="613">
        <f t="shared" si="257"/>
        <v>6.2048189690693034E-2</v>
      </c>
      <c r="CE109" s="176">
        <f t="shared" si="257"/>
        <v>0.10200056111860656</v>
      </c>
      <c r="CF109" s="176">
        <f t="shared" si="257"/>
        <v>7.9407881933964752E-2</v>
      </c>
      <c r="CG109" s="176">
        <f t="shared" si="257"/>
        <v>8.3884060898059554E-2</v>
      </c>
      <c r="CH109" s="179">
        <f t="shared" si="257"/>
        <v>8.7433670360719473E-2</v>
      </c>
      <c r="CI109" s="613">
        <f t="shared" si="257"/>
        <v>8.7563241984253803E-2</v>
      </c>
      <c r="CJ109" s="176">
        <f t="shared" si="257"/>
        <v>0.11435986765901096</v>
      </c>
      <c r="CK109" s="176">
        <f t="shared" si="257"/>
        <v>9.2806023340999522E-2</v>
      </c>
      <c r="CL109" s="176">
        <f t="shared" si="257"/>
        <v>9.9022010855901454E-2</v>
      </c>
      <c r="CM109" s="179">
        <f t="shared" si="257"/>
        <v>0.10307726652642213</v>
      </c>
      <c r="CN109" s="613">
        <f t="shared" si="257"/>
        <v>0.10180951079141409</v>
      </c>
      <c r="CO109" s="45"/>
      <c r="CP109" s="593"/>
      <c r="CQ109" s="593"/>
      <c r="CR109" s="775" t="s">
        <v>54</v>
      </c>
      <c r="CS109" s="180">
        <f t="shared" si="232"/>
        <v>0.14164974479995585</v>
      </c>
      <c r="CT109" s="180">
        <v>0.11588675087921829</v>
      </c>
      <c r="CU109" s="181">
        <f t="shared" si="21"/>
        <v>2.5762993920737554E-2</v>
      </c>
      <c r="CV109" s="180">
        <f t="shared" si="233"/>
        <v>-0.1533149941450902</v>
      </c>
      <c r="CW109" s="181"/>
      <c r="CX109" s="593"/>
      <c r="CY109" s="593"/>
      <c r="CZ109" s="593"/>
      <c r="DA109" s="593"/>
      <c r="DB109"/>
      <c r="DC109"/>
      <c r="DD109"/>
      <c r="DE109"/>
      <c r="DF109"/>
      <c r="DG109"/>
      <c r="DH109" s="593"/>
      <c r="DI109" s="593"/>
      <c r="DJ109" s="593"/>
      <c r="DK109" s="593"/>
      <c r="DL109" s="593"/>
      <c r="DM109" s="593"/>
      <c r="DN109" s="593"/>
      <c r="DO109" s="593"/>
      <c r="DP109" s="593"/>
      <c r="DQ109" s="593"/>
      <c r="DR109" s="593"/>
      <c r="DS109" s="593"/>
      <c r="DT109" s="593"/>
      <c r="DU109" s="593"/>
      <c r="DV109" s="593"/>
      <c r="DW109" s="593"/>
      <c r="DX109" s="593"/>
      <c r="DY109" s="593"/>
      <c r="DZ109" s="593"/>
      <c r="EA109" s="593"/>
      <c r="EB109" s="593"/>
      <c r="EC109" s="593"/>
      <c r="ED109" s="593"/>
      <c r="EE109" s="593"/>
      <c r="EF109" s="593"/>
      <c r="EG109" s="593"/>
      <c r="EH109" s="593"/>
      <c r="EI109" s="593"/>
      <c r="EJ109" s="593"/>
      <c r="EK109" s="593"/>
      <c r="EL109" s="593"/>
      <c r="EM109" s="593"/>
      <c r="EN109" s="593"/>
      <c r="EO109" s="593"/>
      <c r="EP109" s="593"/>
      <c r="EQ109" s="593"/>
      <c r="ER109" s="593"/>
      <c r="ES109" s="593"/>
      <c r="ET109" s="593"/>
      <c r="EU109" s="593"/>
      <c r="EV109" s="593"/>
      <c r="EW109" s="593"/>
      <c r="EX109" s="593"/>
      <c r="EY109" s="593"/>
      <c r="EZ109" s="593"/>
      <c r="FA109" s="593"/>
      <c r="FB109" s="593"/>
      <c r="FC109" s="593"/>
      <c r="FD109" s="593"/>
      <c r="FE109" s="593"/>
      <c r="FF109" s="593"/>
      <c r="FG109" s="593"/>
      <c r="FH109" s="593"/>
      <c r="FI109" s="593"/>
      <c r="FJ109" s="593"/>
      <c r="FK109" s="593"/>
      <c r="FL109" s="593"/>
      <c r="FM109" s="593"/>
      <c r="FN109" s="593"/>
      <c r="FO109" s="593"/>
      <c r="FP109" s="593"/>
      <c r="FQ109" s="593"/>
      <c r="FR109" s="593"/>
      <c r="FS109" s="593"/>
      <c r="FT109" s="593"/>
      <c r="FU109" s="593"/>
      <c r="FV109" s="593"/>
      <c r="FW109" s="593"/>
      <c r="FX109" s="593"/>
      <c r="FY109" s="593"/>
      <c r="FZ109" s="593"/>
      <c r="GA109" s="593"/>
      <c r="GB109" s="593"/>
      <c r="GC109" s="593"/>
      <c r="GD109" s="593"/>
      <c r="GE109" s="593"/>
      <c r="GF109" s="593"/>
      <c r="GG109" s="593"/>
      <c r="GH109" s="593"/>
      <c r="GI109" s="593"/>
      <c r="GJ109" s="593"/>
      <c r="GK109" s="593"/>
      <c r="GL109" s="593"/>
      <c r="GM109" s="593"/>
      <c r="GN109" s="593"/>
      <c r="GO109" s="593"/>
      <c r="GP109" s="593"/>
      <c r="GQ109" s="593"/>
      <c r="GR109" s="593"/>
      <c r="GS109" s="593"/>
      <c r="GT109" s="593"/>
      <c r="GU109" s="593"/>
      <c r="GV109" s="593"/>
      <c r="GW109" s="593"/>
      <c r="GX109" s="593"/>
      <c r="GY109" s="593"/>
      <c r="GZ109" s="593"/>
      <c r="HA109" s="593"/>
      <c r="HB109" s="593"/>
      <c r="HC109" s="593"/>
      <c r="HD109" s="593"/>
      <c r="HE109" s="593"/>
      <c r="HF109" s="593"/>
      <c r="HG109" s="593"/>
      <c r="HH109" s="593"/>
      <c r="HI109" s="593"/>
      <c r="HJ109" s="593"/>
      <c r="HK109" s="593"/>
      <c r="HL109" s="593"/>
      <c r="HM109" s="593"/>
      <c r="HN109" s="593"/>
      <c r="HO109" s="593"/>
      <c r="HP109" s="593"/>
      <c r="HQ109" s="6"/>
      <c r="HR109" s="6"/>
      <c r="HS109" s="6"/>
      <c r="HT109" s="6"/>
      <c r="HU109" s="6"/>
      <c r="HV109" s="6"/>
      <c r="HW109" s="6"/>
      <c r="HX109" s="6"/>
      <c r="HY109" s="6"/>
      <c r="HZ109" s="6"/>
      <c r="IA109" s="6"/>
      <c r="IB109" s="6"/>
      <c r="IC109" s="6"/>
      <c r="ID109" s="6"/>
      <c r="IE109" s="6"/>
      <c r="IF109" s="6"/>
      <c r="IG109" s="6"/>
      <c r="IH109" s="6"/>
      <c r="II109" s="6"/>
      <c r="IJ109" s="6"/>
      <c r="IK109" s="6"/>
      <c r="IL109" s="6"/>
      <c r="IM109" s="6"/>
      <c r="IN109" s="6"/>
      <c r="IO109" s="6"/>
      <c r="IP109" s="6"/>
      <c r="IQ109" s="6"/>
      <c r="IR109" s="6"/>
      <c r="IS109" s="6"/>
      <c r="IT109" s="6"/>
      <c r="IU109" s="6"/>
      <c r="IV109" s="6"/>
    </row>
    <row r="110" spans="1:256" s="66" customFormat="1" ht="11.25" hidden="1" customHeight="1" outlineLevel="1">
      <c r="A110" s="775" t="s">
        <v>640</v>
      </c>
      <c r="B110" s="177"/>
      <c r="C110" s="178"/>
      <c r="D110" s="176"/>
      <c r="E110" s="176"/>
      <c r="F110" s="179"/>
      <c r="G110" s="177"/>
      <c r="H110" s="178"/>
      <c r="I110" s="176"/>
      <c r="J110" s="176"/>
      <c r="K110" s="179"/>
      <c r="L110" s="178"/>
      <c r="M110" s="178"/>
      <c r="N110" s="176"/>
      <c r="O110" s="176"/>
      <c r="P110" s="179"/>
      <c r="Q110" s="177"/>
      <c r="R110" s="176"/>
      <c r="S110" s="176"/>
      <c r="T110" s="176"/>
      <c r="U110" s="179"/>
      <c r="V110" s="179"/>
      <c r="W110" s="176"/>
      <c r="X110" s="176"/>
      <c r="Y110" s="176"/>
      <c r="Z110" s="179"/>
      <c r="AA110" s="177"/>
      <c r="AB110" s="176"/>
      <c r="AC110" s="176"/>
      <c r="AD110" s="176"/>
      <c r="AE110" s="179"/>
      <c r="AF110" s="177"/>
      <c r="AG110" s="176"/>
      <c r="AH110" s="176"/>
      <c r="AI110" s="176"/>
      <c r="AJ110" s="179"/>
      <c r="AK110" s="613"/>
      <c r="AL110" s="176"/>
      <c r="AM110" s="176"/>
      <c r="AN110" s="176"/>
      <c r="AO110" s="179"/>
      <c r="AP110" s="613"/>
      <c r="AQ110" s="176"/>
      <c r="AR110" s="176"/>
      <c r="AS110" s="176"/>
      <c r="AT110" s="179"/>
      <c r="AU110" s="613"/>
      <c r="AV110" s="176">
        <f>AV43/AQ43-1</f>
        <v>-0.19555103424889575</v>
      </c>
      <c r="AW110" s="176">
        <f>AW43/AR43-1</f>
        <v>-3.947397848504175E-3</v>
      </c>
      <c r="AX110" s="176">
        <f>AX43/AS43-1</f>
        <v>-2.9456028491010366E-2</v>
      </c>
      <c r="AY110" s="179">
        <f t="shared" ref="AY110:BE110" si="258">AY43/AT43-1</f>
        <v>0.18564362557190361</v>
      </c>
      <c r="AZ110" s="613">
        <f t="shared" si="258"/>
        <v>-7.0106866908722365E-3</v>
      </c>
      <c r="BA110" s="176">
        <f t="shared" si="258"/>
        <v>0.30380387131584086</v>
      </c>
      <c r="BB110" s="176">
        <f t="shared" si="258"/>
        <v>0.14611610701334987</v>
      </c>
      <c r="BC110" s="176">
        <f t="shared" si="258"/>
        <v>0.168748002509441</v>
      </c>
      <c r="BD110" s="179">
        <f t="shared" si="258"/>
        <v>-7.1670681976994111E-2</v>
      </c>
      <c r="BE110" s="613">
        <f t="shared" si="258"/>
        <v>0.11685957200869979</v>
      </c>
      <c r="BF110" s="176">
        <f>BF43/BA43-1</f>
        <v>0.76168429764891354</v>
      </c>
      <c r="BG110" s="176">
        <f>BG43/BB43-1</f>
        <v>-2.9249275135176056E-2</v>
      </c>
      <c r="BH110" s="176">
        <f>BH43/BC43-1</f>
        <v>-4.6709946625884347E-2</v>
      </c>
      <c r="BI110" s="179">
        <f>BI43/BD43-1</f>
        <v>0.20271651818314873</v>
      </c>
      <c r="BJ110" s="613">
        <f>BJ43/BE43-1</f>
        <v>0.18886486074267061</v>
      </c>
      <c r="BK110" s="176">
        <f t="shared" ref="BK110:BT110" si="259">BK43/BF43-1</f>
        <v>-0.40677854122621582</v>
      </c>
      <c r="BL110" s="176">
        <f t="shared" si="259"/>
        <v>5.2309741478475669E-2</v>
      </c>
      <c r="BM110" s="176">
        <f t="shared" si="259"/>
        <v>5.9484727755644506E-2</v>
      </c>
      <c r="BN110" s="179">
        <f t="shared" si="259"/>
        <v>5.1095231423095022E-3</v>
      </c>
      <c r="BO110" s="613">
        <f t="shared" si="259"/>
        <v>-0.1009905934855424</v>
      </c>
      <c r="BP110" s="176">
        <f t="shared" si="259"/>
        <v>0.21398076994468584</v>
      </c>
      <c r="BQ110" s="176">
        <f t="shared" si="259"/>
        <v>-1.7269815699135549E-2</v>
      </c>
      <c r="BR110" s="176">
        <f t="shared" si="259"/>
        <v>4.6127311379398073E-3</v>
      </c>
      <c r="BS110" s="179">
        <f t="shared" si="259"/>
        <v>-0.1533149941450902</v>
      </c>
      <c r="BT110" s="613">
        <f t="shared" si="259"/>
        <v>-1.3913557564160239E-3</v>
      </c>
      <c r="BU110" s="176">
        <f t="shared" ref="BU110:CD110" si="260">BU43/BP43-1</f>
        <v>-9.1067551451026629E-2</v>
      </c>
      <c r="BV110" s="176">
        <f t="shared" si="260"/>
        <v>0.13289749719471211</v>
      </c>
      <c r="BW110" s="176">
        <f t="shared" si="260"/>
        <v>-3.2699832308551779E-2</v>
      </c>
      <c r="BX110" s="179">
        <f t="shared" si="260"/>
        <v>0.14164974479995585</v>
      </c>
      <c r="BY110" s="613">
        <f t="shared" si="260"/>
        <v>3.6529319148610462E-2</v>
      </c>
      <c r="BZ110" s="176">
        <f t="shared" si="260"/>
        <v>6.1440376491262105E-2</v>
      </c>
      <c r="CA110" s="176">
        <f t="shared" si="260"/>
        <v>1.9640168257222257E-3</v>
      </c>
      <c r="CB110" s="176">
        <f t="shared" si="260"/>
        <v>0.1313089712069111</v>
      </c>
      <c r="CC110" s="179">
        <f t="shared" si="260"/>
        <v>6.5558210754437463E-2</v>
      </c>
      <c r="CD110" s="613">
        <f t="shared" si="260"/>
        <v>6.2163234104040122E-2</v>
      </c>
      <c r="CE110" s="176">
        <f t="shared" ref="CE110:CN110" si="261">CE43/BZ43-1</f>
        <v>0.10200056111860656</v>
      </c>
      <c r="CF110" s="176">
        <f t="shared" si="261"/>
        <v>7.9407881933964752E-2</v>
      </c>
      <c r="CG110" s="176">
        <f t="shared" si="261"/>
        <v>8.3884060898059554E-2</v>
      </c>
      <c r="CH110" s="179">
        <f t="shared" si="261"/>
        <v>8.7433670360719473E-2</v>
      </c>
      <c r="CI110" s="613">
        <f t="shared" si="261"/>
        <v>8.7563241984253803E-2</v>
      </c>
      <c r="CJ110" s="176">
        <f t="shared" si="261"/>
        <v>0.11435986765901096</v>
      </c>
      <c r="CK110" s="176">
        <f t="shared" si="261"/>
        <v>9.2806023340999522E-2</v>
      </c>
      <c r="CL110" s="176">
        <f t="shared" si="261"/>
        <v>9.9022010855901454E-2</v>
      </c>
      <c r="CM110" s="179">
        <f t="shared" si="261"/>
        <v>0.10307726652642213</v>
      </c>
      <c r="CN110" s="613">
        <f t="shared" si="261"/>
        <v>0.10180951079141409</v>
      </c>
      <c r="CO110" s="45"/>
      <c r="CP110" s="593"/>
      <c r="CQ110" s="593"/>
      <c r="CR110" s="775" t="s">
        <v>640</v>
      </c>
      <c r="CS110" s="180">
        <f t="shared" si="232"/>
        <v>0.14164974479995585</v>
      </c>
      <c r="CT110" s="180">
        <v>0.11588675087921829</v>
      </c>
      <c r="CU110" s="181">
        <f t="shared" si="21"/>
        <v>2.5762993920737554E-2</v>
      </c>
      <c r="CV110" s="180">
        <f t="shared" si="233"/>
        <v>-0.1533149941450902</v>
      </c>
      <c r="CW110" s="181"/>
      <c r="CX110" s="593"/>
      <c r="CY110" s="593"/>
      <c r="CZ110" s="593"/>
      <c r="DA110" s="593"/>
      <c r="DB110"/>
      <c r="DC110"/>
      <c r="DD110"/>
      <c r="DE110"/>
      <c r="DF110"/>
      <c r="DG110"/>
      <c r="DH110" s="593"/>
      <c r="DI110" s="593"/>
      <c r="DJ110" s="593"/>
      <c r="DK110" s="593"/>
      <c r="DL110" s="593"/>
      <c r="DM110" s="593"/>
      <c r="DN110" s="593"/>
      <c r="DO110" s="593"/>
      <c r="DP110" s="593"/>
      <c r="DQ110" s="593"/>
      <c r="DR110" s="593"/>
      <c r="DS110" s="593"/>
      <c r="DT110" s="593"/>
      <c r="DU110" s="593"/>
      <c r="DV110" s="593"/>
      <c r="DW110" s="593"/>
      <c r="DX110" s="593"/>
      <c r="DY110" s="593"/>
      <c r="DZ110" s="593"/>
      <c r="EA110" s="593"/>
      <c r="EB110" s="593"/>
      <c r="EC110" s="593"/>
      <c r="ED110" s="593"/>
      <c r="EE110" s="593"/>
      <c r="EF110" s="593"/>
      <c r="EG110" s="593"/>
      <c r="EH110" s="593"/>
      <c r="EI110" s="593"/>
      <c r="EJ110" s="593"/>
      <c r="EK110" s="593"/>
      <c r="EL110" s="593"/>
      <c r="EM110" s="593"/>
      <c r="EN110" s="593"/>
      <c r="EO110" s="593"/>
      <c r="EP110" s="593"/>
      <c r="EQ110" s="593"/>
      <c r="ER110" s="593"/>
      <c r="ES110" s="593"/>
      <c r="ET110" s="593"/>
      <c r="EU110" s="593"/>
      <c r="EV110" s="593"/>
      <c r="EW110" s="593"/>
      <c r="EX110" s="593"/>
      <c r="EY110" s="593"/>
      <c r="EZ110" s="593"/>
      <c r="FA110" s="593"/>
      <c r="FB110" s="593"/>
      <c r="FC110" s="593"/>
      <c r="FD110" s="593"/>
      <c r="FE110" s="593"/>
      <c r="FF110" s="593"/>
      <c r="FG110" s="593"/>
      <c r="FH110" s="593"/>
      <c r="FI110" s="593"/>
      <c r="FJ110" s="593"/>
      <c r="FK110" s="593"/>
      <c r="FL110" s="593"/>
      <c r="FM110" s="593"/>
      <c r="FN110" s="593"/>
      <c r="FO110" s="593"/>
      <c r="FP110" s="593"/>
      <c r="FQ110" s="593"/>
      <c r="FR110" s="593"/>
      <c r="FS110" s="593"/>
      <c r="FT110" s="593"/>
      <c r="FU110" s="593"/>
      <c r="FV110" s="593"/>
      <c r="FW110" s="593"/>
      <c r="FX110" s="593"/>
      <c r="FY110" s="593"/>
      <c r="FZ110" s="593"/>
      <c r="GA110" s="593"/>
      <c r="GB110" s="593"/>
      <c r="GC110" s="593"/>
      <c r="GD110" s="593"/>
      <c r="GE110" s="593"/>
      <c r="GF110" s="593"/>
      <c r="GG110" s="593"/>
      <c r="GH110" s="593"/>
      <c r="GI110" s="593"/>
      <c r="GJ110" s="593"/>
      <c r="GK110" s="593"/>
      <c r="GL110" s="593"/>
      <c r="GM110" s="593"/>
      <c r="GN110" s="593"/>
      <c r="GO110" s="593"/>
      <c r="GP110" s="593"/>
      <c r="GQ110" s="593"/>
      <c r="GR110" s="593"/>
      <c r="GS110" s="593"/>
      <c r="GT110" s="593"/>
      <c r="GU110" s="593"/>
      <c r="GV110" s="593"/>
      <c r="GW110" s="593"/>
      <c r="GX110" s="593"/>
      <c r="GY110" s="593"/>
      <c r="GZ110" s="593"/>
      <c r="HA110" s="593"/>
      <c r="HB110" s="593"/>
      <c r="HC110" s="593"/>
      <c r="HD110" s="593"/>
      <c r="HE110" s="593"/>
      <c r="HF110" s="593"/>
      <c r="HG110" s="593"/>
      <c r="HH110" s="593"/>
      <c r="HI110" s="593"/>
      <c r="HJ110" s="593"/>
      <c r="HK110" s="593"/>
      <c r="HL110" s="593"/>
      <c r="HM110" s="593"/>
      <c r="HN110" s="593"/>
      <c r="HO110" s="593"/>
      <c r="HP110" s="593"/>
      <c r="HQ110" s="6"/>
      <c r="HR110" s="6"/>
      <c r="HS110" s="6"/>
      <c r="HT110" s="6"/>
      <c r="HU110" s="6"/>
      <c r="HV110" s="6"/>
      <c r="HW110" s="6"/>
      <c r="HX110" s="6"/>
      <c r="HY110" s="6"/>
      <c r="HZ110" s="6"/>
      <c r="IA110" s="6"/>
      <c r="IB110" s="6"/>
      <c r="IC110" s="6"/>
      <c r="ID110" s="6"/>
      <c r="IE110" s="6"/>
      <c r="IF110" s="6"/>
      <c r="IG110" s="6"/>
      <c r="IH110" s="6"/>
      <c r="II110" s="6"/>
      <c r="IJ110" s="6"/>
      <c r="IK110" s="6"/>
      <c r="IL110" s="6"/>
      <c r="IM110" s="6"/>
      <c r="IN110" s="6"/>
      <c r="IO110" s="6"/>
      <c r="IP110" s="6"/>
      <c r="IQ110" s="6"/>
      <c r="IR110" s="6"/>
      <c r="IS110" s="6"/>
      <c r="IT110" s="6"/>
      <c r="IU110" s="6"/>
      <c r="IV110" s="6"/>
    </row>
    <row r="111" spans="1:256" s="66" customFormat="1" ht="11.25" hidden="1" customHeight="1" outlineLevel="1">
      <c r="A111" s="603" t="s">
        <v>32</v>
      </c>
      <c r="B111" s="181"/>
      <c r="C111" s="182"/>
      <c r="D111" s="180"/>
      <c r="E111" s="180"/>
      <c r="F111" s="183"/>
      <c r="G111" s="181"/>
      <c r="H111" s="182"/>
      <c r="I111" s="180"/>
      <c r="J111" s="180"/>
      <c r="K111" s="183"/>
      <c r="L111" s="182"/>
      <c r="M111" s="182"/>
      <c r="N111" s="180"/>
      <c r="O111" s="180"/>
      <c r="P111" s="183"/>
      <c r="Q111" s="181"/>
      <c r="R111" s="180"/>
      <c r="S111" s="180"/>
      <c r="T111" s="180"/>
      <c r="U111" s="183"/>
      <c r="V111" s="183"/>
      <c r="W111" s="180"/>
      <c r="X111" s="180"/>
      <c r="Y111" s="180"/>
      <c r="Z111" s="183"/>
      <c r="AA111" s="181"/>
      <c r="AB111" s="180"/>
      <c r="AC111" s="180"/>
      <c r="AD111" s="180"/>
      <c r="AE111" s="183"/>
      <c r="AF111" s="181">
        <f t="shared" ref="AF111:AZ111" si="262">AF55/AA55-1</f>
        <v>-2.8848537783192025</v>
      </c>
      <c r="AG111" s="180">
        <f t="shared" si="262"/>
        <v>-0.83215278951492699</v>
      </c>
      <c r="AH111" s="180">
        <f t="shared" si="262"/>
        <v>0.19913036476367818</v>
      </c>
      <c r="AI111" s="180">
        <f t="shared" si="262"/>
        <v>-1.3486020790810249</v>
      </c>
      <c r="AJ111" s="183">
        <f t="shared" si="262"/>
        <v>-0.965777840434209</v>
      </c>
      <c r="AK111" s="612">
        <f t="shared" si="262"/>
        <v>-1.0102880742074598</v>
      </c>
      <c r="AL111" s="180">
        <f t="shared" si="262"/>
        <v>-0.68875869644818566</v>
      </c>
      <c r="AM111" s="180">
        <f t="shared" si="262"/>
        <v>-0.27867311308084608</v>
      </c>
      <c r="AN111" s="180">
        <f t="shared" si="262"/>
        <v>-1.0618872549019513</v>
      </c>
      <c r="AO111" s="158" t="s">
        <v>243</v>
      </c>
      <c r="AP111" s="612">
        <f t="shared" si="262"/>
        <v>-1.8544053733701884</v>
      </c>
      <c r="AQ111" s="180">
        <f t="shared" si="262"/>
        <v>-0.95411764705883539</v>
      </c>
      <c r="AR111" s="180">
        <f t="shared" si="262"/>
        <v>5.2411096630067044E-2</v>
      </c>
      <c r="AS111" s="180">
        <f t="shared" si="262"/>
        <v>3.363036303631171</v>
      </c>
      <c r="AT111" s="183">
        <f t="shared" si="262"/>
        <v>-1.3703290574456268</v>
      </c>
      <c r="AU111" s="612">
        <f>AU55/AP55-1</f>
        <v>-5.1905202312141796</v>
      </c>
      <c r="AV111" s="180">
        <f t="shared" si="262"/>
        <v>-79.769230769251493</v>
      </c>
      <c r="AW111" s="180">
        <f t="shared" si="262"/>
        <v>-1.4858911985847023</v>
      </c>
      <c r="AX111" s="180">
        <f t="shared" si="262"/>
        <v>5.5990922844173676</v>
      </c>
      <c r="AY111" s="183">
        <f t="shared" si="262"/>
        <v>5.6234939759034566</v>
      </c>
      <c r="AZ111" s="612">
        <f t="shared" si="262"/>
        <v>-0.61316486426837424</v>
      </c>
      <c r="BA111" s="180">
        <f t="shared" ref="BA111:BJ111" si="263">BA55/AV55-1</f>
        <v>-0.82421874999999412</v>
      </c>
      <c r="BB111" s="180">
        <f t="shared" si="263"/>
        <v>-3.2257418532677287</v>
      </c>
      <c r="BC111" s="180">
        <f t="shared" si="263"/>
        <v>-0.91739263334861509</v>
      </c>
      <c r="BD111" s="183">
        <f t="shared" si="263"/>
        <v>0.25318326512050482</v>
      </c>
      <c r="BE111" s="612">
        <f t="shared" si="263"/>
        <v>5.4577093139354842</v>
      </c>
      <c r="BF111" s="180">
        <f t="shared" si="263"/>
        <v>20.436574074073089</v>
      </c>
      <c r="BG111" s="180">
        <f t="shared" si="263"/>
        <v>1.372566661213821</v>
      </c>
      <c r="BH111" s="180">
        <f t="shared" si="263"/>
        <v>-11.559666975022862</v>
      </c>
      <c r="BI111" s="183">
        <f t="shared" si="263"/>
        <v>-0.29559406090295537</v>
      </c>
      <c r="BJ111" s="612">
        <f t="shared" si="263"/>
        <v>1.6833130866923876</v>
      </c>
      <c r="BK111" s="180">
        <f t="shared" ref="BK111:BT111" si="264">BK55/BF55-1</f>
        <v>-0.40593482063797182</v>
      </c>
      <c r="BL111" s="180">
        <f t="shared" si="264"/>
        <v>0.38570000344743893</v>
      </c>
      <c r="BM111" s="180">
        <f t="shared" si="264"/>
        <v>-0.66780551905387542</v>
      </c>
      <c r="BN111" s="183">
        <f t="shared" si="264"/>
        <v>2.685755988666604</v>
      </c>
      <c r="BO111" s="612">
        <f t="shared" si="264"/>
        <v>0.32619127972540807</v>
      </c>
      <c r="BP111" s="180">
        <f t="shared" si="264"/>
        <v>-7.7943796124622544E-2</v>
      </c>
      <c r="BQ111" s="180">
        <f t="shared" si="264"/>
        <v>-0.34121159348177721</v>
      </c>
      <c r="BR111" s="180">
        <f t="shared" si="264"/>
        <v>5.4464662447257144</v>
      </c>
      <c r="BS111" s="183">
        <f t="shared" si="264"/>
        <v>-0.66350633619083133</v>
      </c>
      <c r="BT111" s="612">
        <f t="shared" si="264"/>
        <v>-0.19546286813766844</v>
      </c>
      <c r="BU111" s="180">
        <f t="shared" ref="BU111:CN111" si="265">BU55/BP55-1</f>
        <v>-0.11914994283010927</v>
      </c>
      <c r="BV111" s="180">
        <f t="shared" si="265"/>
        <v>-1.0696752265861011</v>
      </c>
      <c r="BW111" s="180">
        <f t="shared" si="265"/>
        <v>-0.70838617304152185</v>
      </c>
      <c r="BX111" s="183">
        <f t="shared" si="265"/>
        <v>4.5131879543094495</v>
      </c>
      <c r="BY111" s="612">
        <f t="shared" si="265"/>
        <v>0.49245118536062504</v>
      </c>
      <c r="BZ111" s="180">
        <f t="shared" si="265"/>
        <v>6.4747725608769624E-2</v>
      </c>
      <c r="CA111" s="180">
        <f t="shared" si="265"/>
        <v>-21.893992261192022</v>
      </c>
      <c r="CB111" s="180">
        <f t="shared" si="265"/>
        <v>1.351958680234743</v>
      </c>
      <c r="CC111" s="183">
        <f t="shared" si="265"/>
        <v>-0.77795192475682162</v>
      </c>
      <c r="CD111" s="612">
        <f t="shared" si="265"/>
        <v>-0.32162482013345006</v>
      </c>
      <c r="CE111" s="180">
        <f t="shared" si="265"/>
        <v>0.38862509049818961</v>
      </c>
      <c r="CF111" s="180">
        <f t="shared" si="265"/>
        <v>0.23070716038581973</v>
      </c>
      <c r="CG111" s="180">
        <f t="shared" si="265"/>
        <v>0.26433725437473954</v>
      </c>
      <c r="CH111" s="183">
        <f t="shared" si="265"/>
        <v>0.26175490210817953</v>
      </c>
      <c r="CI111" s="612">
        <f t="shared" si="265"/>
        <v>0.27629093444274866</v>
      </c>
      <c r="CJ111" s="180">
        <f t="shared" si="265"/>
        <v>0.25999609590635409</v>
      </c>
      <c r="CK111" s="180">
        <f t="shared" si="265"/>
        <v>0.1758892083568937</v>
      </c>
      <c r="CL111" s="180">
        <f t="shared" si="265"/>
        <v>0.19889130899886109</v>
      </c>
      <c r="CM111" s="183">
        <f t="shared" si="265"/>
        <v>0.20055393084193174</v>
      </c>
      <c r="CN111" s="612">
        <f t="shared" si="265"/>
        <v>0.20486948589487608</v>
      </c>
      <c r="CO111" s="45"/>
      <c r="CP111" s="593"/>
      <c r="CQ111" s="593"/>
      <c r="CR111" s="1021" t="s">
        <v>32</v>
      </c>
      <c r="CS111" s="180">
        <f t="shared" si="232"/>
        <v>4.5131879543094495</v>
      </c>
      <c r="CT111" s="180">
        <v>7.9290248265131424E-3</v>
      </c>
      <c r="CU111" s="181">
        <f t="shared" si="21"/>
        <v>4.5052589294829364</v>
      </c>
      <c r="CV111" s="180">
        <f t="shared" si="233"/>
        <v>-0.66350633619083133</v>
      </c>
      <c r="CW111" s="181"/>
      <c r="CX111" s="593"/>
      <c r="CY111" s="593"/>
      <c r="CZ111" s="593"/>
      <c r="DA111" s="593"/>
      <c r="DB111"/>
      <c r="DC111"/>
      <c r="DD111"/>
      <c r="DE111"/>
      <c r="DF111"/>
      <c r="DG111"/>
      <c r="DH111" s="593"/>
      <c r="DI111" s="593"/>
      <c r="DJ111" s="593"/>
      <c r="DK111" s="593"/>
      <c r="DL111" s="593"/>
      <c r="DM111" s="593"/>
      <c r="DN111" s="593"/>
      <c r="DO111" s="593"/>
      <c r="DP111" s="593"/>
      <c r="DQ111" s="593"/>
      <c r="DR111" s="593"/>
      <c r="DS111" s="593"/>
      <c r="DT111" s="593"/>
      <c r="DU111" s="593"/>
      <c r="DV111" s="593"/>
      <c r="DW111" s="593"/>
      <c r="DX111" s="593"/>
      <c r="DY111" s="593"/>
      <c r="DZ111" s="593"/>
      <c r="EA111" s="593"/>
      <c r="EB111" s="593"/>
      <c r="EC111" s="593"/>
      <c r="ED111" s="593"/>
      <c r="EE111" s="593"/>
      <c r="EF111" s="593"/>
      <c r="EG111" s="593"/>
      <c r="EH111" s="593"/>
      <c r="EI111" s="593"/>
      <c r="EJ111" s="593"/>
      <c r="EK111" s="593"/>
      <c r="EL111" s="593"/>
      <c r="EM111" s="593"/>
      <c r="EN111" s="593"/>
      <c r="EO111" s="593"/>
      <c r="EP111" s="593"/>
      <c r="EQ111" s="593"/>
      <c r="ER111" s="593"/>
      <c r="ES111" s="593"/>
      <c r="ET111" s="593"/>
      <c r="EU111" s="593"/>
      <c r="EV111" s="593"/>
      <c r="EW111" s="593"/>
      <c r="EX111" s="593"/>
      <c r="EY111" s="593"/>
      <c r="EZ111" s="593"/>
      <c r="FA111" s="593"/>
      <c r="FB111" s="593"/>
      <c r="FC111" s="593"/>
      <c r="FD111" s="593"/>
      <c r="FE111" s="593"/>
      <c r="FF111" s="593"/>
      <c r="FG111" s="593"/>
      <c r="FH111" s="593"/>
      <c r="FI111" s="593"/>
      <c r="FJ111" s="593"/>
      <c r="FK111" s="593"/>
      <c r="FL111" s="593"/>
      <c r="FM111" s="593"/>
      <c r="FN111" s="593"/>
      <c r="FO111" s="593"/>
      <c r="FP111" s="593"/>
      <c r="FQ111" s="593"/>
      <c r="FR111" s="593"/>
      <c r="FS111" s="593"/>
      <c r="FT111" s="593"/>
      <c r="FU111" s="593"/>
      <c r="FV111" s="593"/>
      <c r="FW111" s="593"/>
      <c r="FX111" s="593"/>
      <c r="FY111" s="593"/>
      <c r="FZ111" s="593"/>
      <c r="GA111" s="593"/>
      <c r="GB111" s="593"/>
      <c r="GC111" s="593"/>
      <c r="GD111" s="593"/>
      <c r="GE111" s="593"/>
      <c r="GF111" s="593"/>
      <c r="GG111" s="593"/>
      <c r="GH111" s="593"/>
      <c r="GI111" s="593"/>
      <c r="GJ111" s="593"/>
      <c r="GK111" s="593"/>
      <c r="GL111" s="593"/>
      <c r="GM111" s="593"/>
      <c r="GN111" s="593"/>
      <c r="GO111" s="593"/>
      <c r="GP111" s="593"/>
      <c r="GQ111" s="593"/>
      <c r="GR111" s="593"/>
      <c r="GS111" s="593"/>
      <c r="GT111" s="593"/>
      <c r="GU111" s="593"/>
      <c r="GV111" s="593"/>
      <c r="GW111" s="593"/>
      <c r="GX111" s="593"/>
      <c r="GY111" s="593"/>
      <c r="GZ111" s="593"/>
      <c r="HA111" s="593"/>
      <c r="HB111" s="593"/>
      <c r="HC111" s="593"/>
      <c r="HD111" s="593"/>
      <c r="HE111" s="593"/>
      <c r="HF111" s="593"/>
      <c r="HG111" s="593"/>
      <c r="HH111" s="593"/>
      <c r="HI111" s="593"/>
      <c r="HJ111" s="593"/>
      <c r="HK111" s="593"/>
      <c r="HL111" s="593"/>
      <c r="HM111" s="593"/>
      <c r="HN111" s="593"/>
      <c r="HO111" s="593"/>
      <c r="HP111" s="593"/>
      <c r="HQ111" s="6"/>
      <c r="HR111" s="6"/>
      <c r="HS111" s="6"/>
      <c r="HT111" s="6"/>
      <c r="HU111" s="6"/>
      <c r="HV111" s="6"/>
      <c r="HW111" s="6"/>
      <c r="HX111" s="6"/>
      <c r="HY111" s="6"/>
      <c r="HZ111" s="6"/>
      <c r="IA111" s="6"/>
      <c r="IB111" s="6"/>
      <c r="IC111" s="6"/>
      <c r="ID111" s="6"/>
      <c r="IE111" s="6"/>
      <c r="IF111" s="6"/>
      <c r="IG111" s="6"/>
      <c r="IH111" s="6"/>
      <c r="II111" s="6"/>
      <c r="IJ111" s="6"/>
      <c r="IK111" s="6"/>
      <c r="IL111" s="6"/>
      <c r="IM111" s="6"/>
      <c r="IN111" s="6"/>
      <c r="IO111" s="6"/>
      <c r="IP111" s="6"/>
      <c r="IQ111" s="6"/>
      <c r="IR111" s="6"/>
      <c r="IS111" s="6"/>
      <c r="IT111" s="6"/>
      <c r="IU111" s="6"/>
      <c r="IV111" s="6"/>
    </row>
    <row r="112" spans="1:256" s="66" customFormat="1" ht="11.25" customHeight="1" collapsed="1">
      <c r="A112" s="603" t="s">
        <v>445</v>
      </c>
      <c r="B112" s="181"/>
      <c r="C112" s="182"/>
      <c r="D112" s="180"/>
      <c r="E112" s="180"/>
      <c r="F112" s="183"/>
      <c r="G112" s="181"/>
      <c r="H112" s="182"/>
      <c r="I112" s="180"/>
      <c r="J112" s="180"/>
      <c r="K112" s="183"/>
      <c r="L112" s="182"/>
      <c r="M112" s="182"/>
      <c r="N112" s="180"/>
      <c r="O112" s="180"/>
      <c r="P112" s="183"/>
      <c r="Q112" s="181"/>
      <c r="R112" s="180"/>
      <c r="S112" s="180"/>
      <c r="T112" s="180"/>
      <c r="U112" s="183"/>
      <c r="V112" s="183"/>
      <c r="W112" s="180"/>
      <c r="X112" s="180"/>
      <c r="Y112" s="180"/>
      <c r="Z112" s="183"/>
      <c r="AA112" s="181"/>
      <c r="AB112" s="180"/>
      <c r="AC112" s="180"/>
      <c r="AD112" s="180"/>
      <c r="AE112" s="183"/>
      <c r="AF112" s="181">
        <f t="shared" ref="AF112:AZ112" si="266">(AF62-AA62)/AA62</f>
        <v>-1.3660996403143175</v>
      </c>
      <c r="AG112" s="180">
        <f t="shared" si="266"/>
        <v>-1.0679291597950598</v>
      </c>
      <c r="AH112" s="180">
        <f t="shared" si="266"/>
        <v>0.43661135291164055</v>
      </c>
      <c r="AI112" s="180">
        <f t="shared" si="266"/>
        <v>1.0665332740275908</v>
      </c>
      <c r="AJ112" s="183">
        <f t="shared" si="266"/>
        <v>-1.346987661955878</v>
      </c>
      <c r="AK112" s="612">
        <f t="shared" si="266"/>
        <v>-1.7399568240711301</v>
      </c>
      <c r="AL112" s="180">
        <f t="shared" si="266"/>
        <v>1.2332293303438728</v>
      </c>
      <c r="AM112" s="180">
        <f t="shared" si="266"/>
        <v>4.9887581068484017E-2</v>
      </c>
      <c r="AN112" s="180">
        <f t="shared" si="266"/>
        <v>-0.17570845748010838</v>
      </c>
      <c r="AO112" s="183">
        <f t="shared" si="266"/>
        <v>-0.80225349473046859</v>
      </c>
      <c r="AP112" s="612">
        <f t="shared" si="266"/>
        <v>-0.2634666555104313</v>
      </c>
      <c r="AQ112" s="180">
        <f t="shared" si="266"/>
        <v>0.16273441962708934</v>
      </c>
      <c r="AR112" s="180">
        <f t="shared" si="266"/>
        <v>-0.25852108647249278</v>
      </c>
      <c r="AS112" s="180">
        <f t="shared" si="266"/>
        <v>-0.42307511115979751</v>
      </c>
      <c r="AT112" s="183">
        <f t="shared" si="266"/>
        <v>1.9940651818050024</v>
      </c>
      <c r="AU112" s="612">
        <f>(AU62-AP62)/AP62</f>
        <v>8.5299972125590595E-2</v>
      </c>
      <c r="AV112" s="180">
        <f t="shared" si="266"/>
        <v>-0.62873076328974642</v>
      </c>
      <c r="AW112" s="180">
        <f t="shared" si="266"/>
        <v>9.3001771253913401E-2</v>
      </c>
      <c r="AX112" s="180">
        <f t="shared" si="266"/>
        <v>4.2839148694322329E-2</v>
      </c>
      <c r="AY112" s="183">
        <f t="shared" si="266"/>
        <v>1.0828525229000365</v>
      </c>
      <c r="AZ112" s="612">
        <f t="shared" si="266"/>
        <v>0.12098302454209514</v>
      </c>
      <c r="BA112" s="180">
        <f t="shared" ref="BA112:BI112" si="267">(BA62-AV62)/AV62</f>
        <v>0.22524185951568024</v>
      </c>
      <c r="BB112" s="180">
        <f t="shared" si="267"/>
        <v>0.49658353137607264</v>
      </c>
      <c r="BC112" s="180">
        <f t="shared" si="267"/>
        <v>1.3008273592818045</v>
      </c>
      <c r="BD112" s="183">
        <f t="shared" si="267"/>
        <v>4.1434544637253788E-2</v>
      </c>
      <c r="BE112" s="612">
        <f t="shared" si="267"/>
        <v>0.39709271221654963</v>
      </c>
      <c r="BF112" s="180">
        <f t="shared" si="267"/>
        <v>2.2333497240886619</v>
      </c>
      <c r="BG112" s="180">
        <f t="shared" si="267"/>
        <v>0.1236899146833428</v>
      </c>
      <c r="BH112" s="180">
        <f t="shared" si="267"/>
        <v>0.16667706458760215</v>
      </c>
      <c r="BI112" s="183">
        <f t="shared" si="267"/>
        <v>0.1164881600735113</v>
      </c>
      <c r="BJ112" s="612">
        <f>(BJ62-BE62)/BE62</f>
        <v>0.21350566891806633</v>
      </c>
      <c r="BK112" s="180">
        <f t="shared" ref="BK112:BS112" si="268">(BK62-BF62)/BF62</f>
        <v>0.80657900900794466</v>
      </c>
      <c r="BL112" s="180">
        <f t="shared" si="268"/>
        <v>-6.5506528960685692E-2</v>
      </c>
      <c r="BM112" s="180">
        <f t="shared" si="268"/>
        <v>0.11247132254827179</v>
      </c>
      <c r="BN112" s="183">
        <f t="shared" si="268"/>
        <v>0.19576309572617503</v>
      </c>
      <c r="BO112" s="612">
        <f>(BO62-BJ62)/BJ62</f>
        <v>0.14577416669126939</v>
      </c>
      <c r="BP112" s="180">
        <f t="shared" si="268"/>
        <v>0.77865056020494705</v>
      </c>
      <c r="BQ112" s="180">
        <f t="shared" si="268"/>
        <v>0.33621773074768158</v>
      </c>
      <c r="BR112" s="180">
        <f t="shared" si="268"/>
        <v>0.28658982901417002</v>
      </c>
      <c r="BS112" s="183">
        <f t="shared" si="268"/>
        <v>-0.33232029218300846</v>
      </c>
      <c r="BT112" s="612">
        <f>(BT62-BO62)/BO62</f>
        <v>0.20248284976099173</v>
      </c>
      <c r="BU112" s="180">
        <f t="shared" ref="BU112:CN112" si="269">(BU62-BP62)/BP62</f>
        <v>-0.18679025260480134</v>
      </c>
      <c r="BV112" s="180">
        <f t="shared" si="269"/>
        <v>0.4157556923947538</v>
      </c>
      <c r="BW112" s="180">
        <f t="shared" si="269"/>
        <v>-0.20553374151703535</v>
      </c>
      <c r="BX112" s="183">
        <f t="shared" si="269"/>
        <v>0.37739367704577315</v>
      </c>
      <c r="BY112" s="612">
        <f>(BY62-BT62)/BT62</f>
        <v>6.7628879586639004E-2</v>
      </c>
      <c r="BZ112" s="180">
        <f t="shared" si="269"/>
        <v>0.19162954803299734</v>
      </c>
      <c r="CA112" s="180">
        <f t="shared" si="269"/>
        <v>0.11742036664768121</v>
      </c>
      <c r="CB112" s="180">
        <f t="shared" si="269"/>
        <v>0.63408992138668718</v>
      </c>
      <c r="CC112" s="183">
        <f t="shared" si="269"/>
        <v>0.39281511316472834</v>
      </c>
      <c r="CD112" s="612">
        <f>(CD62-BY62)/BY62</f>
        <v>0.3140059035767272</v>
      </c>
      <c r="CE112" s="180">
        <f t="shared" si="269"/>
        <v>0.31637421774471519</v>
      </c>
      <c r="CF112" s="180">
        <f t="shared" si="269"/>
        <v>0.19879078074148721</v>
      </c>
      <c r="CG112" s="180">
        <f t="shared" si="269"/>
        <v>0.2219053479349109</v>
      </c>
      <c r="CH112" s="183">
        <f t="shared" si="269"/>
        <v>0.2219354614468434</v>
      </c>
      <c r="CI112" s="612">
        <f t="shared" si="269"/>
        <v>0.23277576710662287</v>
      </c>
      <c r="CJ112" s="180">
        <f t="shared" si="269"/>
        <v>0.28170157903638832</v>
      </c>
      <c r="CK112" s="180">
        <f t="shared" si="269"/>
        <v>0.19084543558344719</v>
      </c>
      <c r="CL112" s="180">
        <f t="shared" si="269"/>
        <v>0.20883583270336287</v>
      </c>
      <c r="CM112" s="183">
        <f t="shared" si="269"/>
        <v>0.20529981887314599</v>
      </c>
      <c r="CN112" s="612">
        <f t="shared" si="269"/>
        <v>0.21758191775039526</v>
      </c>
      <c r="CO112" s="45"/>
      <c r="CP112" s="593"/>
      <c r="CQ112" s="593"/>
      <c r="CR112" s="1021" t="s">
        <v>445</v>
      </c>
      <c r="CS112" s="180">
        <f t="shared" si="232"/>
        <v>0.37739367704577315</v>
      </c>
      <c r="CT112" s="180">
        <v>0.46644405130649219</v>
      </c>
      <c r="CU112" s="181">
        <f t="shared" si="21"/>
        <v>-8.9050374260719045E-2</v>
      </c>
      <c r="CV112" s="180">
        <f t="shared" si="233"/>
        <v>-0.33232029218300846</v>
      </c>
      <c r="CW112" s="181"/>
      <c r="CX112" s="593"/>
      <c r="CY112" s="593"/>
      <c r="CZ112" s="593"/>
      <c r="DA112" s="593"/>
      <c r="DB112"/>
      <c r="DC112"/>
      <c r="DD112"/>
      <c r="DE112"/>
      <c r="DF112"/>
      <c r="DG112"/>
      <c r="DH112" s="593"/>
      <c r="DI112" s="593"/>
      <c r="DJ112" s="593"/>
      <c r="DK112" s="593"/>
      <c r="DL112" s="593"/>
      <c r="DM112" s="593"/>
      <c r="DN112" s="593"/>
      <c r="DO112" s="593"/>
      <c r="DP112" s="593"/>
      <c r="DQ112" s="593"/>
      <c r="DR112" s="593"/>
      <c r="DS112" s="593"/>
      <c r="DT112" s="593"/>
      <c r="DU112" s="593"/>
      <c r="DV112" s="593"/>
      <c r="DW112" s="593"/>
      <c r="DX112" s="593"/>
      <c r="DY112" s="593"/>
      <c r="DZ112" s="593"/>
      <c r="EA112" s="593"/>
      <c r="EB112" s="593"/>
      <c r="EC112" s="593"/>
      <c r="ED112" s="593"/>
      <c r="EE112" s="593"/>
      <c r="EF112" s="593"/>
      <c r="EG112" s="593"/>
      <c r="EH112" s="593"/>
      <c r="EI112" s="593"/>
      <c r="EJ112" s="593"/>
      <c r="EK112" s="593"/>
      <c r="EL112" s="593"/>
      <c r="EM112" s="593"/>
      <c r="EN112" s="593"/>
      <c r="EO112" s="593"/>
      <c r="EP112" s="593"/>
      <c r="EQ112" s="593"/>
      <c r="ER112" s="593"/>
      <c r="ES112" s="593"/>
      <c r="ET112" s="593"/>
      <c r="EU112" s="593"/>
      <c r="EV112" s="593"/>
      <c r="EW112" s="593"/>
      <c r="EX112" s="593"/>
      <c r="EY112" s="593"/>
      <c r="EZ112" s="593"/>
      <c r="FA112" s="593"/>
      <c r="FB112" s="593"/>
      <c r="FC112" s="593"/>
      <c r="FD112" s="593"/>
      <c r="FE112" s="593"/>
      <c r="FF112" s="593"/>
      <c r="FG112" s="593"/>
      <c r="FH112" s="593"/>
      <c r="FI112" s="593"/>
      <c r="FJ112" s="593"/>
      <c r="FK112" s="593"/>
      <c r="FL112" s="593"/>
      <c r="FM112" s="593"/>
      <c r="FN112" s="593"/>
      <c r="FO112" s="593"/>
      <c r="FP112" s="593"/>
      <c r="FQ112" s="593"/>
      <c r="FR112" s="593"/>
      <c r="FS112" s="593"/>
      <c r="FT112" s="593"/>
      <c r="FU112" s="593"/>
      <c r="FV112" s="593"/>
      <c r="FW112" s="593"/>
      <c r="FX112" s="593"/>
      <c r="FY112" s="593"/>
      <c r="FZ112" s="593"/>
      <c r="GA112" s="593"/>
      <c r="GB112" s="593"/>
      <c r="GC112" s="593"/>
      <c r="GD112" s="593"/>
      <c r="GE112" s="593"/>
      <c r="GF112" s="593"/>
      <c r="GG112" s="593"/>
      <c r="GH112" s="593"/>
      <c r="GI112" s="593"/>
      <c r="GJ112" s="593"/>
      <c r="GK112" s="593"/>
      <c r="GL112" s="593"/>
      <c r="GM112" s="593"/>
      <c r="GN112" s="593"/>
      <c r="GO112" s="593"/>
      <c r="GP112" s="593"/>
      <c r="GQ112" s="593"/>
      <c r="GR112" s="593"/>
      <c r="GS112" s="593"/>
      <c r="GT112" s="593"/>
      <c r="GU112" s="593"/>
      <c r="GV112" s="593"/>
      <c r="GW112" s="593"/>
      <c r="GX112" s="593"/>
      <c r="GY112" s="593"/>
      <c r="GZ112" s="593"/>
      <c r="HA112" s="593"/>
      <c r="HB112" s="593"/>
      <c r="HC112" s="593"/>
      <c r="HD112" s="593"/>
      <c r="HE112" s="593"/>
      <c r="HF112" s="593"/>
      <c r="HG112" s="593"/>
      <c r="HH112" s="593"/>
      <c r="HI112" s="593"/>
      <c r="HJ112" s="593"/>
      <c r="HK112" s="593"/>
      <c r="HL112" s="593"/>
      <c r="HM112" s="593"/>
      <c r="HN112" s="593"/>
      <c r="HO112" s="593"/>
      <c r="HP112" s="593"/>
      <c r="HQ112" s="6"/>
      <c r="HR112" s="6"/>
      <c r="HS112" s="6"/>
      <c r="HT112" s="6"/>
      <c r="HU112" s="6"/>
      <c r="HV112" s="6"/>
      <c r="HW112" s="6"/>
      <c r="HX112" s="6"/>
      <c r="HY112" s="6"/>
      <c r="HZ112" s="6"/>
      <c r="IA112" s="6"/>
      <c r="IB112" s="6"/>
      <c r="IC112" s="6"/>
      <c r="ID112" s="6"/>
      <c r="IE112" s="6"/>
      <c r="IF112" s="6"/>
      <c r="IG112" s="6"/>
      <c r="IH112" s="6"/>
      <c r="II112" s="6"/>
      <c r="IJ112" s="6"/>
      <c r="IK112" s="6"/>
      <c r="IL112" s="6"/>
      <c r="IM112" s="6"/>
      <c r="IN112" s="6"/>
      <c r="IO112" s="6"/>
      <c r="IP112" s="6"/>
      <c r="IQ112" s="6"/>
      <c r="IR112" s="6"/>
      <c r="IS112" s="6"/>
      <c r="IT112" s="6"/>
      <c r="IU112" s="6"/>
      <c r="IV112" s="6"/>
    </row>
    <row r="113" spans="1:256" s="66" customFormat="1" ht="12.75" hidden="1" customHeight="1" outlineLevel="1">
      <c r="A113" s="603" t="s">
        <v>264</v>
      </c>
      <c r="B113" s="181"/>
      <c r="C113" s="182"/>
      <c r="D113" s="180"/>
      <c r="E113" s="180"/>
      <c r="F113" s="180"/>
      <c r="G113" s="181"/>
      <c r="H113" s="182"/>
      <c r="I113" s="180"/>
      <c r="J113" s="180"/>
      <c r="K113" s="183"/>
      <c r="L113" s="182"/>
      <c r="M113" s="182"/>
      <c r="N113" s="180"/>
      <c r="O113" s="180"/>
      <c r="P113" s="180"/>
      <c r="Q113" s="181"/>
      <c r="R113" s="180"/>
      <c r="S113" s="180"/>
      <c r="T113" s="180"/>
      <c r="U113" s="183"/>
      <c r="V113" s="183"/>
      <c r="W113" s="180"/>
      <c r="X113" s="180"/>
      <c r="Y113" s="180"/>
      <c r="Z113" s="180"/>
      <c r="AA113" s="181"/>
      <c r="AB113" s="180"/>
      <c r="AC113" s="180"/>
      <c r="AD113" s="180"/>
      <c r="AE113" s="180"/>
      <c r="AF113" s="181"/>
      <c r="AG113" s="180"/>
      <c r="AH113" s="180"/>
      <c r="AI113" s="180"/>
      <c r="AJ113" s="180"/>
      <c r="AK113" s="612"/>
      <c r="AL113" s="180"/>
      <c r="AM113" s="180"/>
      <c r="AN113" s="180"/>
      <c r="AO113" s="180"/>
      <c r="AP113" s="612"/>
      <c r="AQ113" s="180"/>
      <c r="AR113" s="180"/>
      <c r="AS113" s="180"/>
      <c r="AT113" s="180"/>
      <c r="AU113" s="612"/>
      <c r="AV113" s="180"/>
      <c r="AW113" s="180"/>
      <c r="AX113" s="180"/>
      <c r="AY113" s="180"/>
      <c r="AZ113" s="612"/>
      <c r="BA113" s="180"/>
      <c r="BB113" s="180"/>
      <c r="BC113" s="180"/>
      <c r="BD113" s="180"/>
      <c r="BE113" s="612"/>
      <c r="BF113" s="180">
        <f>BF63/BA63-1</f>
        <v>0.4564635717047294</v>
      </c>
      <c r="BG113" s="180">
        <f t="shared" ref="BG113:BS113" si="270">BG63/BB63-1</f>
        <v>0.14304681353178039</v>
      </c>
      <c r="BH113" s="180">
        <f t="shared" si="270"/>
        <v>5.4108770561117625E-2</v>
      </c>
      <c r="BI113" s="180">
        <f t="shared" si="270"/>
        <v>-5.0863669561953428E-2</v>
      </c>
      <c r="BJ113" s="612">
        <f t="shared" si="270"/>
        <v>7.7584308896333054E-2</v>
      </c>
      <c r="BK113" s="180">
        <f t="shared" si="270"/>
        <v>0.24637483329942067</v>
      </c>
      <c r="BL113" s="180">
        <f t="shared" si="270"/>
        <v>-8.0345457975273038E-2</v>
      </c>
      <c r="BM113" s="180">
        <f t="shared" si="270"/>
        <v>0.1286769633006144</v>
      </c>
      <c r="BN113" s="180">
        <f t="shared" si="270"/>
        <v>0.16352445663844861</v>
      </c>
      <c r="BO113" s="612">
        <f t="shared" si="270"/>
        <v>7.6287689736756592E-2</v>
      </c>
      <c r="BP113" s="180">
        <f t="shared" si="270"/>
        <v>0.84763890602762015</v>
      </c>
      <c r="BQ113" s="180">
        <f t="shared" si="270"/>
        <v>0.26738954322411201</v>
      </c>
      <c r="BR113" s="180">
        <f t="shared" si="270"/>
        <v>0.31429939210663149</v>
      </c>
      <c r="BS113" s="180">
        <f t="shared" si="270"/>
        <v>-0.26514708091471761</v>
      </c>
      <c r="BT113" s="612">
        <f>BT63/BO63-1</f>
        <v>0.22679595055507806</v>
      </c>
      <c r="BU113" s="180">
        <f t="shared" ref="BU113:CN113" si="271">BU63/BP63-1</f>
        <v>-0.22095074090238498</v>
      </c>
      <c r="BV113" s="180">
        <f t="shared" si="271"/>
        <v>0.36738893411525697</v>
      </c>
      <c r="BW113" s="180">
        <f t="shared" si="271"/>
        <v>-0.25229226926428228</v>
      </c>
      <c r="BX113" s="180">
        <f t="shared" si="271"/>
        <v>0.22181694918497086</v>
      </c>
      <c r="BY113" s="612">
        <f t="shared" si="271"/>
        <v>4.6430893519799898E-3</v>
      </c>
      <c r="BZ113" s="180">
        <f t="shared" si="271"/>
        <v>0.19162954803299725</v>
      </c>
      <c r="CA113" s="180">
        <f t="shared" si="271"/>
        <v>0.11742036664768118</v>
      </c>
      <c r="CB113" s="180">
        <f t="shared" si="271"/>
        <v>0.63408992138668707</v>
      </c>
      <c r="CC113" s="180">
        <f t="shared" si="271"/>
        <v>0.39281511316472839</v>
      </c>
      <c r="CD113" s="612">
        <f t="shared" si="271"/>
        <v>0.31400590357672731</v>
      </c>
      <c r="CE113" s="180">
        <f t="shared" si="271"/>
        <v>0.31637421774471508</v>
      </c>
      <c r="CF113" s="180">
        <f t="shared" si="271"/>
        <v>0.19879078074148726</v>
      </c>
      <c r="CG113" s="180">
        <f t="shared" si="271"/>
        <v>0.2219053479349109</v>
      </c>
      <c r="CH113" s="180">
        <f t="shared" si="271"/>
        <v>0.2219354614468434</v>
      </c>
      <c r="CI113" s="612">
        <f t="shared" si="271"/>
        <v>0.23277576710662284</v>
      </c>
      <c r="CJ113" s="180">
        <f t="shared" si="271"/>
        <v>0.28170157903638837</v>
      </c>
      <c r="CK113" s="180">
        <f t="shared" si="271"/>
        <v>0.19084543558344724</v>
      </c>
      <c r="CL113" s="180">
        <f t="shared" si="271"/>
        <v>0.20883583270336281</v>
      </c>
      <c r="CM113" s="180">
        <f t="shared" si="271"/>
        <v>0.20529981887314608</v>
      </c>
      <c r="CN113" s="612">
        <f t="shared" si="271"/>
        <v>0.21758191775039526</v>
      </c>
      <c r="CO113" s="45"/>
      <c r="CR113" s="1022"/>
      <c r="CS113" s="180">
        <f>BG113</f>
        <v>0.14304681353178039</v>
      </c>
      <c r="CT113" s="180">
        <v>0.14304681353178039</v>
      </c>
      <c r="CU113" s="181"/>
      <c r="CV113" s="180">
        <f t="shared" si="233"/>
        <v>-0.26514708091471761</v>
      </c>
      <c r="CW113" s="181"/>
      <c r="DB113"/>
      <c r="DC113"/>
      <c r="DD113"/>
      <c r="DE113"/>
      <c r="DF113"/>
      <c r="DG113"/>
      <c r="HQ113" s="6"/>
      <c r="HR113" s="6"/>
      <c r="HS113" s="6"/>
      <c r="HT113" s="6"/>
      <c r="HU113" s="6"/>
      <c r="HV113" s="6"/>
      <c r="HW113" s="6"/>
      <c r="HX113" s="6"/>
      <c r="HY113" s="6"/>
      <c r="HZ113" s="6"/>
      <c r="IA113" s="6"/>
      <c r="IB113" s="6"/>
      <c r="IC113" s="6"/>
      <c r="ID113" s="6"/>
      <c r="IE113" s="6"/>
      <c r="IF113" s="6"/>
      <c r="IG113" s="6"/>
      <c r="IH113" s="6"/>
      <c r="II113" s="6"/>
      <c r="IJ113" s="6"/>
      <c r="IK113" s="6"/>
      <c r="IL113" s="6"/>
      <c r="IM113" s="6"/>
      <c r="IN113" s="6"/>
      <c r="IO113" s="6"/>
      <c r="IP113" s="6"/>
      <c r="IQ113" s="6"/>
      <c r="IR113" s="6"/>
      <c r="IS113" s="6"/>
      <c r="IT113" s="6"/>
      <c r="IU113" s="6"/>
      <c r="IV113" s="6"/>
    </row>
    <row r="114" spans="1:256" s="66" customFormat="1" ht="11.25" customHeight="1" collapsed="1">
      <c r="A114" s="604" t="s">
        <v>446</v>
      </c>
      <c r="B114" s="25"/>
      <c r="C114" s="20"/>
      <c r="D114" s="19"/>
      <c r="E114" s="19"/>
      <c r="F114" s="19"/>
      <c r="G114" s="21"/>
      <c r="H114" s="20"/>
      <c r="I114" s="19"/>
      <c r="J114" s="19"/>
      <c r="K114" s="22"/>
      <c r="L114" s="18"/>
      <c r="M114" s="20"/>
      <c r="N114" s="23"/>
      <c r="O114" s="23"/>
      <c r="P114" s="22"/>
      <c r="Q114" s="67"/>
      <c r="R114" s="19"/>
      <c r="S114" s="19"/>
      <c r="T114" s="19"/>
      <c r="U114" s="22"/>
      <c r="V114" s="26"/>
      <c r="W114" s="19"/>
      <c r="X114" s="19"/>
      <c r="Y114" s="23"/>
      <c r="Z114" s="24"/>
      <c r="AA114" s="26"/>
      <c r="AB114" s="19"/>
      <c r="AC114" s="23"/>
      <c r="AD114" s="19"/>
      <c r="AE114" s="22"/>
      <c r="AF114" s="67"/>
      <c r="AG114" s="19"/>
      <c r="AH114" s="23"/>
      <c r="AI114" s="23"/>
      <c r="AJ114" s="22"/>
      <c r="AK114" s="614"/>
      <c r="AL114" s="19"/>
      <c r="AM114" s="23"/>
      <c r="AN114" s="19"/>
      <c r="AO114" s="22"/>
      <c r="AP114" s="614"/>
      <c r="AQ114" s="23"/>
      <c r="AR114" s="23"/>
      <c r="AS114" s="23"/>
      <c r="AT114" s="24"/>
      <c r="AU114" s="614"/>
      <c r="AV114" s="23"/>
      <c r="AW114" s="23"/>
      <c r="AX114" s="23"/>
      <c r="AY114" s="24"/>
      <c r="AZ114" s="614"/>
      <c r="BA114" s="23"/>
      <c r="BB114" s="23"/>
      <c r="BC114" s="23"/>
      <c r="BD114" s="24"/>
      <c r="BE114" s="614"/>
      <c r="BF114" s="23"/>
      <c r="BG114" s="23"/>
      <c r="BH114" s="23"/>
      <c r="BI114" s="24"/>
      <c r="BJ114" s="614"/>
      <c r="BK114" s="23"/>
      <c r="BL114" s="19"/>
      <c r="BM114" s="19"/>
      <c r="BN114" s="24"/>
      <c r="BO114" s="614"/>
      <c r="BP114" s="23"/>
      <c r="BQ114" s="23"/>
      <c r="BR114" s="23"/>
      <c r="BS114" s="24"/>
      <c r="BT114" s="614"/>
      <c r="BU114" s="19"/>
      <c r="BV114" s="23"/>
      <c r="BW114" s="19"/>
      <c r="BX114" s="22"/>
      <c r="BY114" s="614"/>
      <c r="BZ114" s="23"/>
      <c r="CA114" s="23"/>
      <c r="CB114" s="23"/>
      <c r="CC114" s="24"/>
      <c r="CD114" s="614"/>
      <c r="CE114" s="23"/>
      <c r="CF114" s="23"/>
      <c r="CG114" s="23"/>
      <c r="CH114" s="24"/>
      <c r="CI114" s="614"/>
      <c r="CJ114" s="23"/>
      <c r="CK114" s="23"/>
      <c r="CL114" s="23"/>
      <c r="CM114" s="24"/>
      <c r="CN114" s="614"/>
      <c r="CO114" s="45"/>
      <c r="CP114" s="593"/>
      <c r="CQ114" s="593"/>
      <c r="CR114" s="1023" t="s">
        <v>446</v>
      </c>
      <c r="CS114" s="19"/>
      <c r="CT114" s="23"/>
      <c r="CU114" s="923"/>
      <c r="CV114" s="19"/>
      <c r="CW114" s="923"/>
      <c r="CX114" s="593"/>
      <c r="CY114" s="593"/>
      <c r="CZ114" s="593"/>
      <c r="DA114" s="593"/>
      <c r="DB114"/>
      <c r="DC114"/>
      <c r="DD114"/>
      <c r="DE114"/>
      <c r="DF114"/>
      <c r="DG114"/>
      <c r="DH114" s="593"/>
      <c r="DI114" s="593"/>
      <c r="DJ114" s="593"/>
      <c r="DK114" s="593"/>
      <c r="DL114" s="593"/>
      <c r="DM114" s="593"/>
      <c r="DN114" s="593"/>
      <c r="DO114" s="593"/>
      <c r="DP114" s="593"/>
      <c r="DQ114" s="593"/>
      <c r="DR114" s="593"/>
      <c r="DS114" s="593"/>
      <c r="DT114" s="593"/>
      <c r="DU114" s="593"/>
      <c r="DV114" s="593"/>
      <c r="DW114" s="593"/>
      <c r="DX114" s="593"/>
      <c r="DY114" s="593"/>
      <c r="DZ114" s="593"/>
      <c r="EA114" s="593"/>
      <c r="EB114" s="593"/>
      <c r="EC114" s="593"/>
      <c r="ED114" s="593"/>
      <c r="EE114" s="593"/>
      <c r="EF114" s="593"/>
      <c r="EG114" s="593"/>
      <c r="EH114" s="593"/>
      <c r="EI114" s="593"/>
      <c r="EJ114" s="593"/>
      <c r="EK114" s="593"/>
      <c r="EL114" s="593"/>
      <c r="EM114" s="593"/>
      <c r="EN114" s="593"/>
      <c r="EO114" s="593"/>
      <c r="EP114" s="593"/>
      <c r="EQ114" s="593"/>
      <c r="ER114" s="593"/>
      <c r="ES114" s="593"/>
      <c r="ET114" s="593"/>
      <c r="EU114" s="593"/>
      <c r="EV114" s="593"/>
      <c r="EW114" s="593"/>
      <c r="EX114" s="593"/>
      <c r="EY114" s="593"/>
      <c r="EZ114" s="593"/>
      <c r="FA114" s="593"/>
      <c r="FB114" s="593"/>
      <c r="FC114" s="593"/>
      <c r="FD114" s="593"/>
      <c r="FE114" s="593"/>
      <c r="FF114" s="593"/>
      <c r="FG114" s="593"/>
      <c r="FH114" s="593"/>
      <c r="FI114" s="593"/>
      <c r="FJ114" s="593"/>
      <c r="FK114" s="593"/>
      <c r="FL114" s="593"/>
      <c r="FM114" s="593"/>
      <c r="FN114" s="593"/>
      <c r="FO114" s="593"/>
      <c r="FP114" s="593"/>
      <c r="FQ114" s="593"/>
      <c r="FR114" s="593"/>
      <c r="FS114" s="593"/>
      <c r="FT114" s="593"/>
      <c r="FU114" s="593"/>
      <c r="FV114" s="593"/>
      <c r="FW114" s="593"/>
      <c r="FX114" s="593"/>
      <c r="FY114" s="593"/>
      <c r="FZ114" s="593"/>
      <c r="GA114" s="593"/>
      <c r="GB114" s="593"/>
      <c r="GC114" s="593"/>
      <c r="GD114" s="593"/>
      <c r="GE114" s="593"/>
      <c r="GF114" s="593"/>
      <c r="GG114" s="593"/>
      <c r="GH114" s="593"/>
      <c r="GI114" s="593"/>
      <c r="GJ114" s="593"/>
      <c r="GK114" s="593"/>
      <c r="GL114" s="593"/>
      <c r="GM114" s="593"/>
      <c r="GN114" s="593"/>
      <c r="GO114" s="593"/>
      <c r="GP114" s="593"/>
      <c r="GQ114" s="593"/>
      <c r="GR114" s="593"/>
      <c r="GS114" s="593"/>
      <c r="GT114" s="593"/>
      <c r="GU114" s="593"/>
      <c r="GV114" s="593"/>
      <c r="GW114" s="593"/>
      <c r="GX114" s="593"/>
      <c r="GY114" s="593"/>
      <c r="GZ114" s="593"/>
      <c r="HA114" s="593"/>
      <c r="HB114" s="593"/>
      <c r="HC114" s="593"/>
      <c r="HD114" s="593"/>
      <c r="HE114" s="593"/>
      <c r="HF114" s="593"/>
      <c r="HG114" s="593"/>
      <c r="HH114" s="593"/>
      <c r="HI114" s="593"/>
      <c r="HJ114" s="593"/>
      <c r="HK114" s="593"/>
      <c r="HL114" s="593"/>
      <c r="HM114" s="593"/>
      <c r="HN114" s="593"/>
      <c r="HO114" s="593"/>
      <c r="HP114" s="593"/>
      <c r="HQ114" s="6"/>
      <c r="HR114" s="6"/>
      <c r="HS114" s="6"/>
      <c r="HT114" s="6"/>
      <c r="HU114" s="6"/>
      <c r="HV114" s="6"/>
      <c r="HW114" s="6"/>
      <c r="HX114" s="6"/>
      <c r="HY114" s="6"/>
      <c r="HZ114" s="6"/>
      <c r="IA114" s="6"/>
      <c r="IB114" s="6"/>
      <c r="IC114" s="6"/>
      <c r="ID114" s="6"/>
      <c r="IE114" s="6"/>
      <c r="IF114" s="6"/>
      <c r="IG114" s="6"/>
      <c r="IH114" s="6"/>
      <c r="II114" s="6"/>
      <c r="IJ114" s="6"/>
      <c r="IK114" s="6"/>
      <c r="IL114" s="6"/>
      <c r="IM114" s="6"/>
      <c r="IN114" s="6"/>
      <c r="IO114" s="6"/>
      <c r="IP114" s="6"/>
      <c r="IQ114" s="6"/>
      <c r="IR114" s="6"/>
      <c r="IS114" s="6"/>
      <c r="IT114" s="6"/>
      <c r="IU114" s="6"/>
      <c r="IV114" s="6"/>
    </row>
    <row r="115" spans="1:256" s="66" customFormat="1" ht="11.25" hidden="1" customHeight="1" outlineLevel="1">
      <c r="A115" s="595" t="s">
        <v>117</v>
      </c>
      <c r="B115" s="189">
        <v>1320</v>
      </c>
      <c r="C115" s="187">
        <v>1334</v>
      </c>
      <c r="D115" s="186">
        <v>1348</v>
      </c>
      <c r="E115" s="186">
        <v>1360</v>
      </c>
      <c r="F115" s="186">
        <v>1465</v>
      </c>
      <c r="G115" s="190">
        <v>1465</v>
      </c>
      <c r="H115" s="187">
        <v>1457</v>
      </c>
      <c r="I115" s="186">
        <v>1442</v>
      </c>
      <c r="J115" s="186">
        <v>1457</v>
      </c>
      <c r="K115" s="188">
        <v>1487</v>
      </c>
      <c r="L115" s="415">
        <v>1487</v>
      </c>
      <c r="M115" s="187">
        <v>1491</v>
      </c>
      <c r="N115" s="186">
        <v>1503</v>
      </c>
      <c r="O115" s="191">
        <v>1515</v>
      </c>
      <c r="P115" s="186">
        <v>1502</v>
      </c>
      <c r="Q115" s="190">
        <v>1502</v>
      </c>
      <c r="R115" s="187">
        <v>1468</v>
      </c>
      <c r="S115" s="186">
        <v>1475</v>
      </c>
      <c r="T115" s="191">
        <v>1473</v>
      </c>
      <c r="U115" s="186">
        <v>1465</v>
      </c>
      <c r="V115" s="190">
        <v>1465</v>
      </c>
      <c r="W115" s="187">
        <v>1455</v>
      </c>
      <c r="X115" s="186">
        <v>1444</v>
      </c>
      <c r="Y115" s="191">
        <v>1431</v>
      </c>
      <c r="Z115" s="186">
        <v>1414</v>
      </c>
      <c r="AA115" s="190">
        <v>1414</v>
      </c>
      <c r="AB115" s="187">
        <v>1407</v>
      </c>
      <c r="AC115" s="186">
        <v>1402</v>
      </c>
      <c r="AD115" s="191">
        <v>1402</v>
      </c>
      <c r="AE115" s="186">
        <v>1406</v>
      </c>
      <c r="AF115" s="190">
        <v>1406</v>
      </c>
      <c r="AG115" s="187">
        <v>1399</v>
      </c>
      <c r="AH115" s="186">
        <v>1395</v>
      </c>
      <c r="AI115" s="191">
        <v>1395</v>
      </c>
      <c r="AJ115" s="186">
        <v>1391</v>
      </c>
      <c r="AK115" s="190">
        <v>1391</v>
      </c>
      <c r="AL115" s="186">
        <v>1390</v>
      </c>
      <c r="AM115" s="186">
        <v>1391</v>
      </c>
      <c r="AN115" s="186">
        <v>1391</v>
      </c>
      <c r="AO115" s="186">
        <v>1394</v>
      </c>
      <c r="AP115" s="615">
        <v>1394</v>
      </c>
      <c r="AQ115" s="186">
        <v>1395</v>
      </c>
      <c r="AR115" s="186">
        <v>1400</v>
      </c>
      <c r="AS115" s="186">
        <v>1404</v>
      </c>
      <c r="AT115" s="186">
        <v>1417</v>
      </c>
      <c r="AU115" s="615">
        <v>1417</v>
      </c>
      <c r="AV115" s="186">
        <v>1414</v>
      </c>
      <c r="AW115" s="186">
        <v>1425</v>
      </c>
      <c r="AX115" s="186">
        <v>1447</v>
      </c>
      <c r="AY115" s="186">
        <v>1427</v>
      </c>
      <c r="AZ115" s="615">
        <v>1427</v>
      </c>
      <c r="BA115" s="186">
        <v>1427</v>
      </c>
      <c r="BB115" s="186">
        <v>1418</v>
      </c>
      <c r="BC115" s="186">
        <v>1366</v>
      </c>
      <c r="BD115" s="186">
        <v>1183</v>
      </c>
      <c r="BE115" s="615">
        <v>1183</v>
      </c>
      <c r="BF115" s="186">
        <v>1001</v>
      </c>
      <c r="BG115" s="186">
        <v>1005</v>
      </c>
      <c r="BH115" s="186">
        <v>995</v>
      </c>
      <c r="BI115" s="186">
        <v>957</v>
      </c>
      <c r="BJ115" s="615">
        <v>957</v>
      </c>
      <c r="BK115" s="186">
        <v>943</v>
      </c>
      <c r="BL115" s="186">
        <v>860</v>
      </c>
      <c r="BM115" s="186">
        <v>852</v>
      </c>
      <c r="BN115" s="186">
        <v>632</v>
      </c>
      <c r="BO115" s="615">
        <v>632</v>
      </c>
      <c r="BP115" s="186">
        <v>582</v>
      </c>
      <c r="BQ115" s="186">
        <v>582</v>
      </c>
      <c r="BR115" s="186">
        <v>427</v>
      </c>
      <c r="BS115" s="186">
        <v>330</v>
      </c>
      <c r="BT115" s="615">
        <v>330</v>
      </c>
      <c r="BU115" s="186">
        <v>331</v>
      </c>
      <c r="BV115" s="186">
        <v>331</v>
      </c>
      <c r="BW115" s="186">
        <v>333</v>
      </c>
      <c r="BX115" s="186">
        <v>337</v>
      </c>
      <c r="BY115" s="615">
        <v>337</v>
      </c>
      <c r="BZ115" s="186">
        <v>338</v>
      </c>
      <c r="CA115" s="186">
        <v>339</v>
      </c>
      <c r="CB115" s="186">
        <v>340</v>
      </c>
      <c r="CC115" s="186">
        <v>341</v>
      </c>
      <c r="CD115" s="615">
        <v>341</v>
      </c>
      <c r="CE115" s="186">
        <v>343</v>
      </c>
      <c r="CF115" s="186">
        <v>345</v>
      </c>
      <c r="CG115" s="186">
        <v>347</v>
      </c>
      <c r="CH115" s="186">
        <v>349</v>
      </c>
      <c r="CI115" s="615">
        <v>349</v>
      </c>
      <c r="CJ115" s="186">
        <v>352</v>
      </c>
      <c r="CK115" s="186">
        <v>355</v>
      </c>
      <c r="CL115" s="186">
        <v>358</v>
      </c>
      <c r="CM115" s="186">
        <v>361</v>
      </c>
      <c r="CN115" s="615">
        <v>361</v>
      </c>
      <c r="CO115" s="45"/>
      <c r="CP115" s="593"/>
      <c r="CQ115" s="593"/>
      <c r="CR115" s="1024" t="s">
        <v>117</v>
      </c>
      <c r="CS115" s="186">
        <f>BX115</f>
        <v>337</v>
      </c>
      <c r="CT115" s="186">
        <v>334</v>
      </c>
      <c r="CU115" s="189">
        <f t="shared" ref="CU115:CU130" si="272">CS115-CT115</f>
        <v>3</v>
      </c>
      <c r="CV115" s="186">
        <f>BS115</f>
        <v>330</v>
      </c>
      <c r="CW115" s="153">
        <f>CS115/CV115-1</f>
        <v>2.1212121212121238E-2</v>
      </c>
      <c r="CX115" s="593"/>
      <c r="CY115" s="593"/>
      <c r="CZ115" s="593"/>
      <c r="DA115" s="593"/>
      <c r="DB115"/>
      <c r="DC115"/>
      <c r="DD115"/>
      <c r="DE115"/>
      <c r="DF115"/>
      <c r="DG115"/>
      <c r="DH115" s="593"/>
      <c r="DI115" s="593"/>
      <c r="DJ115" s="593"/>
      <c r="DK115" s="593"/>
      <c r="DL115" s="593"/>
      <c r="DM115" s="593"/>
      <c r="DN115" s="593"/>
      <c r="DO115" s="593"/>
      <c r="DP115" s="593"/>
      <c r="DQ115" s="593"/>
      <c r="DR115" s="593"/>
      <c r="DS115" s="593"/>
      <c r="DT115" s="593"/>
      <c r="DU115" s="593"/>
      <c r="DV115" s="593"/>
      <c r="DW115" s="593"/>
      <c r="DX115" s="593"/>
      <c r="DY115" s="593"/>
      <c r="DZ115" s="593"/>
      <c r="EA115" s="593"/>
      <c r="EB115" s="593"/>
      <c r="EC115" s="593"/>
      <c r="ED115" s="593"/>
      <c r="EE115" s="593"/>
      <c r="EF115" s="593"/>
      <c r="EG115" s="593"/>
      <c r="EH115" s="593"/>
      <c r="EI115" s="593"/>
      <c r="EJ115" s="593"/>
      <c r="EK115" s="593"/>
      <c r="EL115" s="593"/>
      <c r="EM115" s="593"/>
      <c r="EN115" s="593"/>
      <c r="EO115" s="593"/>
      <c r="EP115" s="593"/>
      <c r="EQ115" s="593"/>
      <c r="ER115" s="593"/>
      <c r="ES115" s="593"/>
      <c r="ET115" s="593"/>
      <c r="EU115" s="593"/>
      <c r="EV115" s="593"/>
      <c r="EW115" s="593"/>
      <c r="EX115" s="593"/>
      <c r="EY115" s="593"/>
      <c r="EZ115" s="593"/>
      <c r="FA115" s="593"/>
      <c r="FB115" s="593"/>
      <c r="FC115" s="593"/>
      <c r="FD115" s="593"/>
      <c r="FE115" s="593"/>
      <c r="FF115" s="593"/>
      <c r="FG115" s="593"/>
      <c r="FH115" s="593"/>
      <c r="FI115" s="593"/>
      <c r="FJ115" s="593"/>
      <c r="FK115" s="593"/>
      <c r="FL115" s="593"/>
      <c r="FM115" s="593"/>
      <c r="FN115" s="593"/>
      <c r="FO115" s="593"/>
      <c r="FP115" s="593"/>
      <c r="FQ115" s="593"/>
      <c r="FR115" s="593"/>
      <c r="FS115" s="593"/>
      <c r="FT115" s="593"/>
      <c r="FU115" s="593"/>
      <c r="FV115" s="593"/>
      <c r="FW115" s="593"/>
      <c r="FX115" s="593"/>
      <c r="FY115" s="593"/>
      <c r="FZ115" s="593"/>
      <c r="GA115" s="593"/>
      <c r="GB115" s="593"/>
      <c r="GC115" s="593"/>
      <c r="GD115" s="593"/>
      <c r="GE115" s="593"/>
      <c r="GF115" s="593"/>
      <c r="GG115" s="593"/>
      <c r="GH115" s="593"/>
      <c r="GI115" s="593"/>
      <c r="GJ115" s="593"/>
      <c r="GK115" s="593"/>
      <c r="GL115" s="593"/>
      <c r="GM115" s="593"/>
      <c r="GN115" s="593"/>
      <c r="GO115" s="593"/>
      <c r="GP115" s="593"/>
      <c r="GQ115" s="593"/>
      <c r="GR115" s="593"/>
      <c r="GS115" s="593"/>
      <c r="GT115" s="593"/>
      <c r="GU115" s="593"/>
      <c r="GV115" s="593"/>
      <c r="GW115" s="593"/>
      <c r="GX115" s="593"/>
      <c r="GY115" s="593"/>
      <c r="GZ115" s="593"/>
      <c r="HA115" s="593"/>
      <c r="HB115" s="593"/>
      <c r="HC115" s="593"/>
      <c r="HD115" s="593"/>
      <c r="HE115" s="593"/>
      <c r="HF115" s="593"/>
      <c r="HG115" s="593"/>
      <c r="HH115" s="593"/>
      <c r="HI115" s="593"/>
      <c r="HJ115" s="593"/>
      <c r="HK115" s="593"/>
      <c r="HL115" s="593"/>
      <c r="HM115" s="593"/>
      <c r="HN115" s="593"/>
      <c r="HO115" s="593"/>
      <c r="HP115" s="593"/>
      <c r="HQ115" s="6"/>
      <c r="HR115" s="6"/>
      <c r="HS115" s="6"/>
      <c r="HT115" s="6"/>
      <c r="HU115" s="6"/>
      <c r="HV115" s="6"/>
      <c r="HW115" s="6"/>
      <c r="HX115" s="6"/>
      <c r="HY115" s="6"/>
      <c r="HZ115" s="6"/>
      <c r="IA115" s="6"/>
      <c r="IB115" s="6"/>
      <c r="IC115" s="6"/>
      <c r="ID115" s="6"/>
      <c r="IE115" s="6"/>
      <c r="IF115" s="6"/>
      <c r="IG115" s="6"/>
      <c r="IH115" s="6"/>
      <c r="II115" s="6"/>
      <c r="IJ115" s="6"/>
      <c r="IK115" s="6"/>
      <c r="IL115" s="6"/>
      <c r="IM115" s="6"/>
      <c r="IN115" s="6"/>
      <c r="IO115" s="6"/>
      <c r="IP115" s="6"/>
      <c r="IQ115" s="6"/>
      <c r="IR115" s="6"/>
      <c r="IS115" s="6"/>
      <c r="IT115" s="6"/>
      <c r="IU115" s="6"/>
      <c r="IV115" s="6"/>
    </row>
    <row r="116" spans="1:256" s="66" customFormat="1" ht="11.25" hidden="1" customHeight="1" outlineLevel="1">
      <c r="A116" s="595" t="s">
        <v>118</v>
      </c>
      <c r="B116" s="189">
        <v>4933</v>
      </c>
      <c r="C116" s="187">
        <v>4928</v>
      </c>
      <c r="D116" s="186">
        <v>4960</v>
      </c>
      <c r="E116" s="186">
        <v>4995</v>
      </c>
      <c r="F116" s="186">
        <v>5016</v>
      </c>
      <c r="G116" s="189">
        <v>5016</v>
      </c>
      <c r="H116" s="187">
        <v>5043</v>
      </c>
      <c r="I116" s="186">
        <v>5093</v>
      </c>
      <c r="J116" s="186">
        <v>5115</v>
      </c>
      <c r="K116" s="188">
        <v>5184</v>
      </c>
      <c r="L116" s="187">
        <v>5184</v>
      </c>
      <c r="M116" s="187">
        <v>5208</v>
      </c>
      <c r="N116" s="186">
        <v>5224</v>
      </c>
      <c r="O116" s="191">
        <v>5235</v>
      </c>
      <c r="P116" s="186">
        <v>5244</v>
      </c>
      <c r="Q116" s="189">
        <v>5244</v>
      </c>
      <c r="R116" s="187">
        <v>5277</v>
      </c>
      <c r="S116" s="186">
        <v>5268</v>
      </c>
      <c r="T116" s="191">
        <v>5268</v>
      </c>
      <c r="U116" s="186">
        <v>5209</v>
      </c>
      <c r="V116" s="189">
        <v>5209</v>
      </c>
      <c r="W116" s="187">
        <v>5203</v>
      </c>
      <c r="X116" s="186">
        <v>5217</v>
      </c>
      <c r="Y116" s="191">
        <v>5202</v>
      </c>
      <c r="Z116" s="186">
        <v>5231</v>
      </c>
      <c r="AA116" s="189">
        <v>5231</v>
      </c>
      <c r="AB116" s="187">
        <v>5215</v>
      </c>
      <c r="AC116" s="186">
        <v>5223</v>
      </c>
      <c r="AD116" s="191">
        <v>5223</v>
      </c>
      <c r="AE116" s="186">
        <v>5224</v>
      </c>
      <c r="AF116" s="189">
        <v>5224</v>
      </c>
      <c r="AG116" s="187">
        <v>5224</v>
      </c>
      <c r="AH116" s="186">
        <v>5213</v>
      </c>
      <c r="AI116" s="191">
        <v>5213</v>
      </c>
      <c r="AJ116" s="186">
        <v>5150</v>
      </c>
      <c r="AK116" s="189">
        <v>5150</v>
      </c>
      <c r="AL116" s="186">
        <v>5150</v>
      </c>
      <c r="AM116" s="186">
        <v>5155</v>
      </c>
      <c r="AN116" s="186">
        <v>5163</v>
      </c>
      <c r="AO116" s="186">
        <v>5182</v>
      </c>
      <c r="AP116" s="616">
        <v>5182</v>
      </c>
      <c r="AQ116" s="186">
        <v>5170</v>
      </c>
      <c r="AR116" s="186">
        <v>5171</v>
      </c>
      <c r="AS116" s="186">
        <v>5174</v>
      </c>
      <c r="AT116" s="186">
        <v>5177</v>
      </c>
      <c r="AU116" s="616">
        <v>5177</v>
      </c>
      <c r="AV116" s="186">
        <v>5167</v>
      </c>
      <c r="AW116" s="186">
        <v>5122</v>
      </c>
      <c r="AX116" s="186">
        <v>5096</v>
      </c>
      <c r="AY116" s="186">
        <v>5133</v>
      </c>
      <c r="AZ116" s="616">
        <v>5133</v>
      </c>
      <c r="BA116" s="186">
        <v>5117</v>
      </c>
      <c r="BB116" s="186">
        <v>5124</v>
      </c>
      <c r="BC116" s="186">
        <v>5173</v>
      </c>
      <c r="BD116" s="186">
        <v>5374</v>
      </c>
      <c r="BE116" s="616">
        <v>5374</v>
      </c>
      <c r="BF116" s="186">
        <v>5546</v>
      </c>
      <c r="BG116" s="186">
        <v>5540</v>
      </c>
      <c r="BH116" s="186">
        <v>5537</v>
      </c>
      <c r="BI116" s="186">
        <v>5558</v>
      </c>
      <c r="BJ116" s="616">
        <v>5558</v>
      </c>
      <c r="BK116" s="186">
        <v>5545</v>
      </c>
      <c r="BL116" s="186">
        <v>5617</v>
      </c>
      <c r="BM116" s="186">
        <v>5635</v>
      </c>
      <c r="BN116" s="186">
        <v>5847</v>
      </c>
      <c r="BO116" s="616">
        <v>5847</v>
      </c>
      <c r="BP116" s="186">
        <v>5900</v>
      </c>
      <c r="BQ116" s="186">
        <v>5908</v>
      </c>
      <c r="BR116" s="186">
        <v>6076</v>
      </c>
      <c r="BS116" s="186">
        <v>6207</v>
      </c>
      <c r="BT116" s="616">
        <v>6207</v>
      </c>
      <c r="BU116" s="186">
        <v>6220</v>
      </c>
      <c r="BV116" s="186">
        <v>6233</v>
      </c>
      <c r="BW116" s="186">
        <v>6253</v>
      </c>
      <c r="BX116" s="186">
        <v>6297</v>
      </c>
      <c r="BY116" s="616">
        <v>6297</v>
      </c>
      <c r="BZ116" s="186">
        <v>6328</v>
      </c>
      <c r="CA116" s="186">
        <v>6364</v>
      </c>
      <c r="CB116" s="186">
        <v>6400</v>
      </c>
      <c r="CC116" s="186">
        <v>6436</v>
      </c>
      <c r="CD116" s="616">
        <v>6436</v>
      </c>
      <c r="CE116" s="186">
        <v>6477</v>
      </c>
      <c r="CF116" s="186">
        <v>6523</v>
      </c>
      <c r="CG116" s="186">
        <v>6564</v>
      </c>
      <c r="CH116" s="186">
        <v>6615</v>
      </c>
      <c r="CI116" s="616">
        <v>6615</v>
      </c>
      <c r="CJ116" s="186">
        <v>6671</v>
      </c>
      <c r="CK116" s="186">
        <v>6732</v>
      </c>
      <c r="CL116" s="186">
        <v>6793</v>
      </c>
      <c r="CM116" s="186">
        <v>6859</v>
      </c>
      <c r="CN116" s="616">
        <v>6859</v>
      </c>
      <c r="CO116" s="45"/>
      <c r="CP116" s="593"/>
      <c r="CQ116" s="593"/>
      <c r="CR116" s="1024" t="s">
        <v>118</v>
      </c>
      <c r="CS116" s="186">
        <f>BX116</f>
        <v>6297</v>
      </c>
      <c r="CT116" s="186">
        <v>6307</v>
      </c>
      <c r="CU116" s="189">
        <f t="shared" si="272"/>
        <v>-10</v>
      </c>
      <c r="CV116" s="186">
        <f>BS116</f>
        <v>6207</v>
      </c>
      <c r="CW116" s="153">
        <f>CS116/CV116-1</f>
        <v>1.4499758337360946E-2</v>
      </c>
      <c r="CX116" s="593"/>
      <c r="CY116" s="593"/>
      <c r="CZ116" s="593"/>
      <c r="DA116" s="593"/>
      <c r="DB116"/>
      <c r="DC116"/>
      <c r="DD116"/>
      <c r="DE116"/>
      <c r="DF116"/>
      <c r="DG116"/>
      <c r="DH116" s="593"/>
      <c r="DI116" s="593"/>
      <c r="DJ116" s="593"/>
      <c r="DK116" s="593"/>
      <c r="DL116" s="593"/>
      <c r="DM116" s="593"/>
      <c r="DN116" s="593"/>
      <c r="DO116" s="593"/>
      <c r="DP116" s="593"/>
      <c r="DQ116" s="593"/>
      <c r="DR116" s="593"/>
      <c r="DS116" s="593"/>
      <c r="DT116" s="593"/>
      <c r="DU116" s="593"/>
      <c r="DV116" s="593"/>
      <c r="DW116" s="593"/>
      <c r="DX116" s="593"/>
      <c r="DY116" s="593"/>
      <c r="DZ116" s="593"/>
      <c r="EA116" s="593"/>
      <c r="EB116" s="593"/>
      <c r="EC116" s="593"/>
      <c r="ED116" s="593"/>
      <c r="EE116" s="593"/>
      <c r="EF116" s="593"/>
      <c r="EG116" s="593"/>
      <c r="EH116" s="593"/>
      <c r="EI116" s="593"/>
      <c r="EJ116" s="593"/>
      <c r="EK116" s="593"/>
      <c r="EL116" s="593"/>
      <c r="EM116" s="593"/>
      <c r="EN116" s="593"/>
      <c r="EO116" s="593"/>
      <c r="EP116" s="593"/>
      <c r="EQ116" s="593"/>
      <c r="ER116" s="593"/>
      <c r="ES116" s="593"/>
      <c r="ET116" s="593"/>
      <c r="EU116" s="593"/>
      <c r="EV116" s="593"/>
      <c r="EW116" s="593"/>
      <c r="EX116" s="593"/>
      <c r="EY116" s="593"/>
      <c r="EZ116" s="593"/>
      <c r="FA116" s="593"/>
      <c r="FB116" s="593"/>
      <c r="FC116" s="593"/>
      <c r="FD116" s="593"/>
      <c r="FE116" s="593"/>
      <c r="FF116" s="593"/>
      <c r="FG116" s="593"/>
      <c r="FH116" s="593"/>
      <c r="FI116" s="593"/>
      <c r="FJ116" s="593"/>
      <c r="FK116" s="593"/>
      <c r="FL116" s="593"/>
      <c r="FM116" s="593"/>
      <c r="FN116" s="593"/>
      <c r="FO116" s="593"/>
      <c r="FP116" s="593"/>
      <c r="FQ116" s="593"/>
      <c r="FR116" s="593"/>
      <c r="FS116" s="593"/>
      <c r="FT116" s="593"/>
      <c r="FU116" s="593"/>
      <c r="FV116" s="593"/>
      <c r="FW116" s="593"/>
      <c r="FX116" s="593"/>
      <c r="FY116" s="593"/>
      <c r="FZ116" s="593"/>
      <c r="GA116" s="593"/>
      <c r="GB116" s="593"/>
      <c r="GC116" s="593"/>
      <c r="GD116" s="593"/>
      <c r="GE116" s="593"/>
      <c r="GF116" s="593"/>
      <c r="GG116" s="593"/>
      <c r="GH116" s="593"/>
      <c r="GI116" s="593"/>
      <c r="GJ116" s="593"/>
      <c r="GK116" s="593"/>
      <c r="GL116" s="593"/>
      <c r="GM116" s="593"/>
      <c r="GN116" s="593"/>
      <c r="GO116" s="593"/>
      <c r="GP116" s="593"/>
      <c r="GQ116" s="593"/>
      <c r="GR116" s="593"/>
      <c r="GS116" s="593"/>
      <c r="GT116" s="593"/>
      <c r="GU116" s="593"/>
      <c r="GV116" s="593"/>
      <c r="GW116" s="593"/>
      <c r="GX116" s="593"/>
      <c r="GY116" s="593"/>
      <c r="GZ116" s="593"/>
      <c r="HA116" s="593"/>
      <c r="HB116" s="593"/>
      <c r="HC116" s="593"/>
      <c r="HD116" s="593"/>
      <c r="HE116" s="593"/>
      <c r="HF116" s="593"/>
      <c r="HG116" s="593"/>
      <c r="HH116" s="593"/>
      <c r="HI116" s="593"/>
      <c r="HJ116" s="593"/>
      <c r="HK116" s="593"/>
      <c r="HL116" s="593"/>
      <c r="HM116" s="593"/>
      <c r="HN116" s="593"/>
      <c r="HO116" s="593"/>
      <c r="HP116" s="593"/>
      <c r="HQ116" s="6"/>
      <c r="HR116" s="6"/>
      <c r="HS116" s="6"/>
      <c r="HT116" s="6"/>
      <c r="HU116" s="6"/>
      <c r="HV116" s="6"/>
      <c r="HW116" s="6"/>
      <c r="HX116" s="6"/>
      <c r="HY116" s="6"/>
      <c r="HZ116" s="6"/>
      <c r="IA116" s="6"/>
      <c r="IB116" s="6"/>
      <c r="IC116" s="6"/>
      <c r="ID116" s="6"/>
      <c r="IE116" s="6"/>
      <c r="IF116" s="6"/>
      <c r="IG116" s="6"/>
      <c r="IH116" s="6"/>
      <c r="II116" s="6"/>
      <c r="IJ116" s="6"/>
      <c r="IK116" s="6"/>
      <c r="IL116" s="6"/>
      <c r="IM116" s="6"/>
      <c r="IN116" s="6"/>
      <c r="IO116" s="6"/>
      <c r="IP116" s="6"/>
      <c r="IQ116" s="6"/>
      <c r="IR116" s="6"/>
      <c r="IS116" s="6"/>
      <c r="IT116" s="6"/>
      <c r="IU116" s="6"/>
      <c r="IV116" s="6"/>
    </row>
    <row r="117" spans="1:256" s="59" customFormat="1" ht="11.25" customHeight="1" collapsed="1">
      <c r="A117" s="578" t="s">
        <v>510</v>
      </c>
      <c r="B117" s="870">
        <v>6253</v>
      </c>
      <c r="C117" s="868">
        <v>6262</v>
      </c>
      <c r="D117" s="679">
        <v>6308.0801282051279</v>
      </c>
      <c r="E117" s="679">
        <v>6355.070866141732</v>
      </c>
      <c r="F117" s="679">
        <v>6481.109848484848</v>
      </c>
      <c r="G117" s="870">
        <v>6481.109848484848</v>
      </c>
      <c r="H117" s="868">
        <v>6500.0922038980507</v>
      </c>
      <c r="I117" s="679">
        <v>6535.0697329376853</v>
      </c>
      <c r="J117" s="679">
        <v>6572.0713235294115</v>
      </c>
      <c r="K117" s="869">
        <v>6671.0150170648467</v>
      </c>
      <c r="L117" s="868">
        <v>6671.0150170648467</v>
      </c>
      <c r="M117" s="868">
        <v>6699.0233356211393</v>
      </c>
      <c r="N117" s="679">
        <v>6727.0423023578369</v>
      </c>
      <c r="O117" s="1042">
        <v>6750.0398078242961</v>
      </c>
      <c r="P117" s="679">
        <v>6746.0100874243444</v>
      </c>
      <c r="Q117" s="870">
        <v>6746.0100874243444</v>
      </c>
      <c r="R117" s="868">
        <v>6744.984574111335</v>
      </c>
      <c r="S117" s="679">
        <v>6742.9813705921488</v>
      </c>
      <c r="T117" s="1042">
        <v>6740.9722772277228</v>
      </c>
      <c r="U117" s="679">
        <v>6673.9753661784289</v>
      </c>
      <c r="V117" s="870">
        <v>6673.9753661784289</v>
      </c>
      <c r="W117" s="868">
        <v>6657.991144414169</v>
      </c>
      <c r="X117" s="679">
        <v>6660.9789830508471</v>
      </c>
      <c r="Y117" s="1042">
        <v>11834.971486761711</v>
      </c>
      <c r="Z117" s="679">
        <v>6644.965187713311</v>
      </c>
      <c r="AA117" s="870">
        <v>6644.965187713311</v>
      </c>
      <c r="AB117" s="868">
        <v>6621.9670103092785</v>
      </c>
      <c r="AC117" s="679">
        <v>6624.9709141274234</v>
      </c>
      <c r="AD117" s="1042">
        <v>6624.9797344514327</v>
      </c>
      <c r="AE117" s="679">
        <v>6630</v>
      </c>
      <c r="AF117" s="870">
        <v>6630</v>
      </c>
      <c r="AG117" s="868">
        <v>6623</v>
      </c>
      <c r="AH117" s="679">
        <v>6608</v>
      </c>
      <c r="AI117" s="1042">
        <v>6608</v>
      </c>
      <c r="AJ117" s="679">
        <v>6541</v>
      </c>
      <c r="AK117" s="870">
        <v>6541</v>
      </c>
      <c r="AL117" s="679">
        <f t="shared" ref="AL117:AZ117" si="273">AL116+AL115</f>
        <v>6540</v>
      </c>
      <c r="AM117" s="679">
        <f t="shared" si="273"/>
        <v>6546</v>
      </c>
      <c r="AN117" s="679">
        <f t="shared" si="273"/>
        <v>6554</v>
      </c>
      <c r="AO117" s="679">
        <f t="shared" si="273"/>
        <v>6576</v>
      </c>
      <c r="AP117" s="1043">
        <f t="shared" si="273"/>
        <v>6576</v>
      </c>
      <c r="AQ117" s="679">
        <f t="shared" si="273"/>
        <v>6565</v>
      </c>
      <c r="AR117" s="679">
        <f t="shared" si="273"/>
        <v>6571</v>
      </c>
      <c r="AS117" s="679">
        <f t="shared" si="273"/>
        <v>6578</v>
      </c>
      <c r="AT117" s="679">
        <f t="shared" si="273"/>
        <v>6594</v>
      </c>
      <c r="AU117" s="1043">
        <f t="shared" si="273"/>
        <v>6594</v>
      </c>
      <c r="AV117" s="679">
        <f t="shared" si="273"/>
        <v>6581</v>
      </c>
      <c r="AW117" s="679">
        <f t="shared" si="273"/>
        <v>6547</v>
      </c>
      <c r="AX117" s="679">
        <f t="shared" si="273"/>
        <v>6543</v>
      </c>
      <c r="AY117" s="679">
        <f t="shared" si="273"/>
        <v>6560</v>
      </c>
      <c r="AZ117" s="1043">
        <f t="shared" si="273"/>
        <v>6560</v>
      </c>
      <c r="BA117" s="679">
        <f t="shared" ref="BA117:BJ117" si="274">BA116+BA115</f>
        <v>6544</v>
      </c>
      <c r="BB117" s="679">
        <f t="shared" si="274"/>
        <v>6542</v>
      </c>
      <c r="BC117" s="679">
        <f t="shared" si="274"/>
        <v>6539</v>
      </c>
      <c r="BD117" s="679">
        <f t="shared" si="274"/>
        <v>6557</v>
      </c>
      <c r="BE117" s="1043">
        <f t="shared" si="274"/>
        <v>6557</v>
      </c>
      <c r="BF117" s="679">
        <f t="shared" si="274"/>
        <v>6547</v>
      </c>
      <c r="BG117" s="679">
        <f t="shared" si="274"/>
        <v>6545</v>
      </c>
      <c r="BH117" s="679">
        <f t="shared" si="274"/>
        <v>6532</v>
      </c>
      <c r="BI117" s="679">
        <f t="shared" si="274"/>
        <v>6515</v>
      </c>
      <c r="BJ117" s="1043">
        <f t="shared" si="274"/>
        <v>6515</v>
      </c>
      <c r="BK117" s="679">
        <f t="shared" ref="BK117:BT117" si="275">BK116+BK115</f>
        <v>6488</v>
      </c>
      <c r="BL117" s="679">
        <f t="shared" si="275"/>
        <v>6477</v>
      </c>
      <c r="BM117" s="679">
        <f t="shared" si="275"/>
        <v>6487</v>
      </c>
      <c r="BN117" s="679">
        <f t="shared" si="275"/>
        <v>6479</v>
      </c>
      <c r="BO117" s="1043">
        <f t="shared" si="275"/>
        <v>6479</v>
      </c>
      <c r="BP117" s="679">
        <f t="shared" si="275"/>
        <v>6482</v>
      </c>
      <c r="BQ117" s="679">
        <f t="shared" si="275"/>
        <v>6490</v>
      </c>
      <c r="BR117" s="679">
        <f t="shared" si="275"/>
        <v>6503</v>
      </c>
      <c r="BS117" s="679">
        <f t="shared" si="275"/>
        <v>6537</v>
      </c>
      <c r="BT117" s="1043">
        <f t="shared" si="275"/>
        <v>6537</v>
      </c>
      <c r="BU117" s="679">
        <f t="shared" ref="BU117:CN117" si="276">BU116+BU115</f>
        <v>6551</v>
      </c>
      <c r="BV117" s="679">
        <f t="shared" si="276"/>
        <v>6564</v>
      </c>
      <c r="BW117" s="679">
        <f t="shared" si="276"/>
        <v>6586</v>
      </c>
      <c r="BX117" s="679">
        <f t="shared" si="276"/>
        <v>6634</v>
      </c>
      <c r="BY117" s="1043">
        <f t="shared" si="276"/>
        <v>6634</v>
      </c>
      <c r="BZ117" s="679">
        <f t="shared" si="276"/>
        <v>6666</v>
      </c>
      <c r="CA117" s="679">
        <f t="shared" si="276"/>
        <v>6703</v>
      </c>
      <c r="CB117" s="679">
        <f t="shared" si="276"/>
        <v>6740</v>
      </c>
      <c r="CC117" s="679">
        <f t="shared" si="276"/>
        <v>6777</v>
      </c>
      <c r="CD117" s="1043">
        <f t="shared" si="276"/>
        <v>6777</v>
      </c>
      <c r="CE117" s="679">
        <f t="shared" si="276"/>
        <v>6820</v>
      </c>
      <c r="CF117" s="679">
        <f t="shared" si="276"/>
        <v>6868</v>
      </c>
      <c r="CG117" s="679">
        <f t="shared" si="276"/>
        <v>6911</v>
      </c>
      <c r="CH117" s="679">
        <f t="shared" si="276"/>
        <v>6964</v>
      </c>
      <c r="CI117" s="1043">
        <f t="shared" si="276"/>
        <v>6964</v>
      </c>
      <c r="CJ117" s="679">
        <f t="shared" si="276"/>
        <v>7023</v>
      </c>
      <c r="CK117" s="679">
        <f t="shared" si="276"/>
        <v>7087</v>
      </c>
      <c r="CL117" s="679">
        <f t="shared" si="276"/>
        <v>7151</v>
      </c>
      <c r="CM117" s="679">
        <f t="shared" si="276"/>
        <v>7220</v>
      </c>
      <c r="CN117" s="1043">
        <f t="shared" si="276"/>
        <v>7220</v>
      </c>
      <c r="CO117" s="80"/>
      <c r="CR117" s="1044" t="s">
        <v>510</v>
      </c>
      <c r="CS117" s="679">
        <f>BX117</f>
        <v>6634</v>
      </c>
      <c r="CT117" s="679">
        <v>6641</v>
      </c>
      <c r="CU117" s="870">
        <f t="shared" si="272"/>
        <v>-7</v>
      </c>
      <c r="CV117" s="679">
        <f>BS117</f>
        <v>6537</v>
      </c>
      <c r="CW117" s="167">
        <f>CS117/CV117-1</f>
        <v>1.4838610983631595E-2</v>
      </c>
      <c r="DB117"/>
      <c r="DC117"/>
      <c r="DD117"/>
      <c r="DE117"/>
      <c r="DF117"/>
      <c r="DG117"/>
      <c r="HQ117" s="4"/>
      <c r="HR117" s="4"/>
      <c r="HS117" s="4"/>
      <c r="HT117" s="4"/>
      <c r="HU117" s="4"/>
      <c r="HV117" s="4"/>
      <c r="HW117" s="4"/>
      <c r="HX117" s="4"/>
      <c r="HY117" s="4"/>
      <c r="HZ117" s="4"/>
      <c r="IA117" s="4"/>
      <c r="IB117" s="4"/>
      <c r="IC117" s="4"/>
      <c r="ID117" s="4"/>
      <c r="IE117" s="4"/>
      <c r="IF117" s="4"/>
      <c r="IG117" s="4"/>
      <c r="IH117" s="4"/>
      <c r="II117" s="4"/>
      <c r="IJ117" s="4"/>
      <c r="IK117" s="4"/>
      <c r="IL117" s="4"/>
      <c r="IM117" s="4"/>
      <c r="IN117" s="4"/>
      <c r="IO117" s="4"/>
      <c r="IP117" s="4"/>
      <c r="IQ117" s="4"/>
      <c r="IR117" s="4"/>
      <c r="IS117" s="4"/>
      <c r="IT117" s="4"/>
      <c r="IU117" s="4"/>
      <c r="IV117" s="4"/>
    </row>
    <row r="118" spans="1:256" s="66" customFormat="1" ht="11.25" customHeight="1">
      <c r="A118" s="1010" t="s">
        <v>454</v>
      </c>
      <c r="B118" s="620"/>
      <c r="C118" s="621"/>
      <c r="D118" s="619"/>
      <c r="E118" s="619"/>
      <c r="F118" s="619"/>
      <c r="G118" s="620">
        <f>G117/B117-1</f>
        <v>3.6480065326219169E-2</v>
      </c>
      <c r="H118" s="621">
        <f t="shared" ref="H118:Q118" si="277">H117/C117-1</f>
        <v>3.8021750862033077E-2</v>
      </c>
      <c r="I118" s="619">
        <f t="shared" si="277"/>
        <v>3.5983944420367342E-2</v>
      </c>
      <c r="J118" s="619">
        <f t="shared" si="277"/>
        <v>3.4146032665631543E-2</v>
      </c>
      <c r="K118" s="622">
        <f t="shared" si="277"/>
        <v>2.9301334650946309E-2</v>
      </c>
      <c r="L118" s="619">
        <f t="shared" si="277"/>
        <v>2.9301334650946309E-2</v>
      </c>
      <c r="M118" s="621">
        <f t="shared" si="277"/>
        <v>3.0604355366496305E-2</v>
      </c>
      <c r="N118" s="619">
        <f t="shared" si="277"/>
        <v>2.9375749190950762E-2</v>
      </c>
      <c r="O118" s="619">
        <f t="shared" si="277"/>
        <v>2.7079512003729933E-2</v>
      </c>
      <c r="P118" s="622">
        <f t="shared" si="277"/>
        <v>1.1241927977625021E-2</v>
      </c>
      <c r="Q118" s="622">
        <f t="shared" si="277"/>
        <v>1.1241927977625021E-2</v>
      </c>
      <c r="R118" s="621">
        <f t="shared" ref="R118:AK118" si="278">R117/M117-1</f>
        <v>6.8608864587473839E-3</v>
      </c>
      <c r="S118" s="619">
        <f t="shared" si="278"/>
        <v>2.3694021113447317E-3</v>
      </c>
      <c r="T118" s="619">
        <f t="shared" si="278"/>
        <v>-1.3433299439304935E-3</v>
      </c>
      <c r="U118" s="622">
        <f t="shared" si="278"/>
        <v>-1.0678122373430798E-2</v>
      </c>
      <c r="V118" s="622">
        <f t="shared" si="278"/>
        <v>-1.0678122373430798E-2</v>
      </c>
      <c r="W118" s="621">
        <f t="shared" si="278"/>
        <v>-1.2897498688294262E-2</v>
      </c>
      <c r="X118" s="619">
        <f t="shared" si="278"/>
        <v>-1.2161146981502058E-2</v>
      </c>
      <c r="Y118" s="619">
        <f t="shared" si="278"/>
        <v>0.75567722281583616</v>
      </c>
      <c r="Z118" s="622">
        <f t="shared" si="278"/>
        <v>-4.3467613938361627E-3</v>
      </c>
      <c r="AA118" s="622">
        <f t="shared" si="278"/>
        <v>-4.3467613938361627E-3</v>
      </c>
      <c r="AB118" s="621">
        <f t="shared" si="278"/>
        <v>-5.4106611624308298E-3</v>
      </c>
      <c r="AC118" s="619">
        <f t="shared" si="278"/>
        <v>-5.4058223295776475E-3</v>
      </c>
      <c r="AD118" s="619">
        <f t="shared" si="278"/>
        <v>-0.44022005106966577</v>
      </c>
      <c r="AE118" s="622">
        <f t="shared" si="278"/>
        <v>-2.2521092722926905E-3</v>
      </c>
      <c r="AF118" s="622">
        <f t="shared" si="278"/>
        <v>-2.2521092722926905E-3</v>
      </c>
      <c r="AG118" s="621">
        <f t="shared" si="278"/>
        <v>1.5599438793834075E-4</v>
      </c>
      <c r="AH118" s="619">
        <f t="shared" si="278"/>
        <v>-2.5616586619623405E-3</v>
      </c>
      <c r="AI118" s="619">
        <f t="shared" si="278"/>
        <v>-2.562986625171737E-3</v>
      </c>
      <c r="AJ118" s="622">
        <f t="shared" si="278"/>
        <v>-1.3423831070889847E-2</v>
      </c>
      <c r="AK118" s="622">
        <f t="shared" si="278"/>
        <v>-1.3423831070889847E-2</v>
      </c>
      <c r="AL118" s="619">
        <f t="shared" ref="AL118:AT118" si="279">AL117/AG117-1</f>
        <v>-1.2532085157783479E-2</v>
      </c>
      <c r="AM118" s="619">
        <f t="shared" si="279"/>
        <v>-9.3825665859563756E-3</v>
      </c>
      <c r="AN118" s="619">
        <f t="shared" si="279"/>
        <v>-8.1719128329297286E-3</v>
      </c>
      <c r="AO118" s="622">
        <f t="shared" si="279"/>
        <v>5.3508637822963223E-3</v>
      </c>
      <c r="AP118" s="1011">
        <f t="shared" si="279"/>
        <v>5.3508637822963223E-3</v>
      </c>
      <c r="AQ118" s="619">
        <f t="shared" si="279"/>
        <v>3.8226299694190669E-3</v>
      </c>
      <c r="AR118" s="619">
        <f t="shared" si="279"/>
        <v>3.8191261839291002E-3</v>
      </c>
      <c r="AS118" s="619">
        <f t="shared" si="279"/>
        <v>3.6618858712236246E-3</v>
      </c>
      <c r="AT118" s="622">
        <f t="shared" si="279"/>
        <v>2.7372262773721623E-3</v>
      </c>
      <c r="AU118" s="1011">
        <f>AU117/AP117-1</f>
        <v>2.7372262773721623E-3</v>
      </c>
      <c r="AV118" s="619">
        <f t="shared" ref="AV118:BE118" si="280">AV117/AQ117-1</f>
        <v>2.4371667936025077E-3</v>
      </c>
      <c r="AW118" s="619">
        <f t="shared" si="280"/>
        <v>-3.652412113833492E-3</v>
      </c>
      <c r="AX118" s="619">
        <f t="shared" si="280"/>
        <v>-5.3207661903313941E-3</v>
      </c>
      <c r="AY118" s="622">
        <f t="shared" si="280"/>
        <v>-5.1562026084318591E-3</v>
      </c>
      <c r="AZ118" s="1011">
        <f t="shared" si="280"/>
        <v>-5.1562026084318591E-3</v>
      </c>
      <c r="BA118" s="619">
        <f t="shared" si="280"/>
        <v>-5.6222458592919411E-3</v>
      </c>
      <c r="BB118" s="619">
        <f t="shared" si="280"/>
        <v>-7.6370856881013971E-4</v>
      </c>
      <c r="BC118" s="619">
        <f t="shared" si="280"/>
        <v>-6.1134036374754785E-4</v>
      </c>
      <c r="BD118" s="622">
        <f t="shared" si="280"/>
        <v>-4.5731707317075987E-4</v>
      </c>
      <c r="BE118" s="1011">
        <f t="shared" si="280"/>
        <v>-4.5731707317075987E-4</v>
      </c>
      <c r="BF118" s="619">
        <f>BF117/BA117-1</f>
        <v>4.5843520782407055E-4</v>
      </c>
      <c r="BG118" s="619">
        <f>BG117/BB117-1</f>
        <v>4.5857535921745018E-4</v>
      </c>
      <c r="BH118" s="619">
        <f>BH117/BC117-1</f>
        <v>-1.0705000764642536E-3</v>
      </c>
      <c r="BI118" s="622">
        <f>BI117/BD117-1</f>
        <v>-6.4053683086777724E-3</v>
      </c>
      <c r="BJ118" s="1011">
        <f>BJ117/BE117-1</f>
        <v>-6.4053683086777724E-3</v>
      </c>
      <c r="BK118" s="619">
        <f t="shared" ref="BK118:BT118" si="281">BK117/BF117-1</f>
        <v>-9.0117611119596708E-3</v>
      </c>
      <c r="BL118" s="619">
        <f t="shared" si="281"/>
        <v>-1.0389610389610393E-2</v>
      </c>
      <c r="BM118" s="619">
        <f t="shared" si="281"/>
        <v>-6.8891610532761938E-3</v>
      </c>
      <c r="BN118" s="622">
        <f t="shared" si="281"/>
        <v>-5.525709900230269E-3</v>
      </c>
      <c r="BO118" s="1011">
        <f t="shared" si="281"/>
        <v>-5.525709900230269E-3</v>
      </c>
      <c r="BP118" s="619">
        <f t="shared" si="281"/>
        <v>-9.2478421701602809E-4</v>
      </c>
      <c r="BQ118" s="619">
        <f t="shared" si="281"/>
        <v>2.007102053419807E-3</v>
      </c>
      <c r="BR118" s="619">
        <f t="shared" si="281"/>
        <v>2.4664714043471925E-3</v>
      </c>
      <c r="BS118" s="622">
        <f t="shared" si="281"/>
        <v>8.9519987652415534E-3</v>
      </c>
      <c r="BT118" s="1011">
        <f t="shared" si="281"/>
        <v>8.9519987652415534E-3</v>
      </c>
      <c r="BU118" s="619">
        <f t="shared" ref="BU118:CN118" si="282">BU117/BP117-1</f>
        <v>1.064486269669862E-2</v>
      </c>
      <c r="BV118" s="619">
        <f t="shared" si="282"/>
        <v>1.1402157164869031E-2</v>
      </c>
      <c r="BW118" s="619">
        <f t="shared" si="282"/>
        <v>1.2763339996924472E-2</v>
      </c>
      <c r="BX118" s="622">
        <f t="shared" si="282"/>
        <v>1.4838610983631595E-2</v>
      </c>
      <c r="BY118" s="1011">
        <f t="shared" si="282"/>
        <v>1.4838610983631595E-2</v>
      </c>
      <c r="BZ118" s="619">
        <f t="shared" si="282"/>
        <v>1.7554571821096099E-2</v>
      </c>
      <c r="CA118" s="619">
        <f t="shared" si="282"/>
        <v>2.1176112126751967E-2</v>
      </c>
      <c r="CB118" s="619">
        <f t="shared" si="282"/>
        <v>2.3382933495293079E-2</v>
      </c>
      <c r="CC118" s="622">
        <f t="shared" si="282"/>
        <v>2.1555622550497366E-2</v>
      </c>
      <c r="CD118" s="1011">
        <f t="shared" si="282"/>
        <v>2.1555622550497366E-2</v>
      </c>
      <c r="CE118" s="619">
        <f t="shared" si="282"/>
        <v>2.3102310231023049E-2</v>
      </c>
      <c r="CF118" s="619">
        <f t="shared" si="282"/>
        <v>2.4615843652096014E-2</v>
      </c>
      <c r="CG118" s="619">
        <f t="shared" si="282"/>
        <v>2.5370919881305687E-2</v>
      </c>
      <c r="CH118" s="622">
        <f t="shared" si="282"/>
        <v>2.759333038217493E-2</v>
      </c>
      <c r="CI118" s="1011">
        <f t="shared" si="282"/>
        <v>2.759333038217493E-2</v>
      </c>
      <c r="CJ118" s="619">
        <f t="shared" si="282"/>
        <v>2.976539589442817E-2</v>
      </c>
      <c r="CK118" s="619">
        <f t="shared" si="282"/>
        <v>3.1887012230634726E-2</v>
      </c>
      <c r="CL118" s="619">
        <f t="shared" si="282"/>
        <v>3.4727246418752689E-2</v>
      </c>
      <c r="CM118" s="622">
        <f t="shared" si="282"/>
        <v>3.6760482481332568E-2</v>
      </c>
      <c r="CN118" s="1011">
        <f t="shared" si="282"/>
        <v>3.6760482481332568E-2</v>
      </c>
      <c r="CO118" s="195"/>
      <c r="CP118" s="593"/>
      <c r="CQ118" s="593"/>
      <c r="CR118" s="1026" t="s">
        <v>454</v>
      </c>
      <c r="CS118" s="172">
        <f>BX118</f>
        <v>1.4838610983631595E-2</v>
      </c>
      <c r="CT118" s="172">
        <v>1.5909438580388624E-2</v>
      </c>
      <c r="CU118" s="170">
        <f t="shared" si="272"/>
        <v>-1.0708275967570291E-3</v>
      </c>
      <c r="CV118" s="172">
        <f>BS118</f>
        <v>8.9519987652415534E-3</v>
      </c>
      <c r="CW118" s="170"/>
      <c r="CX118" s="593"/>
      <c r="CY118" s="593"/>
      <c r="CZ118" s="593"/>
      <c r="DA118" s="593"/>
      <c r="DB118"/>
      <c r="DC118"/>
      <c r="DD118"/>
      <c r="DE118"/>
      <c r="DF118"/>
      <c r="DG118"/>
      <c r="DH118" s="593"/>
      <c r="DI118" s="593"/>
      <c r="DJ118" s="593"/>
      <c r="DK118" s="593"/>
      <c r="DL118" s="593"/>
      <c r="DM118" s="593"/>
      <c r="DN118" s="593"/>
      <c r="DO118" s="593"/>
      <c r="DP118" s="593"/>
      <c r="DQ118" s="593"/>
      <c r="DR118" s="593"/>
      <c r="DS118" s="593"/>
      <c r="DT118" s="593"/>
      <c r="DU118" s="593"/>
      <c r="DV118" s="593"/>
      <c r="DW118" s="593"/>
      <c r="DX118" s="593"/>
      <c r="DY118" s="593"/>
      <c r="DZ118" s="593"/>
      <c r="EA118" s="593"/>
      <c r="EB118" s="593"/>
      <c r="EC118" s="593"/>
      <c r="ED118" s="593"/>
      <c r="EE118" s="593"/>
      <c r="EF118" s="593"/>
      <c r="EG118" s="593"/>
      <c r="EH118" s="593"/>
      <c r="EI118" s="593"/>
      <c r="EJ118" s="593"/>
      <c r="EK118" s="593"/>
      <c r="EL118" s="593"/>
      <c r="EM118" s="593"/>
      <c r="EN118" s="593"/>
      <c r="EO118" s="593"/>
      <c r="EP118" s="593"/>
      <c r="EQ118" s="593"/>
      <c r="ER118" s="593"/>
      <c r="ES118" s="593"/>
      <c r="ET118" s="593"/>
      <c r="EU118" s="593"/>
      <c r="EV118" s="593"/>
      <c r="EW118" s="593"/>
      <c r="EX118" s="593"/>
      <c r="EY118" s="593"/>
      <c r="EZ118" s="593"/>
      <c r="FA118" s="593"/>
      <c r="FB118" s="593"/>
      <c r="FC118" s="593"/>
      <c r="FD118" s="593"/>
      <c r="FE118" s="593"/>
      <c r="FF118" s="593"/>
      <c r="FG118" s="593"/>
      <c r="FH118" s="593"/>
      <c r="FI118" s="593"/>
      <c r="FJ118" s="593"/>
      <c r="FK118" s="593"/>
      <c r="FL118" s="593"/>
      <c r="FM118" s="593"/>
      <c r="FN118" s="593"/>
      <c r="FO118" s="593"/>
      <c r="FP118" s="593"/>
      <c r="FQ118" s="593"/>
      <c r="FR118" s="593"/>
      <c r="FS118" s="593"/>
      <c r="FT118" s="593"/>
      <c r="FU118" s="593"/>
      <c r="FV118" s="593"/>
      <c r="FW118" s="593"/>
      <c r="FX118" s="593"/>
      <c r="FY118" s="593"/>
      <c r="FZ118" s="593"/>
      <c r="GA118" s="593"/>
      <c r="GB118" s="593"/>
      <c r="GC118" s="593"/>
      <c r="GD118" s="593"/>
      <c r="GE118" s="593"/>
      <c r="GF118" s="593"/>
      <c r="GG118" s="593"/>
      <c r="GH118" s="593"/>
      <c r="GI118" s="593"/>
      <c r="GJ118" s="593"/>
      <c r="GK118" s="593"/>
      <c r="GL118" s="593"/>
      <c r="GM118" s="593"/>
      <c r="GN118" s="593"/>
      <c r="GO118" s="593"/>
      <c r="GP118" s="593"/>
      <c r="GQ118" s="593"/>
      <c r="GR118" s="593"/>
      <c r="GS118" s="593"/>
      <c r="GT118" s="593"/>
      <c r="GU118" s="593"/>
      <c r="GV118" s="593"/>
      <c r="GW118" s="593"/>
      <c r="GX118" s="593"/>
      <c r="GY118" s="593"/>
      <c r="GZ118" s="593"/>
      <c r="HA118" s="593"/>
      <c r="HB118" s="593"/>
      <c r="HC118" s="593"/>
      <c r="HD118" s="593"/>
      <c r="HE118" s="593"/>
      <c r="HF118" s="593"/>
      <c r="HG118" s="593"/>
      <c r="HH118" s="593"/>
      <c r="HI118" s="593"/>
      <c r="HJ118" s="593"/>
      <c r="HK118" s="593"/>
      <c r="HL118" s="593"/>
      <c r="HM118" s="593"/>
      <c r="HN118" s="593"/>
      <c r="HO118" s="593"/>
      <c r="HP118" s="593"/>
      <c r="HQ118" s="6"/>
      <c r="HR118" s="6"/>
      <c r="HS118" s="6"/>
      <c r="HT118" s="6"/>
      <c r="HU118" s="6"/>
      <c r="HV118" s="6"/>
      <c r="HW118" s="6"/>
      <c r="HX118" s="6"/>
      <c r="HY118" s="6"/>
      <c r="HZ118" s="6"/>
      <c r="IA118" s="6"/>
      <c r="IB118" s="6"/>
      <c r="IC118" s="6"/>
      <c r="ID118" s="6"/>
      <c r="IE118" s="6"/>
      <c r="IF118" s="6"/>
      <c r="IG118" s="6"/>
      <c r="IH118" s="6"/>
      <c r="II118" s="6"/>
      <c r="IJ118" s="6"/>
      <c r="IK118" s="6"/>
      <c r="IL118" s="6"/>
      <c r="IM118" s="6"/>
      <c r="IN118" s="6"/>
      <c r="IO118" s="6"/>
      <c r="IP118" s="6"/>
      <c r="IQ118" s="6"/>
      <c r="IR118" s="6"/>
      <c r="IS118" s="6"/>
      <c r="IT118" s="6"/>
      <c r="IU118" s="6"/>
      <c r="IV118" s="6"/>
    </row>
    <row r="119" spans="1:256" s="66" customFormat="1" ht="11.25" customHeight="1">
      <c r="A119" s="1012" t="s">
        <v>455</v>
      </c>
      <c r="B119" s="1013"/>
      <c r="C119" s="1014"/>
      <c r="D119" s="1015"/>
      <c r="E119" s="1015"/>
      <c r="F119" s="1015"/>
      <c r="G119" s="1013"/>
      <c r="H119" s="1014"/>
      <c r="I119" s="1015"/>
      <c r="J119" s="1015"/>
      <c r="K119" s="1016"/>
      <c r="L119" s="1014"/>
      <c r="M119" s="1014"/>
      <c r="N119" s="1017"/>
      <c r="O119" s="1017"/>
      <c r="P119" s="1015"/>
      <c r="Q119" s="1013"/>
      <c r="R119" s="1015"/>
      <c r="S119" s="1015"/>
      <c r="T119" s="1015"/>
      <c r="U119" s="1016"/>
      <c r="V119" s="1018"/>
      <c r="W119" s="1015"/>
      <c r="X119" s="1015"/>
      <c r="Y119" s="1017"/>
      <c r="Z119" s="1017"/>
      <c r="AA119" s="1019"/>
      <c r="AB119" s="1015"/>
      <c r="AC119" s="1017"/>
      <c r="AD119" s="1015"/>
      <c r="AE119" s="1015"/>
      <c r="AF119" s="1013"/>
      <c r="AG119" s="1015"/>
      <c r="AH119" s="1017"/>
      <c r="AI119" s="1017"/>
      <c r="AJ119" s="1015"/>
      <c r="AK119" s="1020"/>
      <c r="AL119" s="1015"/>
      <c r="AM119" s="1017"/>
      <c r="AN119" s="1015"/>
      <c r="AO119" s="1015"/>
      <c r="AP119" s="1020"/>
      <c r="AQ119" s="1017"/>
      <c r="AR119" s="1017"/>
      <c r="AS119" s="1017"/>
      <c r="AT119" s="1017"/>
      <c r="AU119" s="1020"/>
      <c r="AV119" s="1017"/>
      <c r="AW119" s="1017"/>
      <c r="AX119" s="1017"/>
      <c r="AY119" s="1017"/>
      <c r="AZ119" s="1020"/>
      <c r="BA119" s="1017"/>
      <c r="BB119" s="1017"/>
      <c r="BC119" s="1017"/>
      <c r="BD119" s="1017"/>
      <c r="BE119" s="1020"/>
      <c r="BF119" s="1017"/>
      <c r="BG119" s="1017"/>
      <c r="BH119" s="1017"/>
      <c r="BI119" s="1017"/>
      <c r="BJ119" s="1020"/>
      <c r="BK119" s="1017"/>
      <c r="BL119" s="1015"/>
      <c r="BM119" s="1015"/>
      <c r="BN119" s="1017"/>
      <c r="BO119" s="1020"/>
      <c r="BP119" s="1017"/>
      <c r="BQ119" s="1017"/>
      <c r="BR119" s="1017"/>
      <c r="BS119" s="1017"/>
      <c r="BT119" s="1020"/>
      <c r="BU119" s="1015"/>
      <c r="BV119" s="1017"/>
      <c r="BW119" s="1015"/>
      <c r="BX119" s="1015"/>
      <c r="BY119" s="1020"/>
      <c r="BZ119" s="1017"/>
      <c r="CA119" s="1017"/>
      <c r="CB119" s="1017"/>
      <c r="CC119" s="1017"/>
      <c r="CD119" s="1020"/>
      <c r="CE119" s="1017"/>
      <c r="CF119" s="1017"/>
      <c r="CG119" s="1017"/>
      <c r="CH119" s="1017"/>
      <c r="CI119" s="1020"/>
      <c r="CJ119" s="1017"/>
      <c r="CK119" s="1017"/>
      <c r="CL119" s="1017"/>
      <c r="CM119" s="1017"/>
      <c r="CN119" s="1020"/>
      <c r="CO119" s="45"/>
      <c r="CP119" s="593"/>
      <c r="CQ119" s="593"/>
      <c r="CR119" s="1027" t="s">
        <v>455</v>
      </c>
      <c r="CS119" s="12"/>
      <c r="CT119" s="16"/>
      <c r="CU119" s="15"/>
      <c r="CV119" s="12"/>
      <c r="CW119" s="15"/>
      <c r="CX119" s="593"/>
      <c r="CY119" s="593"/>
      <c r="CZ119" s="593"/>
      <c r="DA119" s="593"/>
      <c r="DB119"/>
      <c r="DC119"/>
      <c r="DD119"/>
      <c r="DE119"/>
      <c r="DF119"/>
      <c r="DG119"/>
      <c r="DH119" s="593"/>
      <c r="DI119" s="593"/>
      <c r="DJ119" s="593"/>
      <c r="DK119" s="593"/>
      <c r="DL119" s="593"/>
      <c r="DM119" s="593"/>
      <c r="DN119" s="593"/>
      <c r="DO119" s="593"/>
      <c r="DP119" s="593"/>
      <c r="DQ119" s="593"/>
      <c r="DR119" s="593"/>
      <c r="DS119" s="593"/>
      <c r="DT119" s="593"/>
      <c r="DU119" s="593"/>
      <c r="DV119" s="593"/>
      <c r="DW119" s="593"/>
      <c r="DX119" s="593"/>
      <c r="DY119" s="593"/>
      <c r="DZ119" s="593"/>
      <c r="EA119" s="593"/>
      <c r="EB119" s="593"/>
      <c r="EC119" s="593"/>
      <c r="ED119" s="593"/>
      <c r="EE119" s="593"/>
      <c r="EF119" s="593"/>
      <c r="EG119" s="593"/>
      <c r="EH119" s="593"/>
      <c r="EI119" s="593"/>
      <c r="EJ119" s="593"/>
      <c r="EK119" s="593"/>
      <c r="EL119" s="593"/>
      <c r="EM119" s="593"/>
      <c r="EN119" s="593"/>
      <c r="EO119" s="593"/>
      <c r="EP119" s="593"/>
      <c r="EQ119" s="593"/>
      <c r="ER119" s="593"/>
      <c r="ES119" s="593"/>
      <c r="ET119" s="593"/>
      <c r="EU119" s="593"/>
      <c r="EV119" s="593"/>
      <c r="EW119" s="593"/>
      <c r="EX119" s="593"/>
      <c r="EY119" s="593"/>
      <c r="EZ119" s="593"/>
      <c r="FA119" s="593"/>
      <c r="FB119" s="593"/>
      <c r="FC119" s="593"/>
      <c r="FD119" s="593"/>
      <c r="FE119" s="593"/>
      <c r="FF119" s="593"/>
      <c r="FG119" s="593"/>
      <c r="FH119" s="593"/>
      <c r="FI119" s="593"/>
      <c r="FJ119" s="593"/>
      <c r="FK119" s="593"/>
      <c r="FL119" s="593"/>
      <c r="FM119" s="593"/>
      <c r="FN119" s="593"/>
      <c r="FO119" s="593"/>
      <c r="FP119" s="593"/>
      <c r="FQ119" s="593"/>
      <c r="FR119" s="593"/>
      <c r="FS119" s="593"/>
      <c r="FT119" s="593"/>
      <c r="FU119" s="593"/>
      <c r="FV119" s="593"/>
      <c r="FW119" s="593"/>
      <c r="FX119" s="593"/>
      <c r="FY119" s="593"/>
      <c r="FZ119" s="593"/>
      <c r="GA119" s="593"/>
      <c r="GB119" s="593"/>
      <c r="GC119" s="593"/>
      <c r="GD119" s="593"/>
      <c r="GE119" s="593"/>
      <c r="GF119" s="593"/>
      <c r="GG119" s="593"/>
      <c r="GH119" s="593"/>
      <c r="GI119" s="593"/>
      <c r="GJ119" s="593"/>
      <c r="GK119" s="593"/>
      <c r="GL119" s="593"/>
      <c r="GM119" s="593"/>
      <c r="GN119" s="593"/>
      <c r="GO119" s="593"/>
      <c r="GP119" s="593"/>
      <c r="GQ119" s="593"/>
      <c r="GR119" s="593"/>
      <c r="GS119" s="593"/>
      <c r="GT119" s="593"/>
      <c r="GU119" s="593"/>
      <c r="GV119" s="593"/>
      <c r="GW119" s="593"/>
      <c r="GX119" s="593"/>
      <c r="GY119" s="593"/>
      <c r="GZ119" s="593"/>
      <c r="HA119" s="593"/>
      <c r="HB119" s="593"/>
      <c r="HC119" s="593"/>
      <c r="HD119" s="593"/>
      <c r="HE119" s="593"/>
      <c r="HF119" s="593"/>
      <c r="HG119" s="593"/>
      <c r="HH119" s="593"/>
      <c r="HI119" s="593"/>
      <c r="HJ119" s="593"/>
      <c r="HK119" s="593"/>
      <c r="HL119" s="593"/>
      <c r="HM119" s="593"/>
      <c r="HN119" s="593"/>
      <c r="HO119" s="593"/>
      <c r="HP119" s="593"/>
      <c r="HQ119" s="6"/>
      <c r="HR119" s="6"/>
      <c r="HS119" s="6"/>
      <c r="HT119" s="6"/>
      <c r="HU119" s="6"/>
      <c r="HV119" s="6"/>
      <c r="HW119" s="6"/>
      <c r="HX119" s="6"/>
      <c r="HY119" s="6"/>
      <c r="HZ119" s="6"/>
      <c r="IA119" s="6"/>
      <c r="IB119" s="6"/>
      <c r="IC119" s="6"/>
      <c r="ID119" s="6"/>
      <c r="IE119" s="6"/>
      <c r="IF119" s="6"/>
      <c r="IG119" s="6"/>
      <c r="IH119" s="6"/>
      <c r="II119" s="6"/>
      <c r="IJ119" s="6"/>
      <c r="IK119" s="6"/>
      <c r="IL119" s="6"/>
      <c r="IM119" s="6"/>
      <c r="IN119" s="6"/>
      <c r="IO119" s="6"/>
      <c r="IP119" s="6"/>
      <c r="IQ119" s="6"/>
      <c r="IR119" s="6"/>
      <c r="IS119" s="6"/>
      <c r="IT119" s="6"/>
      <c r="IU119" s="6"/>
      <c r="IV119" s="6"/>
    </row>
    <row r="120" spans="1:256" s="7" customFormat="1" ht="11.25" customHeight="1">
      <c r="A120" s="1051" t="s">
        <v>453</v>
      </c>
      <c r="B120" s="1052"/>
      <c r="C120" s="1053"/>
      <c r="D120" s="1054"/>
      <c r="E120" s="1054"/>
      <c r="F120" s="1054"/>
      <c r="G120" s="1052">
        <v>8.9999999999999993E-3</v>
      </c>
      <c r="H120" s="1053"/>
      <c r="I120" s="1054"/>
      <c r="J120" s="1054"/>
      <c r="K120" s="1055"/>
      <c r="L120" s="1053">
        <v>2.9000000000000001E-2</v>
      </c>
      <c r="M120" s="1053">
        <v>-2.1999999999999999E-2</v>
      </c>
      <c r="N120" s="1054">
        <v>-4.5999999999999999E-2</v>
      </c>
      <c r="O120" s="1054">
        <v>-0.05</v>
      </c>
      <c r="P120" s="1054">
        <v>-2.9000000000000001E-2</v>
      </c>
      <c r="Q120" s="1052">
        <v>-3.6750000000000005E-2</v>
      </c>
      <c r="R120" s="1054">
        <v>-4.8000000000000001E-2</v>
      </c>
      <c r="S120" s="1054">
        <v>7.0000000000000001E-3</v>
      </c>
      <c r="T120" s="1054">
        <v>4.1000000000000002E-2</v>
      </c>
      <c r="U120" s="1055">
        <v>3.1E-2</v>
      </c>
      <c r="V120" s="1054"/>
      <c r="W120" s="1053"/>
      <c r="X120" s="1054"/>
      <c r="Y120" s="1054"/>
      <c r="Z120" s="1054"/>
      <c r="AA120" s="1052">
        <v>8.9999999999999993E-3</v>
      </c>
      <c r="AB120" s="1054">
        <v>-1.6E-2</v>
      </c>
      <c r="AC120" s="1054">
        <v>1E-3</v>
      </c>
      <c r="AD120" s="1054">
        <v>-2E-3</v>
      </c>
      <c r="AE120" s="1054">
        <v>3.5999999999999997E-2</v>
      </c>
      <c r="AF120" s="1052">
        <v>4.749999999999999E-3</v>
      </c>
      <c r="AG120" s="1054">
        <v>3.0000000000000001E-3</v>
      </c>
      <c r="AH120" s="1054">
        <v>-1.2E-2</v>
      </c>
      <c r="AI120" s="1054">
        <v>-1.4E-2</v>
      </c>
      <c r="AJ120" s="1054">
        <v>-4.1000000000000002E-2</v>
      </c>
      <c r="AK120" s="1056">
        <v>-1.7000000000000001E-2</v>
      </c>
      <c r="AL120" s="1054">
        <v>2E-3</v>
      </c>
      <c r="AM120" s="1054">
        <v>-2.9000000000000001E-2</v>
      </c>
      <c r="AN120" s="1054">
        <v>-3.1E-2</v>
      </c>
      <c r="AO120" s="1054">
        <v>-8.9999999999999993E-3</v>
      </c>
      <c r="AP120" s="1056">
        <v>-1.7000000000000001E-2</v>
      </c>
      <c r="AQ120" s="1054">
        <v>-8.9999999999999993E-3</v>
      </c>
      <c r="AR120" s="1054">
        <v>2.3E-2</v>
      </c>
      <c r="AS120" s="1054">
        <v>1.7999999999999999E-2</v>
      </c>
      <c r="AT120" s="1054">
        <v>5.0999999999999997E-2</v>
      </c>
      <c r="AU120" s="1056">
        <v>0.02</v>
      </c>
      <c r="AV120" s="1054">
        <v>8.0000000000000002E-3</v>
      </c>
      <c r="AW120" s="1054">
        <v>3.2000000000000001E-2</v>
      </c>
      <c r="AX120" s="1054">
        <v>2.7E-2</v>
      </c>
      <c r="AY120" s="1054">
        <v>-2E-3</v>
      </c>
      <c r="AZ120" s="1056">
        <v>1.6E-2</v>
      </c>
      <c r="BA120" s="1054">
        <v>0.01</v>
      </c>
      <c r="BB120" s="1054">
        <v>4.0000000000000001E-3</v>
      </c>
      <c r="BC120" s="1054">
        <v>3.2000000000000001E-2</v>
      </c>
      <c r="BD120" s="1054">
        <v>3.1E-2</v>
      </c>
      <c r="BE120" s="1056">
        <v>1.9E-2</v>
      </c>
      <c r="BF120" s="1054">
        <v>1.2999999999999999E-2</v>
      </c>
      <c r="BG120" s="1054">
        <v>3.9E-2</v>
      </c>
      <c r="BH120" s="1054">
        <v>0.02</v>
      </c>
      <c r="BI120" s="1054">
        <v>1.9E-2</v>
      </c>
      <c r="BJ120" s="1056">
        <v>2.3E-2</v>
      </c>
      <c r="BK120" s="1054">
        <v>2.5999999999999999E-2</v>
      </c>
      <c r="BL120" s="1054">
        <v>2.4E-2</v>
      </c>
      <c r="BM120" s="1054">
        <v>1.7000000000000001E-2</v>
      </c>
      <c r="BN120" s="1054">
        <v>3.6999999999999998E-2</v>
      </c>
      <c r="BO120" s="1056">
        <v>2.5999999999999999E-2</v>
      </c>
      <c r="BP120" s="1054">
        <v>4.8000000000000001E-2</v>
      </c>
      <c r="BQ120" s="1054">
        <v>1.2E-2</v>
      </c>
      <c r="BR120" s="1054">
        <v>2.7E-2</v>
      </c>
      <c r="BS120" s="1054">
        <v>1.7999999999999999E-2</v>
      </c>
      <c r="BT120" s="1056">
        <v>2.7E-2</v>
      </c>
      <c r="BU120" s="1054">
        <v>8.0000000000000002E-3</v>
      </c>
      <c r="BV120" s="1054">
        <v>1.7000000000000001E-2</v>
      </c>
      <c r="BW120" s="1054">
        <v>-5.0000000000000001E-3</v>
      </c>
      <c r="BX120" s="1054">
        <v>-1.0999999999999999E-2</v>
      </c>
      <c r="BY120" s="1056">
        <v>2E-3</v>
      </c>
      <c r="BZ120" s="1054">
        <v>1.7000000000000001E-2</v>
      </c>
      <c r="CA120" s="1054">
        <v>1.2500000000000001E-2</v>
      </c>
      <c r="CB120" s="1054">
        <v>3.5000000000000003E-2</v>
      </c>
      <c r="CC120" s="1054">
        <v>2.5000000000000001E-2</v>
      </c>
      <c r="CD120" s="1056">
        <v>2.2374999999999999E-2</v>
      </c>
      <c r="CE120" s="1054">
        <v>0.03</v>
      </c>
      <c r="CF120" s="1054">
        <v>0.02</v>
      </c>
      <c r="CG120" s="1054">
        <v>0.02</v>
      </c>
      <c r="CH120" s="1054">
        <v>0.03</v>
      </c>
      <c r="CI120" s="1056">
        <v>2.5000000000000001E-2</v>
      </c>
      <c r="CJ120" s="1054">
        <v>0.03</v>
      </c>
      <c r="CK120" s="1054">
        <v>0.02</v>
      </c>
      <c r="CL120" s="1054">
        <v>0.02</v>
      </c>
      <c r="CM120" s="1054">
        <v>0.03</v>
      </c>
      <c r="CN120" s="1056">
        <v>2.5000000000000001E-2</v>
      </c>
      <c r="CO120" s="45"/>
      <c r="CR120" s="1041" t="s">
        <v>453</v>
      </c>
      <c r="CS120" s="390">
        <f>BX120</f>
        <v>-1.0999999999999999E-2</v>
      </c>
      <c r="CT120" s="390">
        <v>5.0000000000000001E-3</v>
      </c>
      <c r="CU120" s="388">
        <f t="shared" si="272"/>
        <v>-1.6E-2</v>
      </c>
      <c r="CV120" s="390">
        <f>BS120</f>
        <v>1.7999999999999999E-2</v>
      </c>
      <c r="CW120" s="388">
        <f>CS120-CV120</f>
        <v>-2.8999999999999998E-2</v>
      </c>
      <c r="DB120"/>
      <c r="DC120"/>
      <c r="DD120"/>
      <c r="DE120"/>
      <c r="DF120"/>
      <c r="DG120"/>
      <c r="HQ120" s="3"/>
      <c r="HR120" s="3"/>
      <c r="HS120" s="3"/>
      <c r="HT120" s="3"/>
      <c r="HU120" s="3"/>
      <c r="HV120" s="3"/>
      <c r="HW120" s="3"/>
      <c r="HX120" s="3"/>
      <c r="HY120" s="3"/>
      <c r="HZ120" s="3"/>
      <c r="IA120" s="3"/>
      <c r="IB120" s="3"/>
      <c r="IC120" s="3"/>
      <c r="ID120" s="3"/>
      <c r="IE120" s="3"/>
      <c r="IF120" s="3"/>
      <c r="IG120" s="3"/>
      <c r="IH120" s="3"/>
      <c r="II120" s="3"/>
      <c r="IJ120" s="3"/>
      <c r="IK120" s="3"/>
      <c r="IL120" s="3"/>
      <c r="IM120" s="3"/>
      <c r="IN120" s="3"/>
      <c r="IO120" s="3"/>
      <c r="IP120" s="3"/>
      <c r="IQ120" s="3"/>
      <c r="IR120" s="3"/>
      <c r="IS120" s="3"/>
      <c r="IT120" s="3"/>
      <c r="IU120" s="3"/>
      <c r="IV120" s="3"/>
    </row>
    <row r="121" spans="1:256" s="117" customFormat="1">
      <c r="A121" s="587" t="s">
        <v>513</v>
      </c>
      <c r="B121" s="153"/>
      <c r="C121" s="152"/>
      <c r="D121" s="46"/>
      <c r="E121" s="46"/>
      <c r="F121" s="46"/>
      <c r="G121" s="153"/>
      <c r="H121" s="152"/>
      <c r="I121" s="46"/>
      <c r="J121" s="46"/>
      <c r="K121" s="97"/>
      <c r="L121" s="152"/>
      <c r="M121" s="152"/>
      <c r="N121" s="46"/>
      <c r="O121" s="46"/>
      <c r="P121" s="46"/>
      <c r="Q121" s="153"/>
      <c r="R121" s="46"/>
      <c r="S121" s="46"/>
      <c r="T121" s="46"/>
      <c r="U121" s="97"/>
      <c r="V121" s="46"/>
      <c r="W121" s="152"/>
      <c r="X121" s="46"/>
      <c r="Y121" s="46"/>
      <c r="Z121" s="46"/>
      <c r="AA121" s="153">
        <v>1.4E-2</v>
      </c>
      <c r="AB121" s="46">
        <v>-1E-3</v>
      </c>
      <c r="AC121" s="46">
        <v>8.0000000000000002E-3</v>
      </c>
      <c r="AD121" s="46">
        <v>2E-3</v>
      </c>
      <c r="AE121" s="46">
        <v>3.7999999999999999E-2</v>
      </c>
      <c r="AF121" s="153">
        <v>1.175E-2</v>
      </c>
      <c r="AG121" s="46">
        <v>1.2E-2</v>
      </c>
      <c r="AH121" s="46">
        <v>-1E-3</v>
      </c>
      <c r="AI121" s="46">
        <v>4.0000000000000001E-3</v>
      </c>
      <c r="AJ121" s="46">
        <v>-2.5999999999999999E-2</v>
      </c>
      <c r="AK121" s="606">
        <v>-2.7499999999999998E-3</v>
      </c>
      <c r="AL121" s="46">
        <v>0.01</v>
      </c>
      <c r="AM121" s="46">
        <v>-1.4E-2</v>
      </c>
      <c r="AN121" s="46">
        <v>-1.2999999999999999E-2</v>
      </c>
      <c r="AO121" s="46">
        <v>6.0000000000000001E-3</v>
      </c>
      <c r="AP121" s="606">
        <v>-3.0000000000000001E-3</v>
      </c>
      <c r="AQ121" s="46">
        <v>4.0000000000000001E-3</v>
      </c>
      <c r="AR121" s="46">
        <v>2.3E-2</v>
      </c>
      <c r="AS121" s="46">
        <v>7.0000000000000001E-3</v>
      </c>
      <c r="AT121" s="46">
        <v>4.2000000000000003E-2</v>
      </c>
      <c r="AU121" s="606">
        <v>1.9E-2</v>
      </c>
      <c r="AV121" s="46">
        <v>7.0000000000000001E-3</v>
      </c>
      <c r="AW121" s="46">
        <v>3.2000000000000001E-2</v>
      </c>
      <c r="AX121" s="46">
        <v>2.9000000000000001E-2</v>
      </c>
      <c r="AY121" s="46">
        <v>-6.0000000000000001E-3</v>
      </c>
      <c r="AZ121" s="606">
        <v>1.5500000000000002E-2</v>
      </c>
      <c r="BA121" s="46">
        <v>6.0000000000000001E-3</v>
      </c>
      <c r="BB121" s="46">
        <v>3.0000000000000001E-3</v>
      </c>
      <c r="BC121" s="46">
        <v>3.1E-2</v>
      </c>
      <c r="BD121" s="46">
        <v>2.8000000000000001E-2</v>
      </c>
      <c r="BE121" s="606">
        <v>1.7000000000000001E-2</v>
      </c>
      <c r="BF121" s="46">
        <v>6.0000000000000001E-3</v>
      </c>
      <c r="BG121" s="46">
        <v>3.2000000000000001E-2</v>
      </c>
      <c r="BH121" s="46">
        <v>5.0000000000000001E-3</v>
      </c>
      <c r="BI121" s="46">
        <v>1.6E-2</v>
      </c>
      <c r="BJ121" s="606">
        <v>1.4999999999999999E-2</v>
      </c>
      <c r="BK121" s="46">
        <v>3.4000000000000002E-2</v>
      </c>
      <c r="BL121" s="46">
        <v>2.1999999999999999E-2</v>
      </c>
      <c r="BM121" s="46">
        <v>3.3000000000000002E-2</v>
      </c>
      <c r="BN121" s="46">
        <v>4.9000000000000002E-2</v>
      </c>
      <c r="BO121" s="606">
        <v>3.4000000000000002E-2</v>
      </c>
      <c r="BP121" s="46">
        <v>3.5000000000000003E-2</v>
      </c>
      <c r="BQ121" s="46">
        <v>3.0000000000000001E-3</v>
      </c>
      <c r="BR121" s="46">
        <v>1.2999999999999999E-2</v>
      </c>
      <c r="BS121" s="46">
        <v>8.0000000000000002E-3</v>
      </c>
      <c r="BT121" s="606">
        <v>1.4750000000000001E-2</v>
      </c>
      <c r="BU121" s="46">
        <v>1.7000000000000001E-2</v>
      </c>
      <c r="BV121" s="46">
        <v>3.3000000000000002E-2</v>
      </c>
      <c r="BW121" s="46">
        <v>2.1000000000000001E-2</v>
      </c>
      <c r="BX121" s="46">
        <v>1.4E-2</v>
      </c>
      <c r="BY121" s="606">
        <v>2.1000000000000001E-2</v>
      </c>
      <c r="BZ121" s="46">
        <v>1.7500000000000002E-2</v>
      </c>
      <c r="CA121" s="46">
        <v>1.2500000000000001E-2</v>
      </c>
      <c r="CB121" s="46">
        <v>2.5000000000000001E-2</v>
      </c>
      <c r="CC121" s="46">
        <v>2.5000000000000001E-2</v>
      </c>
      <c r="CD121" s="606">
        <v>2.0000000000000004E-2</v>
      </c>
      <c r="CE121" s="46">
        <v>0.03</v>
      </c>
      <c r="CF121" s="46">
        <v>0.02</v>
      </c>
      <c r="CG121" s="46">
        <v>0.02</v>
      </c>
      <c r="CH121" s="46">
        <v>0.02</v>
      </c>
      <c r="CI121" s="606">
        <v>2.2500000000000003E-2</v>
      </c>
      <c r="CJ121" s="46">
        <v>0.03</v>
      </c>
      <c r="CK121" s="46">
        <v>0.02</v>
      </c>
      <c r="CL121" s="46">
        <v>0.02</v>
      </c>
      <c r="CM121" s="46">
        <v>0.02</v>
      </c>
      <c r="CN121" s="606">
        <v>2.2500000000000003E-2</v>
      </c>
      <c r="CO121" s="45"/>
      <c r="CR121" s="1028" t="s">
        <v>513</v>
      </c>
      <c r="CS121" s="46">
        <f>BX121</f>
        <v>1.4E-2</v>
      </c>
      <c r="CT121" s="46">
        <v>0.02</v>
      </c>
      <c r="CU121" s="153">
        <f t="shared" si="272"/>
        <v>-6.0000000000000001E-3</v>
      </c>
      <c r="CV121" s="46">
        <f>BS121</f>
        <v>8.0000000000000002E-3</v>
      </c>
      <c r="CW121" s="153">
        <f>CS121-CV121</f>
        <v>6.0000000000000001E-3</v>
      </c>
      <c r="DB121"/>
      <c r="DC121"/>
      <c r="DD121"/>
      <c r="DE121"/>
      <c r="DF121"/>
      <c r="DG121"/>
      <c r="HQ121" s="3"/>
      <c r="HR121" s="3"/>
      <c r="HS121" s="3"/>
      <c r="HT121" s="3"/>
      <c r="HU121" s="3"/>
      <c r="HV121" s="3"/>
      <c r="HW121" s="3"/>
      <c r="HX121" s="3"/>
      <c r="HY121" s="3"/>
      <c r="HZ121" s="3"/>
      <c r="IA121" s="3"/>
      <c r="IB121" s="3"/>
      <c r="IC121" s="3"/>
      <c r="ID121" s="3"/>
      <c r="IE121" s="3"/>
      <c r="IF121" s="3"/>
      <c r="IG121" s="3"/>
      <c r="IH121" s="3"/>
      <c r="II121" s="3"/>
      <c r="IJ121" s="3"/>
      <c r="IK121" s="3"/>
      <c r="IL121" s="3"/>
      <c r="IM121" s="3"/>
      <c r="IN121" s="3"/>
      <c r="IO121" s="3"/>
      <c r="IP121" s="3"/>
      <c r="IQ121" s="3"/>
      <c r="IR121" s="3"/>
      <c r="IS121" s="3"/>
      <c r="IT121" s="3"/>
      <c r="IU121" s="3"/>
      <c r="IV121" s="3"/>
    </row>
    <row r="122" spans="1:256" s="59" customFormat="1">
      <c r="A122" s="962" t="s">
        <v>193</v>
      </c>
      <c r="B122" s="856"/>
      <c r="C122" s="963"/>
      <c r="D122" s="682"/>
      <c r="E122" s="682"/>
      <c r="F122" s="682"/>
      <c r="G122" s="856"/>
      <c r="H122" s="963"/>
      <c r="I122" s="682"/>
      <c r="J122" s="682"/>
      <c r="K122" s="964"/>
      <c r="L122" s="963"/>
      <c r="M122" s="963"/>
      <c r="N122" s="682"/>
      <c r="O122" s="682"/>
      <c r="P122" s="682"/>
      <c r="Q122" s="856"/>
      <c r="R122" s="682"/>
      <c r="S122" s="682"/>
      <c r="T122" s="682"/>
      <c r="U122" s="964"/>
      <c r="V122" s="682"/>
      <c r="W122" s="963"/>
      <c r="X122" s="682"/>
      <c r="Y122" s="682"/>
      <c r="Z122" s="682"/>
      <c r="AA122" s="856"/>
      <c r="AB122" s="682">
        <v>-4.1871244536304348E-3</v>
      </c>
      <c r="AC122" s="682">
        <v>6.518670128484335E-3</v>
      </c>
      <c r="AD122" s="682">
        <v>2E-3</v>
      </c>
      <c r="AE122" s="682">
        <v>3.6999999999999998E-2</v>
      </c>
      <c r="AF122" s="856">
        <v>0.01</v>
      </c>
      <c r="AG122" s="682">
        <v>0.01</v>
      </c>
      <c r="AH122" s="682">
        <v>-4.0000000000000001E-3</v>
      </c>
      <c r="AI122" s="682">
        <v>-1E-3</v>
      </c>
      <c r="AJ122" s="682">
        <v>-0.03</v>
      </c>
      <c r="AK122" s="965">
        <v>-7.0000000000000001E-3</v>
      </c>
      <c r="AL122" s="682">
        <v>8.0000000000000002E-3</v>
      </c>
      <c r="AM122" s="682">
        <v>-1.7000000000000001E-2</v>
      </c>
      <c r="AN122" s="682">
        <v>-1.7000000000000001E-2</v>
      </c>
      <c r="AO122" s="682">
        <v>2E-3</v>
      </c>
      <c r="AP122" s="965">
        <v>-6.0000000000000001E-3</v>
      </c>
      <c r="AQ122" s="682">
        <v>1E-3</v>
      </c>
      <c r="AR122" s="682">
        <v>2.3E-2</v>
      </c>
      <c r="AS122" s="682">
        <v>9.3478260869565219E-3</v>
      </c>
      <c r="AT122" s="682">
        <v>4.3934030937215651E-2</v>
      </c>
      <c r="AU122" s="965">
        <v>1.9E-2</v>
      </c>
      <c r="AV122" s="682">
        <v>7.0000000000000001E-3</v>
      </c>
      <c r="AW122" s="682">
        <v>3.2000000000000001E-2</v>
      </c>
      <c r="AX122" s="682">
        <v>2.8000000000000001E-2</v>
      </c>
      <c r="AY122" s="682">
        <v>-5.1298780487804884E-3</v>
      </c>
      <c r="AZ122" s="965">
        <v>1.6E-2</v>
      </c>
      <c r="BA122" s="682">
        <v>6.8722493887530562E-3</v>
      </c>
      <c r="BB122" s="682">
        <v>3.2167532864567413E-3</v>
      </c>
      <c r="BC122" s="682">
        <v>3.1208900443492889E-2</v>
      </c>
      <c r="BD122" s="682">
        <v>2.8541253622083269E-2</v>
      </c>
      <c r="BE122" s="965">
        <v>1.7999999999999999E-2</v>
      </c>
      <c r="BF122" s="165">
        <v>7.0000000000000001E-3</v>
      </c>
      <c r="BG122" s="165">
        <v>3.3000000000000002E-2</v>
      </c>
      <c r="BH122" s="165">
        <v>7.2849050826699329E-3</v>
      </c>
      <c r="BI122" s="165">
        <v>1.6440675364543363E-2</v>
      </c>
      <c r="BJ122" s="607">
        <v>1.6175134305448962E-2</v>
      </c>
      <c r="BK122" s="165">
        <v>3.2000000000000001E-2</v>
      </c>
      <c r="BL122" s="165">
        <v>2.2265555040914001E-2</v>
      </c>
      <c r="BM122" s="165">
        <v>3.0898566363496225E-2</v>
      </c>
      <c r="BN122" s="165">
        <v>4.7829448989041526E-2</v>
      </c>
      <c r="BO122" s="607">
        <v>3.3219632659361016E-2</v>
      </c>
      <c r="BP122" s="165">
        <v>3.5999999999999997E-2</v>
      </c>
      <c r="BQ122" s="165">
        <v>3.8070878274268105E-3</v>
      </c>
      <c r="BR122" s="165">
        <v>1.4E-2</v>
      </c>
      <c r="BS122" s="165">
        <v>8.5048187241854069E-3</v>
      </c>
      <c r="BT122" s="607">
        <v>1.6E-2</v>
      </c>
      <c r="BU122" s="165">
        <v>1.6E-2</v>
      </c>
      <c r="BV122" s="165">
        <v>3.2000000000000001E-2</v>
      </c>
      <c r="BW122" s="165">
        <v>0.02</v>
      </c>
      <c r="BX122" s="165">
        <v>1.2999999999999999E-2</v>
      </c>
      <c r="BY122" s="607">
        <v>0.02</v>
      </c>
      <c r="BZ122" s="165">
        <v>1.7474647464746477E-2</v>
      </c>
      <c r="CA122" s="165">
        <v>1.2500000000000001E-2</v>
      </c>
      <c r="CB122" s="165">
        <v>2.5504451038575668E-2</v>
      </c>
      <c r="CC122" s="165">
        <v>2.5000000000000001E-2</v>
      </c>
      <c r="CD122" s="607">
        <v>2.0119503467611041E-2</v>
      </c>
      <c r="CE122" s="165">
        <v>0.03</v>
      </c>
      <c r="CF122" s="165">
        <v>0.02</v>
      </c>
      <c r="CG122" s="165">
        <v>0.02</v>
      </c>
      <c r="CH122" s="165">
        <v>2.0501148765077543E-2</v>
      </c>
      <c r="CI122" s="607">
        <v>2.2625287191269387E-2</v>
      </c>
      <c r="CJ122" s="165">
        <v>0.03</v>
      </c>
      <c r="CK122" s="165">
        <v>0.02</v>
      </c>
      <c r="CL122" s="165">
        <v>0.02</v>
      </c>
      <c r="CM122" s="165">
        <v>2.0500000000000001E-2</v>
      </c>
      <c r="CN122" s="607">
        <v>2.2625000000000003E-2</v>
      </c>
      <c r="CO122" s="80"/>
      <c r="CR122" s="1029" t="s">
        <v>193</v>
      </c>
      <c r="CS122" s="165">
        <f>BX122</f>
        <v>1.2999999999999999E-2</v>
      </c>
      <c r="CT122" s="165">
        <v>1.9245595542839933E-2</v>
      </c>
      <c r="CU122" s="167">
        <f t="shared" si="272"/>
        <v>-6.2455955428399341E-3</v>
      </c>
      <c r="CV122" s="165">
        <f>BS122</f>
        <v>8.5048187241854069E-3</v>
      </c>
      <c r="CW122" s="167">
        <f>CS122-CV122</f>
        <v>4.4951812758145925E-3</v>
      </c>
      <c r="DB122"/>
      <c r="DC122"/>
      <c r="DD122"/>
      <c r="DE122"/>
      <c r="DF122"/>
      <c r="DG122"/>
      <c r="HQ122" s="4"/>
      <c r="HR122" s="4"/>
      <c r="HS122" s="4"/>
      <c r="HT122" s="4"/>
      <c r="HU122" s="4"/>
      <c r="HV122" s="4"/>
      <c r="HW122" s="4"/>
      <c r="HX122" s="4"/>
      <c r="HY122" s="4"/>
      <c r="HZ122" s="4"/>
      <c r="IA122" s="4"/>
      <c r="IB122" s="4"/>
      <c r="IC122" s="4"/>
      <c r="ID122" s="4"/>
      <c r="IE122" s="4"/>
      <c r="IF122" s="4"/>
      <c r="IG122" s="4"/>
      <c r="IH122" s="4"/>
      <c r="II122" s="4"/>
      <c r="IJ122" s="4"/>
      <c r="IK122" s="4"/>
      <c r="IL122" s="4"/>
      <c r="IM122" s="4"/>
      <c r="IN122" s="4"/>
      <c r="IO122" s="4"/>
      <c r="IP122" s="4"/>
      <c r="IQ122" s="4"/>
      <c r="IR122" s="4"/>
      <c r="IS122" s="4"/>
      <c r="IT122" s="4"/>
      <c r="IU122" s="4"/>
      <c r="IV122" s="4"/>
    </row>
    <row r="123" spans="1:256" s="117" customFormat="1" ht="11.25" customHeight="1">
      <c r="A123" s="527" t="s">
        <v>250</v>
      </c>
      <c r="B123" s="25"/>
      <c r="C123" s="20"/>
      <c r="D123" s="19"/>
      <c r="E123" s="19"/>
      <c r="F123" s="19"/>
      <c r="G123" s="21"/>
      <c r="H123" s="20"/>
      <c r="I123" s="19"/>
      <c r="J123" s="19"/>
      <c r="K123" s="22"/>
      <c r="L123" s="18"/>
      <c r="M123" s="20"/>
      <c r="N123" s="23"/>
      <c r="O123" s="23"/>
      <c r="P123" s="22"/>
      <c r="Q123" s="67"/>
      <c r="R123" s="19"/>
      <c r="S123" s="19"/>
      <c r="T123" s="19"/>
      <c r="U123" s="22"/>
      <c r="V123" s="728"/>
      <c r="W123" s="20"/>
      <c r="X123" s="23"/>
      <c r="Y123" s="19"/>
      <c r="Z123" s="24"/>
      <c r="AA123" s="67"/>
      <c r="AB123" s="19"/>
      <c r="AC123" s="23"/>
      <c r="AD123" s="19"/>
      <c r="AE123" s="22"/>
      <c r="AF123" s="67"/>
      <c r="AG123" s="19"/>
      <c r="AH123" s="23"/>
      <c r="AI123" s="23"/>
      <c r="AJ123" s="22"/>
      <c r="AK123" s="614"/>
      <c r="AL123" s="19"/>
      <c r="AM123" s="23"/>
      <c r="AN123" s="19"/>
      <c r="AO123" s="22"/>
      <c r="AP123" s="67"/>
      <c r="AQ123" s="23"/>
      <c r="AR123" s="23"/>
      <c r="AS123" s="23"/>
      <c r="AT123" s="24"/>
      <c r="AU123" s="614"/>
      <c r="AV123" s="23"/>
      <c r="AW123" s="23"/>
      <c r="AX123" s="23"/>
      <c r="AY123" s="24"/>
      <c r="AZ123" s="614"/>
      <c r="BA123" s="23"/>
      <c r="BB123" s="23"/>
      <c r="BC123" s="23"/>
      <c r="BD123" s="24"/>
      <c r="BE123" s="614"/>
      <c r="BF123" s="23"/>
      <c r="BG123" s="23"/>
      <c r="BH123" s="23"/>
      <c r="BI123" s="24"/>
      <c r="BJ123" s="67"/>
      <c r="BK123" s="23"/>
      <c r="BL123" s="19"/>
      <c r="BM123" s="19"/>
      <c r="BN123" s="24"/>
      <c r="BO123" s="67"/>
      <c r="BP123" s="23"/>
      <c r="BQ123" s="23"/>
      <c r="BR123" s="23"/>
      <c r="BS123" s="24"/>
      <c r="BT123" s="67"/>
      <c r="BU123" s="19"/>
      <c r="BV123" s="23"/>
      <c r="BW123" s="19"/>
      <c r="BX123" s="22"/>
      <c r="BY123" s="67"/>
      <c r="BZ123" s="23"/>
      <c r="CA123" s="23"/>
      <c r="CB123" s="23"/>
      <c r="CC123" s="24"/>
      <c r="CD123" s="67"/>
      <c r="CE123" s="23"/>
      <c r="CF123" s="23"/>
      <c r="CG123" s="23"/>
      <c r="CH123" s="24"/>
      <c r="CI123" s="67"/>
      <c r="CJ123" s="23"/>
      <c r="CK123" s="23"/>
      <c r="CL123" s="23"/>
      <c r="CM123" s="24"/>
      <c r="CN123" s="67"/>
      <c r="CO123" s="45"/>
      <c r="CR123" s="1030" t="s">
        <v>250</v>
      </c>
      <c r="CS123" s="1032"/>
      <c r="CT123" s="1033"/>
      <c r="CU123" s="1034"/>
      <c r="CV123" s="1035"/>
      <c r="CW123" s="1034"/>
      <c r="DB123"/>
      <c r="DC123"/>
      <c r="DD123"/>
      <c r="DE123"/>
      <c r="DF123"/>
      <c r="DG123"/>
      <c r="HQ123" s="3"/>
      <c r="HR123" s="3"/>
      <c r="HS123" s="3"/>
      <c r="HT123" s="3"/>
      <c r="HU123" s="3"/>
      <c r="HV123" s="3"/>
      <c r="HW123" s="3"/>
      <c r="HX123" s="3"/>
      <c r="HY123" s="3"/>
      <c r="HZ123" s="3"/>
      <c r="IA123" s="3"/>
      <c r="IB123" s="3"/>
      <c r="IC123" s="3"/>
      <c r="ID123" s="3"/>
      <c r="IE123" s="3"/>
      <c r="IF123" s="3"/>
      <c r="IG123" s="3"/>
      <c r="IH123" s="3"/>
      <c r="II123" s="3"/>
      <c r="IJ123" s="3"/>
      <c r="IK123" s="3"/>
      <c r="IL123" s="3"/>
      <c r="IM123" s="3"/>
      <c r="IN123" s="3"/>
      <c r="IO123" s="3"/>
      <c r="IP123" s="3"/>
      <c r="IQ123" s="3"/>
      <c r="IR123" s="3"/>
      <c r="IS123" s="3"/>
      <c r="IT123" s="3"/>
      <c r="IU123" s="3"/>
      <c r="IV123" s="3"/>
    </row>
    <row r="124" spans="1:256" s="117" customFormat="1" ht="11.25" customHeight="1">
      <c r="A124" s="854" t="s">
        <v>251</v>
      </c>
      <c r="B124" s="46"/>
      <c r="C124" s="46"/>
      <c r="D124" s="46"/>
      <c r="E124" s="46"/>
      <c r="F124" s="46"/>
      <c r="G124" s="46"/>
      <c r="H124" s="46"/>
      <c r="I124" s="46"/>
      <c r="J124" s="46"/>
      <c r="K124" s="46"/>
      <c r="L124" s="46"/>
      <c r="M124" s="46"/>
      <c r="N124" s="46"/>
      <c r="O124" s="46"/>
      <c r="P124" s="46"/>
      <c r="Q124" s="46"/>
      <c r="R124" s="46"/>
      <c r="S124" s="46"/>
      <c r="T124" s="46"/>
      <c r="U124" s="46"/>
      <c r="V124" s="46"/>
      <c r="W124" s="187"/>
      <c r="X124" s="186"/>
      <c r="Y124" s="186"/>
      <c r="Z124" s="186"/>
      <c r="AA124" s="189"/>
      <c r="AB124" s="186"/>
      <c r="AC124" s="186"/>
      <c r="AD124" s="186"/>
      <c r="AE124" s="186"/>
      <c r="AF124" s="189">
        <f>'Balance Sheet '!BO11+'Balance Sheet '!BO12+'Balance Sheet '!BO21</f>
        <v>144.91399999999999</v>
      </c>
      <c r="AG124" s="186">
        <f>'Balance Sheet '!BP11+'Balance Sheet '!BP12+'Balance Sheet '!BP21</f>
        <v>166.37200000000001</v>
      </c>
      <c r="AH124" s="186">
        <f>'Balance Sheet '!BQ11+'Balance Sheet '!BQ12+'Balance Sheet '!BQ21</f>
        <v>626.00699999999995</v>
      </c>
      <c r="AI124" s="186">
        <f>'Balance Sheet '!BR11+'Balance Sheet '!BR12+'Balance Sheet '!BR21</f>
        <v>652.36399999999992</v>
      </c>
      <c r="AJ124" s="186">
        <f>'Balance Sheet '!BS11+'Balance Sheet '!BS12+'Balance Sheet '!BS21</f>
        <v>599.07500000000005</v>
      </c>
      <c r="AK124" s="616">
        <f>'Balance Sheet '!BT11+'Balance Sheet '!BT12+'Balance Sheet '!BT21</f>
        <v>599.07500000000005</v>
      </c>
      <c r="AL124" s="186">
        <f>'Balance Sheet '!BU11+'Balance Sheet '!BU12+'Balance Sheet '!BU21</f>
        <v>507.28399999999999</v>
      </c>
      <c r="AM124" s="186">
        <f>'Balance Sheet '!BV11+'Balance Sheet '!BV12+'Balance Sheet '!BV21</f>
        <v>508.38</v>
      </c>
      <c r="AN124" s="186">
        <f>'Balance Sheet '!BW11+'Balance Sheet '!BW12+'Balance Sheet '!BW21</f>
        <v>520.51400000000001</v>
      </c>
      <c r="AO124" s="186">
        <f>'Balance Sheet '!BX11+'Balance Sheet '!BX12+'Balance Sheet '!BX21</f>
        <v>512.50800000000004</v>
      </c>
      <c r="AP124" s="189">
        <f>'Balance Sheet '!BY11+'Balance Sheet '!BY12+'Balance Sheet '!BY21</f>
        <v>512.50800000000004</v>
      </c>
      <c r="AQ124" s="186">
        <f>'Balance Sheet '!BZ11+'Balance Sheet '!BZ12+'Balance Sheet '!BZ21</f>
        <v>500.06099999999998</v>
      </c>
      <c r="AR124" s="186">
        <f>'Balance Sheet '!CA11+'Balance Sheet '!CA12+'Balance Sheet '!CA21</f>
        <v>492.44799999999998</v>
      </c>
      <c r="AS124" s="186">
        <f>'Balance Sheet '!CB11+'Balance Sheet '!CB12+'Balance Sheet '!CB21</f>
        <v>488.81700000000001</v>
      </c>
      <c r="AT124" s="186">
        <f>'Balance Sheet '!CC11+'Balance Sheet '!CC12+'Balance Sheet '!CC21</f>
        <v>475.23099999999999</v>
      </c>
      <c r="AU124" s="616">
        <f>'Balance Sheet '!CD11+'Balance Sheet '!CD12+'Balance Sheet '!CD21</f>
        <v>475.23099999999999</v>
      </c>
      <c r="AV124" s="186">
        <f>'Balance Sheet '!CE11+'Balance Sheet '!CE12+'Balance Sheet '!CE21</f>
        <v>418.41</v>
      </c>
      <c r="AW124" s="186">
        <f>'Balance Sheet '!CF11+'Balance Sheet '!CF12+'Balance Sheet '!CF21</f>
        <v>435.1</v>
      </c>
      <c r="AX124" s="186">
        <f>'Balance Sheet '!CG11+'Balance Sheet '!CG12+'Balance Sheet '!CG21</f>
        <v>453.59199999999998</v>
      </c>
      <c r="AY124" s="186">
        <f>'Balance Sheet '!CH11+'Balance Sheet '!CH12+'Balance Sheet '!CH21</f>
        <v>453.36099999999999</v>
      </c>
      <c r="AZ124" s="616">
        <f>'Balance Sheet '!CI11+'Balance Sheet '!CI12+'Balance Sheet '!CI21</f>
        <v>453.36099999999999</v>
      </c>
      <c r="BA124" s="186">
        <f>'Balance Sheet '!CJ11+'Balance Sheet '!CJ12+'Balance Sheet '!CJ21</f>
        <v>428.68400000000003</v>
      </c>
      <c r="BB124" s="186">
        <f>'Balance Sheet '!CK11+'Balance Sheet '!CK12+'Balance Sheet '!CK21</f>
        <v>489.017</v>
      </c>
      <c r="BC124" s="186">
        <f>'Balance Sheet '!CL11+'Balance Sheet '!CL12+'Balance Sheet '!CL21</f>
        <v>513.43100000000004</v>
      </c>
      <c r="BD124" s="186">
        <f>'Balance Sheet '!CM11+'Balance Sheet '!CM12+'Balance Sheet '!CM21</f>
        <v>580.15200000000004</v>
      </c>
      <c r="BE124" s="616">
        <f>'Balance Sheet '!CN11+'Balance Sheet '!CN12+'Balance Sheet '!CN21</f>
        <v>580.15200000000004</v>
      </c>
      <c r="BF124" s="186">
        <f>'Balance Sheet '!CO11+'Balance Sheet '!CO12+'Balance Sheet '!CO21</f>
        <v>384.69499999999999</v>
      </c>
      <c r="BG124" s="186">
        <f>'Balance Sheet '!CP11+'Balance Sheet '!CP12+'Balance Sheet '!CP21</f>
        <v>371.66</v>
      </c>
      <c r="BH124" s="186">
        <f>'Balance Sheet '!CQ11+'Balance Sheet '!CQ12+'Balance Sheet '!CQ21</f>
        <v>342.44600000000003</v>
      </c>
      <c r="BI124" s="186">
        <f>'Balance Sheet '!CR11+'Balance Sheet '!CR12+'Balance Sheet '!CR21</f>
        <v>267.27600000000001</v>
      </c>
      <c r="BJ124" s="616">
        <f>'Balance Sheet '!CS11+'Balance Sheet '!CS12+'Balance Sheet '!CS21</f>
        <v>267.27600000000001</v>
      </c>
      <c r="BK124" s="186">
        <f>'Balance Sheet '!CT11+'Balance Sheet '!CT12+'Balance Sheet '!CT21</f>
        <v>202.86199999999999</v>
      </c>
      <c r="BL124" s="186">
        <f>'Balance Sheet '!CU11+'Balance Sheet '!CU12+'Balance Sheet '!CU21</f>
        <v>1197.567</v>
      </c>
      <c r="BM124" s="186">
        <f>'Balance Sheet '!CV11+'Balance Sheet '!CV12+'Balance Sheet '!CV21</f>
        <v>175.7</v>
      </c>
      <c r="BN124" s="186">
        <f>'Balance Sheet '!CW11+'Balance Sheet '!CW12+'Balance Sheet '!CW21</f>
        <v>327.21600000000001</v>
      </c>
      <c r="BO124" s="616">
        <f>'Balance Sheet '!CX11+'Balance Sheet '!CX12+'Balance Sheet '!CX21</f>
        <v>327.21600000000001</v>
      </c>
      <c r="BP124" s="186">
        <f>'Balance Sheet '!CY11+'Balance Sheet '!CY12+'Balance Sheet '!CY21</f>
        <v>354.70499999999998</v>
      </c>
      <c r="BQ124" s="186">
        <f>'Balance Sheet '!CZ11+'Balance Sheet '!CZ12+'Balance Sheet '!CZ21</f>
        <v>301.87400000000002</v>
      </c>
      <c r="BR124" s="186">
        <f>'Balance Sheet '!DA11+'Balance Sheet '!DA12+'Balance Sheet '!DA21</f>
        <v>349.56</v>
      </c>
      <c r="BS124" s="186">
        <f>'Balance Sheet '!DB11+'Balance Sheet '!DB12+'Balance Sheet '!DB21</f>
        <v>255.852</v>
      </c>
      <c r="BT124" s="616">
        <f>'Balance Sheet '!DC11+'Balance Sheet '!DC12+'Balance Sheet '!DC21</f>
        <v>255.852</v>
      </c>
      <c r="BU124" s="186">
        <f>'Balance Sheet '!DD11+'Balance Sheet '!DD12+'Balance Sheet '!DD21</f>
        <v>242.57400000000001</v>
      </c>
      <c r="BV124" s="186">
        <f>'Balance Sheet '!DE11+'Balance Sheet '!DE12+'Balance Sheet '!DE21</f>
        <v>243.68700000000001</v>
      </c>
      <c r="BW124" s="186">
        <f>'Balance Sheet '!DF11+'Balance Sheet '!DF12+'Balance Sheet '!DF21</f>
        <v>220.67099999999999</v>
      </c>
      <c r="BX124" s="186">
        <f>'Balance Sheet '!DG11+'Balance Sheet '!DG12+'Balance Sheet '!DG21</f>
        <v>204.08</v>
      </c>
      <c r="BY124" s="616">
        <f>'Balance Sheet '!DH11+'Balance Sheet '!DH12+'Balance Sheet '!DH21</f>
        <v>204.08</v>
      </c>
      <c r="BZ124" s="186">
        <f>'Balance Sheet '!DI11+'Balance Sheet '!DI12+'Balance Sheet '!DI21</f>
        <v>231.86287684797284</v>
      </c>
      <c r="CA124" s="186">
        <f>'Balance Sheet '!DJ11+'Balance Sheet '!DJ12+'Balance Sheet '!DJ21</f>
        <v>216.61030274839496</v>
      </c>
      <c r="CB124" s="186">
        <f>'Balance Sheet '!DK11+'Balance Sheet '!DK12+'Balance Sheet '!DK21</f>
        <v>203.56677116821041</v>
      </c>
      <c r="CC124" s="186">
        <f>'Balance Sheet '!DL11+'Balance Sheet '!DL12+'Balance Sheet '!DL21</f>
        <v>184.07941770179826</v>
      </c>
      <c r="CD124" s="616">
        <f>'Balance Sheet '!DM11+'Balance Sheet '!DM12+'Balance Sheet '!DM21</f>
        <v>184.07941770179826</v>
      </c>
      <c r="CE124" s="186">
        <f>'Balance Sheet '!DN11+'Balance Sheet '!DN12+'Balance Sheet '!DN21</f>
        <v>208.84398311790673</v>
      </c>
      <c r="CF124" s="186">
        <f>'Balance Sheet '!DO11+'Balance Sheet '!DO12+'Balance Sheet '!DO21</f>
        <v>204.24947154744623</v>
      </c>
      <c r="CG124" s="186">
        <f>'Balance Sheet '!DP11+'Balance Sheet '!DP12+'Balance Sheet '!DP21</f>
        <v>200.9129266089802</v>
      </c>
      <c r="CH124" s="186">
        <f>'Balance Sheet '!DQ11+'Balance Sheet '!DQ12+'Balance Sheet '!DQ21</f>
        <v>189.42826467674772</v>
      </c>
      <c r="CI124" s="616">
        <f>'Balance Sheet '!DR11+'Balance Sheet '!DR12+'Balance Sheet '!DR21</f>
        <v>189.42826467674772</v>
      </c>
      <c r="CJ124" s="186">
        <f>'Balance Sheet '!DS11+'Balance Sheet '!DS12+'Balance Sheet '!DS21</f>
        <v>243.75123317709412</v>
      </c>
      <c r="CK124" s="186">
        <f>'Balance Sheet '!DT11+'Balance Sheet '!DT12+'Balance Sheet '!DT21</f>
        <v>267.93775685066032</v>
      </c>
      <c r="CL124" s="186">
        <f>'Balance Sheet '!DU11+'Balance Sheet '!DU12+'Balance Sheet '!DU21</f>
        <v>292.36305415044671</v>
      </c>
      <c r="CM124" s="186">
        <f>'Balance Sheet '!DV11+'Balance Sheet '!DV12+'Balance Sheet '!DV21</f>
        <v>308.29154490359622</v>
      </c>
      <c r="CN124" s="616">
        <f>'Balance Sheet '!DW11+'Balance Sheet '!DW12+'Balance Sheet '!DW21</f>
        <v>308.29154490359622</v>
      </c>
      <c r="CO124" s="45"/>
      <c r="CR124" s="1025" t="s">
        <v>251</v>
      </c>
      <c r="CS124" s="186">
        <f>BX124</f>
        <v>204.08</v>
      </c>
      <c r="CT124" s="186">
        <v>202.9860479972632</v>
      </c>
      <c r="CU124" s="189">
        <f t="shared" si="272"/>
        <v>1.0939520027368133</v>
      </c>
      <c r="CV124" s="186">
        <f>BS124</f>
        <v>255.852</v>
      </c>
      <c r="CW124" s="153">
        <f t="shared" ref="CW124:CW130" si="283">CS124/CV124-1</f>
        <v>-0.20235135937964133</v>
      </c>
      <c r="DB124"/>
      <c r="DC124"/>
      <c r="DD124"/>
      <c r="DE124"/>
      <c r="DF124"/>
      <c r="DG124"/>
      <c r="HQ124" s="3"/>
      <c r="HR124" s="3"/>
      <c r="HS124" s="3"/>
      <c r="HT124" s="3"/>
      <c r="HU124" s="3"/>
      <c r="HV124" s="3"/>
      <c r="HW124" s="3"/>
      <c r="HX124" s="3"/>
      <c r="HY124" s="3"/>
      <c r="HZ124" s="3"/>
      <c r="IA124" s="3"/>
      <c r="IB124" s="3"/>
      <c r="IC124" s="3"/>
      <c r="ID124" s="3"/>
      <c r="IE124" s="3"/>
      <c r="IF124" s="3"/>
      <c r="IG124" s="3"/>
      <c r="IH124" s="3"/>
      <c r="II124" s="3"/>
      <c r="IJ124" s="3"/>
      <c r="IK124" s="3"/>
      <c r="IL124" s="3"/>
      <c r="IM124" s="3"/>
      <c r="IN124" s="3"/>
      <c r="IO124" s="3"/>
      <c r="IP124" s="3"/>
      <c r="IQ124" s="3"/>
      <c r="IR124" s="3"/>
      <c r="IS124" s="3"/>
      <c r="IT124" s="3"/>
      <c r="IU124" s="3"/>
      <c r="IV124" s="3"/>
    </row>
    <row r="125" spans="1:256" s="117" customFormat="1" ht="11.25" customHeight="1">
      <c r="A125" s="854" t="s">
        <v>252</v>
      </c>
      <c r="B125" s="46"/>
      <c r="C125" s="46"/>
      <c r="D125" s="46"/>
      <c r="E125" s="46"/>
      <c r="F125" s="46"/>
      <c r="G125" s="46"/>
      <c r="H125" s="46"/>
      <c r="I125" s="46"/>
      <c r="J125" s="46"/>
      <c r="K125" s="46"/>
      <c r="L125" s="46"/>
      <c r="M125" s="46"/>
      <c r="N125" s="46"/>
      <c r="O125" s="46"/>
      <c r="P125" s="46"/>
      <c r="Q125" s="46"/>
      <c r="R125" s="46"/>
      <c r="S125" s="46"/>
      <c r="T125" s="46"/>
      <c r="U125" s="46"/>
      <c r="V125" s="46"/>
      <c r="W125" s="187"/>
      <c r="X125" s="186"/>
      <c r="Y125" s="186"/>
      <c r="Z125" s="186"/>
      <c r="AA125" s="189"/>
      <c r="AB125" s="186"/>
      <c r="AC125" s="186"/>
      <c r="AD125" s="186"/>
      <c r="AE125" s="186"/>
      <c r="AF125" s="189">
        <f>'Balance Sheet '!BO33+'Balance Sheet '!BO39</f>
        <v>1111.577</v>
      </c>
      <c r="AG125" s="186">
        <f>'Balance Sheet '!BP33+'Balance Sheet '!BP39</f>
        <v>1109.2259999999999</v>
      </c>
      <c r="AH125" s="186">
        <f>'Balance Sheet '!BQ33+'Balance Sheet '!BQ39</f>
        <v>1532.3010000000002</v>
      </c>
      <c r="AI125" s="186">
        <f>'Balance Sheet '!BR33+'Balance Sheet '!BR39</f>
        <v>1525.346</v>
      </c>
      <c r="AJ125" s="186">
        <f>'Balance Sheet '!BS33+'Balance Sheet '!BS39</f>
        <v>1522.9110000000001</v>
      </c>
      <c r="AK125" s="616">
        <f>'Balance Sheet '!BT33+'Balance Sheet '!BT39</f>
        <v>1522.9110000000001</v>
      </c>
      <c r="AL125" s="186">
        <f>'Balance Sheet '!BU33+'Balance Sheet '!BU39</f>
        <v>1517.212</v>
      </c>
      <c r="AM125" s="186">
        <f>'Balance Sheet '!BV33+'Balance Sheet '!BV39</f>
        <v>1574.625</v>
      </c>
      <c r="AN125" s="186">
        <f>'Balance Sheet '!BW33+'Balance Sheet '!BW39</f>
        <v>1577.557</v>
      </c>
      <c r="AO125" s="186">
        <f>'Balance Sheet '!BX33+'Balance Sheet '!BX39</f>
        <v>1572.402</v>
      </c>
      <c r="AP125" s="189">
        <f>'Balance Sheet '!BY33+'Balance Sheet '!BY39</f>
        <v>1572.402</v>
      </c>
      <c r="AQ125" s="186">
        <f>'Balance Sheet '!BZ33+'Balance Sheet '!BZ39</f>
        <v>1544.0239999999999</v>
      </c>
      <c r="AR125" s="186">
        <f>'Balance Sheet '!CA33+'Balance Sheet '!CA39</f>
        <v>1354.8200000000002</v>
      </c>
      <c r="AS125" s="186">
        <f>'Balance Sheet '!CB33+'Balance Sheet '!CB39</f>
        <v>1356.7950000000001</v>
      </c>
      <c r="AT125" s="186">
        <f>'Balance Sheet '!CC33+'Balance Sheet '!CC39</f>
        <v>1356.999</v>
      </c>
      <c r="AU125" s="616">
        <f>'Balance Sheet '!CD33+'Balance Sheet '!CD39</f>
        <v>1356.999</v>
      </c>
      <c r="AV125" s="186">
        <f>'Balance Sheet '!CE33+'Balance Sheet '!CE39</f>
        <v>1352.3919999999998</v>
      </c>
      <c r="AW125" s="186">
        <f>'Balance Sheet '!CF33+'Balance Sheet '!CF39</f>
        <v>1394.278</v>
      </c>
      <c r="AX125" s="186">
        <f>'Balance Sheet '!CG33+'Balance Sheet '!CG39</f>
        <v>1457.328</v>
      </c>
      <c r="AY125" s="186">
        <f>'Balance Sheet '!CH33+'Balance Sheet '!CH39</f>
        <v>1457.5620000000001</v>
      </c>
      <c r="AZ125" s="616">
        <f>'Balance Sheet '!CI33+'Balance Sheet '!CI39</f>
        <v>1457.5620000000001</v>
      </c>
      <c r="BA125" s="186">
        <f>'Balance Sheet '!CJ33+'Balance Sheet '!CJ39</f>
        <v>1455.5450000000001</v>
      </c>
      <c r="BB125" s="186">
        <f>'Balance Sheet '!CK33+'Balance Sheet '!CK39</f>
        <v>1471.1610000000001</v>
      </c>
      <c r="BC125" s="186">
        <f>'Balance Sheet '!CL33+'Balance Sheet '!CL39</f>
        <v>1471.922</v>
      </c>
      <c r="BD125" s="186">
        <f>'Balance Sheet '!CM33+'Balance Sheet '!CM39</f>
        <v>1463.828</v>
      </c>
      <c r="BE125" s="616">
        <f>'Balance Sheet '!CN33+'Balance Sheet '!CN39</f>
        <v>1463.828</v>
      </c>
      <c r="BF125" s="186">
        <f>'Balance Sheet '!CO33+'Balance Sheet '!CO39</f>
        <v>1461.5700000000002</v>
      </c>
      <c r="BG125" s="186">
        <f>'Balance Sheet '!CP33+'Balance Sheet '!CP39</f>
        <v>1454.0910000000001</v>
      </c>
      <c r="BH125" s="186">
        <f>'Balance Sheet '!CQ33+'Balance Sheet '!CQ39</f>
        <v>1446.5509999999999</v>
      </c>
      <c r="BI125" s="186">
        <f>'Balance Sheet '!CR33+'Balance Sheet '!CR39</f>
        <v>1448.143</v>
      </c>
      <c r="BJ125" s="616">
        <f>'Balance Sheet '!CS33+'Balance Sheet '!CS39</f>
        <v>1448.143</v>
      </c>
      <c r="BK125" s="186">
        <f>'Balance Sheet '!CT33+'Balance Sheet '!CT39</f>
        <v>1449.8799999999999</v>
      </c>
      <c r="BL125" s="186">
        <f>'Balance Sheet '!CU33+'Balance Sheet '!CU39</f>
        <v>2397.377</v>
      </c>
      <c r="BM125" s="186">
        <f>'Balance Sheet '!CV33+'Balance Sheet '!CV39</f>
        <v>2403.1320000000001</v>
      </c>
      <c r="BN125" s="186">
        <f>'Balance Sheet '!CW33+'Balance Sheet '!CW39</f>
        <v>2426.1129999999998</v>
      </c>
      <c r="BO125" s="616">
        <f>'Balance Sheet '!CX33+'Balance Sheet '!CX39</f>
        <v>2426.1129999999998</v>
      </c>
      <c r="BP125" s="186">
        <f>'Balance Sheet '!CY33+'Balance Sheet '!CY39</f>
        <v>2502.0430000000001</v>
      </c>
      <c r="BQ125" s="186">
        <f>'Balance Sheet '!CZ33+'Balance Sheet '!CZ39</f>
        <v>2509.1150000000002</v>
      </c>
      <c r="BR125" s="186">
        <f>'Balance Sheet '!DA33+'Balance Sheet '!DA39</f>
        <v>2515.8220000000001</v>
      </c>
      <c r="BS125" s="186">
        <f>'Balance Sheet '!DB33+'Balance Sheet '!DB39</f>
        <v>2512.2820000000002</v>
      </c>
      <c r="BT125" s="616">
        <f>'Balance Sheet '!DC33+'Balance Sheet '!DC39</f>
        <v>2512.2820000000002</v>
      </c>
      <c r="BU125" s="186">
        <f>'Balance Sheet '!DD33+'Balance Sheet '!DD39</f>
        <v>2552.7190000000001</v>
      </c>
      <c r="BV125" s="186">
        <f>'Balance Sheet '!DE33+'Balance Sheet '!DE39</f>
        <v>2728.748</v>
      </c>
      <c r="BW125" s="186">
        <f>'Balance Sheet '!DF33+'Balance Sheet '!DF39</f>
        <v>2725.8789999999999</v>
      </c>
      <c r="BX125" s="186">
        <f>'Balance Sheet '!DG33+'Balance Sheet '!DG39</f>
        <v>2754.402</v>
      </c>
      <c r="BY125" s="616">
        <f>'Balance Sheet '!DH33+'Balance Sheet '!DH39</f>
        <v>2754.402</v>
      </c>
      <c r="BZ125" s="186">
        <f>'Balance Sheet '!DI33+'Balance Sheet '!DI39</f>
        <v>2754.402</v>
      </c>
      <c r="CA125" s="186">
        <f>'Balance Sheet '!DJ33+'Balance Sheet '!DJ39</f>
        <v>2754.402</v>
      </c>
      <c r="CB125" s="186">
        <f>'Balance Sheet '!DK33+'Balance Sheet '!DK39</f>
        <v>2754.402</v>
      </c>
      <c r="CC125" s="186">
        <f>'Balance Sheet '!DL33+'Balance Sheet '!DL39</f>
        <v>2754.402</v>
      </c>
      <c r="CD125" s="616">
        <f>'Balance Sheet '!DM33+'Balance Sheet '!DM39</f>
        <v>2754.402</v>
      </c>
      <c r="CE125" s="186">
        <f>'Balance Sheet '!DN33+'Balance Sheet '!DN39</f>
        <v>2754.402</v>
      </c>
      <c r="CF125" s="186">
        <f>'Balance Sheet '!DO33+'Balance Sheet '!DO39</f>
        <v>2754.402</v>
      </c>
      <c r="CG125" s="186">
        <f>'Balance Sheet '!DP33+'Balance Sheet '!DP39</f>
        <v>2754.402</v>
      </c>
      <c r="CH125" s="186">
        <f>'Balance Sheet '!DQ33+'Balance Sheet '!DQ39</f>
        <v>2754.402</v>
      </c>
      <c r="CI125" s="616">
        <f>'Balance Sheet '!DR33+'Balance Sheet '!DR39</f>
        <v>2754.402</v>
      </c>
      <c r="CJ125" s="186">
        <f>'Balance Sheet '!DS33+'Balance Sheet '!DS39</f>
        <v>2754.402</v>
      </c>
      <c r="CK125" s="186">
        <f>'Balance Sheet '!DT33+'Balance Sheet '!DT39</f>
        <v>2754.402</v>
      </c>
      <c r="CL125" s="186">
        <f>'Balance Sheet '!DU33+'Balance Sheet '!DU39</f>
        <v>2754.402</v>
      </c>
      <c r="CM125" s="186">
        <f>'Balance Sheet '!DV33+'Balance Sheet '!DV39</f>
        <v>2754.402</v>
      </c>
      <c r="CN125" s="616">
        <f>'Balance Sheet '!DW33+'Balance Sheet '!DW39</f>
        <v>2754.402</v>
      </c>
      <c r="CO125" s="45"/>
      <c r="CR125" s="1025" t="s">
        <v>252</v>
      </c>
      <c r="CS125" s="186">
        <f>BX125</f>
        <v>2754.402</v>
      </c>
      <c r="CT125" s="186">
        <v>2725.8789999999999</v>
      </c>
      <c r="CU125" s="189">
        <f t="shared" si="272"/>
        <v>28.523000000000138</v>
      </c>
      <c r="CV125" s="186">
        <f>BS125</f>
        <v>2512.2820000000002</v>
      </c>
      <c r="CW125" s="153">
        <f t="shared" si="283"/>
        <v>9.637453120310524E-2</v>
      </c>
      <c r="DB125"/>
      <c r="DC125"/>
      <c r="DD125"/>
      <c r="DE125"/>
      <c r="DF125"/>
      <c r="DG125"/>
      <c r="HQ125" s="3"/>
      <c r="HR125" s="3"/>
      <c r="HS125" s="3"/>
      <c r="HT125" s="3"/>
      <c r="HU125" s="3"/>
      <c r="HV125" s="3"/>
      <c r="HW125" s="3"/>
      <c r="HX125" s="3"/>
      <c r="HY125" s="3"/>
      <c r="HZ125" s="3"/>
      <c r="IA125" s="3"/>
      <c r="IB125" s="3"/>
      <c r="IC125" s="3"/>
      <c r="ID125" s="3"/>
      <c r="IE125" s="3"/>
      <c r="IF125" s="3"/>
      <c r="IG125" s="3"/>
      <c r="IH125" s="3"/>
      <c r="II125" s="3"/>
      <c r="IJ125" s="3"/>
      <c r="IK125" s="3"/>
      <c r="IL125" s="3"/>
      <c r="IM125" s="3"/>
      <c r="IN125" s="3"/>
      <c r="IO125" s="3"/>
      <c r="IP125" s="3"/>
      <c r="IQ125" s="3"/>
      <c r="IR125" s="3"/>
      <c r="IS125" s="3"/>
      <c r="IT125" s="3"/>
      <c r="IU125" s="3"/>
      <c r="IV125" s="3"/>
    </row>
    <row r="126" spans="1:256" s="1066" customFormat="1" ht="11.25" customHeight="1">
      <c r="A126" s="1061" t="s">
        <v>105</v>
      </c>
      <c r="B126" s="1062"/>
      <c r="C126" s="1062"/>
      <c r="D126" s="1062"/>
      <c r="E126" s="1062"/>
      <c r="F126" s="1062"/>
      <c r="G126" s="1062"/>
      <c r="H126" s="1062"/>
      <c r="I126" s="1062"/>
      <c r="J126" s="1062"/>
      <c r="K126" s="1062"/>
      <c r="L126" s="1062"/>
      <c r="M126" s="1062"/>
      <c r="N126" s="1062"/>
      <c r="O126" s="1062"/>
      <c r="P126" s="1062"/>
      <c r="Q126" s="1062"/>
      <c r="R126" s="1062"/>
      <c r="S126" s="1062"/>
      <c r="T126" s="1062"/>
      <c r="U126" s="1062"/>
      <c r="V126" s="1062"/>
      <c r="W126" s="1063"/>
      <c r="X126" s="1064"/>
      <c r="Y126" s="1064"/>
      <c r="Z126" s="1064"/>
      <c r="AA126" s="1068"/>
      <c r="AB126" s="1064"/>
      <c r="AC126" s="1064"/>
      <c r="AD126" s="1064"/>
      <c r="AE126" s="1064"/>
      <c r="AF126" s="1068"/>
      <c r="AG126" s="1064"/>
      <c r="AH126" s="1064"/>
      <c r="AI126" s="1064"/>
      <c r="AJ126" s="1064"/>
      <c r="AK126" s="1070">
        <f>'Balance Sheet '!BT70</f>
        <v>2.1726837643019254</v>
      </c>
      <c r="AL126" s="1064">
        <f>'Balance Sheet '!BU70</f>
        <v>2.3112120081744929</v>
      </c>
      <c r="AM126" s="1064">
        <f>'Balance Sheet '!BV70</f>
        <v>2.4195832283802274</v>
      </c>
      <c r="AN126" s="1064">
        <f>'Balance Sheet '!BW70</f>
        <v>2.57323313468879</v>
      </c>
      <c r="AO126" s="1064">
        <f>'Balance Sheet '!BX70</f>
        <v>2.719622499172484</v>
      </c>
      <c r="AP126" s="1068">
        <f>'Balance Sheet '!BY70</f>
        <v>2.719622499172484</v>
      </c>
      <c r="AQ126" s="1064">
        <f>'Balance Sheet '!BZ70</f>
        <v>2.8109463854902623</v>
      </c>
      <c r="AR126" s="1064">
        <f>'Balance Sheet '!CA70</f>
        <v>2.5368284496427305</v>
      </c>
      <c r="AS126" s="1064">
        <f>'Balance Sheet '!CB70</f>
        <v>2.6106564403338592</v>
      </c>
      <c r="AT126" s="1064">
        <f>'Balance Sheet '!CC70</f>
        <v>2.6634205868316276</v>
      </c>
      <c r="AU126" s="1070">
        <f>'Balance Sheet '!CD70</f>
        <v>2.6634205868316276</v>
      </c>
      <c r="AV126" s="1064">
        <f>'Balance Sheet '!CE70</f>
        <v>2.9495813976990255</v>
      </c>
      <c r="AW126" s="1064">
        <f>'Balance Sheet '!CF70</f>
        <v>3.0325328173609538</v>
      </c>
      <c r="AX126" s="1064">
        <f>'Balance Sheet '!CG70</f>
        <v>3.199342113651142</v>
      </c>
      <c r="AY126" s="1064">
        <f>'Balance Sheet '!CH70</f>
        <v>3.0546502608404711</v>
      </c>
      <c r="AZ126" s="1070">
        <f>'Balance Sheet '!CI70</f>
        <v>3.0546502608404711</v>
      </c>
      <c r="BA126" s="1064">
        <f>'Balance Sheet '!CJ70</f>
        <v>2.9612761453788341</v>
      </c>
      <c r="BB126" s="1064">
        <f>'Balance Sheet '!CK70</f>
        <v>2.7298611921796225</v>
      </c>
      <c r="BC126" s="1064">
        <f>'Balance Sheet '!CL70</f>
        <v>2.5625771988642754</v>
      </c>
      <c r="BD126" s="1064">
        <f>'Balance Sheet '!CM70</f>
        <v>2.4067741215049496</v>
      </c>
      <c r="BE126" s="1070">
        <f>'Balance Sheet '!CN70</f>
        <v>2.4067741215049496</v>
      </c>
      <c r="BF126" s="1064">
        <f>'Balance Sheet '!CO70</f>
        <v>2.527519598178662</v>
      </c>
      <c r="BG126" s="1064">
        <f>'Balance Sheet '!CP70</f>
        <v>2.5584909495738337</v>
      </c>
      <c r="BH126" s="1064">
        <f>'Balance Sheet '!CQ70</f>
        <v>2.6384833031434156</v>
      </c>
      <c r="BI126" s="1064">
        <f>'Balance Sheet '!CR70</f>
        <v>2.7052709470202001</v>
      </c>
      <c r="BJ126" s="1070">
        <f>'Balance Sheet '!CS70</f>
        <v>2.7052709470202001</v>
      </c>
      <c r="BK126" s="1064">
        <f>'Balance Sheet '!CT70</f>
        <v>3.272214393861864</v>
      </c>
      <c r="BL126" s="1064">
        <f>'Balance Sheet '!CU70</f>
        <v>3.1060870825858125</v>
      </c>
      <c r="BM126" s="1064">
        <f>'Balance Sheet '!CV70</f>
        <v>5.6840224969122879</v>
      </c>
      <c r="BN126" s="1064">
        <f>'Balance Sheet '!CW70</f>
        <v>5.3485575514177306</v>
      </c>
      <c r="BO126" s="1070">
        <f>'Balance Sheet '!CX70</f>
        <v>5.3485575514177306</v>
      </c>
      <c r="BP126" s="1064">
        <f>'Balance Sheet '!CY70</f>
        <v>5.2410529270346453</v>
      </c>
      <c r="BQ126" s="1064">
        <f>'Balance Sheet '!CZ70</f>
        <v>5.4110449751663356</v>
      </c>
      <c r="BR126" s="1064">
        <f>'Balance Sheet '!DA70</f>
        <v>5.3046031334022263</v>
      </c>
      <c r="BS126" s="1064">
        <f>'Balance Sheet '!DB70</f>
        <v>5.758005700768356</v>
      </c>
      <c r="BT126" s="1070">
        <f>'Balance Sheet '!DC70</f>
        <v>5.758005700768356</v>
      </c>
      <c r="BU126" s="1064">
        <f>'Balance Sheet '!DD70</f>
        <v>6.0326079860449235</v>
      </c>
      <c r="BV126" s="1064">
        <f>'Balance Sheet '!DE70</f>
        <v>6.2664973787267115</v>
      </c>
      <c r="BW126" s="1064">
        <f>'Balance Sheet '!DF70</f>
        <v>6.3699232367202585</v>
      </c>
      <c r="BX126" s="1064">
        <f>'Balance Sheet '!DG70</f>
        <v>6.2786120849253564</v>
      </c>
      <c r="BY126" s="1070">
        <f>'Balance Sheet '!DH70</f>
        <v>6.2786120849253564</v>
      </c>
      <c r="BZ126" s="1064">
        <f>'Balance Sheet '!DI70</f>
        <v>6.1275671969451668</v>
      </c>
      <c r="CA126" s="1064">
        <f>'Balance Sheet '!DJ70</f>
        <v>6.1612048236008876</v>
      </c>
      <c r="CB126" s="1064">
        <f>'Balance Sheet '!DK70</f>
        <v>6.0072870095983575</v>
      </c>
      <c r="CC126" s="1064">
        <f>'Balance Sheet '!DL70</f>
        <v>5.9575130395946871</v>
      </c>
      <c r="CD126" s="1070">
        <f>'Balance Sheet '!DM70</f>
        <v>5.9575130395946871</v>
      </c>
      <c r="CE126" s="1064">
        <f>'Balance Sheet '!DN70</f>
        <v>5.7709800198066619</v>
      </c>
      <c r="CF126" s="1064">
        <f>'Balance Sheet '!DO70</f>
        <v>5.6628016300231181</v>
      </c>
      <c r="CG126" s="1064">
        <f>'Balance Sheet '!DP70</f>
        <v>5.5567343816184938</v>
      </c>
      <c r="CH126" s="1064">
        <f>'Balance Sheet '!DQ70</f>
        <v>5.4664549262850768</v>
      </c>
      <c r="CI126" s="1070">
        <f>'Balance Sheet '!DR70</f>
        <v>5.4664549262850768</v>
      </c>
      <c r="CJ126" s="1064">
        <f>'Balance Sheet '!DS70</f>
        <v>5.2180359585420444</v>
      </c>
      <c r="CK126" s="1064">
        <f>'Balance Sheet '!DT70</f>
        <v>5.0455609571733691</v>
      </c>
      <c r="CL126" s="1064">
        <f>'Balance Sheet '!DU70</f>
        <v>4.8794885423371328</v>
      </c>
      <c r="CM126" s="1064">
        <f>'Balance Sheet '!DV70</f>
        <v>4.7314297478505098</v>
      </c>
      <c r="CN126" s="1070">
        <f>'Balance Sheet '!DW70</f>
        <v>4.7314297478505098</v>
      </c>
      <c r="CO126" s="1065"/>
      <c r="CR126" s="1067" t="s">
        <v>105</v>
      </c>
      <c r="CS126" s="1064">
        <f>BX126</f>
        <v>6.2786120849253564</v>
      </c>
      <c r="CT126" s="1064">
        <v>6.2471834772560593</v>
      </c>
      <c r="CU126" s="1068">
        <f>CS126-CT126</f>
        <v>3.1428607669297115E-2</v>
      </c>
      <c r="CV126" s="1064">
        <f>BS126</f>
        <v>5.758005700768356</v>
      </c>
      <c r="CW126" s="153">
        <f t="shared" si="283"/>
        <v>9.0414357194458894E-2</v>
      </c>
      <c r="DB126"/>
      <c r="DC126"/>
      <c r="DD126"/>
      <c r="DE126"/>
      <c r="DF126"/>
      <c r="DG126"/>
      <c r="HQ126" s="1069"/>
      <c r="HR126" s="1069"/>
      <c r="HS126" s="1069"/>
      <c r="HT126" s="1069"/>
      <c r="HU126" s="1069"/>
      <c r="HV126" s="1069"/>
      <c r="HW126" s="1069"/>
      <c r="HX126" s="1069"/>
      <c r="HY126" s="1069"/>
      <c r="HZ126" s="1069"/>
      <c r="IA126" s="1069"/>
      <c r="IB126" s="1069"/>
      <c r="IC126" s="1069"/>
      <c r="ID126" s="1069"/>
      <c r="IE126" s="1069"/>
      <c r="IF126" s="1069"/>
      <c r="IG126" s="1069"/>
      <c r="IH126" s="1069"/>
      <c r="II126" s="1069"/>
      <c r="IJ126" s="1069"/>
      <c r="IK126" s="1069"/>
      <c r="IL126" s="1069"/>
      <c r="IM126" s="1069"/>
      <c r="IN126" s="1069"/>
      <c r="IO126" s="1069"/>
      <c r="IP126" s="1069"/>
      <c r="IQ126" s="1069"/>
      <c r="IR126" s="1069"/>
      <c r="IS126" s="1069"/>
      <c r="IT126" s="1069"/>
      <c r="IU126" s="1069"/>
      <c r="IV126" s="1069"/>
    </row>
    <row r="127" spans="1:256" s="117" customFormat="1" ht="11.25" customHeight="1">
      <c r="A127" s="604" t="s">
        <v>253</v>
      </c>
      <c r="B127" s="25"/>
      <c r="C127" s="20"/>
      <c r="D127" s="19"/>
      <c r="E127" s="19"/>
      <c r="F127" s="19"/>
      <c r="G127" s="21"/>
      <c r="H127" s="20"/>
      <c r="I127" s="19"/>
      <c r="J127" s="19"/>
      <c r="K127" s="22"/>
      <c r="L127" s="18"/>
      <c r="M127" s="20"/>
      <c r="N127" s="23"/>
      <c r="O127" s="23"/>
      <c r="P127" s="22"/>
      <c r="Q127" s="67"/>
      <c r="R127" s="19"/>
      <c r="S127" s="19"/>
      <c r="T127" s="19"/>
      <c r="U127" s="22"/>
      <c r="V127" s="728"/>
      <c r="W127" s="20"/>
      <c r="X127" s="23"/>
      <c r="Y127" s="19"/>
      <c r="Z127" s="24"/>
      <c r="AA127" s="67"/>
      <c r="AB127" s="19"/>
      <c r="AC127" s="23"/>
      <c r="AD127" s="19"/>
      <c r="AE127" s="22"/>
      <c r="AF127" s="67"/>
      <c r="AG127" s="19"/>
      <c r="AH127" s="23"/>
      <c r="AI127" s="23"/>
      <c r="AJ127" s="22"/>
      <c r="AK127" s="614"/>
      <c r="AL127" s="19"/>
      <c r="AM127" s="23"/>
      <c r="AN127" s="19"/>
      <c r="AO127" s="22"/>
      <c r="AP127" s="67"/>
      <c r="AQ127" s="23"/>
      <c r="AR127" s="23"/>
      <c r="AS127" s="23"/>
      <c r="AT127" s="24"/>
      <c r="AU127" s="614"/>
      <c r="AV127" s="23"/>
      <c r="AW127" s="23"/>
      <c r="AX127" s="23"/>
      <c r="AY127" s="24"/>
      <c r="AZ127" s="614"/>
      <c r="BA127" s="23"/>
      <c r="BB127" s="23"/>
      <c r="BC127" s="23"/>
      <c r="BD127" s="24"/>
      <c r="BE127" s="614"/>
      <c r="BF127" s="23"/>
      <c r="BG127" s="23"/>
      <c r="BH127" s="23"/>
      <c r="BI127" s="24"/>
      <c r="BJ127" s="614"/>
      <c r="BK127" s="23"/>
      <c r="BL127" s="19"/>
      <c r="BM127" s="19"/>
      <c r="BN127" s="24"/>
      <c r="BO127" s="614"/>
      <c r="BP127" s="23"/>
      <c r="BQ127" s="23"/>
      <c r="BR127" s="23"/>
      <c r="BS127" s="24"/>
      <c r="BT127" s="614"/>
      <c r="BU127" s="19"/>
      <c r="BV127" s="23"/>
      <c r="BW127" s="19"/>
      <c r="BX127" s="22"/>
      <c r="BY127" s="614"/>
      <c r="BZ127" s="23"/>
      <c r="CA127" s="23"/>
      <c r="CB127" s="23"/>
      <c r="CC127" s="24"/>
      <c r="CD127" s="614"/>
      <c r="CE127" s="23"/>
      <c r="CF127" s="23"/>
      <c r="CG127" s="23"/>
      <c r="CH127" s="24"/>
      <c r="CI127" s="614"/>
      <c r="CJ127" s="23"/>
      <c r="CK127" s="23"/>
      <c r="CL127" s="23"/>
      <c r="CM127" s="24"/>
      <c r="CN127" s="614"/>
      <c r="CO127" s="45"/>
      <c r="CR127" s="1023" t="s">
        <v>253</v>
      </c>
      <c r="CS127" s="19"/>
      <c r="CT127" s="23"/>
      <c r="CU127" s="923"/>
      <c r="CV127" s="19"/>
      <c r="CW127" s="923"/>
      <c r="DB127"/>
      <c r="DC127"/>
      <c r="DD127"/>
      <c r="DE127"/>
      <c r="DF127"/>
      <c r="DG127"/>
      <c r="HQ127" s="3"/>
      <c r="HR127" s="3"/>
      <c r="HS127" s="3"/>
      <c r="HT127" s="3"/>
      <c r="HU127" s="3"/>
      <c r="HV127" s="3"/>
      <c r="HW127" s="3"/>
      <c r="HX127" s="3"/>
      <c r="HY127" s="3"/>
      <c r="HZ127" s="3"/>
      <c r="IA127" s="3"/>
      <c r="IB127" s="3"/>
      <c r="IC127" s="3"/>
      <c r="ID127" s="3"/>
      <c r="IE127" s="3"/>
      <c r="IF127" s="3"/>
      <c r="IG127" s="3"/>
      <c r="IH127" s="3"/>
      <c r="II127" s="3"/>
      <c r="IJ127" s="3"/>
      <c r="IK127" s="3"/>
      <c r="IL127" s="3"/>
      <c r="IM127" s="3"/>
      <c r="IN127" s="3"/>
      <c r="IO127" s="3"/>
      <c r="IP127" s="3"/>
      <c r="IQ127" s="3"/>
      <c r="IR127" s="3"/>
      <c r="IS127" s="3"/>
      <c r="IT127" s="3"/>
      <c r="IU127" s="3"/>
      <c r="IV127" s="3"/>
    </row>
    <row r="128" spans="1:256" s="117" customFormat="1" ht="11.25" customHeight="1">
      <c r="A128" s="854" t="s">
        <v>447</v>
      </c>
      <c r="B128" s="46"/>
      <c r="C128" s="46"/>
      <c r="D128" s="46"/>
      <c r="E128" s="46"/>
      <c r="F128" s="46"/>
      <c r="G128" s="46"/>
      <c r="H128" s="46"/>
      <c r="I128" s="46"/>
      <c r="J128" s="46"/>
      <c r="K128" s="46"/>
      <c r="L128" s="46"/>
      <c r="M128" s="46"/>
      <c r="N128" s="46"/>
      <c r="O128" s="46"/>
      <c r="P128" s="46"/>
      <c r="Q128" s="46"/>
      <c r="R128" s="46"/>
      <c r="S128" s="46"/>
      <c r="T128" s="46"/>
      <c r="U128" s="46"/>
      <c r="V128" s="46"/>
      <c r="W128" s="415"/>
      <c r="X128" s="713"/>
      <c r="Y128" s="713"/>
      <c r="Z128" s="713"/>
      <c r="AA128" s="190"/>
      <c r="AB128" s="713"/>
      <c r="AC128" s="713"/>
      <c r="AD128" s="713"/>
      <c r="AE128" s="713"/>
      <c r="AF128" s="190">
        <f>'CashFlow '!BO37</f>
        <v>73.60499999999999</v>
      </c>
      <c r="AG128" s="713">
        <f>'CashFlow '!BP37</f>
        <v>58.264000000000003</v>
      </c>
      <c r="AH128" s="713">
        <f>'CashFlow '!BQ37</f>
        <v>88.183999999999997</v>
      </c>
      <c r="AI128" s="713">
        <f>'CashFlow '!BR37</f>
        <v>104.85299999999998</v>
      </c>
      <c r="AJ128" s="713">
        <f>'CashFlow '!BS37</f>
        <v>47.497000000000014</v>
      </c>
      <c r="AK128" s="615">
        <f>'CashFlow '!BT37</f>
        <v>298.79799999999989</v>
      </c>
      <c r="AL128" s="713">
        <f>'CashFlow '!BU37</f>
        <v>35.241</v>
      </c>
      <c r="AM128" s="713">
        <f>'CashFlow '!BV37</f>
        <v>66.967999999999975</v>
      </c>
      <c r="AN128" s="713">
        <f>'CashFlow '!BW37</f>
        <v>65.163000000000011</v>
      </c>
      <c r="AO128" s="713">
        <f>'CashFlow '!BX37</f>
        <v>58.877999999999979</v>
      </c>
      <c r="AP128" s="190">
        <f>'CashFlow '!BY37</f>
        <v>226.25</v>
      </c>
      <c r="AQ128" s="713">
        <f>'CashFlow '!BZ37</f>
        <v>53.462999999999994</v>
      </c>
      <c r="AR128" s="713">
        <f>'CashFlow '!CA37</f>
        <v>79.135999999999996</v>
      </c>
      <c r="AS128" s="713">
        <f>'CashFlow '!CB37</f>
        <v>49.503999999999991</v>
      </c>
      <c r="AT128" s="713">
        <f>'CashFlow '!CC37</f>
        <v>64.61399999999999</v>
      </c>
      <c r="AU128" s="615">
        <f>'CashFlow '!CD37</f>
        <v>246.71699999999996</v>
      </c>
      <c r="AV128" s="713">
        <f>'CashFlow '!CE37</f>
        <v>-15.143999999999998</v>
      </c>
      <c r="AW128" s="713">
        <f>'CashFlow '!CF37</f>
        <v>83.674000000000021</v>
      </c>
      <c r="AX128" s="713">
        <f>'CashFlow '!CG37</f>
        <v>56.101000000000013</v>
      </c>
      <c r="AY128" s="713">
        <f>'CashFlow '!CH37</f>
        <v>65.783999999999963</v>
      </c>
      <c r="AZ128" s="615">
        <f>'CashFlow '!CI37</f>
        <v>190.41500000000008</v>
      </c>
      <c r="BA128" s="713">
        <f>'CashFlow '!CJ37</f>
        <v>32.604000000000006</v>
      </c>
      <c r="BB128" s="713">
        <f>'CashFlow '!CK37</f>
        <v>110.76000000000002</v>
      </c>
      <c r="BC128" s="713">
        <f>'CashFlow '!CL37</f>
        <v>109.32700000000001</v>
      </c>
      <c r="BD128" s="713">
        <f>'CashFlow '!CM37</f>
        <v>77.155999999999963</v>
      </c>
      <c r="BE128" s="615">
        <f>'CashFlow '!CN37</f>
        <v>329.84699999999998</v>
      </c>
      <c r="BF128" s="713">
        <f>'CashFlow '!CO37</f>
        <v>14.740999999999985</v>
      </c>
      <c r="BG128" s="713">
        <f>'CashFlow '!CP37</f>
        <v>66.268000000000001</v>
      </c>
      <c r="BH128" s="713">
        <f>'CashFlow '!CQ37</f>
        <v>101.58700000000002</v>
      </c>
      <c r="BI128" s="713">
        <f>'CashFlow '!CR37</f>
        <v>72.180000000000021</v>
      </c>
      <c r="BJ128" s="615">
        <f>'CashFlow '!CS37</f>
        <v>254.77600000000004</v>
      </c>
      <c r="BK128" s="713">
        <f>'CashFlow '!CT37</f>
        <v>21.739999999999995</v>
      </c>
      <c r="BL128" s="713">
        <f>'CashFlow '!CU37</f>
        <v>31.374000000000024</v>
      </c>
      <c r="BM128" s="713">
        <f>'CashFlow '!CV37</f>
        <v>65.514999999999986</v>
      </c>
      <c r="BN128" s="713">
        <f>'CashFlow '!CW37</f>
        <v>93.804999999999993</v>
      </c>
      <c r="BO128" s="615">
        <f>'CashFlow '!CX37</f>
        <v>212.47999999999996</v>
      </c>
      <c r="BP128" s="713">
        <f>'CashFlow '!CY37</f>
        <v>47.274000000000001</v>
      </c>
      <c r="BQ128" s="713">
        <f>'CashFlow '!CZ37</f>
        <v>53.594000000000015</v>
      </c>
      <c r="BR128" s="713">
        <f>'CashFlow '!DA37</f>
        <v>29.789999999999985</v>
      </c>
      <c r="BS128" s="713">
        <f>'CashFlow '!DB37</f>
        <v>50.563999999999986</v>
      </c>
      <c r="BT128" s="615">
        <f>'CashFlow '!DC37</f>
        <v>181.40800000000002</v>
      </c>
      <c r="BU128" s="713">
        <f>'CashFlow '!DD37</f>
        <v>38.652000000000001</v>
      </c>
      <c r="BV128" s="713">
        <f>'CashFlow '!DE37</f>
        <v>81.930999999999997</v>
      </c>
      <c r="BW128" s="713">
        <f>'CashFlow '!DF37</f>
        <v>56.160000000000004</v>
      </c>
      <c r="BX128" s="713">
        <f>'CashFlow '!DG37</f>
        <v>74.966000000000079</v>
      </c>
      <c r="BY128" s="615">
        <f>'CashFlow '!DH37</f>
        <v>251.64000000000004</v>
      </c>
      <c r="BZ128" s="713">
        <f>'CashFlow '!DI37</f>
        <v>107.6994656737603</v>
      </c>
      <c r="CA128" s="713">
        <f>'CashFlow '!DJ37</f>
        <v>64.541286356006523</v>
      </c>
      <c r="CB128" s="713">
        <f>'CashFlow '!DK37</f>
        <v>66.637039951397369</v>
      </c>
      <c r="CC128" s="713">
        <f>'CashFlow '!DL37</f>
        <v>61.309683284419997</v>
      </c>
      <c r="CD128" s="615">
        <f>'CashFlow '!DM37</f>
        <v>300.18747526558423</v>
      </c>
      <c r="CE128" s="713">
        <f>'CashFlow '!DN37</f>
        <v>104.12453473625743</v>
      </c>
      <c r="CF128" s="713">
        <f>'CashFlow '!DO37</f>
        <v>74.669652670587411</v>
      </c>
      <c r="CG128" s="713">
        <f>'CashFlow '!DP37</f>
        <v>75.835349617188655</v>
      </c>
      <c r="CH128" s="713">
        <f>'CashFlow '!DQ37</f>
        <v>69.992591892794252</v>
      </c>
      <c r="CI128" s="615">
        <f>'CashFlow '!DR37</f>
        <v>324.62212891682776</v>
      </c>
      <c r="CJ128" s="713">
        <f>'CashFlow '!DS37</f>
        <v>114.3455108692866</v>
      </c>
      <c r="CK128" s="713">
        <f>'CashFlow '!DT37</f>
        <v>84.215274918830403</v>
      </c>
      <c r="CL128" s="713">
        <f>'CashFlow '!DU37</f>
        <v>84.462071953211336</v>
      </c>
      <c r="CM128" s="713">
        <f>'CashFlow '!DV37</f>
        <v>78.359803593952989</v>
      </c>
      <c r="CN128" s="615">
        <f>'CashFlow '!DW37</f>
        <v>361.38266133528128</v>
      </c>
      <c r="CO128" s="45"/>
      <c r="CR128" s="1025" t="s">
        <v>447</v>
      </c>
      <c r="CS128" s="713">
        <f>BX128</f>
        <v>74.966000000000079</v>
      </c>
      <c r="CT128" s="713">
        <v>82.526574130123862</v>
      </c>
      <c r="CU128" s="190">
        <f t="shared" si="272"/>
        <v>-7.5605741301237828</v>
      </c>
      <c r="CV128" s="713">
        <f>BS128</f>
        <v>50.563999999999986</v>
      </c>
      <c r="CW128" s="388">
        <f t="shared" si="283"/>
        <v>0.48259631358278821</v>
      </c>
      <c r="DB128"/>
      <c r="DC128"/>
      <c r="DD128"/>
      <c r="DE128"/>
      <c r="DF128"/>
      <c r="DG128"/>
      <c r="HQ128" s="3"/>
      <c r="HR128" s="3"/>
      <c r="HS128" s="3"/>
      <c r="HT128" s="3"/>
      <c r="HU128" s="3"/>
      <c r="HV128" s="3"/>
      <c r="HW128" s="3"/>
      <c r="HX128" s="3"/>
      <c r="HY128" s="3"/>
      <c r="HZ128" s="3"/>
      <c r="IA128" s="3"/>
      <c r="IB128" s="3"/>
      <c r="IC128" s="3"/>
      <c r="ID128" s="3"/>
      <c r="IE128" s="3"/>
      <c r="IF128" s="3"/>
      <c r="IG128" s="3"/>
      <c r="IH128" s="3"/>
      <c r="II128" s="3"/>
      <c r="IJ128" s="3"/>
      <c r="IK128" s="3"/>
      <c r="IL128" s="3"/>
      <c r="IM128" s="3"/>
      <c r="IN128" s="3"/>
      <c r="IO128" s="3"/>
      <c r="IP128" s="3"/>
      <c r="IQ128" s="3"/>
      <c r="IR128" s="3"/>
      <c r="IS128" s="3"/>
      <c r="IT128" s="3"/>
      <c r="IU128" s="3"/>
      <c r="IV128" s="3"/>
    </row>
    <row r="129" spans="1:256" s="66" customFormat="1">
      <c r="A129" s="854" t="s">
        <v>254</v>
      </c>
      <c r="B129" s="45"/>
      <c r="C129" s="45"/>
      <c r="D129" s="45"/>
      <c r="E129" s="45"/>
      <c r="F129" s="45"/>
      <c r="G129" s="45"/>
      <c r="H129" s="45"/>
      <c r="I129" s="45"/>
      <c r="J129" s="45"/>
      <c r="K129" s="45"/>
      <c r="L129" s="45"/>
      <c r="M129" s="45"/>
      <c r="N129" s="45"/>
      <c r="O129" s="45"/>
      <c r="P129" s="45"/>
      <c r="Q129" s="45"/>
      <c r="R129" s="45"/>
      <c r="S129" s="45"/>
      <c r="T129" s="45"/>
      <c r="U129" s="45"/>
      <c r="V129" s="45"/>
      <c r="W129" s="187"/>
      <c r="X129" s="186"/>
      <c r="Y129" s="186"/>
      <c r="Z129" s="186"/>
      <c r="AA129" s="189"/>
      <c r="AB129" s="186"/>
      <c r="AC129" s="186"/>
      <c r="AD129" s="186"/>
      <c r="AE129" s="186"/>
      <c r="AF129" s="189">
        <f>-'CashFlow '!BO39</f>
        <v>106.989</v>
      </c>
      <c r="AG129" s="186">
        <f>-'CashFlow '!BP39</f>
        <v>17.202999999999999</v>
      </c>
      <c r="AH129" s="186">
        <f>-'CashFlow '!BQ39</f>
        <v>22.812000000000001</v>
      </c>
      <c r="AI129" s="186">
        <f>-'CashFlow '!BR39</f>
        <v>25.265000000000004</v>
      </c>
      <c r="AJ129" s="186">
        <f>-'CashFlow '!BS39</f>
        <v>36.634</v>
      </c>
      <c r="AK129" s="616">
        <f>-'CashFlow '!BT39</f>
        <v>101.914</v>
      </c>
      <c r="AL129" s="186">
        <f>-'CashFlow '!BU39</f>
        <v>27.143000000000001</v>
      </c>
      <c r="AM129" s="186">
        <f>-'CashFlow '!BV39</f>
        <v>25.586999999999996</v>
      </c>
      <c r="AN129" s="186">
        <f>-'CashFlow '!BW39</f>
        <v>42.006</v>
      </c>
      <c r="AO129" s="186">
        <f>-'CashFlow '!BX39</f>
        <v>53.233000000000004</v>
      </c>
      <c r="AP129" s="189">
        <f>-'CashFlow '!BY39</f>
        <v>147.96899999999999</v>
      </c>
      <c r="AQ129" s="186">
        <f>-'CashFlow '!BZ39</f>
        <v>28.568000000000001</v>
      </c>
      <c r="AR129" s="186">
        <f>-'CashFlow '!CA39</f>
        <v>27.398</v>
      </c>
      <c r="AS129" s="186">
        <f>-'CashFlow '!CB39</f>
        <v>35.947000000000003</v>
      </c>
      <c r="AT129" s="186">
        <f>-'CashFlow '!CC39</f>
        <v>54.850000000000009</v>
      </c>
      <c r="AU129" s="616">
        <f>-'CashFlow '!CD39</f>
        <v>146.76300000000001</v>
      </c>
      <c r="AV129" s="186">
        <f>-'CashFlow '!CE39</f>
        <v>46.997999999999998</v>
      </c>
      <c r="AW129" s="186">
        <f>-'CashFlow '!CF39</f>
        <v>37.080999999999996</v>
      </c>
      <c r="AX129" s="186">
        <f>-'CashFlow '!CG39</f>
        <v>42.246000000000009</v>
      </c>
      <c r="AY129" s="186">
        <f>-'CashFlow '!CH39</f>
        <v>71.265000000000015</v>
      </c>
      <c r="AZ129" s="616">
        <f>-'CashFlow '!CI39</f>
        <v>197.59</v>
      </c>
      <c r="BA129" s="186">
        <f>-'CashFlow '!CJ39</f>
        <v>39.976999999999997</v>
      </c>
      <c r="BB129" s="186">
        <f>-'CashFlow '!CK39</f>
        <v>41.792999999999999</v>
      </c>
      <c r="BC129" s="186">
        <f>-'CashFlow '!CL39</f>
        <v>49.031999999999996</v>
      </c>
      <c r="BD129" s="186">
        <f>-'CashFlow '!CM39</f>
        <v>93.443000000000012</v>
      </c>
      <c r="BE129" s="616">
        <f>-'CashFlow '!CN39</f>
        <v>224.245</v>
      </c>
      <c r="BF129" s="186">
        <f>-'CashFlow '!CO39</f>
        <v>53.058</v>
      </c>
      <c r="BG129" s="186">
        <f>-'CashFlow '!CP39</f>
        <v>61.463000000000001</v>
      </c>
      <c r="BH129" s="186">
        <f>-'CashFlow '!CQ39</f>
        <v>83.365000000000009</v>
      </c>
      <c r="BI129" s="186">
        <f>-'CashFlow '!CR39</f>
        <v>100.58499999999998</v>
      </c>
      <c r="BJ129" s="616">
        <f>-'CashFlow '!CS39</f>
        <v>298.471</v>
      </c>
      <c r="BK129" s="186">
        <f>-'CashFlow '!CT39</f>
        <v>61.28</v>
      </c>
      <c r="BL129" s="186">
        <f>-'CashFlow '!CU39</f>
        <v>69.268000000000001</v>
      </c>
      <c r="BM129" s="186">
        <f>-'CashFlow '!CV39</f>
        <v>57.698000000000008</v>
      </c>
      <c r="BN129" s="186">
        <f>-'CashFlow '!CW39</f>
        <v>63.376000000000005</v>
      </c>
      <c r="BO129" s="616">
        <f>-'CashFlow '!CX39</f>
        <v>251.62200000000001</v>
      </c>
      <c r="BP129" s="186">
        <f>-'CashFlow '!CY39</f>
        <v>38.857999999999997</v>
      </c>
      <c r="BQ129" s="186">
        <f>-'CashFlow '!CZ39</f>
        <v>29.637000000000008</v>
      </c>
      <c r="BR129" s="186">
        <f>-'CashFlow '!DA39</f>
        <v>40.249000000000002</v>
      </c>
      <c r="BS129" s="186">
        <f>-'CashFlow '!DB39</f>
        <v>41.278999999999996</v>
      </c>
      <c r="BT129" s="616">
        <f>-'CashFlow '!DC39</f>
        <v>150.023</v>
      </c>
      <c r="BU129" s="186">
        <f>-'CashFlow '!DD39</f>
        <v>14.811</v>
      </c>
      <c r="BV129" s="186">
        <f>-'CashFlow '!DE39</f>
        <v>17.305999999999997</v>
      </c>
      <c r="BW129" s="186">
        <f>-'CashFlow '!DF39</f>
        <v>21.594000000000001</v>
      </c>
      <c r="BX129" s="186">
        <f>-'CashFlow '!DG39</f>
        <v>27.998999999999995</v>
      </c>
      <c r="BY129" s="616">
        <f>-'CashFlow '!DH39</f>
        <v>81.709999999999994</v>
      </c>
      <c r="BZ129" s="186">
        <f>-'CashFlow '!DI39</f>
        <v>18.80078125</v>
      </c>
      <c r="CA129" s="186">
        <f>-'CashFlow '!DJ39</f>
        <v>18.80828125</v>
      </c>
      <c r="CB129" s="186">
        <f>-'CashFlow '!DK39</f>
        <v>18.815781250000001</v>
      </c>
      <c r="CC129" s="186">
        <f>-'CashFlow '!DL39</f>
        <v>18.823281250000001</v>
      </c>
      <c r="CD129" s="616">
        <f>-'CashFlow '!DM39</f>
        <v>75.248125000000002</v>
      </c>
      <c r="CE129" s="186">
        <f>-'CashFlow '!DN39</f>
        <v>17.498124999999998</v>
      </c>
      <c r="CF129" s="186">
        <f>-'CashFlow '!DO39</f>
        <v>17.510624999999997</v>
      </c>
      <c r="CG129" s="186">
        <f>-'CashFlow '!DP39</f>
        <v>17.523125</v>
      </c>
      <c r="CH129" s="186">
        <f>-'CashFlow '!DQ39</f>
        <v>17.535624999999996</v>
      </c>
      <c r="CI129" s="616">
        <f>-'CashFlow '!DR39</f>
        <v>70.067499999999995</v>
      </c>
      <c r="CJ129" s="186">
        <f>-'CashFlow '!DS39</f>
        <v>16.142968749999998</v>
      </c>
      <c r="CK129" s="186">
        <f>-'CashFlow '!DT39</f>
        <v>16.161718749999999</v>
      </c>
      <c r="CL129" s="186">
        <f>-'CashFlow '!DU39</f>
        <v>16.180468749999999</v>
      </c>
      <c r="CM129" s="186">
        <f>-'CashFlow '!DV39</f>
        <v>16.19921875</v>
      </c>
      <c r="CN129" s="616">
        <f>-'CashFlow '!DW39</f>
        <v>64.684375000000003</v>
      </c>
      <c r="CO129" s="45"/>
      <c r="CR129" s="1025" t="s">
        <v>254</v>
      </c>
      <c r="CS129" s="186">
        <f>BX129</f>
        <v>27.998999999999995</v>
      </c>
      <c r="CT129" s="186">
        <v>30.232093749999997</v>
      </c>
      <c r="CU129" s="189">
        <f t="shared" si="272"/>
        <v>-2.2330937500000019</v>
      </c>
      <c r="CV129" s="186">
        <f>BS129</f>
        <v>41.278999999999996</v>
      </c>
      <c r="CW129" s="153">
        <f t="shared" si="283"/>
        <v>-0.3217132197969913</v>
      </c>
      <c r="DB129"/>
      <c r="DC129"/>
      <c r="DD129"/>
      <c r="DE129"/>
      <c r="DF129"/>
      <c r="DG129"/>
      <c r="HQ129" s="6"/>
      <c r="HR129" s="6"/>
      <c r="HS129" s="6"/>
      <c r="HT129" s="6"/>
      <c r="HU129" s="6"/>
      <c r="HV129" s="6"/>
      <c r="HW129" s="6"/>
      <c r="HX129" s="6"/>
      <c r="HY129" s="6"/>
      <c r="HZ129" s="6"/>
      <c r="IA129" s="6"/>
      <c r="IB129" s="6"/>
      <c r="IC129" s="6"/>
      <c r="ID129" s="6"/>
      <c r="IE129" s="6"/>
      <c r="IF129" s="6"/>
      <c r="IG129" s="6"/>
      <c r="IH129" s="6"/>
      <c r="II129" s="6"/>
      <c r="IJ129" s="6"/>
      <c r="IK129" s="6"/>
      <c r="IL129" s="6"/>
      <c r="IM129" s="6"/>
      <c r="IN129" s="6"/>
      <c r="IO129" s="6"/>
      <c r="IP129" s="6"/>
      <c r="IQ129" s="6"/>
      <c r="IR129" s="6"/>
      <c r="IS129" s="6"/>
      <c r="IT129" s="6"/>
      <c r="IU129" s="6"/>
      <c r="IV129" s="6"/>
    </row>
    <row r="130" spans="1:256" s="66" customFormat="1">
      <c r="A130" s="855" t="s">
        <v>255</v>
      </c>
      <c r="B130" s="618"/>
      <c r="C130" s="618"/>
      <c r="D130" s="618"/>
      <c r="E130" s="618"/>
      <c r="F130" s="618"/>
      <c r="G130" s="618"/>
      <c r="H130" s="618"/>
      <c r="I130" s="618"/>
      <c r="J130" s="618"/>
      <c r="K130" s="618"/>
      <c r="L130" s="618"/>
      <c r="M130" s="618"/>
      <c r="N130" s="618"/>
      <c r="O130" s="618"/>
      <c r="P130" s="618"/>
      <c r="Q130" s="618"/>
      <c r="R130" s="618"/>
      <c r="S130" s="618"/>
      <c r="T130" s="618"/>
      <c r="U130" s="618"/>
      <c r="V130" s="618"/>
      <c r="W130" s="667"/>
      <c r="X130" s="666"/>
      <c r="Y130" s="666"/>
      <c r="Z130" s="666"/>
      <c r="AA130" s="668"/>
      <c r="AB130" s="666"/>
      <c r="AC130" s="666"/>
      <c r="AD130" s="666"/>
      <c r="AE130" s="666"/>
      <c r="AF130" s="668">
        <f>AF128-AF129</f>
        <v>-33.384000000000015</v>
      </c>
      <c r="AG130" s="666">
        <f t="shared" ref="AG130:AZ130" si="284">AG128-AG129</f>
        <v>41.061000000000007</v>
      </c>
      <c r="AH130" s="666">
        <f t="shared" si="284"/>
        <v>65.372</v>
      </c>
      <c r="AI130" s="666">
        <f t="shared" si="284"/>
        <v>79.58799999999998</v>
      </c>
      <c r="AJ130" s="666">
        <f t="shared" si="284"/>
        <v>10.863000000000014</v>
      </c>
      <c r="AK130" s="669">
        <f t="shared" si="284"/>
        <v>196.8839999999999</v>
      </c>
      <c r="AL130" s="666">
        <f t="shared" si="284"/>
        <v>8.097999999999999</v>
      </c>
      <c r="AM130" s="666">
        <f t="shared" si="284"/>
        <v>41.380999999999979</v>
      </c>
      <c r="AN130" s="666">
        <f t="shared" si="284"/>
        <v>23.157000000000011</v>
      </c>
      <c r="AO130" s="666">
        <f t="shared" si="284"/>
        <v>5.6449999999999747</v>
      </c>
      <c r="AP130" s="668">
        <f t="shared" si="284"/>
        <v>78.281000000000006</v>
      </c>
      <c r="AQ130" s="666">
        <f t="shared" si="284"/>
        <v>24.894999999999992</v>
      </c>
      <c r="AR130" s="666">
        <f t="shared" si="284"/>
        <v>51.738</v>
      </c>
      <c r="AS130" s="666">
        <f t="shared" si="284"/>
        <v>13.556999999999988</v>
      </c>
      <c r="AT130" s="666">
        <f t="shared" si="284"/>
        <v>9.7639999999999816</v>
      </c>
      <c r="AU130" s="669">
        <f t="shared" si="284"/>
        <v>99.953999999999951</v>
      </c>
      <c r="AV130" s="666">
        <f t="shared" si="284"/>
        <v>-62.141999999999996</v>
      </c>
      <c r="AW130" s="666">
        <f t="shared" si="284"/>
        <v>46.593000000000025</v>
      </c>
      <c r="AX130" s="666">
        <f t="shared" si="284"/>
        <v>13.855000000000004</v>
      </c>
      <c r="AY130" s="666">
        <f t="shared" si="284"/>
        <v>-5.4810000000000514</v>
      </c>
      <c r="AZ130" s="669">
        <f t="shared" si="284"/>
        <v>-7.1749999999999261</v>
      </c>
      <c r="BA130" s="666">
        <f t="shared" ref="BA130:BJ130" si="285">BA128-BA129</f>
        <v>-7.3729999999999905</v>
      </c>
      <c r="BB130" s="666">
        <f t="shared" si="285"/>
        <v>68.967000000000013</v>
      </c>
      <c r="BC130" s="666">
        <f t="shared" si="285"/>
        <v>60.295000000000016</v>
      </c>
      <c r="BD130" s="666">
        <f t="shared" si="285"/>
        <v>-16.287000000000049</v>
      </c>
      <c r="BE130" s="669">
        <f t="shared" si="285"/>
        <v>105.60199999999998</v>
      </c>
      <c r="BF130" s="666">
        <f t="shared" si="285"/>
        <v>-38.317000000000014</v>
      </c>
      <c r="BG130" s="666">
        <f t="shared" si="285"/>
        <v>4.8049999999999997</v>
      </c>
      <c r="BH130" s="666">
        <f t="shared" si="285"/>
        <v>18.222000000000008</v>
      </c>
      <c r="BI130" s="666">
        <f t="shared" si="285"/>
        <v>-28.404999999999959</v>
      </c>
      <c r="BJ130" s="669">
        <f t="shared" si="285"/>
        <v>-43.694999999999965</v>
      </c>
      <c r="BK130" s="666">
        <f t="shared" ref="BK130:BT130" si="286">BK128-BK129</f>
        <v>-39.540000000000006</v>
      </c>
      <c r="BL130" s="666">
        <f t="shared" si="286"/>
        <v>-37.893999999999977</v>
      </c>
      <c r="BM130" s="666">
        <f t="shared" si="286"/>
        <v>7.8169999999999789</v>
      </c>
      <c r="BN130" s="666">
        <f t="shared" si="286"/>
        <v>30.428999999999988</v>
      </c>
      <c r="BO130" s="669">
        <f t="shared" si="286"/>
        <v>-39.142000000000053</v>
      </c>
      <c r="BP130" s="666">
        <f t="shared" si="286"/>
        <v>8.4160000000000039</v>
      </c>
      <c r="BQ130" s="666">
        <f t="shared" si="286"/>
        <v>23.957000000000008</v>
      </c>
      <c r="BR130" s="666">
        <f t="shared" si="286"/>
        <v>-10.459000000000017</v>
      </c>
      <c r="BS130" s="666">
        <f t="shared" si="286"/>
        <v>9.2849999999999895</v>
      </c>
      <c r="BT130" s="669">
        <f t="shared" si="286"/>
        <v>31.385000000000019</v>
      </c>
      <c r="BU130" s="666">
        <f t="shared" ref="BU130:CN130" si="287">BU128-BU129</f>
        <v>23.841000000000001</v>
      </c>
      <c r="BV130" s="666">
        <f t="shared" si="287"/>
        <v>64.625</v>
      </c>
      <c r="BW130" s="666">
        <f t="shared" si="287"/>
        <v>34.566000000000003</v>
      </c>
      <c r="BX130" s="666">
        <f t="shared" si="287"/>
        <v>46.967000000000084</v>
      </c>
      <c r="BY130" s="669">
        <f t="shared" si="287"/>
        <v>169.93000000000006</v>
      </c>
      <c r="BZ130" s="666">
        <f t="shared" si="287"/>
        <v>88.898684423760301</v>
      </c>
      <c r="CA130" s="666">
        <f t="shared" si="287"/>
        <v>45.733005106006523</v>
      </c>
      <c r="CB130" s="666">
        <f t="shared" si="287"/>
        <v>47.821258701397369</v>
      </c>
      <c r="CC130" s="666">
        <f t="shared" si="287"/>
        <v>42.486402034419996</v>
      </c>
      <c r="CD130" s="669">
        <f t="shared" si="287"/>
        <v>224.93935026558421</v>
      </c>
      <c r="CE130" s="666">
        <f t="shared" si="287"/>
        <v>86.626409736257429</v>
      </c>
      <c r="CF130" s="666">
        <f t="shared" si="287"/>
        <v>57.159027670587413</v>
      </c>
      <c r="CG130" s="666">
        <f t="shared" si="287"/>
        <v>58.312224617188654</v>
      </c>
      <c r="CH130" s="666">
        <f t="shared" si="287"/>
        <v>52.456966892794256</v>
      </c>
      <c r="CI130" s="669">
        <f t="shared" si="287"/>
        <v>254.55462891682777</v>
      </c>
      <c r="CJ130" s="666">
        <f t="shared" si="287"/>
        <v>98.202542119286605</v>
      </c>
      <c r="CK130" s="666">
        <f t="shared" si="287"/>
        <v>68.053556168830397</v>
      </c>
      <c r="CL130" s="666">
        <f t="shared" si="287"/>
        <v>68.281603203211333</v>
      </c>
      <c r="CM130" s="666">
        <f t="shared" si="287"/>
        <v>62.160584843952989</v>
      </c>
      <c r="CN130" s="669">
        <f t="shared" si="287"/>
        <v>296.6982863352813</v>
      </c>
      <c r="CO130" s="45"/>
      <c r="CR130" s="1031" t="s">
        <v>255</v>
      </c>
      <c r="CS130" s="716">
        <f>BX130</f>
        <v>46.967000000000084</v>
      </c>
      <c r="CT130" s="716">
        <v>52.294480380123865</v>
      </c>
      <c r="CU130" s="714">
        <f t="shared" si="272"/>
        <v>-5.3274803801237809</v>
      </c>
      <c r="CV130" s="716">
        <f>BS130</f>
        <v>9.2849999999999895</v>
      </c>
      <c r="CW130" s="170">
        <f t="shared" si="283"/>
        <v>4.0583737210554807</v>
      </c>
      <c r="DB130"/>
      <c r="DC130"/>
      <c r="DD130"/>
      <c r="DE130"/>
      <c r="DF130"/>
      <c r="DG130"/>
      <c r="HQ130" s="6"/>
      <c r="HR130" s="6"/>
      <c r="HS130" s="6"/>
      <c r="HT130" s="6"/>
      <c r="HU130" s="6"/>
      <c r="HV130" s="6"/>
      <c r="HW130" s="6"/>
      <c r="HX130" s="6"/>
      <c r="HY130" s="6"/>
      <c r="HZ130" s="6"/>
      <c r="IA130" s="6"/>
      <c r="IB130" s="6"/>
      <c r="IC130" s="6"/>
      <c r="ID130" s="6"/>
      <c r="IE130" s="6"/>
      <c r="IF130" s="6"/>
      <c r="IG130" s="6"/>
      <c r="IH130" s="6"/>
      <c r="II130" s="6"/>
      <c r="IJ130" s="6"/>
      <c r="IK130" s="6"/>
      <c r="IL130" s="6"/>
      <c r="IM130" s="6"/>
      <c r="IN130" s="6"/>
      <c r="IO130" s="6"/>
      <c r="IP130" s="6"/>
      <c r="IQ130" s="6"/>
      <c r="IR130" s="6"/>
      <c r="IS130" s="6"/>
      <c r="IT130" s="6"/>
      <c r="IU130" s="6"/>
      <c r="IV130" s="6"/>
    </row>
    <row r="131" spans="1:256">
      <c r="A131" s="232" t="s">
        <v>322</v>
      </c>
      <c r="B131" s="41"/>
      <c r="BE131" s="985"/>
    </row>
    <row r="132" spans="1:256">
      <c r="A132" s="195"/>
      <c r="B132" s="41"/>
    </row>
    <row r="133" spans="1:256">
      <c r="A133" s="689" t="s">
        <v>457</v>
      </c>
      <c r="B133" s="41"/>
      <c r="BE133" s="52"/>
      <c r="CR133" s="66"/>
      <c r="CS133" s="66"/>
      <c r="CT133" s="66"/>
      <c r="CU133" s="66"/>
      <c r="CV133" s="66"/>
      <c r="CW133" s="66"/>
    </row>
    <row r="134" spans="1:256">
      <c r="A134" s="521" t="s">
        <v>458</v>
      </c>
      <c r="B134" s="41"/>
      <c r="V134" s="249"/>
      <c r="W134" s="690"/>
      <c r="X134" s="690"/>
      <c r="Y134" s="690"/>
      <c r="Z134" s="690"/>
      <c r="AA134" s="411"/>
      <c r="AB134" s="690">
        <f>AB67</f>
        <v>469.32</v>
      </c>
      <c r="AC134" s="690">
        <f>AB67</f>
        <v>469.32</v>
      </c>
      <c r="AD134" s="690">
        <f>AC67</f>
        <v>469.4</v>
      </c>
      <c r="AE134" s="690">
        <f>AD67</f>
        <v>469.42599999999999</v>
      </c>
      <c r="AF134" s="411"/>
      <c r="AG134" s="690">
        <f>AE67</f>
        <v>468.80200000000002</v>
      </c>
      <c r="AH134" s="690">
        <f>AG67</f>
        <v>469.23700000000002</v>
      </c>
      <c r="AI134" s="690">
        <f>AH67</f>
        <v>471.15300000000002</v>
      </c>
      <c r="AJ134" s="690">
        <f>AI67</f>
        <v>471.39299999999997</v>
      </c>
      <c r="AK134" s="411"/>
      <c r="AL134" s="690">
        <f>AJ67</f>
        <v>459.39</v>
      </c>
      <c r="AM134" s="690">
        <f>AL67</f>
        <v>443.32600000000002</v>
      </c>
      <c r="AN134" s="690">
        <f>AM67</f>
        <v>426.56700000000001</v>
      </c>
      <c r="AO134" s="690">
        <f>AN67</f>
        <v>417.98500000000001</v>
      </c>
      <c r="AP134" s="1109"/>
      <c r="AQ134" s="1110">
        <f>AO67</f>
        <v>418.084</v>
      </c>
      <c r="AR134" s="1110">
        <f>AQ67</f>
        <v>418.52</v>
      </c>
      <c r="AS134" s="1110">
        <f>AR67</f>
        <v>419.23899999999998</v>
      </c>
      <c r="AT134" s="1110">
        <f>AS67</f>
        <v>397.899</v>
      </c>
      <c r="AU134" s="1109"/>
      <c r="AV134" s="1110">
        <f>AT67</f>
        <v>391.99200000000002</v>
      </c>
      <c r="AW134" s="1110">
        <f>AV67</f>
        <v>392.27499999999998</v>
      </c>
      <c r="AX134" s="1110">
        <f>AW67</f>
        <v>389.97800000000001</v>
      </c>
      <c r="AY134" s="1110">
        <f>AX67</f>
        <v>390.40600000000001</v>
      </c>
      <c r="AZ134" s="1109"/>
      <c r="BA134" s="1110">
        <f>AY67</f>
        <v>392.64</v>
      </c>
      <c r="BB134" s="1110">
        <f>BA67</f>
        <v>395.69400000000002</v>
      </c>
      <c r="BC134" s="1110">
        <f>BB67</f>
        <v>397.88400000000001</v>
      </c>
      <c r="BD134" s="1110">
        <f>BC67</f>
        <v>400.72600000000011</v>
      </c>
      <c r="BE134" s="1111"/>
      <c r="BF134" s="1110">
        <f>BD67</f>
        <v>400.416</v>
      </c>
      <c r="BG134" s="1110">
        <f>BF67</f>
        <v>389.35199999999998</v>
      </c>
      <c r="BH134" s="1110">
        <f>BG67</f>
        <v>372.17200000000003</v>
      </c>
      <c r="BI134" s="1110">
        <f>BH67</f>
        <v>372.15199999999999</v>
      </c>
      <c r="BJ134" s="1109"/>
      <c r="BK134" s="1110">
        <f>BI67</f>
        <v>371.05</v>
      </c>
      <c r="BL134" s="1110">
        <f>BK67</f>
        <v>373.20800000000003</v>
      </c>
      <c r="BM134" s="1110">
        <f>BL67</f>
        <v>370.54199999999997</v>
      </c>
      <c r="BN134" s="1110">
        <f>BM67</f>
        <v>296.95100000000002</v>
      </c>
      <c r="BO134" s="1109"/>
      <c r="BP134" s="1110">
        <f>BN67</f>
        <v>278.024</v>
      </c>
      <c r="BQ134" s="1110">
        <f>BP67</f>
        <v>274.75</v>
      </c>
      <c r="BR134" s="1110">
        <f>BQ67</f>
        <v>270.26499999999999</v>
      </c>
      <c r="BS134" s="1110">
        <f>BR67</f>
        <v>264.80799999999999</v>
      </c>
      <c r="BT134" s="1109"/>
      <c r="BU134" s="1110">
        <f>BS67</f>
        <v>257.02600000000001</v>
      </c>
      <c r="BV134" s="1110">
        <f>BU67</f>
        <v>254.239</v>
      </c>
      <c r="BW134" s="1110">
        <f>BV67</f>
        <v>253.553</v>
      </c>
      <c r="BX134" s="1110">
        <f>BW67</f>
        <v>251.73699999999999</v>
      </c>
      <c r="BY134" s="1109"/>
      <c r="BZ134" s="1110">
        <f>BX67</f>
        <v>249.626</v>
      </c>
      <c r="CA134" s="1110">
        <f>BZ67</f>
        <v>248.42126559749408</v>
      </c>
      <c r="CB134" s="1110">
        <f>CA67</f>
        <v>246.88916712452232</v>
      </c>
      <c r="CC134" s="1110">
        <f>CB67</f>
        <v>245.46812095978726</v>
      </c>
      <c r="CD134" s="1109"/>
      <c r="CE134" s="1110">
        <f>CC67</f>
        <v>244.15283889813486</v>
      </c>
      <c r="CF134" s="1110">
        <f>CE67</f>
        <v>242.90938133498906</v>
      </c>
      <c r="CG134" s="1110">
        <f>CF67</f>
        <v>241.70599156719908</v>
      </c>
      <c r="CH134" s="1110">
        <f>CG67</f>
        <v>240.54188395171872</v>
      </c>
      <c r="CI134" s="1109"/>
      <c r="CJ134" s="1110">
        <f>CH67</f>
        <v>239.41628825026737</v>
      </c>
      <c r="CK134" s="1110">
        <f>CJ67</f>
        <v>238.79573618940248</v>
      </c>
      <c r="CL134" s="1110">
        <f>CK67</f>
        <v>238.67032495264192</v>
      </c>
      <c r="CM134" s="1110">
        <f>CL67</f>
        <v>238.56305903424925</v>
      </c>
      <c r="CN134" s="1109"/>
      <c r="CR134" s="66"/>
      <c r="CS134" s="66"/>
      <c r="CT134" s="66"/>
      <c r="CU134" s="66"/>
      <c r="CV134" s="66"/>
      <c r="CW134" s="66"/>
    </row>
    <row r="135" spans="1:256">
      <c r="A135" s="522" t="s">
        <v>536</v>
      </c>
      <c r="B135" s="41"/>
      <c r="V135" s="89"/>
      <c r="W135" s="691"/>
      <c r="X135" s="691"/>
      <c r="Y135" s="691"/>
      <c r="Z135" s="691"/>
      <c r="AA135" s="98"/>
      <c r="AB135" s="691">
        <v>0</v>
      </c>
      <c r="AC135" s="691">
        <v>0</v>
      </c>
      <c r="AD135" s="691">
        <f>-'CashFlow '!BM45</f>
        <v>0.30300000000000005</v>
      </c>
      <c r="AE135" s="692">
        <f>-'CashFlow '!BN45</f>
        <v>-0.16300000000000003</v>
      </c>
      <c r="AF135" s="98">
        <f>SUM(AB135:AE135)</f>
        <v>0.14000000000000001</v>
      </c>
      <c r="AG135" s="692">
        <f>-'CashFlow '!BP51</f>
        <v>0</v>
      </c>
      <c r="AH135" s="692">
        <f>-'CashFlow '!BQ51</f>
        <v>0</v>
      </c>
      <c r="AI135" s="692">
        <f>-'CashFlow '!BR51</f>
        <v>25.244</v>
      </c>
      <c r="AJ135" s="692">
        <f>-'CashFlow '!BS51</f>
        <v>47.683000000000007</v>
      </c>
      <c r="AK135" s="98">
        <f>SUM(AG135:AJ135)</f>
        <v>72.927000000000007</v>
      </c>
      <c r="AL135" s="691">
        <f>-'CashFlow '!BU51</f>
        <v>80.841999999999999</v>
      </c>
      <c r="AM135" s="692">
        <f>-'CashFlow '!BV51</f>
        <v>92.695000000000007</v>
      </c>
      <c r="AN135" s="692">
        <f>-'CashFlow '!BW51</f>
        <v>0</v>
      </c>
      <c r="AO135" s="692">
        <f>-'CashFlow '!BX51</f>
        <v>0</v>
      </c>
      <c r="AP135" s="1112">
        <f>SUM(AL135:AO135)</f>
        <v>173.53700000000001</v>
      </c>
      <c r="AQ135" s="1113">
        <f>-'CashFlow '!BZ51</f>
        <v>0</v>
      </c>
      <c r="AR135" s="1113">
        <f>-'CashFlow '!CA51</f>
        <v>37.4</v>
      </c>
      <c r="AS135" s="1113">
        <f>-'CashFlow '!CB51</f>
        <v>115.28100000000001</v>
      </c>
      <c r="AT135" s="1113">
        <f>-'CashFlow '!CC51</f>
        <v>4.8750000000000071</v>
      </c>
      <c r="AU135" s="1112">
        <f>SUM(AQ135:AT135)</f>
        <v>157.55600000000001</v>
      </c>
      <c r="AV135" s="1113">
        <f>-'CashFlow '!CE51</f>
        <v>0</v>
      </c>
      <c r="AW135" s="1113">
        <f>-'CashFlow '!CF51</f>
        <v>0</v>
      </c>
      <c r="AX135" s="1113">
        <f>-'CashFlow '!CG51</f>
        <v>0</v>
      </c>
      <c r="AY135" s="1113">
        <f>-'CashFlow '!CH51</f>
        <v>0</v>
      </c>
      <c r="AZ135" s="1112">
        <f>SUM(AV135:AY135)</f>
        <v>0</v>
      </c>
      <c r="BA135" s="1113">
        <f>-'CashFlow '!CJ51</f>
        <v>0</v>
      </c>
      <c r="BB135" s="1113">
        <f>-'CashFlow '!CK51</f>
        <v>0</v>
      </c>
      <c r="BC135" s="1113">
        <f>-'CashFlow '!CL51</f>
        <v>41.469000000000001</v>
      </c>
      <c r="BD135" s="1113">
        <f>-'CashFlow '!CM51</f>
        <v>27.850999999999992</v>
      </c>
      <c r="BE135" s="1115">
        <f>SUM(BA135:BD135)</f>
        <v>69.319999999999993</v>
      </c>
      <c r="BF135" s="1113">
        <f>-'CashFlow '!CO51</f>
        <v>277.26100000000002</v>
      </c>
      <c r="BG135" s="1113">
        <f>-'CashFlow '!CP51</f>
        <v>1.3999999999953161E-2</v>
      </c>
      <c r="BH135" s="1113">
        <f>-'CashFlow '!CQ51</f>
        <v>13.965000000000032</v>
      </c>
      <c r="BI135" s="1113">
        <f>-'CashFlow '!CR51</f>
        <v>9.9759999999999991</v>
      </c>
      <c r="BJ135" s="1112">
        <f>SUM(BF135:BI135)</f>
        <v>301.21600000000001</v>
      </c>
      <c r="BK135" s="1113">
        <f>-'CashFlow '!CT51</f>
        <v>36.963000000000001</v>
      </c>
      <c r="BL135" s="1113">
        <f>-'CashFlow '!CU51</f>
        <v>26.243000000000002</v>
      </c>
      <c r="BM135" s="1113">
        <f>-'CashFlow '!CV51</f>
        <v>1015.1980000000001</v>
      </c>
      <c r="BN135" s="1113">
        <f>-'CashFlow '!CW51</f>
        <v>20.313000000000102</v>
      </c>
      <c r="BO135" s="1112">
        <f>SUM(BK135:BN135)</f>
        <v>1098.7170000000001</v>
      </c>
      <c r="BP135" s="1113">
        <f>-'CashFlow '!CY51</f>
        <v>47.600999999999999</v>
      </c>
      <c r="BQ135" s="1113">
        <f>-'CashFlow '!CZ51</f>
        <v>60.456000000000003</v>
      </c>
      <c r="BR135" s="1113">
        <f>-'CashFlow '!DA51</f>
        <v>53.136999999999986</v>
      </c>
      <c r="BS135" s="1113">
        <f>-'CashFlow '!DB51</f>
        <v>175.76400000000004</v>
      </c>
      <c r="BT135" s="1112">
        <f>SUM(BP135:BS135)</f>
        <v>336.95800000000003</v>
      </c>
      <c r="BU135" s="1113">
        <f>-'CashFlow '!DD51</f>
        <v>16.026</v>
      </c>
      <c r="BV135" s="1113">
        <f>-'CashFlow '!DE51</f>
        <v>34.501000000000005</v>
      </c>
      <c r="BW135" s="1113">
        <f>-'CashFlow '!DF51</f>
        <v>39.537999999999997</v>
      </c>
      <c r="BX135" s="1113">
        <f>-'CashFlow '!DG51</f>
        <v>36.165999999999997</v>
      </c>
      <c r="BY135" s="1112">
        <f>SUM(BU135:BX135)</f>
        <v>126.23099999999999</v>
      </c>
      <c r="BZ135" s="1114">
        <f>-'CashFlow '!DI51</f>
        <v>40</v>
      </c>
      <c r="CA135" s="1114">
        <f>-'CashFlow '!DJ51</f>
        <v>40</v>
      </c>
      <c r="CB135" s="1114">
        <f>-'CashFlow '!DK51</f>
        <v>40</v>
      </c>
      <c r="CC135" s="1114">
        <f>-'CashFlow '!DL51</f>
        <v>40</v>
      </c>
      <c r="CD135" s="1112">
        <f>SUM(BZ135:CC135)</f>
        <v>160</v>
      </c>
      <c r="CE135" s="1114">
        <f>-'CashFlow '!DN51</f>
        <v>40</v>
      </c>
      <c r="CF135" s="1114">
        <f>-'CashFlow '!DO51</f>
        <v>40</v>
      </c>
      <c r="CG135" s="1114">
        <f>-'CashFlow '!DP51</f>
        <v>40</v>
      </c>
      <c r="CH135" s="1114">
        <f>-'CashFlow '!DQ51</f>
        <v>40</v>
      </c>
      <c r="CI135" s="1112">
        <f>SUM(CE135:CH135)</f>
        <v>160</v>
      </c>
      <c r="CJ135" s="1114">
        <f>-'CashFlow '!DS51</f>
        <v>20</v>
      </c>
      <c r="CK135" s="1114">
        <f>-'CashFlow '!DT51</f>
        <v>20</v>
      </c>
      <c r="CL135" s="1114">
        <f>-'CashFlow '!DU51</f>
        <v>20</v>
      </c>
      <c r="CM135" s="1114">
        <f>-'CashFlow '!DV51</f>
        <v>20</v>
      </c>
      <c r="CN135" s="1112">
        <f>SUM(CJ135:CM135)</f>
        <v>80</v>
      </c>
      <c r="CR135" s="66"/>
      <c r="CS135" s="66"/>
      <c r="CT135" s="66"/>
      <c r="CU135" s="66"/>
      <c r="CV135" s="66"/>
      <c r="CW135" s="66"/>
    </row>
    <row r="136" spans="1:256">
      <c r="A136" s="522" t="s">
        <v>459</v>
      </c>
      <c r="B136" s="41"/>
      <c r="V136" s="89"/>
      <c r="W136" s="694"/>
      <c r="X136" s="694"/>
      <c r="Y136" s="694"/>
      <c r="Z136" s="694"/>
      <c r="AA136" s="693"/>
      <c r="AB136" s="695"/>
      <c r="AC136" s="695"/>
      <c r="AD136" s="694">
        <v>3</v>
      </c>
      <c r="AE136" s="695">
        <v>3.2</v>
      </c>
      <c r="AF136" s="693"/>
      <c r="AG136" s="695">
        <v>5</v>
      </c>
      <c r="AH136" s="695">
        <v>4.1500000000000004</v>
      </c>
      <c r="AI136" s="695">
        <v>4.9000000000000004</v>
      </c>
      <c r="AJ136" s="695">
        <v>4.3499999999999996</v>
      </c>
      <c r="AK136" s="693"/>
      <c r="AL136" s="694">
        <v>5</v>
      </c>
      <c r="AM136" s="695">
        <v>4</v>
      </c>
      <c r="AN136" s="695">
        <v>4.0999999999999996</v>
      </c>
      <c r="AO136" s="695">
        <v>5</v>
      </c>
      <c r="AP136" s="1116"/>
      <c r="AQ136" s="1117">
        <f>AO136*1.02</f>
        <v>5.0999999999999996</v>
      </c>
      <c r="AR136" s="1117">
        <f>AQ136*1.02</f>
        <v>5.202</v>
      </c>
      <c r="AS136" s="1117">
        <v>5</v>
      </c>
      <c r="AT136" s="1117">
        <f>AS136*1.02</f>
        <v>5.0999999999999996</v>
      </c>
      <c r="AU136" s="1116"/>
      <c r="AV136" s="1117">
        <f>AT136*1.02</f>
        <v>5.202</v>
      </c>
      <c r="AW136" s="1117">
        <v>4.8099999999999996</v>
      </c>
      <c r="AX136" s="1117">
        <f>AW136*1.02</f>
        <v>4.9062000000000001</v>
      </c>
      <c r="AY136" s="1117">
        <f>AX136*1.02</f>
        <v>5.0043240000000004</v>
      </c>
      <c r="AZ136" s="1116"/>
      <c r="BA136" s="1117">
        <f>AY136*1.1</f>
        <v>5.5047564000000007</v>
      </c>
      <c r="BB136" s="1117">
        <f>BA136*1.01</f>
        <v>5.5598039640000003</v>
      </c>
      <c r="BC136" s="1117">
        <v>7.58</v>
      </c>
      <c r="BD136" s="1117">
        <v>8.58</v>
      </c>
      <c r="BE136" s="1119"/>
      <c r="BF136" s="1117">
        <v>9.25</v>
      </c>
      <c r="BG136" s="1117">
        <v>8.75</v>
      </c>
      <c r="BH136" s="1117">
        <v>8.0500000000000007</v>
      </c>
      <c r="BI136" s="1117">
        <v>8.01</v>
      </c>
      <c r="BJ136" s="1116"/>
      <c r="BK136" s="1117">
        <v>11.04</v>
      </c>
      <c r="BL136" s="1117">
        <v>10.91</v>
      </c>
      <c r="BM136" s="1117">
        <v>11</v>
      </c>
      <c r="BN136" s="1117">
        <v>10.57</v>
      </c>
      <c r="BO136" s="1116"/>
      <c r="BP136" s="1117">
        <v>9.8699999999999992</v>
      </c>
      <c r="BQ136" s="1117">
        <f>BQ135/BQ137</f>
        <v>10.606315789473685</v>
      </c>
      <c r="BR136" s="1117">
        <v>10.09</v>
      </c>
      <c r="BS136" s="1117">
        <v>12.79</v>
      </c>
      <c r="BT136" s="1116"/>
      <c r="BU136" s="1117">
        <v>13.56</v>
      </c>
      <c r="BV136" s="1117">
        <v>15.14</v>
      </c>
      <c r="BW136" s="1117">
        <v>15.27</v>
      </c>
      <c r="BX136" s="1117">
        <f>BW136*1.02</f>
        <v>15.5754</v>
      </c>
      <c r="BY136" s="1116"/>
      <c r="BZ136" s="1118">
        <f>BX136*1.075</f>
        <v>16.743555000000001</v>
      </c>
      <c r="CA136" s="1118">
        <f>BZ136*1.05</f>
        <v>17.580732750000003</v>
      </c>
      <c r="CB136" s="1118">
        <f>CA136*1.05</f>
        <v>18.459769387500003</v>
      </c>
      <c r="CC136" s="1118">
        <f>CB136*1.05</f>
        <v>19.382757856875003</v>
      </c>
      <c r="CD136" s="1116"/>
      <c r="CE136" s="1118">
        <f>CC136*1.02</f>
        <v>19.770413014012505</v>
      </c>
      <c r="CF136" s="1118">
        <f>CE136*1.02</f>
        <v>20.165821274292753</v>
      </c>
      <c r="CG136" s="1118">
        <f>CF136*1.02</f>
        <v>20.569137699778608</v>
      </c>
      <c r="CH136" s="1118">
        <f>CG136*1.02</f>
        <v>20.980520453774179</v>
      </c>
      <c r="CI136" s="1116"/>
      <c r="CJ136" s="1118">
        <f>CH136*1.02</f>
        <v>21.400130862849664</v>
      </c>
      <c r="CK136" s="1118">
        <f>CJ136*1.02</f>
        <v>21.828133480106658</v>
      </c>
      <c r="CL136" s="1118">
        <f>CK136*1.02</f>
        <v>22.26469614970879</v>
      </c>
      <c r="CM136" s="1118">
        <f>CL136*1.02</f>
        <v>22.709990072702965</v>
      </c>
      <c r="CN136" s="1116"/>
      <c r="CR136" s="66"/>
      <c r="CS136" s="66"/>
      <c r="CT136" s="66"/>
      <c r="CU136" s="66"/>
      <c r="CV136" s="66"/>
      <c r="CW136" s="66"/>
    </row>
    <row r="137" spans="1:256">
      <c r="A137" s="522" t="s">
        <v>460</v>
      </c>
      <c r="B137" s="41"/>
      <c r="V137" s="89"/>
      <c r="W137" s="696"/>
      <c r="X137" s="696"/>
      <c r="Y137" s="696"/>
      <c r="Z137" s="696"/>
      <c r="AA137" s="228"/>
      <c r="AB137" s="696"/>
      <c r="AC137" s="696"/>
      <c r="AD137" s="696">
        <f>AD135/AD136</f>
        <v>0.10100000000000002</v>
      </c>
      <c r="AE137" s="696">
        <f>-AE135/AE136</f>
        <v>5.0937500000000011E-2</v>
      </c>
      <c r="AF137" s="228"/>
      <c r="AG137" s="696">
        <f>AG135/AG136</f>
        <v>0</v>
      </c>
      <c r="AH137" s="696">
        <f>AH135/AH136</f>
        <v>0</v>
      </c>
      <c r="AI137" s="696">
        <f>AI135/AI136</f>
        <v>5.1518367346938767</v>
      </c>
      <c r="AJ137" s="696">
        <f>AJ135/AJ136</f>
        <v>10.961609195402302</v>
      </c>
      <c r="AK137" s="228"/>
      <c r="AL137" s="696">
        <f>AL135/AL136</f>
        <v>16.168399999999998</v>
      </c>
      <c r="AM137" s="696">
        <f>AM135/AM136</f>
        <v>23.173750000000002</v>
      </c>
      <c r="AN137" s="696">
        <f>AN135/AN136</f>
        <v>0</v>
      </c>
      <c r="AO137" s="696">
        <f>AO135/AO136</f>
        <v>0</v>
      </c>
      <c r="AP137" s="1120"/>
      <c r="AQ137" s="1121">
        <f>AQ135/AQ136</f>
        <v>0</v>
      </c>
      <c r="AR137" s="1121">
        <f>AR135/AR136</f>
        <v>7.1895424836601309</v>
      </c>
      <c r="AS137" s="1121">
        <f>AS135/AS136</f>
        <v>23.0562</v>
      </c>
      <c r="AT137" s="1121">
        <f>AT135/AT136</f>
        <v>0.95588235294117796</v>
      </c>
      <c r="AU137" s="1120"/>
      <c r="AV137" s="1121">
        <f>AV135/AV136</f>
        <v>0</v>
      </c>
      <c r="AW137" s="1121">
        <f>AW135/AW136</f>
        <v>0</v>
      </c>
      <c r="AX137" s="1121">
        <f>AX135/AX136</f>
        <v>0</v>
      </c>
      <c r="AY137" s="1121">
        <f>AY135/AY136</f>
        <v>0</v>
      </c>
      <c r="AZ137" s="1122">
        <f>SUM(AV137:AY137)</f>
        <v>0</v>
      </c>
      <c r="BA137" s="1121">
        <f>BA135/BA136</f>
        <v>0</v>
      </c>
      <c r="BB137" s="1121">
        <f>BB135/BB136</f>
        <v>0</v>
      </c>
      <c r="BC137" s="1121">
        <v>5.4822839999999999</v>
      </c>
      <c r="BD137" s="1121">
        <v>3.2381690000000001</v>
      </c>
      <c r="BE137" s="1122">
        <f>SUM(BA137:BD137)</f>
        <v>8.7204529999999991</v>
      </c>
      <c r="BF137" s="1121">
        <v>29.729728999999999</v>
      </c>
      <c r="BG137" s="1121">
        <v>0</v>
      </c>
      <c r="BH137" s="1121">
        <v>1.7385489999999999</v>
      </c>
      <c r="BI137" s="1121">
        <v>1.2474620000000001</v>
      </c>
      <c r="BJ137" s="1122">
        <f>SUM(BF137:BI137)</f>
        <v>32.715739999999997</v>
      </c>
      <c r="BK137" s="1121">
        <v>3.476575</v>
      </c>
      <c r="BL137" s="1121">
        <v>2.3125439999999999</v>
      </c>
      <c r="BM137" s="1121">
        <v>92.160561999999999</v>
      </c>
      <c r="BN137" s="1121">
        <v>2.0655649999999999</v>
      </c>
      <c r="BO137" s="1122">
        <f>SUM(BK137:BN137)</f>
        <v>100.015246</v>
      </c>
      <c r="BP137" s="1121">
        <v>4.8851509999999996</v>
      </c>
      <c r="BQ137" s="1121">
        <v>5.7</v>
      </c>
      <c r="BR137" s="1121">
        <v>5.3928929999999999</v>
      </c>
      <c r="BS137" s="1121">
        <v>13.511015</v>
      </c>
      <c r="BT137" s="1122">
        <f>SUM(BP137:BS137)</f>
        <v>29.489059000000001</v>
      </c>
      <c r="BU137" s="1121">
        <v>1.3</v>
      </c>
      <c r="BV137" s="1121">
        <v>2.3493309999999998</v>
      </c>
      <c r="BW137" s="1121">
        <v>2.6188099999999999</v>
      </c>
      <c r="BX137" s="1121">
        <f>BX135/BX136</f>
        <v>2.3219949407398843</v>
      </c>
      <c r="BY137" s="1122">
        <f>SUM(BU137:BX137)</f>
        <v>8.5901359407398843</v>
      </c>
      <c r="BZ137" s="1121">
        <f>BZ135/BZ136</f>
        <v>2.3889789235320693</v>
      </c>
      <c r="CA137" s="1121">
        <f>CA135/CA136</f>
        <v>2.2752180224114946</v>
      </c>
      <c r="CB137" s="1121">
        <f>CB135/CB136</f>
        <v>2.1668743070585661</v>
      </c>
      <c r="CC137" s="1121">
        <f>CC135/CC136</f>
        <v>2.0636898162462534</v>
      </c>
      <c r="CD137" s="1122">
        <f>SUM(BZ137:CC137)</f>
        <v>8.8947610692483838</v>
      </c>
      <c r="CE137" s="1121">
        <f>CE135/CE136</f>
        <v>2.0232253100453463</v>
      </c>
      <c r="CF137" s="1121">
        <f>CF135/CF136</f>
        <v>1.9835542255346534</v>
      </c>
      <c r="CG137" s="1121">
        <f>CG135/CG136</f>
        <v>1.9446610054261309</v>
      </c>
      <c r="CH137" s="1121">
        <f>CH135/CH136</f>
        <v>1.906530397476599</v>
      </c>
      <c r="CI137" s="1122">
        <f>SUM(CE137:CH137)</f>
        <v>7.8579709384827297</v>
      </c>
      <c r="CJ137" s="1121">
        <f>CJ135/CJ136</f>
        <v>0.93457372425323471</v>
      </c>
      <c r="CK137" s="1121">
        <f>CK135/CK136</f>
        <v>0.91624874926787714</v>
      </c>
      <c r="CL137" s="1121">
        <f>CL135/CL136</f>
        <v>0.89828308751752661</v>
      </c>
      <c r="CM137" s="1121">
        <f>CM135/CM136</f>
        <v>0.88066969364463399</v>
      </c>
      <c r="CN137" s="1122">
        <f>SUM(CJ137:CM137)</f>
        <v>3.6297752546832722</v>
      </c>
      <c r="CR137" s="66"/>
      <c r="CS137" s="66"/>
      <c r="CT137" s="66"/>
      <c r="CU137" s="66"/>
      <c r="CV137" s="66"/>
      <c r="CW137" s="66"/>
    </row>
    <row r="138" spans="1:256">
      <c r="A138" s="522" t="s">
        <v>146</v>
      </c>
      <c r="B138" s="41"/>
      <c r="V138" s="89"/>
      <c r="W138" s="436"/>
      <c r="X138" s="436"/>
      <c r="Y138" s="436"/>
      <c r="Z138" s="436"/>
      <c r="AA138" s="228"/>
      <c r="AB138" s="436"/>
      <c r="AC138" s="436"/>
      <c r="AD138" s="436">
        <f>AD142-AD134+AD137</f>
        <v>0.12700000000001049</v>
      </c>
      <c r="AE138" s="436">
        <f>AE142-AE134+AE137</f>
        <v>-0.57306249999996683</v>
      </c>
      <c r="AF138" s="228"/>
      <c r="AG138" s="436">
        <f>AG142-AG134+AG137</f>
        <v>0.43500000000000227</v>
      </c>
      <c r="AH138" s="436">
        <f>AH142-AH134+AH137</f>
        <v>1.9159999999999968</v>
      </c>
      <c r="AI138" s="436">
        <f>AI142-AI134+AI137</f>
        <v>5.391836734693829</v>
      </c>
      <c r="AJ138" s="436">
        <f>AJ142-AJ134+AJ137</f>
        <v>-1.0413908045976843</v>
      </c>
      <c r="AK138" s="228"/>
      <c r="AL138" s="436">
        <f>AL142-AL134+AL137</f>
        <v>0.1044000000000338</v>
      </c>
      <c r="AM138" s="436">
        <f>AM142-AM134+AM137</f>
        <v>6.4147499999999873</v>
      </c>
      <c r="AN138" s="436">
        <f>AN142-AN134+AN137</f>
        <v>-8.5819999999999936</v>
      </c>
      <c r="AO138" s="436">
        <f>AO142-AO134+AO137</f>
        <v>9.8999999999989541E-2</v>
      </c>
      <c r="AP138" s="1120"/>
      <c r="AQ138" s="1123">
        <f>AQ142-AQ134+AQ137</f>
        <v>0.43599999999997863</v>
      </c>
      <c r="AR138" s="1123">
        <f>AR142-AR134+AR137</f>
        <v>7.908542483660125</v>
      </c>
      <c r="AS138" s="1123">
        <f>AS142-AS134+AS137</f>
        <v>1.7162000000000255</v>
      </c>
      <c r="AT138" s="1123">
        <f>AT142-AT134+AT137</f>
        <v>-4.9511176470588047</v>
      </c>
      <c r="AU138" s="1120"/>
      <c r="AV138" s="1123">
        <f>AV139-AU139+AV137</f>
        <v>0.57258899999999358</v>
      </c>
      <c r="AW138" s="1123">
        <f>AW139-AV139+AW137</f>
        <v>0.43920200000002296</v>
      </c>
      <c r="AX138" s="1123">
        <f>AX139-AW139+AX137</f>
        <v>0.22820899999999256</v>
      </c>
      <c r="AY138" s="1123">
        <f>AY139-AX139+AY137</f>
        <v>1.4089999999999918</v>
      </c>
      <c r="AZ138" s="1122">
        <f>SUM(AV138:AY138)</f>
        <v>2.6490000000000009</v>
      </c>
      <c r="BA138" s="1123">
        <f>BA139-AZ139+BA137</f>
        <v>0.81499999999999773</v>
      </c>
      <c r="BB138" s="1123">
        <f>BB139-BA139+BB137</f>
        <v>0.58100000000001728</v>
      </c>
      <c r="BC138" s="1123">
        <f>BC139-BB139+BC137</f>
        <v>3.284283999999964</v>
      </c>
      <c r="BD138" s="1123">
        <f>BD139-BC139+BD137</f>
        <v>4.4671690000000419</v>
      </c>
      <c r="BE138" s="1122">
        <f>SUM(BA138:BD138)</f>
        <v>9.14745300000002</v>
      </c>
      <c r="BF138" s="1123">
        <f>BF139-BE139+BF137</f>
        <v>3.6177289999999758</v>
      </c>
      <c r="BG138" s="1123">
        <f>BG139-BF139+BG137</f>
        <v>0.26999999999998181</v>
      </c>
      <c r="BH138" s="1123">
        <f>BH139-BG139+BH137</f>
        <v>0.72154900000000399</v>
      </c>
      <c r="BI138" s="1123">
        <f>BI139-BH139+BI137</f>
        <v>1.1164619999999714</v>
      </c>
      <c r="BJ138" s="1122">
        <f>SUM(BF138:BI138)</f>
        <v>5.7257399999999326</v>
      </c>
      <c r="BK138" s="1123">
        <f>BK139-BJ139+BK137</f>
        <v>2.9625750000000468</v>
      </c>
      <c r="BL138" s="1123">
        <f>BL139-BK139+BL137</f>
        <v>1.1045439999999731</v>
      </c>
      <c r="BM138" s="1123">
        <f>BM139-BL139+BM137</f>
        <v>1.4065619999999797</v>
      </c>
      <c r="BN138" s="1123">
        <f>BN139-BM139+BN137</f>
        <v>2.0235650000000267</v>
      </c>
      <c r="BO138" s="1122">
        <f>SUM(BK138:BN138)</f>
        <v>7.4972460000000254</v>
      </c>
      <c r="BP138" s="1123">
        <f>BP139-BO139+BP137</f>
        <v>1.807151000000025</v>
      </c>
      <c r="BQ138" s="1123">
        <f>BQ139-BP139+BQ137</f>
        <v>-1.2050000000000294</v>
      </c>
      <c r="BR138" s="1123">
        <f>BR139-BQ139+BR137</f>
        <v>0.97689300000000312</v>
      </c>
      <c r="BS138" s="1123">
        <f>BS139-BR139+BS137</f>
        <v>1.1920150000000405</v>
      </c>
      <c r="BT138" s="1122">
        <f>SUM(BP138:BS138)</f>
        <v>2.7710590000000392</v>
      </c>
      <c r="BU138" s="1123">
        <f>BU139-BT139+BU137</f>
        <v>0.92799999999998595</v>
      </c>
      <c r="BV138" s="1123">
        <f>BV139-BU139+BV137</f>
        <v>0.46033099999998983</v>
      </c>
      <c r="BW138" s="1123">
        <f>BW139-BV139+BW137</f>
        <v>0.87081000000000941</v>
      </c>
      <c r="BX138" s="1123">
        <v>0.8</v>
      </c>
      <c r="BY138" s="1122">
        <f>SUM(BU138:BX138)</f>
        <v>3.0591409999999852</v>
      </c>
      <c r="BZ138" s="1124">
        <v>0.8</v>
      </c>
      <c r="CA138" s="1124">
        <v>0.8</v>
      </c>
      <c r="CB138" s="1124">
        <v>0.8</v>
      </c>
      <c r="CC138" s="1124">
        <v>0.8</v>
      </c>
      <c r="CD138" s="1122">
        <f>SUM(BZ138:CC138)</f>
        <v>3.2</v>
      </c>
      <c r="CE138" s="1124">
        <v>0.8</v>
      </c>
      <c r="CF138" s="1124">
        <v>0.8</v>
      </c>
      <c r="CG138" s="1124">
        <v>0.8</v>
      </c>
      <c r="CH138" s="1124">
        <v>0.8</v>
      </c>
      <c r="CI138" s="1122">
        <f>SUM(CE138:CH138)</f>
        <v>3.2</v>
      </c>
      <c r="CJ138" s="1124">
        <v>0.8</v>
      </c>
      <c r="CK138" s="1124">
        <v>0.8</v>
      </c>
      <c r="CL138" s="1124">
        <v>0.8</v>
      </c>
      <c r="CM138" s="1124">
        <v>0.8</v>
      </c>
      <c r="CN138" s="1122">
        <f>SUM(CJ138:CM138)</f>
        <v>3.2</v>
      </c>
      <c r="CR138" s="66"/>
      <c r="CS138" s="66"/>
      <c r="CT138" s="66"/>
      <c r="CU138" s="66"/>
      <c r="CV138" s="66"/>
      <c r="CW138" s="66"/>
    </row>
    <row r="139" spans="1:256">
      <c r="A139" s="522" t="s">
        <v>310</v>
      </c>
      <c r="B139" s="41"/>
      <c r="V139" s="89"/>
      <c r="AA139" s="99"/>
      <c r="AB139" s="385"/>
      <c r="AC139" s="385"/>
      <c r="AE139" s="385"/>
      <c r="AF139" s="99"/>
      <c r="AG139" s="385"/>
      <c r="AH139" s="385"/>
      <c r="AI139" s="385"/>
      <c r="AJ139" s="385"/>
      <c r="AK139" s="99"/>
      <c r="AM139" s="385"/>
      <c r="AN139" s="385"/>
      <c r="AO139" s="385"/>
      <c r="AP139" s="1096"/>
      <c r="AQ139" s="1097"/>
      <c r="AR139" s="1097"/>
      <c r="AS139" s="1097"/>
      <c r="AT139" s="1097">
        <f>470.424-80.7</f>
        <v>389.72399999999999</v>
      </c>
      <c r="AU139" s="1096">
        <f>AT139</f>
        <v>389.72399999999999</v>
      </c>
      <c r="AV139" s="1097">
        <v>390.29658899999998</v>
      </c>
      <c r="AW139" s="1097">
        <v>390.73579100000001</v>
      </c>
      <c r="AX139" s="1097">
        <f>470.424-79.46</f>
        <v>390.964</v>
      </c>
      <c r="AY139" s="1097">
        <f>470.424-78.051</f>
        <v>392.37299999999999</v>
      </c>
      <c r="AZ139" s="1096">
        <f>AY139</f>
        <v>392.37299999999999</v>
      </c>
      <c r="BA139" s="1097">
        <f>470.424-77.236</f>
        <v>393.18799999999999</v>
      </c>
      <c r="BB139" s="1097">
        <f>470.424-76.655</f>
        <v>393.76900000000001</v>
      </c>
      <c r="BC139" s="1097">
        <f>470.424-78.853</f>
        <v>391.57099999999997</v>
      </c>
      <c r="BD139" s="1097">
        <v>392.8</v>
      </c>
      <c r="BE139" s="1098">
        <f>BD139</f>
        <v>392.8</v>
      </c>
      <c r="BF139" s="1097">
        <f>470.424-103.736</f>
        <v>366.68799999999999</v>
      </c>
      <c r="BG139" s="1097">
        <f>470.424-103.466</f>
        <v>366.95799999999997</v>
      </c>
      <c r="BH139" s="1097">
        <f>470.424-104.483</f>
        <v>365.94099999999997</v>
      </c>
      <c r="BI139" s="1097">
        <f>470.424-104.614</f>
        <v>365.80999999999995</v>
      </c>
      <c r="BJ139" s="1098">
        <f>BI139</f>
        <v>365.80999999999995</v>
      </c>
      <c r="BK139" s="1097">
        <f>470.424-105.128</f>
        <v>365.29599999999999</v>
      </c>
      <c r="BL139" s="1202">
        <f>470.424-106.336</f>
        <v>364.08799999999997</v>
      </c>
      <c r="BM139" s="1202">
        <f>470.424-197.09</f>
        <v>273.33399999999995</v>
      </c>
      <c r="BN139" s="1097">
        <v>273.29199999999997</v>
      </c>
      <c r="BO139" s="1098">
        <f>BN139</f>
        <v>273.29199999999997</v>
      </c>
      <c r="BP139" s="1097">
        <v>270.214</v>
      </c>
      <c r="BQ139" s="1097">
        <f>470.424-207.115</f>
        <v>263.30899999999997</v>
      </c>
      <c r="BR139" s="1097">
        <f>470.424-211.531</f>
        <v>258.89299999999997</v>
      </c>
      <c r="BS139" s="1097">
        <v>246.57400000000001</v>
      </c>
      <c r="BT139" s="1098">
        <f>BS139</f>
        <v>246.57400000000001</v>
      </c>
      <c r="BU139" s="1202">
        <v>246.202</v>
      </c>
      <c r="BV139" s="1097">
        <f>244.313</f>
        <v>244.31299999999999</v>
      </c>
      <c r="BW139" s="1202">
        <v>242.565</v>
      </c>
      <c r="BX139" s="1202">
        <f>BW139-BX137+BX138</f>
        <v>241.04300505926011</v>
      </c>
      <c r="BY139" s="1098">
        <f>BX139</f>
        <v>241.04300505926011</v>
      </c>
      <c r="BZ139" s="1097">
        <f>BY139-BZ137+BZ138</f>
        <v>239.45402613572804</v>
      </c>
      <c r="CA139" s="1097">
        <f>BZ139-CA137+CA138</f>
        <v>237.97880811331655</v>
      </c>
      <c r="CB139" s="1097">
        <f>CA139-CB137+CB138</f>
        <v>236.61193380625798</v>
      </c>
      <c r="CC139" s="1097">
        <f>CB139-CC137+CC138</f>
        <v>235.34824399001172</v>
      </c>
      <c r="CD139" s="1098">
        <f>CC139</f>
        <v>235.34824399001172</v>
      </c>
      <c r="CE139" s="1097">
        <f>CD139-CE137+CE138</f>
        <v>234.12501867996639</v>
      </c>
      <c r="CF139" s="1097">
        <f>CE139-CF137+CF138</f>
        <v>232.94146445443175</v>
      </c>
      <c r="CG139" s="1097">
        <f>CF139-CG137+CG138</f>
        <v>231.79680344900564</v>
      </c>
      <c r="CH139" s="1097">
        <f>CG139-CH137+CH138</f>
        <v>230.69027305152906</v>
      </c>
      <c r="CI139" s="1098">
        <f>CH139</f>
        <v>230.69027305152906</v>
      </c>
      <c r="CJ139" s="1097">
        <f>CI139-CJ137+CJ138</f>
        <v>230.55569932727585</v>
      </c>
      <c r="CK139" s="1097">
        <f>CJ139-CK137+CK138</f>
        <v>230.43945057800798</v>
      </c>
      <c r="CL139" s="1097">
        <f>CK139-CL137+CL138</f>
        <v>230.34116749049048</v>
      </c>
      <c r="CM139" s="1097">
        <f>CL139-CM137+CM138</f>
        <v>230.26049779684587</v>
      </c>
      <c r="CN139" s="1098">
        <f>CM139</f>
        <v>230.26049779684587</v>
      </c>
      <c r="CR139" s="66"/>
      <c r="CS139" s="66"/>
      <c r="CT139" s="66"/>
      <c r="CU139" s="66"/>
      <c r="CV139" s="66"/>
      <c r="CW139" s="66"/>
    </row>
    <row r="140" spans="1:256">
      <c r="A140" s="522" t="s">
        <v>311</v>
      </c>
      <c r="B140" s="41"/>
      <c r="V140" s="89"/>
      <c r="AA140" s="99"/>
      <c r="AB140" s="703"/>
      <c r="AC140" s="703"/>
      <c r="AD140" s="237"/>
      <c r="AE140" s="703"/>
      <c r="AF140" s="99"/>
      <c r="AG140" s="703"/>
      <c r="AH140" s="703"/>
      <c r="AI140" s="703"/>
      <c r="AJ140" s="703"/>
      <c r="AK140" s="99"/>
      <c r="AL140" s="237"/>
      <c r="AM140" s="703"/>
      <c r="AN140" s="703"/>
      <c r="AO140" s="703"/>
      <c r="AP140" s="1096">
        <v>426.24700000000001</v>
      </c>
      <c r="AQ140" s="1097">
        <v>418.52</v>
      </c>
      <c r="AR140" s="1097">
        <v>417.67599999999999</v>
      </c>
      <c r="AS140" s="1097">
        <v>395.67700000000002</v>
      </c>
      <c r="AT140" s="1097">
        <f>AU140*4-SUM(AQ140:AS140)</f>
        <v>389.02299999999991</v>
      </c>
      <c r="AU140" s="1096">
        <v>405.22399999999999</v>
      </c>
      <c r="AV140" s="1097">
        <v>389.70100000000002</v>
      </c>
      <c r="AW140" s="1097">
        <v>389.97800000000001</v>
      </c>
      <c r="AX140" s="1097">
        <v>390.40600000000001</v>
      </c>
      <c r="AY140" s="1097">
        <f>AZ140*4-SUM(AV140:AX140)</f>
        <v>391.01499999999987</v>
      </c>
      <c r="AZ140" s="1096">
        <v>390.27499999999998</v>
      </c>
      <c r="BA140" s="1097">
        <v>392.49799999999999</v>
      </c>
      <c r="BB140" s="1097">
        <v>393.17399999999998</v>
      </c>
      <c r="BC140" s="1097">
        <v>392.57900000000001</v>
      </c>
      <c r="BD140" s="1097">
        <v>392.08800000000002</v>
      </c>
      <c r="BE140" s="1098">
        <v>392.58499999999998</v>
      </c>
      <c r="BF140" s="1097">
        <v>381.55099999999999</v>
      </c>
      <c r="BG140" s="1097">
        <v>366.71199999999999</v>
      </c>
      <c r="BH140" s="1097">
        <v>366.88</v>
      </c>
      <c r="BI140" s="1097">
        <v>365.49700000000001</v>
      </c>
      <c r="BJ140" s="1098">
        <v>370.16</v>
      </c>
      <c r="BK140" s="1097">
        <v>366.58300000000003</v>
      </c>
      <c r="BL140" s="1202">
        <f>AVERAGE(BK139:BL139)</f>
        <v>364.69200000000001</v>
      </c>
      <c r="BM140" s="1202">
        <v>292.25599999999997</v>
      </c>
      <c r="BN140" s="1202">
        <f>AVERAGE(BM139:BN139)</f>
        <v>273.31299999999999</v>
      </c>
      <c r="BO140" s="1098">
        <v>323.01799999999997</v>
      </c>
      <c r="BP140" s="1097">
        <f>AVERAGE(BN139,BP139)</f>
        <v>271.75299999999999</v>
      </c>
      <c r="BQ140" s="1097">
        <v>265.91500000000002</v>
      </c>
      <c r="BR140" s="1097">
        <v>260.976</v>
      </c>
      <c r="BS140" s="1097">
        <v>251.73</v>
      </c>
      <c r="BT140" s="1275">
        <v>262.209</v>
      </c>
      <c r="BU140" s="87">
        <v>246.60599999999999</v>
      </c>
      <c r="BV140" s="1097">
        <v>245.261</v>
      </c>
      <c r="BW140" s="1202">
        <v>243.35400000000001</v>
      </c>
      <c r="BX140" s="1202">
        <f>AVERAGE(BW139:BX139)</f>
        <v>241.80400252963005</v>
      </c>
      <c r="BY140" s="1098">
        <f>AVERAGE(BU140:BX140)</f>
        <v>244.2562506324075</v>
      </c>
      <c r="BZ140" s="1097">
        <f>AVERAGE(BY139:BZ139)</f>
        <v>240.24851559749408</v>
      </c>
      <c r="CA140" s="1097">
        <f>AVERAGE(BZ139:CA139)</f>
        <v>238.71641712452231</v>
      </c>
      <c r="CB140" s="1097">
        <f>AVERAGE(CA139:CB139)</f>
        <v>237.29537095978725</v>
      </c>
      <c r="CC140" s="1097">
        <f>AVERAGE(CB139:CC139)</f>
        <v>235.98008889813485</v>
      </c>
      <c r="CD140" s="1098">
        <f>AVERAGE(BZ140:CC140)</f>
        <v>238.06009814498464</v>
      </c>
      <c r="CE140" s="1097">
        <f>AVERAGE(CD139:CE139)</f>
        <v>234.73663133498906</v>
      </c>
      <c r="CF140" s="1097">
        <f>AVERAGE(CE139:CF139)</f>
        <v>233.53324156719907</v>
      </c>
      <c r="CG140" s="1097">
        <f>AVERAGE(CF139:CG139)</f>
        <v>232.36913395171871</v>
      </c>
      <c r="CH140" s="1097">
        <f>AVERAGE(CG139:CH139)</f>
        <v>231.24353825026736</v>
      </c>
      <c r="CI140" s="1098">
        <f>AVERAGE(CE140:CH140)</f>
        <v>232.97063627604354</v>
      </c>
      <c r="CJ140" s="1097">
        <f>AVERAGE(CI139:CJ139)</f>
        <v>230.62298618940247</v>
      </c>
      <c r="CK140" s="1097">
        <f>AVERAGE(CJ139:CK139)</f>
        <v>230.49757495264191</v>
      </c>
      <c r="CL140" s="1097">
        <f>AVERAGE(CK139:CL139)</f>
        <v>230.39030903424924</v>
      </c>
      <c r="CM140" s="1097">
        <f>AVERAGE(CL139:CM139)</f>
        <v>230.30083264366817</v>
      </c>
      <c r="CN140" s="1098">
        <f>AVERAGE(CJ140:CM140)</f>
        <v>230.45292570499043</v>
      </c>
      <c r="CR140" s="66"/>
      <c r="CS140" s="66"/>
      <c r="CT140" s="66"/>
      <c r="CU140" s="66"/>
      <c r="CV140" s="66"/>
      <c r="CW140" s="66"/>
    </row>
    <row r="141" spans="1:256">
      <c r="A141" s="523" t="s">
        <v>217</v>
      </c>
      <c r="B141" s="52"/>
      <c r="C141" s="52"/>
      <c r="D141" s="52"/>
      <c r="E141" s="52"/>
      <c r="F141" s="52"/>
      <c r="G141" s="52"/>
      <c r="H141" s="52"/>
      <c r="I141" s="52"/>
      <c r="J141" s="52"/>
      <c r="K141" s="52"/>
      <c r="L141" s="52"/>
      <c r="M141" s="52"/>
      <c r="N141" s="52"/>
      <c r="O141" s="52"/>
      <c r="P141" s="52"/>
      <c r="Q141" s="52"/>
      <c r="R141" s="52"/>
      <c r="S141" s="52"/>
      <c r="T141" s="52"/>
      <c r="U141" s="52"/>
      <c r="V141" s="184"/>
      <c r="W141" s="52"/>
      <c r="X141" s="52"/>
      <c r="Y141" s="52"/>
      <c r="Z141" s="52"/>
      <c r="AA141" s="408"/>
      <c r="AB141" s="709"/>
      <c r="AC141" s="709"/>
      <c r="AD141" s="586"/>
      <c r="AE141" s="709"/>
      <c r="AF141" s="408"/>
      <c r="AG141" s="709"/>
      <c r="AH141" s="709"/>
      <c r="AI141" s="709"/>
      <c r="AJ141" s="709"/>
      <c r="AK141" s="408"/>
      <c r="AL141" s="586"/>
      <c r="AM141" s="709"/>
      <c r="AN141" s="709"/>
      <c r="AO141" s="709"/>
      <c r="AP141" s="1099">
        <f>AP142-AP140</f>
        <v>0.94799999999997908</v>
      </c>
      <c r="AQ141" s="1100">
        <f>AQ142-AQ140</f>
        <v>0</v>
      </c>
      <c r="AR141" s="1100">
        <f>AR142-AR140</f>
        <v>1.5629999999999882</v>
      </c>
      <c r="AS141" s="1100">
        <f>AS142-AS140</f>
        <v>2.22199999999998</v>
      </c>
      <c r="AT141" s="1100"/>
      <c r="AU141" s="1099">
        <f t="shared" ref="AU141:BV141" si="288">AU142-AU140</f>
        <v>1.9560000000000173</v>
      </c>
      <c r="AV141" s="1100">
        <f t="shared" si="288"/>
        <v>2.5739999999999554</v>
      </c>
      <c r="AW141" s="1100">
        <f t="shared" si="288"/>
        <v>0</v>
      </c>
      <c r="AX141" s="1100">
        <f t="shared" si="288"/>
        <v>0</v>
      </c>
      <c r="AY141" s="1100">
        <f t="shared" si="288"/>
        <v>1.6250000000001137</v>
      </c>
      <c r="AZ141" s="1099">
        <f t="shared" si="288"/>
        <v>1.8650000000000091</v>
      </c>
      <c r="BA141" s="1100">
        <f t="shared" si="288"/>
        <v>3.1960000000000264</v>
      </c>
      <c r="BB141" s="1100">
        <f t="shared" si="288"/>
        <v>4.7100000000000364</v>
      </c>
      <c r="BC141" s="1100">
        <f t="shared" si="288"/>
        <v>8.147000000000105</v>
      </c>
      <c r="BD141" s="1100">
        <f t="shared" si="288"/>
        <v>8.3279999999999745</v>
      </c>
      <c r="BE141" s="1099">
        <f t="shared" si="288"/>
        <v>6.0950000000000273</v>
      </c>
      <c r="BF141" s="1100">
        <f t="shared" si="288"/>
        <v>7.8009999999999877</v>
      </c>
      <c r="BG141" s="1100">
        <f t="shared" si="288"/>
        <v>5.4600000000000364</v>
      </c>
      <c r="BH141" s="1100">
        <f t="shared" si="288"/>
        <v>5.2719999999999914</v>
      </c>
      <c r="BI141" s="1100">
        <f t="shared" si="288"/>
        <v>5.5529999999999973</v>
      </c>
      <c r="BJ141" s="1099">
        <f>BJ142-BJ140</f>
        <v>6.0219999999999914</v>
      </c>
      <c r="BK141" s="1203">
        <f t="shared" si="288"/>
        <v>6.625</v>
      </c>
      <c r="BL141" s="1203">
        <f t="shared" si="288"/>
        <v>5.8499999999999659</v>
      </c>
      <c r="BM141" s="1203">
        <f t="shared" si="288"/>
        <v>4.69500000000005</v>
      </c>
      <c r="BN141" s="1203">
        <f t="shared" si="288"/>
        <v>4.7110000000000127</v>
      </c>
      <c r="BO141" s="1099">
        <f>BO142-BO140</f>
        <v>6.663250000000005</v>
      </c>
      <c r="BP141" s="1203">
        <f t="shared" si="288"/>
        <v>2.9970000000000141</v>
      </c>
      <c r="BQ141" s="1203">
        <f t="shared" si="288"/>
        <v>4.3499999999999659</v>
      </c>
      <c r="BR141" s="1203">
        <f t="shared" si="288"/>
        <v>3.8319999999999936</v>
      </c>
      <c r="BS141" s="1203">
        <f t="shared" si="288"/>
        <v>5.2960000000000207</v>
      </c>
      <c r="BT141" s="1099">
        <f>BT142-BT140</f>
        <v>4.50324999999998</v>
      </c>
      <c r="BU141" s="1203">
        <f t="shared" si="288"/>
        <v>7.6330000000000098</v>
      </c>
      <c r="BV141" s="1203">
        <f t="shared" si="288"/>
        <v>8.2920000000000016</v>
      </c>
      <c r="BW141" s="1203">
        <f>BW142-BW140</f>
        <v>8.3829999999999814</v>
      </c>
      <c r="BX141" s="1203">
        <f t="shared" ref="BX141" si="289">BW141</f>
        <v>8.3829999999999814</v>
      </c>
      <c r="BY141" s="1099">
        <f>BY142-BY140</f>
        <v>8.1727500000000077</v>
      </c>
      <c r="BZ141" s="1125">
        <f>BY141</f>
        <v>8.1727500000000077</v>
      </c>
      <c r="CA141" s="1125">
        <f>BZ141</f>
        <v>8.1727500000000077</v>
      </c>
      <c r="CB141" s="1125">
        <f>CA141</f>
        <v>8.1727500000000077</v>
      </c>
      <c r="CC141" s="1125">
        <f>CB141</f>
        <v>8.1727500000000077</v>
      </c>
      <c r="CD141" s="1099">
        <f>CD142-CD140</f>
        <v>8.1727500000000077</v>
      </c>
      <c r="CE141" s="1125">
        <f>CC141</f>
        <v>8.1727500000000077</v>
      </c>
      <c r="CF141" s="1125">
        <f>CE141</f>
        <v>8.1727500000000077</v>
      </c>
      <c r="CG141" s="1125">
        <f>CF141</f>
        <v>8.1727500000000077</v>
      </c>
      <c r="CH141" s="1125">
        <f>CG141</f>
        <v>8.1727500000000077</v>
      </c>
      <c r="CI141" s="1099">
        <f>CI142-CI140</f>
        <v>8.1727500000000077</v>
      </c>
      <c r="CJ141" s="1125">
        <f>CH141</f>
        <v>8.1727500000000077</v>
      </c>
      <c r="CK141" s="1125">
        <f>CJ141</f>
        <v>8.1727500000000077</v>
      </c>
      <c r="CL141" s="1125">
        <f>CK141</f>
        <v>8.1727500000000077</v>
      </c>
      <c r="CM141" s="1125">
        <f>CL141</f>
        <v>8.1727500000000077</v>
      </c>
      <c r="CN141" s="1099">
        <f>CN142-CN140</f>
        <v>8.1727500000000077</v>
      </c>
      <c r="CR141" s="66"/>
      <c r="CS141" s="66"/>
      <c r="CT141" s="66"/>
      <c r="CU141" s="66"/>
      <c r="CV141" s="66"/>
      <c r="CW141" s="66"/>
    </row>
    <row r="142" spans="1:256">
      <c r="A142" s="697" t="s">
        <v>309</v>
      </c>
      <c r="B142" s="52"/>
      <c r="C142" s="52"/>
      <c r="D142" s="52"/>
      <c r="E142" s="52"/>
      <c r="F142" s="52"/>
      <c r="G142" s="52"/>
      <c r="H142" s="52"/>
      <c r="I142" s="52"/>
      <c r="J142" s="52"/>
      <c r="K142" s="52"/>
      <c r="L142" s="52"/>
      <c r="M142" s="52"/>
      <c r="N142" s="52"/>
      <c r="O142" s="52"/>
      <c r="P142" s="52"/>
      <c r="Q142" s="52"/>
      <c r="R142" s="52"/>
      <c r="S142" s="52"/>
      <c r="T142" s="52"/>
      <c r="U142" s="52"/>
      <c r="V142" s="184"/>
      <c r="W142" s="698"/>
      <c r="X142" s="698"/>
      <c r="Y142" s="698"/>
      <c r="Z142" s="698"/>
      <c r="AA142" s="699"/>
      <c r="AB142" s="698"/>
      <c r="AC142" s="698"/>
      <c r="AD142" s="698">
        <f t="shared" ref="AD142:AJ142" si="290">AD67</f>
        <v>469.42599999999999</v>
      </c>
      <c r="AE142" s="698">
        <f t="shared" si="290"/>
        <v>468.80200000000002</v>
      </c>
      <c r="AF142" s="699">
        <f t="shared" si="290"/>
        <v>469.21899999999999</v>
      </c>
      <c r="AG142" s="698">
        <f t="shared" si="290"/>
        <v>469.23700000000002</v>
      </c>
      <c r="AH142" s="698">
        <f t="shared" si="290"/>
        <v>471.15300000000002</v>
      </c>
      <c r="AI142" s="698">
        <f t="shared" si="290"/>
        <v>471.39299999999997</v>
      </c>
      <c r="AJ142" s="698">
        <f t="shared" si="290"/>
        <v>459.39</v>
      </c>
      <c r="AK142" s="699"/>
      <c r="AL142" s="698">
        <f t="shared" ref="AL142:BN142" si="291">AL67</f>
        <v>443.32600000000002</v>
      </c>
      <c r="AM142" s="698">
        <f t="shared" si="291"/>
        <v>426.56700000000001</v>
      </c>
      <c r="AN142" s="698">
        <f t="shared" si="291"/>
        <v>417.98500000000001</v>
      </c>
      <c r="AO142" s="698">
        <f t="shared" si="291"/>
        <v>418.084</v>
      </c>
      <c r="AP142" s="1101">
        <f t="shared" si="291"/>
        <v>427.19499999999999</v>
      </c>
      <c r="AQ142" s="1102">
        <f t="shared" si="291"/>
        <v>418.52</v>
      </c>
      <c r="AR142" s="1102">
        <f t="shared" si="291"/>
        <v>419.23899999999998</v>
      </c>
      <c r="AS142" s="1102">
        <f t="shared" si="291"/>
        <v>397.899</v>
      </c>
      <c r="AT142" s="1102">
        <f t="shared" si="291"/>
        <v>391.99200000000002</v>
      </c>
      <c r="AU142" s="1101">
        <f t="shared" si="291"/>
        <v>407.18</v>
      </c>
      <c r="AV142" s="1102">
        <f t="shared" si="291"/>
        <v>392.27499999999998</v>
      </c>
      <c r="AW142" s="1102">
        <f t="shared" si="291"/>
        <v>389.97800000000001</v>
      </c>
      <c r="AX142" s="1102">
        <f t="shared" si="291"/>
        <v>390.40600000000001</v>
      </c>
      <c r="AY142" s="1102">
        <f t="shared" si="291"/>
        <v>392.64</v>
      </c>
      <c r="AZ142" s="1101">
        <f t="shared" si="291"/>
        <v>392.14</v>
      </c>
      <c r="BA142" s="1102">
        <f t="shared" si="291"/>
        <v>395.69400000000002</v>
      </c>
      <c r="BB142" s="1102">
        <f t="shared" si="291"/>
        <v>397.88400000000001</v>
      </c>
      <c r="BC142" s="1102">
        <f t="shared" si="291"/>
        <v>400.72600000000011</v>
      </c>
      <c r="BD142" s="1102">
        <f t="shared" si="291"/>
        <v>400.416</v>
      </c>
      <c r="BE142" s="1103">
        <f>AVERAGE(BA142:BD142)</f>
        <v>398.68</v>
      </c>
      <c r="BF142" s="1102">
        <f t="shared" si="291"/>
        <v>389.35199999999998</v>
      </c>
      <c r="BG142" s="1102">
        <f t="shared" si="291"/>
        <v>372.17200000000003</v>
      </c>
      <c r="BH142" s="1102">
        <f t="shared" si="291"/>
        <v>372.15199999999999</v>
      </c>
      <c r="BI142" s="1102">
        <f t="shared" si="291"/>
        <v>371.05</v>
      </c>
      <c r="BJ142" s="1103">
        <v>376.18200000000002</v>
      </c>
      <c r="BK142" s="1102">
        <f t="shared" si="291"/>
        <v>373.20800000000003</v>
      </c>
      <c r="BL142" s="1102">
        <f t="shared" si="291"/>
        <v>370.54199999999997</v>
      </c>
      <c r="BM142" s="1102">
        <f t="shared" si="291"/>
        <v>296.95100000000002</v>
      </c>
      <c r="BN142" s="1102">
        <f t="shared" si="291"/>
        <v>278.024</v>
      </c>
      <c r="BO142" s="1103">
        <f>AVERAGE(BK142:BN142)</f>
        <v>329.68124999999998</v>
      </c>
      <c r="BP142" s="1102">
        <f>BP67</f>
        <v>274.75</v>
      </c>
      <c r="BQ142" s="1102">
        <f>BQ67</f>
        <v>270.26499999999999</v>
      </c>
      <c r="BR142" s="1102">
        <f>BR67</f>
        <v>264.80799999999999</v>
      </c>
      <c r="BS142" s="1102">
        <f>BS67</f>
        <v>257.02600000000001</v>
      </c>
      <c r="BT142" s="1103">
        <f>AVERAGE(BP142:BS142)</f>
        <v>266.71224999999998</v>
      </c>
      <c r="BU142" s="1102">
        <f>BU67</f>
        <v>254.239</v>
      </c>
      <c r="BV142" s="1102">
        <f>BV67</f>
        <v>253.553</v>
      </c>
      <c r="BW142" s="1102">
        <f>BW67</f>
        <v>251.73699999999999</v>
      </c>
      <c r="BX142" s="1151">
        <f>BX140+BX141</f>
        <v>250.18700252963004</v>
      </c>
      <c r="BY142" s="1103">
        <f>AVERAGE(BU142:BX142)</f>
        <v>252.42900063240751</v>
      </c>
      <c r="BZ142" s="1149">
        <f>BZ140+BZ141</f>
        <v>248.42126559749408</v>
      </c>
      <c r="CA142" s="1150">
        <f>CA140+CA141</f>
        <v>246.88916712452232</v>
      </c>
      <c r="CB142" s="1150">
        <f>CB140+CB141</f>
        <v>245.46812095978726</v>
      </c>
      <c r="CC142" s="1151">
        <f>CC140+CC141</f>
        <v>244.15283889813486</v>
      </c>
      <c r="CD142" s="1103">
        <f>AVERAGE(BZ142:CC142)</f>
        <v>246.23284814498464</v>
      </c>
      <c r="CE142" s="1149">
        <f>CE140+CE141</f>
        <v>242.90938133498906</v>
      </c>
      <c r="CF142" s="1150">
        <f>CF140+CF141</f>
        <v>241.70599156719908</v>
      </c>
      <c r="CG142" s="1150">
        <f>CG140+CG141</f>
        <v>240.54188395171872</v>
      </c>
      <c r="CH142" s="1151">
        <f>CH140+CH141</f>
        <v>239.41628825026737</v>
      </c>
      <c r="CI142" s="1103">
        <f>AVERAGE(CE142:CH142)</f>
        <v>241.14338627604354</v>
      </c>
      <c r="CJ142" s="1149">
        <f>CJ140+CJ141</f>
        <v>238.79573618940248</v>
      </c>
      <c r="CK142" s="1150">
        <f>CK140+CK141</f>
        <v>238.67032495264192</v>
      </c>
      <c r="CL142" s="1150">
        <f>CL140+CL141</f>
        <v>238.56305903424925</v>
      </c>
      <c r="CM142" s="1151">
        <f>CM140+CM141</f>
        <v>238.47358264366818</v>
      </c>
      <c r="CN142" s="1103">
        <f>AVERAGE(CJ142:CM142)</f>
        <v>238.62567570499044</v>
      </c>
      <c r="CR142" s="66"/>
      <c r="CS142" s="66"/>
      <c r="CT142" s="66"/>
      <c r="CU142" s="66"/>
      <c r="CV142" s="66"/>
      <c r="CW142" s="66"/>
    </row>
    <row r="143" spans="1:256">
      <c r="A143" s="522"/>
      <c r="B143" s="41"/>
      <c r="V143" s="89"/>
      <c r="AA143" s="96"/>
      <c r="AB143" s="96"/>
      <c r="AC143" s="96"/>
      <c r="AD143" s="96"/>
      <c r="AE143" s="96"/>
      <c r="AF143" s="96"/>
      <c r="AG143" s="96"/>
      <c r="AH143" s="96"/>
      <c r="AI143" s="96"/>
      <c r="AJ143" s="96"/>
      <c r="AK143" s="96"/>
      <c r="AL143" s="96"/>
      <c r="AM143" s="96"/>
      <c r="AN143" s="96"/>
      <c r="AO143" s="96"/>
      <c r="AP143" s="96"/>
      <c r="AQ143" s="96"/>
      <c r="AR143" s="96"/>
      <c r="AS143" s="96"/>
      <c r="AT143" s="96"/>
      <c r="AU143" s="96"/>
      <c r="AV143" s="96"/>
      <c r="AW143" s="96"/>
      <c r="AX143" s="96"/>
      <c r="AY143" s="96"/>
      <c r="AZ143" s="96"/>
      <c r="BA143" s="96"/>
      <c r="BB143" s="96"/>
      <c r="BC143" s="96"/>
      <c r="BD143" s="96"/>
      <c r="BE143" s="96"/>
      <c r="BF143" s="96"/>
      <c r="BG143" s="96"/>
      <c r="BH143" s="96"/>
      <c r="BI143" s="96"/>
      <c r="BJ143" s="96"/>
      <c r="BK143" s="96"/>
      <c r="BL143" s="96"/>
      <c r="BM143" s="96"/>
      <c r="BN143" s="96"/>
      <c r="BO143" s="96"/>
      <c r="BP143" s="96"/>
      <c r="BQ143" s="96"/>
      <c r="BR143" s="96"/>
      <c r="BS143" s="96"/>
      <c r="BT143" s="96"/>
      <c r="BU143" s="96"/>
      <c r="BV143" s="96"/>
      <c r="BW143" s="96"/>
      <c r="BX143" s="96"/>
      <c r="BY143" s="96"/>
      <c r="BZ143" s="96"/>
      <c r="CA143" s="96"/>
      <c r="CB143" s="96"/>
      <c r="CC143" s="96"/>
      <c r="CD143" s="96"/>
      <c r="CE143" s="96"/>
      <c r="CF143" s="96"/>
      <c r="CG143" s="96"/>
      <c r="CH143" s="96"/>
      <c r="CI143" s="96"/>
      <c r="CJ143" s="96"/>
      <c r="CK143" s="96"/>
      <c r="CL143" s="96"/>
      <c r="CM143" s="96"/>
      <c r="CN143" s="96"/>
      <c r="CR143" s="66"/>
      <c r="CS143" s="66"/>
      <c r="CT143" s="66"/>
      <c r="CU143" s="66"/>
      <c r="CV143" s="66"/>
      <c r="CW143" s="66"/>
    </row>
    <row r="144" spans="1:256">
      <c r="A144" s="520" t="s">
        <v>401</v>
      </c>
      <c r="B144" s="41"/>
      <c r="V144" s="89"/>
      <c r="AA144" s="96"/>
      <c r="AB144" s="96"/>
      <c r="AC144" s="96"/>
      <c r="AD144" s="96"/>
      <c r="AE144" s="96"/>
      <c r="AF144" s="96"/>
      <c r="AG144" s="96"/>
      <c r="AH144" s="96"/>
      <c r="AI144" s="96"/>
      <c r="AJ144" s="96"/>
      <c r="AK144" s="96"/>
      <c r="AL144" s="96"/>
      <c r="AM144" s="96"/>
      <c r="AN144" s="96"/>
      <c r="AO144" s="96"/>
      <c r="AP144" s="96"/>
      <c r="AQ144" s="96"/>
      <c r="AR144" s="96"/>
      <c r="AS144" s="96"/>
      <c r="AT144" s="96"/>
      <c r="AU144" s="96"/>
      <c r="AV144" s="96"/>
      <c r="AW144" s="96"/>
      <c r="AX144" s="96"/>
      <c r="AY144" s="96"/>
      <c r="AZ144" s="96"/>
      <c r="BA144" s="96"/>
      <c r="BB144" s="96"/>
      <c r="BC144" s="96"/>
      <c r="BD144" s="96"/>
      <c r="BE144" s="96"/>
      <c r="BF144" s="96"/>
      <c r="BG144" s="96"/>
      <c r="BH144" s="96"/>
      <c r="BI144" s="96"/>
      <c r="BJ144" s="96"/>
      <c r="BK144" s="96"/>
      <c r="BL144" s="96"/>
      <c r="BM144" s="96"/>
      <c r="BN144" s="96"/>
      <c r="BO144" s="96"/>
      <c r="BP144" s="96"/>
      <c r="BQ144" s="96"/>
      <c r="BR144" s="96"/>
      <c r="BS144" s="96"/>
      <c r="BT144" s="96"/>
      <c r="BU144" s="96"/>
      <c r="BV144" s="96"/>
      <c r="BW144" s="96"/>
      <c r="BX144" s="96"/>
      <c r="BY144" s="96"/>
      <c r="BZ144" s="96"/>
      <c r="CA144" s="96"/>
      <c r="CB144" s="96"/>
      <c r="CC144" s="96"/>
      <c r="CD144" s="96"/>
      <c r="CE144" s="96"/>
      <c r="CF144" s="96"/>
      <c r="CG144" s="96"/>
      <c r="CH144" s="96"/>
      <c r="CI144" s="96"/>
      <c r="CJ144" s="96"/>
      <c r="CK144" s="96"/>
      <c r="CL144" s="96"/>
      <c r="CM144" s="96"/>
      <c r="CN144" s="96"/>
      <c r="CR144" s="66"/>
      <c r="CS144" s="66"/>
      <c r="CT144" s="66"/>
      <c r="CU144" s="66"/>
      <c r="CV144" s="66"/>
      <c r="CW144" s="66"/>
    </row>
    <row r="145" spans="1:224">
      <c r="A145" s="521" t="s">
        <v>266</v>
      </c>
      <c r="B145" s="239"/>
      <c r="C145" s="239"/>
      <c r="D145" s="239"/>
      <c r="E145" s="239"/>
      <c r="F145" s="239"/>
      <c r="G145" s="239"/>
      <c r="H145" s="239"/>
      <c r="I145" s="239"/>
      <c r="J145" s="239"/>
      <c r="K145" s="239"/>
      <c r="L145" s="239"/>
      <c r="M145" s="239"/>
      <c r="N145" s="239"/>
      <c r="O145" s="239"/>
      <c r="P145" s="239"/>
      <c r="Q145" s="239"/>
      <c r="R145" s="239"/>
      <c r="S145" s="239"/>
      <c r="T145" s="239"/>
      <c r="U145" s="239"/>
      <c r="V145" s="249"/>
      <c r="W145" s="239"/>
      <c r="X145" s="239"/>
      <c r="Y145" s="239"/>
      <c r="Z145" s="239"/>
      <c r="AA145" s="462"/>
      <c r="AB145" s="462">
        <f t="shared" ref="AB145:BN145" si="292">AB29-AB149</f>
        <v>47.634999999999998</v>
      </c>
      <c r="AC145" s="462">
        <f t="shared" si="292"/>
        <v>46.723999999999997</v>
      </c>
      <c r="AD145" s="462">
        <f t="shared" si="292"/>
        <v>46.225000000000001</v>
      </c>
      <c r="AE145" s="462">
        <f t="shared" si="292"/>
        <v>46.017000000000003</v>
      </c>
      <c r="AF145" s="524">
        <f t="shared" si="292"/>
        <v>186.601</v>
      </c>
      <c r="AG145" s="462">
        <f t="shared" si="292"/>
        <v>51.661999999999999</v>
      </c>
      <c r="AH145" s="462">
        <f t="shared" si="292"/>
        <v>44.686999999999998</v>
      </c>
      <c r="AI145" s="462">
        <f t="shared" si="292"/>
        <v>47.02</v>
      </c>
      <c r="AJ145" s="462">
        <f t="shared" si="292"/>
        <v>46.881999999999998</v>
      </c>
      <c r="AK145" s="524">
        <f t="shared" si="292"/>
        <v>190.251</v>
      </c>
      <c r="AL145" s="462">
        <f t="shared" si="292"/>
        <v>46.326000000000001</v>
      </c>
      <c r="AM145" s="462">
        <f t="shared" si="292"/>
        <v>44.944000000000003</v>
      </c>
      <c r="AN145" s="462">
        <f t="shared" si="292"/>
        <v>46.177999999999997</v>
      </c>
      <c r="AO145" s="462">
        <f t="shared" si="292"/>
        <v>44.723999999999997</v>
      </c>
      <c r="AP145" s="524">
        <f t="shared" si="292"/>
        <v>182.172</v>
      </c>
      <c r="AQ145" s="462">
        <f t="shared" si="292"/>
        <v>30.314</v>
      </c>
      <c r="AR145" s="462">
        <f t="shared" si="292"/>
        <v>29.841999999999999</v>
      </c>
      <c r="AS145" s="462">
        <f t="shared" si="292"/>
        <v>30.815999999999999</v>
      </c>
      <c r="AT145" s="462">
        <f t="shared" si="292"/>
        <v>32.020000000000003</v>
      </c>
      <c r="AU145" s="524">
        <f t="shared" si="292"/>
        <v>122.99199999999999</v>
      </c>
      <c r="AV145" s="462">
        <f t="shared" si="292"/>
        <v>32.311</v>
      </c>
      <c r="AW145" s="462">
        <f t="shared" si="292"/>
        <v>35.947000000000003</v>
      </c>
      <c r="AX145" s="462">
        <f t="shared" si="292"/>
        <v>41.878</v>
      </c>
      <c r="AY145" s="462">
        <f t="shared" si="292"/>
        <v>36.840000000000003</v>
      </c>
      <c r="AZ145" s="524">
        <f t="shared" si="292"/>
        <v>146.976</v>
      </c>
      <c r="BA145" s="462">
        <f t="shared" si="292"/>
        <v>37.289000000000001</v>
      </c>
      <c r="BB145" s="462">
        <f t="shared" si="292"/>
        <v>34.472999999999999</v>
      </c>
      <c r="BC145" s="462">
        <f t="shared" si="292"/>
        <v>38.57</v>
      </c>
      <c r="BD145" s="462">
        <f t="shared" si="292"/>
        <v>33.837000000000003</v>
      </c>
      <c r="BE145" s="524">
        <f t="shared" si="292"/>
        <v>144.16900000000001</v>
      </c>
      <c r="BF145" s="462">
        <f t="shared" si="292"/>
        <v>32.463000000000001</v>
      </c>
      <c r="BG145" s="462">
        <f t="shared" si="292"/>
        <v>34.033999999999999</v>
      </c>
      <c r="BH145" s="462">
        <f t="shared" si="292"/>
        <v>35.094000000000001</v>
      </c>
      <c r="BI145" s="462">
        <f t="shared" si="292"/>
        <v>38.409000000000006</v>
      </c>
      <c r="BJ145" s="524">
        <f t="shared" si="292"/>
        <v>140</v>
      </c>
      <c r="BK145" s="462">
        <f t="shared" si="292"/>
        <v>35.545000000000002</v>
      </c>
      <c r="BL145" s="462">
        <f t="shared" si="292"/>
        <v>37.713000000000001</v>
      </c>
      <c r="BM145" s="462">
        <f t="shared" si="292"/>
        <v>32.931000000000004</v>
      </c>
      <c r="BN145" s="462">
        <f t="shared" si="292"/>
        <v>32.477999999999994</v>
      </c>
      <c r="BO145" s="524">
        <f>SUM(BK145:BN145)</f>
        <v>138.66700000000003</v>
      </c>
      <c r="BP145" s="462">
        <f>BP29-BP149</f>
        <v>30.523</v>
      </c>
      <c r="BQ145" s="462">
        <f>BQ29-BQ149</f>
        <v>29.355999999999998</v>
      </c>
      <c r="BR145" s="462">
        <f>BR29-BR149</f>
        <v>26.431999999999999</v>
      </c>
      <c r="BS145" s="462">
        <f>BS29-BS149</f>
        <v>25.693000000000001</v>
      </c>
      <c r="BT145" s="524">
        <f>SUM(BP145:BS145)</f>
        <v>112.00399999999999</v>
      </c>
      <c r="BU145" s="462">
        <f>BU29-BU149</f>
        <v>29.164999999999999</v>
      </c>
      <c r="BV145" s="462">
        <f>BV29-BV149</f>
        <v>31.309000000000001</v>
      </c>
      <c r="BW145" s="462">
        <f>BW29-BW149</f>
        <v>31.216000000000001</v>
      </c>
      <c r="BX145" s="462">
        <f>BS145*(1+BX146)</f>
        <v>30.06081</v>
      </c>
      <c r="BY145" s="524">
        <f>SUM(BU145:BX145)</f>
        <v>121.75081</v>
      </c>
      <c r="BZ145" s="462">
        <f>BU145*(1+BZ146)</f>
        <v>30.769074999999997</v>
      </c>
      <c r="CA145" s="462">
        <f>BV145*(1+CA146)</f>
        <v>33.030994999999997</v>
      </c>
      <c r="CB145" s="462">
        <f>BW145*(1+CB146)</f>
        <v>32.932879999999997</v>
      </c>
      <c r="CC145" s="462">
        <f>BX145*(1+CC146)</f>
        <v>31.714154549999996</v>
      </c>
      <c r="CD145" s="524">
        <f>SUM(BZ145:CC145)</f>
        <v>128.44710454999998</v>
      </c>
      <c r="CE145" s="462">
        <f>BZ145*(1+CE146)</f>
        <v>31.384456499999999</v>
      </c>
      <c r="CF145" s="462">
        <f>CA145*(1+CF146)</f>
        <v>33.691614899999998</v>
      </c>
      <c r="CG145" s="462">
        <f>CB145*(1+CG146)</f>
        <v>33.591537599999995</v>
      </c>
      <c r="CH145" s="462">
        <f>CC145*(1+CH146)</f>
        <v>32.348437640999997</v>
      </c>
      <c r="CI145" s="524">
        <f>SUM(CE145:CH145)</f>
        <v>131.01604664099997</v>
      </c>
      <c r="CJ145" s="462">
        <f>CE145*(1+CJ146)</f>
        <v>32.012145629999999</v>
      </c>
      <c r="CK145" s="462">
        <f>CF145*(1+CK146)</f>
        <v>34.365447197999998</v>
      </c>
      <c r="CL145" s="462">
        <f>CG145*(1+CL146)</f>
        <v>34.263368351999993</v>
      </c>
      <c r="CM145" s="462">
        <f>CH145*(1+CM146)</f>
        <v>32.995406393819998</v>
      </c>
      <c r="CN145" s="524">
        <f>SUM(CJ145:CM145)</f>
        <v>133.63636757381997</v>
      </c>
      <c r="CR145" s="66"/>
      <c r="CS145" s="66"/>
      <c r="CT145" s="66"/>
      <c r="CU145" s="66"/>
      <c r="CV145" s="66"/>
      <c r="CW145" s="66"/>
    </row>
    <row r="146" spans="1:224" s="1138" customFormat="1">
      <c r="A146" s="1137" t="s">
        <v>267</v>
      </c>
      <c r="B146" s="195"/>
      <c r="C146" s="195"/>
      <c r="D146" s="195"/>
      <c r="E146" s="195"/>
      <c r="F146" s="195"/>
      <c r="G146" s="195"/>
      <c r="H146" s="195"/>
      <c r="I146" s="195"/>
      <c r="J146" s="195"/>
      <c r="K146" s="195"/>
      <c r="L146" s="195"/>
      <c r="M146" s="195"/>
      <c r="N146" s="195"/>
      <c r="O146" s="195"/>
      <c r="P146" s="195"/>
      <c r="Q146" s="195"/>
      <c r="R146" s="195"/>
      <c r="S146" s="195"/>
      <c r="T146" s="195"/>
      <c r="U146" s="195"/>
      <c r="V146" s="231"/>
      <c r="W146" s="195"/>
      <c r="X146" s="195"/>
      <c r="Y146" s="195"/>
      <c r="Z146" s="195"/>
      <c r="AA146" s="476"/>
      <c r="AB146" s="476"/>
      <c r="AC146" s="476"/>
      <c r="AD146" s="476"/>
      <c r="AE146" s="476"/>
      <c r="AF146" s="407"/>
      <c r="AG146" s="192">
        <f t="shared" ref="AG146:BG146" si="293">AG145/AB145-1</f>
        <v>8.4538679542353279E-2</v>
      </c>
      <c r="AH146" s="192">
        <f t="shared" si="293"/>
        <v>-4.3596438661073544E-2</v>
      </c>
      <c r="AI146" s="192">
        <f t="shared" si="293"/>
        <v>1.7198485667928587E-2</v>
      </c>
      <c r="AJ146" s="192">
        <f t="shared" si="293"/>
        <v>1.8797400960514521E-2</v>
      </c>
      <c r="AK146" s="193">
        <f t="shared" si="293"/>
        <v>1.9560452516331761E-2</v>
      </c>
      <c r="AL146" s="192">
        <f t="shared" si="293"/>
        <v>-0.1032867484805079</v>
      </c>
      <c r="AM146" s="192">
        <f t="shared" si="293"/>
        <v>5.7511132991698855E-3</v>
      </c>
      <c r="AN146" s="192">
        <f t="shared" si="293"/>
        <v>-1.7907273500638143E-2</v>
      </c>
      <c r="AO146" s="192">
        <f t="shared" si="293"/>
        <v>-4.6030459451388617E-2</v>
      </c>
      <c r="AP146" s="193">
        <f t="shared" si="293"/>
        <v>-4.2464954192093618E-2</v>
      </c>
      <c r="AQ146" s="192">
        <f t="shared" si="293"/>
        <v>-0.34563743901912536</v>
      </c>
      <c r="AR146" s="192">
        <f t="shared" si="293"/>
        <v>-0.33601815592737638</v>
      </c>
      <c r="AS146" s="192">
        <f t="shared" si="293"/>
        <v>-0.33266923643293345</v>
      </c>
      <c r="AT146" s="192">
        <f t="shared" si="293"/>
        <v>-0.28405330471335288</v>
      </c>
      <c r="AU146" s="193">
        <f t="shared" si="293"/>
        <v>-0.32485782666930163</v>
      </c>
      <c r="AV146" s="192">
        <f t="shared" si="293"/>
        <v>6.58771524708055E-2</v>
      </c>
      <c r="AW146" s="192">
        <f t="shared" si="293"/>
        <v>0.20457744119026899</v>
      </c>
      <c r="AX146" s="192">
        <f t="shared" si="293"/>
        <v>0.35896936656282463</v>
      </c>
      <c r="AY146" s="192">
        <f t="shared" si="293"/>
        <v>0.15053091817613984</v>
      </c>
      <c r="AZ146" s="193">
        <f t="shared" si="293"/>
        <v>0.19500455314166776</v>
      </c>
      <c r="BA146" s="192">
        <f t="shared" si="293"/>
        <v>0.15406517904119355</v>
      </c>
      <c r="BB146" s="192">
        <f t="shared" si="293"/>
        <v>-4.1004812640832444E-2</v>
      </c>
      <c r="BC146" s="192">
        <f t="shared" si="293"/>
        <v>-7.8991355843163524E-2</v>
      </c>
      <c r="BD146" s="192">
        <f t="shared" si="293"/>
        <v>-8.1514657980455985E-2</v>
      </c>
      <c r="BE146" s="193">
        <f t="shared" si="293"/>
        <v>-1.9098356194208521E-2</v>
      </c>
      <c r="BF146" s="192">
        <f t="shared" si="293"/>
        <v>-0.12942154522781513</v>
      </c>
      <c r="BG146" s="192">
        <f t="shared" si="293"/>
        <v>-1.2734603892901708E-2</v>
      </c>
      <c r="BH146" s="192">
        <f t="shared" ref="BH146:BV146" si="294">BH145/BC145-1</f>
        <v>-9.0121856365050546E-2</v>
      </c>
      <c r="BI146" s="192">
        <f t="shared" si="294"/>
        <v>0.13511836155687562</v>
      </c>
      <c r="BJ146" s="193">
        <f t="shared" si="294"/>
        <v>-2.8917451047035136E-2</v>
      </c>
      <c r="BK146" s="192">
        <f t="shared" si="294"/>
        <v>9.4938853463943484E-2</v>
      </c>
      <c r="BL146" s="192">
        <f t="shared" si="294"/>
        <v>0.10809778456837282</v>
      </c>
      <c r="BM146" s="192">
        <f t="shared" si="294"/>
        <v>-6.1634467430329853E-2</v>
      </c>
      <c r="BN146" s="192">
        <f t="shared" si="294"/>
        <v>-0.15441693353120389</v>
      </c>
      <c r="BO146" s="193">
        <f t="shared" si="294"/>
        <v>-9.5214285714283475E-3</v>
      </c>
      <c r="BP146" s="192">
        <f t="shared" si="294"/>
        <v>-0.14128569419046288</v>
      </c>
      <c r="BQ146" s="192">
        <f t="shared" si="294"/>
        <v>-0.22159467557606138</v>
      </c>
      <c r="BR146" s="192">
        <f t="shared" si="294"/>
        <v>-0.19735203911208299</v>
      </c>
      <c r="BS146" s="192">
        <f t="shared" si="294"/>
        <v>-0.20891064720734021</v>
      </c>
      <c r="BT146" s="193">
        <f>BT145/BO145-1</f>
        <v>-0.1922807877865681</v>
      </c>
      <c r="BU146" s="192">
        <f t="shared" si="294"/>
        <v>-4.4491039543950506E-2</v>
      </c>
      <c r="BV146" s="192">
        <f t="shared" si="294"/>
        <v>6.6528137348412786E-2</v>
      </c>
      <c r="BW146" s="192">
        <f>BW145/BR145-1</f>
        <v>0.1809927360774819</v>
      </c>
      <c r="BX146" s="192">
        <v>0.17</v>
      </c>
      <c r="BY146" s="193">
        <f>BY145/BT145-1</f>
        <v>8.7021981357808809E-2</v>
      </c>
      <c r="BZ146" s="403">
        <v>5.5E-2</v>
      </c>
      <c r="CA146" s="403">
        <v>5.5E-2</v>
      </c>
      <c r="CB146" s="403">
        <v>5.5E-2</v>
      </c>
      <c r="CC146" s="403">
        <v>5.5E-2</v>
      </c>
      <c r="CD146" s="193">
        <v>0.02</v>
      </c>
      <c r="CE146" s="403">
        <v>0.02</v>
      </c>
      <c r="CF146" s="403">
        <v>0.02</v>
      </c>
      <c r="CG146" s="403">
        <v>0.02</v>
      </c>
      <c r="CH146" s="403">
        <v>0.02</v>
      </c>
      <c r="CI146" s="193">
        <f>CI145/CD145-1</f>
        <v>2.0000000000000018E-2</v>
      </c>
      <c r="CJ146" s="403">
        <v>0.02</v>
      </c>
      <c r="CK146" s="403">
        <v>0.02</v>
      </c>
      <c r="CL146" s="403">
        <v>0.02</v>
      </c>
      <c r="CM146" s="403">
        <v>0.02</v>
      </c>
      <c r="CN146" s="193">
        <f>CN145/CI145-1</f>
        <v>2.0000000000000018E-2</v>
      </c>
      <c r="CO146" s="195"/>
      <c r="CP146" s="195"/>
      <c r="CQ146" s="195"/>
      <c r="CR146" s="229"/>
      <c r="CS146" s="229"/>
      <c r="CT146" s="229"/>
      <c r="CU146" s="229"/>
      <c r="CV146" s="229"/>
      <c r="CW146" s="229"/>
      <c r="CX146" s="195"/>
      <c r="CY146" s="195"/>
      <c r="CZ146" s="195"/>
      <c r="DA146" s="195"/>
      <c r="DB146"/>
      <c r="DC146"/>
      <c r="DD146"/>
      <c r="DE146"/>
      <c r="DF146"/>
      <c r="DG146"/>
      <c r="DH146" s="195"/>
      <c r="DI146" s="195"/>
      <c r="DJ146" s="195"/>
      <c r="DK146" s="195"/>
      <c r="DL146" s="195"/>
      <c r="DM146" s="195"/>
      <c r="DN146" s="195"/>
      <c r="DO146" s="195"/>
      <c r="DP146" s="195"/>
      <c r="DQ146" s="195"/>
      <c r="DR146" s="195"/>
      <c r="DS146" s="195"/>
      <c r="DT146" s="195"/>
      <c r="DU146" s="195"/>
      <c r="DV146" s="195"/>
      <c r="DW146" s="195"/>
      <c r="DX146" s="195"/>
      <c r="DY146" s="195"/>
      <c r="DZ146" s="195"/>
      <c r="EA146" s="195"/>
      <c r="EB146" s="195"/>
      <c r="EC146" s="195"/>
      <c r="ED146" s="195"/>
      <c r="EE146" s="195"/>
      <c r="EF146" s="195"/>
      <c r="EG146" s="195"/>
      <c r="EH146" s="195"/>
      <c r="EI146" s="195"/>
      <c r="EJ146" s="195"/>
      <c r="EK146" s="195"/>
      <c r="EL146" s="195"/>
      <c r="EM146" s="195"/>
      <c r="EN146" s="195"/>
      <c r="EO146" s="195"/>
      <c r="EP146" s="195"/>
      <c r="EQ146" s="195"/>
      <c r="ER146" s="195"/>
      <c r="ES146" s="195"/>
      <c r="ET146" s="195"/>
      <c r="EU146" s="195"/>
      <c r="EV146" s="195"/>
      <c r="EW146" s="195"/>
      <c r="EX146" s="195"/>
      <c r="EY146" s="195"/>
      <c r="EZ146" s="195"/>
      <c r="FA146" s="195"/>
      <c r="FB146" s="195"/>
      <c r="FC146" s="195"/>
      <c r="FD146" s="195"/>
      <c r="FE146" s="195"/>
      <c r="FF146" s="195"/>
      <c r="FG146" s="195"/>
      <c r="FH146" s="195"/>
      <c r="FI146" s="195"/>
      <c r="FJ146" s="195"/>
      <c r="FK146" s="195"/>
      <c r="FL146" s="195"/>
      <c r="FM146" s="195"/>
      <c r="FN146" s="195"/>
      <c r="FO146" s="195"/>
      <c r="FP146" s="195"/>
      <c r="FQ146" s="195"/>
      <c r="FR146" s="195"/>
      <c r="FS146" s="195"/>
      <c r="FT146" s="195"/>
      <c r="FU146" s="195"/>
      <c r="FV146" s="195"/>
      <c r="FW146" s="195"/>
      <c r="FX146" s="195"/>
      <c r="FY146" s="195"/>
      <c r="FZ146" s="195"/>
      <c r="GA146" s="195"/>
      <c r="GB146" s="195"/>
      <c r="GC146" s="195"/>
      <c r="GD146" s="195"/>
      <c r="GE146" s="195"/>
      <c r="GF146" s="195"/>
      <c r="GG146" s="195"/>
      <c r="GH146" s="195"/>
      <c r="GI146" s="195"/>
      <c r="GJ146" s="195"/>
      <c r="GK146" s="195"/>
      <c r="GL146" s="195"/>
      <c r="GM146" s="195"/>
      <c r="GN146" s="195"/>
      <c r="GO146" s="195"/>
      <c r="GP146" s="195"/>
      <c r="GQ146" s="195"/>
      <c r="GR146" s="195"/>
      <c r="GS146" s="195"/>
      <c r="GT146" s="195"/>
      <c r="GU146" s="195"/>
      <c r="GV146" s="195"/>
      <c r="GW146" s="195"/>
      <c r="GX146" s="195"/>
      <c r="GY146" s="195"/>
      <c r="GZ146" s="195"/>
      <c r="HA146" s="195"/>
      <c r="HB146" s="195"/>
      <c r="HC146" s="195"/>
      <c r="HD146" s="195"/>
      <c r="HE146" s="195"/>
      <c r="HF146" s="195"/>
      <c r="HG146" s="195"/>
      <c r="HH146" s="195"/>
      <c r="HI146" s="195"/>
      <c r="HJ146" s="195"/>
      <c r="HK146" s="195"/>
      <c r="HL146" s="195"/>
      <c r="HM146" s="195"/>
      <c r="HN146" s="195"/>
      <c r="HO146" s="195"/>
      <c r="HP146" s="195"/>
    </row>
    <row r="147" spans="1:224">
      <c r="A147" s="522" t="s">
        <v>554</v>
      </c>
      <c r="B147" s="45"/>
      <c r="V147" s="89"/>
      <c r="AA147" s="96"/>
      <c r="AB147" s="1161">
        <v>33.771712158808931</v>
      </c>
      <c r="AC147" s="1161">
        <v>33.267354930580275</v>
      </c>
      <c r="AD147" s="1161">
        <v>32.970756062767478</v>
      </c>
      <c r="AE147" s="1161">
        <v>32.775641025641022</v>
      </c>
      <c r="AF147" s="1162">
        <v>132.34113475177307</v>
      </c>
      <c r="AG147" s="1161">
        <v>36.835650623885918</v>
      </c>
      <c r="AH147" s="1161">
        <v>31.987831066571221</v>
      </c>
      <c r="AI147" s="1161">
        <v>33.706093189964164</v>
      </c>
      <c r="AJ147" s="1161">
        <v>33.655419956927496</v>
      </c>
      <c r="AK147" s="1162">
        <v>136.03932785126921</v>
      </c>
      <c r="AL147" s="1161">
        <v>33.316073354908305</v>
      </c>
      <c r="AM147" s="1161">
        <v>32.322186263933837</v>
      </c>
      <c r="AN147" s="1161">
        <v>33.197699496764919</v>
      </c>
      <c r="AO147" s="1161">
        <v>32.117773788150807</v>
      </c>
      <c r="AP147" s="1162">
        <v>130.82369838420107</v>
      </c>
      <c r="AQ147" s="1161">
        <v>21.738257439942632</v>
      </c>
      <c r="AR147" s="1161">
        <v>21.353846153846153</v>
      </c>
      <c r="AS147" s="1161">
        <v>21.98002853067047</v>
      </c>
      <c r="AT147" s="1161">
        <v>22.701169797943994</v>
      </c>
      <c r="AU147" s="1162">
        <v>87.507648523657053</v>
      </c>
      <c r="AV147" s="1161">
        <v>22.826563051925113</v>
      </c>
      <c r="AW147" s="1161">
        <v>25.323705530116239</v>
      </c>
      <c r="AX147" s="1161">
        <v>29.162952646239553</v>
      </c>
      <c r="AY147" s="1161">
        <v>25.63674321503132</v>
      </c>
      <c r="AZ147" s="1162">
        <v>103.35864978902953</v>
      </c>
      <c r="BA147" s="1161">
        <v>26.131044148563422</v>
      </c>
      <c r="BB147" s="1161">
        <v>24.234094903339191</v>
      </c>
      <c r="BC147" s="1161">
        <v>27.708333333333336</v>
      </c>
      <c r="BD147" s="1161">
        <v>26.549234994115345</v>
      </c>
      <c r="BE147" s="1162">
        <v>110.47432950191572</v>
      </c>
      <c r="BF147" s="1161">
        <v>29.728021978021978</v>
      </c>
      <c r="BG147" s="1161">
        <v>33.932203389830512</v>
      </c>
      <c r="BH147" s="1161">
        <v>35.094000000000001</v>
      </c>
      <c r="BI147" s="1161">
        <v>39.353483606557383</v>
      </c>
      <c r="BJ147" s="1162">
        <v>130.84112149532709</v>
      </c>
      <c r="BK147" s="1161">
        <v>37.415789473684214</v>
      </c>
      <c r="BL147" s="1161">
        <v>41.833610648918466</v>
      </c>
      <c r="BM147" s="1161">
        <v>38.470794392523374</v>
      </c>
      <c r="BN147" s="1161">
        <v>43.770889487870612</v>
      </c>
      <c r="BO147" s="1162">
        <v>174.53366897419764</v>
      </c>
      <c r="BP147" s="1161">
        <v>50.28500823723229</v>
      </c>
      <c r="BQ147" s="1161">
        <v>50.439862542955325</v>
      </c>
      <c r="BR147" s="1161">
        <v>52.392467789890979</v>
      </c>
      <c r="BS147" s="1161">
        <v>67.881109643328926</v>
      </c>
      <c r="BT147" s="1162">
        <v>232.85654885654884</v>
      </c>
      <c r="BU147" s="1161">
        <v>88.245083207261729</v>
      </c>
      <c r="BV147" s="1161">
        <v>94.589123867069489</v>
      </c>
      <c r="BW147" s="1161">
        <v>94.024096385542165</v>
      </c>
      <c r="BX147" s="1161">
        <v>89.733761194029853</v>
      </c>
      <c r="BY147" s="1162">
        <v>365.06989505247378</v>
      </c>
      <c r="BZ147" s="1161">
        <v>91.16762962962963</v>
      </c>
      <c r="CA147" s="1161">
        <v>97.580487444608565</v>
      </c>
      <c r="CB147" s="1161">
        <v>97.004064801178188</v>
      </c>
      <c r="CC147" s="1161">
        <v>93.139954625550644</v>
      </c>
      <c r="CD147" s="1162">
        <v>378.90001342182882</v>
      </c>
      <c r="CE147" s="1161">
        <v>91.767416666666662</v>
      </c>
      <c r="CF147" s="1161">
        <v>97.940740988372085</v>
      </c>
      <c r="CG147" s="1161">
        <v>97.085368786127148</v>
      </c>
      <c r="CH147" s="1161">
        <v>92.955280577586208</v>
      </c>
      <c r="CI147" s="1162">
        <v>379.7566569304347</v>
      </c>
      <c r="CJ147" s="1161">
        <v>91.332797803138362</v>
      </c>
      <c r="CK147" s="1161">
        <v>97.214843558698718</v>
      </c>
      <c r="CL147" s="1161">
        <v>96.110430159887784</v>
      </c>
      <c r="CM147" s="1161">
        <v>91.781380789485382</v>
      </c>
      <c r="CN147" s="1162">
        <v>376.4404720389295</v>
      </c>
      <c r="CR147" s="117"/>
      <c r="CS147" s="117"/>
      <c r="CT147" s="117"/>
      <c r="CU147" s="117"/>
      <c r="CV147" s="117"/>
      <c r="CW147" s="117"/>
    </row>
    <row r="148" spans="1:224" s="1138" customFormat="1">
      <c r="A148" s="1137" t="s">
        <v>267</v>
      </c>
      <c r="B148" s="195"/>
      <c r="C148" s="195"/>
      <c r="D148" s="195"/>
      <c r="E148" s="195"/>
      <c r="F148" s="195"/>
      <c r="G148" s="195"/>
      <c r="H148" s="195"/>
      <c r="I148" s="195"/>
      <c r="J148" s="195"/>
      <c r="K148" s="195"/>
      <c r="L148" s="195"/>
      <c r="M148" s="195"/>
      <c r="N148" s="195"/>
      <c r="O148" s="195"/>
      <c r="P148" s="195"/>
      <c r="Q148" s="195"/>
      <c r="R148" s="195"/>
      <c r="S148" s="195"/>
      <c r="T148" s="195"/>
      <c r="U148" s="195"/>
      <c r="V148" s="231"/>
      <c r="W148" s="195"/>
      <c r="X148" s="195"/>
      <c r="Y148" s="195"/>
      <c r="Z148" s="195"/>
      <c r="AA148" s="476"/>
      <c r="AB148" s="476"/>
      <c r="AC148" s="476"/>
      <c r="AD148" s="476"/>
      <c r="AE148" s="476"/>
      <c r="AF148" s="407"/>
      <c r="AG148" s="192">
        <f t="shared" ref="AG148:BJ148" si="295">AG147/AB147-1</f>
        <v>9.072499643100862E-2</v>
      </c>
      <c r="AH148" s="192">
        <f t="shared" si="295"/>
        <v>-3.8461845454171639E-2</v>
      </c>
      <c r="AI148" s="192">
        <f t="shared" si="295"/>
        <v>2.2302707459810778E-2</v>
      </c>
      <c r="AJ148" s="192">
        <f t="shared" si="295"/>
        <v>2.6842462992507254E-2</v>
      </c>
      <c r="AK148" s="193">
        <f t="shared" si="295"/>
        <v>2.7944396173062103E-2</v>
      </c>
      <c r="AL148" s="192">
        <f t="shared" si="295"/>
        <v>-9.5548122793176815E-2</v>
      </c>
      <c r="AM148" s="192">
        <f t="shared" si="295"/>
        <v>1.0452574814052706E-2</v>
      </c>
      <c r="AN148" s="192">
        <f t="shared" si="295"/>
        <v>-1.5083139132559542E-2</v>
      </c>
      <c r="AO148" s="192">
        <f t="shared" si="295"/>
        <v>-4.5687921016721256E-2</v>
      </c>
      <c r="AP148" s="193">
        <f t="shared" si="295"/>
        <v>-3.8339129937265959E-2</v>
      </c>
      <c r="AQ148" s="192">
        <f t="shared" si="295"/>
        <v>-0.34751442019081658</v>
      </c>
      <c r="AR148" s="192">
        <f t="shared" si="295"/>
        <v>-0.33934400416244492</v>
      </c>
      <c r="AS148" s="192">
        <f t="shared" si="295"/>
        <v>-0.33790506981327428</v>
      </c>
      <c r="AT148" s="192">
        <f t="shared" si="295"/>
        <v>-0.29318980986412191</v>
      </c>
      <c r="AU148" s="193">
        <f t="shared" si="295"/>
        <v>-0.3311024714599804</v>
      </c>
      <c r="AV148" s="192">
        <f t="shared" si="295"/>
        <v>5.006406861217827E-2</v>
      </c>
      <c r="AW148" s="192">
        <f t="shared" si="295"/>
        <v>0.18590840018555888</v>
      </c>
      <c r="AX148" s="192">
        <f t="shared" si="295"/>
        <v>0.32679321164420605</v>
      </c>
      <c r="AY148" s="192">
        <f t="shared" si="295"/>
        <v>0.12931375093072051</v>
      </c>
      <c r="AZ148" s="193">
        <f t="shared" si="295"/>
        <v>0.18113846655458099</v>
      </c>
      <c r="BA148" s="192">
        <f t="shared" si="295"/>
        <v>0.14476472384920069</v>
      </c>
      <c r="BB148" s="192">
        <f t="shared" si="295"/>
        <v>-4.3027298097477407E-2</v>
      </c>
      <c r="BC148" s="192">
        <f t="shared" si="295"/>
        <v>-4.987901364280356E-2</v>
      </c>
      <c r="BD148" s="192">
        <f t="shared" si="295"/>
        <v>3.559312395612757E-2</v>
      </c>
      <c r="BE148" s="193">
        <f t="shared" si="295"/>
        <v>6.8844549802172805E-2</v>
      </c>
      <c r="BF148" s="192">
        <f t="shared" si="295"/>
        <v>0.13765151553105093</v>
      </c>
      <c r="BG148" s="192">
        <f t="shared" si="295"/>
        <v>0.40018447254471345</v>
      </c>
      <c r="BH148" s="192">
        <f t="shared" si="295"/>
        <v>0.26655037593984954</v>
      </c>
      <c r="BI148" s="192">
        <f t="shared" si="295"/>
        <v>0.48228314734040767</v>
      </c>
      <c r="BJ148" s="193">
        <f t="shared" si="295"/>
        <v>0.18435768820898968</v>
      </c>
      <c r="BK148" s="192">
        <f>BK147/BF147-1</f>
        <v>0.25860339787644882</v>
      </c>
      <c r="BL148" s="192">
        <f>BL147/BG147-1</f>
        <v>0.23285865548760709</v>
      </c>
      <c r="BM148" s="192">
        <f>BM147/BH147-1</f>
        <v>9.6221416553353034E-2</v>
      </c>
      <c r="BN148" s="192">
        <f>BN147/BI147-1</f>
        <v>0.11224942435787733</v>
      </c>
      <c r="BO148" s="193">
        <f t="shared" ref="BO148:CN148" si="296">BO147/BJ147-1</f>
        <v>0.33393589858851058</v>
      </c>
      <c r="BP148" s="192">
        <f>BP147/BK147-1</f>
        <v>0.34395154945479445</v>
      </c>
      <c r="BQ148" s="192">
        <f>BQ147/BL147-1</f>
        <v>0.2057257731412041</v>
      </c>
      <c r="BR148" s="192">
        <f t="shared" si="296"/>
        <v>0.36187642124887387</v>
      </c>
      <c r="BS148" s="192">
        <f t="shared" si="296"/>
        <v>0.55082774048125116</v>
      </c>
      <c r="BT148" s="193">
        <f t="shared" si="296"/>
        <v>0.33416406258538811</v>
      </c>
      <c r="BU148" s="192">
        <f>BU147/BP147-1</f>
        <v>0.75489845384817578</v>
      </c>
      <c r="BV148" s="192">
        <f t="shared" si="296"/>
        <v>0.87528512367606082</v>
      </c>
      <c r="BW148" s="192">
        <f>BW147/BR147-1</f>
        <v>0.79461094985267944</v>
      </c>
      <c r="BX148" s="192">
        <f t="shared" si="296"/>
        <v>0.32192537313432856</v>
      </c>
      <c r="BY148" s="193">
        <f t="shared" si="296"/>
        <v>0.56778882468697467</v>
      </c>
      <c r="BZ148" s="192">
        <f t="shared" si="296"/>
        <v>3.3118518518518547E-2</v>
      </c>
      <c r="CA148" s="192">
        <f t="shared" si="296"/>
        <v>3.1624815361890546E-2</v>
      </c>
      <c r="CB148" s="192">
        <f t="shared" si="296"/>
        <v>3.1693667157584482E-2</v>
      </c>
      <c r="CC148" s="192">
        <f t="shared" si="296"/>
        <v>3.7958883994126058E-2</v>
      </c>
      <c r="CD148" s="193">
        <f t="shared" si="296"/>
        <v>3.7883480825958493E-2</v>
      </c>
      <c r="CE148" s="192">
        <f t="shared" si="296"/>
        <v>6.5789473684210176E-3</v>
      </c>
      <c r="CF148" s="192">
        <f t="shared" si="296"/>
        <v>3.6918604651161591E-3</v>
      </c>
      <c r="CG148" s="192">
        <f t="shared" si="296"/>
        <v>8.3815028901734756E-4</v>
      </c>
      <c r="CH148" s="192">
        <f t="shared" si="296"/>
        <v>-1.9827586206894177E-3</v>
      </c>
      <c r="CI148" s="193">
        <f t="shared" si="296"/>
        <v>2.2608695652173161E-3</v>
      </c>
      <c r="CJ148" s="192">
        <f t="shared" si="296"/>
        <v>-4.7360912981455616E-3</v>
      </c>
      <c r="CK148" s="192">
        <f t="shared" si="296"/>
        <v>-7.4115983026874499E-3</v>
      </c>
      <c r="CL148" s="192">
        <f t="shared" si="296"/>
        <v>-1.0042075736325318E-2</v>
      </c>
      <c r="CM148" s="192">
        <f t="shared" si="296"/>
        <v>-1.2628650904033534E-2</v>
      </c>
      <c r="CN148" s="193">
        <f t="shared" si="296"/>
        <v>-8.7323943661972159E-3</v>
      </c>
      <c r="CO148" s="195"/>
      <c r="CP148" s="195"/>
      <c r="CQ148" s="195"/>
      <c r="CR148" s="229"/>
      <c r="CS148" s="229"/>
      <c r="CT148" s="229"/>
      <c r="CU148" s="229"/>
      <c r="CV148" s="229"/>
      <c r="CW148" s="229"/>
      <c r="CX148" s="195"/>
      <c r="CY148" s="195"/>
      <c r="CZ148" s="195"/>
      <c r="DA148" s="195"/>
      <c r="DB148"/>
      <c r="DC148"/>
      <c r="DD148"/>
      <c r="DE148"/>
      <c r="DF148"/>
      <c r="DG148"/>
      <c r="DH148" s="195"/>
      <c r="DI148" s="195"/>
      <c r="DJ148" s="195"/>
      <c r="DK148" s="195"/>
      <c r="DL148" s="195"/>
      <c r="DM148" s="195"/>
      <c r="DN148" s="195"/>
      <c r="DO148" s="195"/>
      <c r="DP148" s="195"/>
      <c r="DQ148" s="195"/>
      <c r="DR148" s="195"/>
      <c r="DS148" s="195"/>
      <c r="DT148" s="195"/>
      <c r="DU148" s="195"/>
      <c r="DV148" s="195"/>
      <c r="DW148" s="195"/>
      <c r="DX148" s="195"/>
      <c r="DY148" s="195"/>
      <c r="DZ148" s="195"/>
      <c r="EA148" s="195"/>
      <c r="EB148" s="195"/>
      <c r="EC148" s="195"/>
      <c r="ED148" s="195"/>
      <c r="EE148" s="195"/>
      <c r="EF148" s="195"/>
      <c r="EG148" s="195"/>
      <c r="EH148" s="195"/>
      <c r="EI148" s="195"/>
      <c r="EJ148" s="195"/>
      <c r="EK148" s="195"/>
      <c r="EL148" s="195"/>
      <c r="EM148" s="195"/>
      <c r="EN148" s="195"/>
      <c r="EO148" s="195"/>
      <c r="EP148" s="195"/>
      <c r="EQ148" s="195"/>
      <c r="ER148" s="195"/>
      <c r="ES148" s="195"/>
      <c r="ET148" s="195"/>
      <c r="EU148" s="195"/>
      <c r="EV148" s="195"/>
      <c r="EW148" s="195"/>
      <c r="EX148" s="195"/>
      <c r="EY148" s="195"/>
      <c r="EZ148" s="195"/>
      <c r="FA148" s="195"/>
      <c r="FB148" s="195"/>
      <c r="FC148" s="195"/>
      <c r="FD148" s="195"/>
      <c r="FE148" s="195"/>
      <c r="FF148" s="195"/>
      <c r="FG148" s="195"/>
      <c r="FH148" s="195"/>
      <c r="FI148" s="195"/>
      <c r="FJ148" s="195"/>
      <c r="FK148" s="195"/>
      <c r="FL148" s="195"/>
      <c r="FM148" s="195"/>
      <c r="FN148" s="195"/>
      <c r="FO148" s="195"/>
      <c r="FP148" s="195"/>
      <c r="FQ148" s="195"/>
      <c r="FR148" s="195"/>
      <c r="FS148" s="195"/>
      <c r="FT148" s="195"/>
      <c r="FU148" s="195"/>
      <c r="FV148" s="195"/>
      <c r="FW148" s="195"/>
      <c r="FX148" s="195"/>
      <c r="FY148" s="195"/>
      <c r="FZ148" s="195"/>
      <c r="GA148" s="195"/>
      <c r="GB148" s="195"/>
      <c r="GC148" s="195"/>
      <c r="GD148" s="195"/>
      <c r="GE148" s="195"/>
      <c r="GF148" s="195"/>
      <c r="GG148" s="195"/>
      <c r="GH148" s="195"/>
      <c r="GI148" s="195"/>
      <c r="GJ148" s="195"/>
      <c r="GK148" s="195"/>
      <c r="GL148" s="195"/>
      <c r="GM148" s="195"/>
      <c r="GN148" s="195"/>
      <c r="GO148" s="195"/>
      <c r="GP148" s="195"/>
      <c r="GQ148" s="195"/>
      <c r="GR148" s="195"/>
      <c r="GS148" s="195"/>
      <c r="GT148" s="195"/>
      <c r="GU148" s="195"/>
      <c r="GV148" s="195"/>
      <c r="GW148" s="195"/>
      <c r="GX148" s="195"/>
      <c r="GY148" s="195"/>
      <c r="GZ148" s="195"/>
      <c r="HA148" s="195"/>
      <c r="HB148" s="195"/>
      <c r="HC148" s="195"/>
      <c r="HD148" s="195"/>
      <c r="HE148" s="195"/>
      <c r="HF148" s="195"/>
      <c r="HG148" s="195"/>
      <c r="HH148" s="195"/>
      <c r="HI148" s="195"/>
      <c r="HJ148" s="195"/>
      <c r="HK148" s="195"/>
      <c r="HL148" s="195"/>
      <c r="HM148" s="195"/>
      <c r="HN148" s="195"/>
      <c r="HO148" s="195"/>
      <c r="HP148" s="195"/>
    </row>
    <row r="149" spans="1:224" ht="15">
      <c r="A149" s="522" t="s">
        <v>402</v>
      </c>
      <c r="B149" s="45"/>
      <c r="V149" s="89"/>
      <c r="AA149" s="96"/>
      <c r="AB149" s="108">
        <v>0</v>
      </c>
      <c r="AC149" s="108">
        <v>0</v>
      </c>
      <c r="AD149" s="108">
        <v>0</v>
      </c>
      <c r="AE149" s="108">
        <v>0</v>
      </c>
      <c r="AF149" s="103">
        <f>SUM(AB149:AE149)</f>
        <v>0</v>
      </c>
      <c r="AG149" s="108">
        <v>0</v>
      </c>
      <c r="AH149" s="108">
        <v>0</v>
      </c>
      <c r="AI149" s="108">
        <v>0</v>
      </c>
      <c r="AJ149" s="108">
        <v>0</v>
      </c>
      <c r="AK149" s="103">
        <f>SUM(AG149:AJ149)</f>
        <v>0</v>
      </c>
      <c r="AL149" s="108">
        <v>0</v>
      </c>
      <c r="AM149" s="108">
        <v>0</v>
      </c>
      <c r="AN149" s="108">
        <v>0</v>
      </c>
      <c r="AO149" s="108">
        <v>0</v>
      </c>
      <c r="AP149" s="103">
        <f>SUM(AL149:AO149)</f>
        <v>0</v>
      </c>
      <c r="AQ149" s="108">
        <v>0</v>
      </c>
      <c r="AR149" s="108">
        <v>0</v>
      </c>
      <c r="AS149" s="108">
        <v>0</v>
      </c>
      <c r="AT149" s="108">
        <v>0</v>
      </c>
      <c r="AU149" s="103">
        <f>SUM(AQ149:AT149)</f>
        <v>0</v>
      </c>
      <c r="AV149" s="108">
        <v>0</v>
      </c>
      <c r="AW149" s="108">
        <v>0</v>
      </c>
      <c r="AX149" s="108">
        <v>0</v>
      </c>
      <c r="AY149" s="108">
        <v>0</v>
      </c>
      <c r="AZ149" s="103">
        <f>SUM(AV149:AY149)</f>
        <v>0</v>
      </c>
      <c r="BA149" s="108">
        <v>14.507999999999999</v>
      </c>
      <c r="BB149" s="108">
        <v>4.2460000000000004</v>
      </c>
      <c r="BC149" s="108">
        <v>5.7549999999999999</v>
      </c>
      <c r="BD149" s="108">
        <f>BE149-SUM(BA149:BC149)</f>
        <v>13.681000000000001</v>
      </c>
      <c r="BE149" s="103">
        <v>38.19</v>
      </c>
      <c r="BF149" s="108">
        <v>9.5579999999999998</v>
      </c>
      <c r="BG149" s="108">
        <v>5.4610000000000003</v>
      </c>
      <c r="BH149" s="108">
        <v>1.18</v>
      </c>
      <c r="BI149" s="108">
        <f>BJ149-SUM(BF149:BH149)</f>
        <v>3.1539999999999999</v>
      </c>
      <c r="BJ149" s="103">
        <v>19.353000000000002</v>
      </c>
      <c r="BK149" s="108">
        <v>0</v>
      </c>
      <c r="BL149" s="108">
        <v>1.6220000000000001</v>
      </c>
      <c r="BM149" s="108">
        <v>3.4889999999999999</v>
      </c>
      <c r="BN149" s="108">
        <f>6.384-SUM(BK149:BM149)</f>
        <v>1.2730000000000006</v>
      </c>
      <c r="BO149" s="103">
        <f>SUM(BK149:BN149)</f>
        <v>6.3840000000000003</v>
      </c>
      <c r="BP149" s="108">
        <v>1.8220000000000001</v>
      </c>
      <c r="BQ149" s="108">
        <v>1.393</v>
      </c>
      <c r="BR149" s="108">
        <v>2.93</v>
      </c>
      <c r="BS149" s="108">
        <f>BT149-SUM(BP149:BR149)</f>
        <v>4.5549999999999997</v>
      </c>
      <c r="BT149" s="103">
        <v>10.7</v>
      </c>
      <c r="BU149" s="108">
        <v>0</v>
      </c>
      <c r="BV149" s="108">
        <v>0</v>
      </c>
      <c r="BW149" s="108">
        <v>0</v>
      </c>
      <c r="BX149" s="108">
        <v>0</v>
      </c>
      <c r="BY149" s="103">
        <f>SUM(BU149:BX149)</f>
        <v>0</v>
      </c>
      <c r="BZ149" s="405">
        <v>0</v>
      </c>
      <c r="CA149" s="405">
        <v>0</v>
      </c>
      <c r="CB149" s="405">
        <v>0</v>
      </c>
      <c r="CC149" s="405">
        <v>0</v>
      </c>
      <c r="CD149" s="103">
        <f>SUM(BZ149:CC149)</f>
        <v>0</v>
      </c>
      <c r="CE149" s="405">
        <v>0</v>
      </c>
      <c r="CF149" s="405">
        <v>0</v>
      </c>
      <c r="CG149" s="405">
        <v>0</v>
      </c>
      <c r="CH149" s="405">
        <v>0</v>
      </c>
      <c r="CI149" s="103">
        <f>SUM(CE149:CH149)</f>
        <v>0</v>
      </c>
      <c r="CJ149" s="405">
        <v>0</v>
      </c>
      <c r="CK149" s="405">
        <v>0</v>
      </c>
      <c r="CL149" s="405">
        <v>0</v>
      </c>
      <c r="CM149" s="405">
        <v>0</v>
      </c>
      <c r="CN149" s="103">
        <f>SUM(CJ149:CM149)</f>
        <v>0</v>
      </c>
      <c r="CP149" s="96"/>
      <c r="CR149" s="66"/>
      <c r="CS149" s="66"/>
      <c r="CT149" s="66"/>
      <c r="CU149" s="66"/>
      <c r="CV149" s="66"/>
      <c r="CW149" s="66"/>
    </row>
    <row r="150" spans="1:224">
      <c r="A150" s="522" t="s">
        <v>403</v>
      </c>
      <c r="B150" s="45"/>
      <c r="V150" s="89"/>
      <c r="AA150" s="96"/>
      <c r="AB150" s="96">
        <f t="shared" ref="AB150:AZ150" si="297">AB145+AB149</f>
        <v>47.634999999999998</v>
      </c>
      <c r="AC150" s="96">
        <f t="shared" si="297"/>
        <v>46.723999999999997</v>
      </c>
      <c r="AD150" s="96">
        <f t="shared" si="297"/>
        <v>46.225000000000001</v>
      </c>
      <c r="AE150" s="96">
        <f t="shared" si="297"/>
        <v>46.017000000000003</v>
      </c>
      <c r="AF150" s="99">
        <f t="shared" si="297"/>
        <v>186.601</v>
      </c>
      <c r="AG150" s="96">
        <f t="shared" si="297"/>
        <v>51.661999999999999</v>
      </c>
      <c r="AH150" s="96">
        <f t="shared" si="297"/>
        <v>44.686999999999998</v>
      </c>
      <c r="AI150" s="96">
        <f t="shared" si="297"/>
        <v>47.02</v>
      </c>
      <c r="AJ150" s="96">
        <f t="shared" si="297"/>
        <v>46.881999999999998</v>
      </c>
      <c r="AK150" s="99">
        <f t="shared" si="297"/>
        <v>190.251</v>
      </c>
      <c r="AL150" s="96">
        <f t="shared" si="297"/>
        <v>46.326000000000001</v>
      </c>
      <c r="AM150" s="96">
        <f t="shared" si="297"/>
        <v>44.944000000000003</v>
      </c>
      <c r="AN150" s="96">
        <f t="shared" si="297"/>
        <v>46.177999999999997</v>
      </c>
      <c r="AO150" s="96">
        <f t="shared" si="297"/>
        <v>44.723999999999997</v>
      </c>
      <c r="AP150" s="99">
        <f t="shared" si="297"/>
        <v>182.172</v>
      </c>
      <c r="AQ150" s="96">
        <f t="shared" si="297"/>
        <v>30.314</v>
      </c>
      <c r="AR150" s="96">
        <f t="shared" si="297"/>
        <v>29.841999999999999</v>
      </c>
      <c r="AS150" s="96">
        <f t="shared" si="297"/>
        <v>30.815999999999999</v>
      </c>
      <c r="AT150" s="96">
        <f t="shared" si="297"/>
        <v>32.020000000000003</v>
      </c>
      <c r="AU150" s="99">
        <f t="shared" si="297"/>
        <v>122.99199999999999</v>
      </c>
      <c r="AV150" s="96">
        <f t="shared" si="297"/>
        <v>32.311</v>
      </c>
      <c r="AW150" s="96">
        <f t="shared" si="297"/>
        <v>35.947000000000003</v>
      </c>
      <c r="AX150" s="96">
        <f t="shared" si="297"/>
        <v>41.878</v>
      </c>
      <c r="AY150" s="96">
        <f t="shared" si="297"/>
        <v>36.840000000000003</v>
      </c>
      <c r="AZ150" s="99">
        <f t="shared" si="297"/>
        <v>146.976</v>
      </c>
      <c r="BA150" s="96">
        <f>BA145+BA149</f>
        <v>51.796999999999997</v>
      </c>
      <c r="BB150" s="96">
        <f t="shared" ref="BB150:BI150" si="298">BB145+BB149</f>
        <v>38.719000000000001</v>
      </c>
      <c r="BC150" s="96">
        <f t="shared" si="298"/>
        <v>44.325000000000003</v>
      </c>
      <c r="BD150" s="96">
        <f t="shared" si="298"/>
        <v>47.518000000000001</v>
      </c>
      <c r="BE150" s="99">
        <f t="shared" si="298"/>
        <v>182.35900000000001</v>
      </c>
      <c r="BF150" s="96">
        <f t="shared" si="298"/>
        <v>42.021000000000001</v>
      </c>
      <c r="BG150" s="96">
        <f t="shared" si="298"/>
        <v>39.494999999999997</v>
      </c>
      <c r="BH150" s="96">
        <f t="shared" si="298"/>
        <v>36.274000000000001</v>
      </c>
      <c r="BI150" s="96">
        <f t="shared" si="298"/>
        <v>41.563000000000002</v>
      </c>
      <c r="BJ150" s="99">
        <f t="shared" ref="BJ150:CN150" si="299">BJ145+BJ149</f>
        <v>159.35300000000001</v>
      </c>
      <c r="BK150" s="96">
        <f t="shared" si="299"/>
        <v>35.545000000000002</v>
      </c>
      <c r="BL150" s="96">
        <f t="shared" si="299"/>
        <v>39.335000000000001</v>
      </c>
      <c r="BM150" s="96">
        <f t="shared" si="299"/>
        <v>36.42</v>
      </c>
      <c r="BN150" s="96">
        <f t="shared" si="299"/>
        <v>33.750999999999998</v>
      </c>
      <c r="BO150" s="99">
        <f t="shared" si="299"/>
        <v>145.05100000000004</v>
      </c>
      <c r="BP150" s="96">
        <f>BP145+BP149</f>
        <v>32.344999999999999</v>
      </c>
      <c r="BQ150" s="96">
        <f t="shared" si="299"/>
        <v>30.748999999999999</v>
      </c>
      <c r="BR150" s="96">
        <f t="shared" si="299"/>
        <v>29.361999999999998</v>
      </c>
      <c r="BS150" s="96">
        <f t="shared" si="299"/>
        <v>30.248000000000001</v>
      </c>
      <c r="BT150" s="99">
        <f t="shared" si="299"/>
        <v>122.70399999999999</v>
      </c>
      <c r="BU150" s="96">
        <f t="shared" si="299"/>
        <v>29.164999999999999</v>
      </c>
      <c r="BV150" s="96">
        <f>BV145+BV149</f>
        <v>31.309000000000001</v>
      </c>
      <c r="BW150" s="96">
        <f>BW145+BW149</f>
        <v>31.216000000000001</v>
      </c>
      <c r="BX150" s="96">
        <f t="shared" si="299"/>
        <v>30.06081</v>
      </c>
      <c r="BY150" s="99">
        <f t="shared" si="299"/>
        <v>121.75081</v>
      </c>
      <c r="BZ150" s="96">
        <f t="shared" si="299"/>
        <v>30.769074999999997</v>
      </c>
      <c r="CA150" s="96">
        <f t="shared" si="299"/>
        <v>33.030994999999997</v>
      </c>
      <c r="CB150" s="96">
        <f t="shared" si="299"/>
        <v>32.932879999999997</v>
      </c>
      <c r="CC150" s="96">
        <f t="shared" si="299"/>
        <v>31.714154549999996</v>
      </c>
      <c r="CD150" s="99">
        <f t="shared" si="299"/>
        <v>128.44710454999998</v>
      </c>
      <c r="CE150" s="96">
        <f t="shared" si="299"/>
        <v>31.384456499999999</v>
      </c>
      <c r="CF150" s="96">
        <f t="shared" si="299"/>
        <v>33.691614899999998</v>
      </c>
      <c r="CG150" s="96">
        <f t="shared" si="299"/>
        <v>33.591537599999995</v>
      </c>
      <c r="CH150" s="96">
        <f t="shared" si="299"/>
        <v>32.348437640999997</v>
      </c>
      <c r="CI150" s="99">
        <f t="shared" si="299"/>
        <v>131.01604664099997</v>
      </c>
      <c r="CJ150" s="96">
        <f t="shared" si="299"/>
        <v>32.012145629999999</v>
      </c>
      <c r="CK150" s="96">
        <f t="shared" si="299"/>
        <v>34.365447197999998</v>
      </c>
      <c r="CL150" s="96">
        <f t="shared" si="299"/>
        <v>34.263368351999993</v>
      </c>
      <c r="CM150" s="96">
        <f t="shared" si="299"/>
        <v>32.995406393819998</v>
      </c>
      <c r="CN150" s="99">
        <f t="shared" si="299"/>
        <v>133.63636757381997</v>
      </c>
      <c r="CR150" s="66"/>
      <c r="CS150" s="66"/>
      <c r="CT150" s="66"/>
      <c r="CU150" s="66"/>
      <c r="CV150" s="66"/>
      <c r="CW150" s="66"/>
    </row>
    <row r="151" spans="1:224" s="1138" customFormat="1">
      <c r="A151" s="1137" t="s">
        <v>267</v>
      </c>
      <c r="B151" s="195"/>
      <c r="C151" s="195"/>
      <c r="D151" s="195"/>
      <c r="E151" s="195"/>
      <c r="F151" s="195"/>
      <c r="G151" s="195"/>
      <c r="H151" s="195"/>
      <c r="I151" s="195"/>
      <c r="J151" s="195"/>
      <c r="K151" s="195"/>
      <c r="L151" s="195"/>
      <c r="M151" s="195"/>
      <c r="N151" s="195"/>
      <c r="O151" s="195"/>
      <c r="P151" s="195"/>
      <c r="Q151" s="195"/>
      <c r="R151" s="195"/>
      <c r="S151" s="195"/>
      <c r="T151" s="195"/>
      <c r="U151" s="195"/>
      <c r="V151" s="231"/>
      <c r="W151" s="195"/>
      <c r="X151" s="195"/>
      <c r="Y151" s="195"/>
      <c r="Z151" s="195"/>
      <c r="AA151" s="476"/>
      <c r="AB151" s="476"/>
      <c r="AC151" s="476"/>
      <c r="AD151" s="476"/>
      <c r="AE151" s="476"/>
      <c r="AF151" s="407"/>
      <c r="AG151" s="192">
        <f t="shared" ref="AG151:BL151" si="300">AG150/AB150-1</f>
        <v>8.4538679542353279E-2</v>
      </c>
      <c r="AH151" s="192">
        <f t="shared" si="300"/>
        <v>-4.3596438661073544E-2</v>
      </c>
      <c r="AI151" s="192">
        <f t="shared" si="300"/>
        <v>1.7198485667928587E-2</v>
      </c>
      <c r="AJ151" s="192">
        <f t="shared" si="300"/>
        <v>1.8797400960514521E-2</v>
      </c>
      <c r="AK151" s="193">
        <f t="shared" si="300"/>
        <v>1.9560452516331761E-2</v>
      </c>
      <c r="AL151" s="192">
        <f t="shared" si="300"/>
        <v>-0.1032867484805079</v>
      </c>
      <c r="AM151" s="192">
        <f t="shared" si="300"/>
        <v>5.7511132991698855E-3</v>
      </c>
      <c r="AN151" s="192">
        <f t="shared" si="300"/>
        <v>-1.7907273500638143E-2</v>
      </c>
      <c r="AO151" s="192">
        <f t="shared" si="300"/>
        <v>-4.6030459451388617E-2</v>
      </c>
      <c r="AP151" s="193">
        <f t="shared" si="300"/>
        <v>-4.2464954192093618E-2</v>
      </c>
      <c r="AQ151" s="192">
        <f t="shared" si="300"/>
        <v>-0.34563743901912536</v>
      </c>
      <c r="AR151" s="192">
        <f t="shared" si="300"/>
        <v>-0.33601815592737638</v>
      </c>
      <c r="AS151" s="192">
        <f t="shared" si="300"/>
        <v>-0.33266923643293345</v>
      </c>
      <c r="AT151" s="192">
        <f t="shared" si="300"/>
        <v>-0.28405330471335288</v>
      </c>
      <c r="AU151" s="193">
        <f t="shared" si="300"/>
        <v>-0.32485782666930163</v>
      </c>
      <c r="AV151" s="192">
        <f t="shared" si="300"/>
        <v>6.58771524708055E-2</v>
      </c>
      <c r="AW151" s="192">
        <f t="shared" si="300"/>
        <v>0.20457744119026899</v>
      </c>
      <c r="AX151" s="192">
        <f t="shared" si="300"/>
        <v>0.35896936656282463</v>
      </c>
      <c r="AY151" s="192">
        <f t="shared" si="300"/>
        <v>0.15053091817613984</v>
      </c>
      <c r="AZ151" s="193">
        <f t="shared" si="300"/>
        <v>0.19500455314166776</v>
      </c>
      <c r="BA151" s="192">
        <f t="shared" si="300"/>
        <v>0.60307635170684892</v>
      </c>
      <c r="BB151" s="192">
        <f t="shared" si="300"/>
        <v>7.7113528249923347E-2</v>
      </c>
      <c r="BC151" s="192">
        <f t="shared" si="300"/>
        <v>5.8431634748555394E-2</v>
      </c>
      <c r="BD151" s="192">
        <f t="shared" si="300"/>
        <v>0.28984799131378924</v>
      </c>
      <c r="BE151" s="193">
        <f t="shared" si="300"/>
        <v>0.24073998475941649</v>
      </c>
      <c r="BF151" s="192">
        <f t="shared" si="300"/>
        <v>-0.18873679942853827</v>
      </c>
      <c r="BG151" s="192">
        <f t="shared" si="300"/>
        <v>2.0041839923551574E-2</v>
      </c>
      <c r="BH151" s="192">
        <f t="shared" si="300"/>
        <v>-0.18163564579808233</v>
      </c>
      <c r="BI151" s="192">
        <f t="shared" si="300"/>
        <v>-0.12532093101561514</v>
      </c>
      <c r="BJ151" s="193">
        <f t="shared" si="300"/>
        <v>-0.12615774379109335</v>
      </c>
      <c r="BK151" s="192">
        <f t="shared" si="300"/>
        <v>-0.15411341948073576</v>
      </c>
      <c r="BL151" s="192">
        <f t="shared" si="300"/>
        <v>-4.0511457146473751E-3</v>
      </c>
      <c r="BM151" s="192">
        <f t="shared" ref="BM151:CN151" si="301">BM150/BH150-1</f>
        <v>4.0249214313281545E-3</v>
      </c>
      <c r="BN151" s="192">
        <f t="shared" si="301"/>
        <v>-0.18795563361643775</v>
      </c>
      <c r="BO151" s="193">
        <f t="shared" si="301"/>
        <v>-8.9750428294415263E-2</v>
      </c>
      <c r="BP151" s="192">
        <f t="shared" si="301"/>
        <v>-9.0026726684484526E-2</v>
      </c>
      <c r="BQ151" s="192">
        <f t="shared" si="301"/>
        <v>-0.21827888648786076</v>
      </c>
      <c r="BR151" s="192">
        <f t="shared" si="301"/>
        <v>-0.19379461834157063</v>
      </c>
      <c r="BS151" s="192">
        <f t="shared" si="301"/>
        <v>-0.10378951734763409</v>
      </c>
      <c r="BT151" s="193">
        <f t="shared" si="301"/>
        <v>-0.15406305368456641</v>
      </c>
      <c r="BU151" s="192">
        <f t="shared" si="301"/>
        <v>-9.831504096460042E-2</v>
      </c>
      <c r="BV151" s="192">
        <f>BV150/BQ150-1</f>
        <v>1.8211974373150364E-2</v>
      </c>
      <c r="BW151" s="192">
        <f>BW150/BR150-1</f>
        <v>6.3142837681356978E-2</v>
      </c>
      <c r="BX151" s="192">
        <f t="shared" si="301"/>
        <v>-6.1885083311293831E-3</v>
      </c>
      <c r="BY151" s="193">
        <f t="shared" si="301"/>
        <v>-7.7682064154387387E-3</v>
      </c>
      <c r="BZ151" s="192">
        <f t="shared" si="301"/>
        <v>5.4999999999999938E-2</v>
      </c>
      <c r="CA151" s="192">
        <f t="shared" si="301"/>
        <v>5.4999999999999938E-2</v>
      </c>
      <c r="CB151" s="192">
        <f t="shared" si="301"/>
        <v>5.4999999999999938E-2</v>
      </c>
      <c r="CC151" s="192">
        <f t="shared" si="301"/>
        <v>5.4999999999999938E-2</v>
      </c>
      <c r="CD151" s="193">
        <f t="shared" si="301"/>
        <v>5.4999999999999716E-2</v>
      </c>
      <c r="CE151" s="192">
        <f t="shared" si="301"/>
        <v>2.0000000000000018E-2</v>
      </c>
      <c r="CF151" s="192">
        <f t="shared" si="301"/>
        <v>2.0000000000000018E-2</v>
      </c>
      <c r="CG151" s="192">
        <f t="shared" si="301"/>
        <v>2.0000000000000018E-2</v>
      </c>
      <c r="CH151" s="192">
        <f t="shared" si="301"/>
        <v>2.0000000000000018E-2</v>
      </c>
      <c r="CI151" s="193">
        <f t="shared" si="301"/>
        <v>2.0000000000000018E-2</v>
      </c>
      <c r="CJ151" s="192">
        <f t="shared" si="301"/>
        <v>2.0000000000000018E-2</v>
      </c>
      <c r="CK151" s="192">
        <f t="shared" si="301"/>
        <v>2.0000000000000018E-2</v>
      </c>
      <c r="CL151" s="192">
        <f t="shared" si="301"/>
        <v>2.0000000000000018E-2</v>
      </c>
      <c r="CM151" s="192">
        <f t="shared" si="301"/>
        <v>2.0000000000000018E-2</v>
      </c>
      <c r="CN151" s="193">
        <f t="shared" si="301"/>
        <v>2.0000000000000018E-2</v>
      </c>
      <c r="CO151" s="195"/>
      <c r="CP151" s="195"/>
      <c r="CQ151" s="195"/>
      <c r="CR151" s="229"/>
      <c r="CS151" s="229"/>
      <c r="CT151" s="229"/>
      <c r="CU151" s="229"/>
      <c r="CV151" s="229"/>
      <c r="CW151" s="229"/>
      <c r="CX151" s="195"/>
      <c r="CY151" s="195"/>
      <c r="CZ151" s="195"/>
      <c r="DA151" s="195"/>
      <c r="DB151"/>
      <c r="DC151"/>
      <c r="DD151"/>
      <c r="DE151"/>
      <c r="DF151"/>
      <c r="DG151"/>
      <c r="DH151" s="195"/>
      <c r="DI151" s="195"/>
      <c r="DJ151" s="195"/>
      <c r="DK151" s="195"/>
      <c r="DL151" s="195"/>
      <c r="DM151" s="195"/>
      <c r="DN151" s="195"/>
      <c r="DO151" s="195"/>
      <c r="DP151" s="195"/>
      <c r="DQ151" s="195"/>
      <c r="DR151" s="195"/>
      <c r="DS151" s="195"/>
      <c r="DT151" s="195"/>
      <c r="DU151" s="195"/>
      <c r="DV151" s="195"/>
      <c r="DW151" s="195"/>
      <c r="DX151" s="195"/>
      <c r="DY151" s="195"/>
      <c r="DZ151" s="195"/>
      <c r="EA151" s="195"/>
      <c r="EB151" s="195"/>
      <c r="EC151" s="195"/>
      <c r="ED151" s="195"/>
      <c r="EE151" s="195"/>
      <c r="EF151" s="195"/>
      <c r="EG151" s="195"/>
      <c r="EH151" s="195"/>
      <c r="EI151" s="195"/>
      <c r="EJ151" s="195"/>
      <c r="EK151" s="195"/>
      <c r="EL151" s="195"/>
      <c r="EM151" s="195"/>
      <c r="EN151" s="195"/>
      <c r="EO151" s="195"/>
      <c r="EP151" s="195"/>
      <c r="EQ151" s="195"/>
      <c r="ER151" s="195"/>
      <c r="ES151" s="195"/>
      <c r="ET151" s="195"/>
      <c r="EU151" s="195"/>
      <c r="EV151" s="195"/>
      <c r="EW151" s="195"/>
      <c r="EX151" s="195"/>
      <c r="EY151" s="195"/>
      <c r="EZ151" s="195"/>
      <c r="FA151" s="195"/>
      <c r="FB151" s="195"/>
      <c r="FC151" s="195"/>
      <c r="FD151" s="195"/>
      <c r="FE151" s="195"/>
      <c r="FF151" s="195"/>
      <c r="FG151" s="195"/>
      <c r="FH151" s="195"/>
      <c r="FI151" s="195"/>
      <c r="FJ151" s="195"/>
      <c r="FK151" s="195"/>
      <c r="FL151" s="195"/>
      <c r="FM151" s="195"/>
      <c r="FN151" s="195"/>
      <c r="FO151" s="195"/>
      <c r="FP151" s="195"/>
      <c r="FQ151" s="195"/>
      <c r="FR151" s="195"/>
      <c r="FS151" s="195"/>
      <c r="FT151" s="195"/>
      <c r="FU151" s="195"/>
      <c r="FV151" s="195"/>
      <c r="FW151" s="195"/>
      <c r="FX151" s="195"/>
      <c r="FY151" s="195"/>
      <c r="FZ151" s="195"/>
      <c r="GA151" s="195"/>
      <c r="GB151" s="195"/>
      <c r="GC151" s="195"/>
      <c r="GD151" s="195"/>
      <c r="GE151" s="195"/>
      <c r="GF151" s="195"/>
      <c r="GG151" s="195"/>
      <c r="GH151" s="195"/>
      <c r="GI151" s="195"/>
      <c r="GJ151" s="195"/>
      <c r="GK151" s="195"/>
      <c r="GL151" s="195"/>
      <c r="GM151" s="195"/>
      <c r="GN151" s="195"/>
      <c r="GO151" s="195"/>
      <c r="GP151" s="195"/>
      <c r="GQ151" s="195"/>
      <c r="GR151" s="195"/>
      <c r="GS151" s="195"/>
      <c r="GT151" s="195"/>
      <c r="GU151" s="195"/>
      <c r="GV151" s="195"/>
      <c r="GW151" s="195"/>
      <c r="GX151" s="195"/>
      <c r="GY151" s="195"/>
      <c r="GZ151" s="195"/>
      <c r="HA151" s="195"/>
      <c r="HB151" s="195"/>
      <c r="HC151" s="195"/>
      <c r="HD151" s="195"/>
      <c r="HE151" s="195"/>
      <c r="HF151" s="195"/>
      <c r="HG151" s="195"/>
      <c r="HH151" s="195"/>
      <c r="HI151" s="195"/>
      <c r="HJ151" s="195"/>
      <c r="HK151" s="195"/>
      <c r="HL151" s="195"/>
      <c r="HM151" s="195"/>
      <c r="HN151" s="195"/>
      <c r="HO151" s="195"/>
      <c r="HP151" s="195"/>
    </row>
    <row r="152" spans="1:224">
      <c r="A152" s="522" t="s">
        <v>268</v>
      </c>
      <c r="B152" s="45"/>
      <c r="V152" s="89"/>
      <c r="AA152" s="96"/>
      <c r="AB152" s="96"/>
      <c r="AC152" s="96"/>
      <c r="AD152" s="96"/>
      <c r="AE152" s="96"/>
      <c r="AF152" s="99"/>
      <c r="AG152" s="96"/>
      <c r="AH152" s="96"/>
      <c r="AI152" s="96"/>
      <c r="AJ152" s="96"/>
      <c r="AK152" s="99"/>
      <c r="AL152" s="96"/>
      <c r="AM152" s="96"/>
      <c r="AN152" s="96"/>
      <c r="AO152" s="96"/>
      <c r="AP152" s="99"/>
      <c r="AQ152" s="96"/>
      <c r="AR152" s="96"/>
      <c r="AS152" s="96"/>
      <c r="AT152" s="96"/>
      <c r="AU152" s="99"/>
      <c r="AV152" s="96"/>
      <c r="AW152" s="96"/>
      <c r="AX152" s="96"/>
      <c r="AY152" s="96"/>
      <c r="AZ152" s="99"/>
      <c r="BA152" s="96"/>
      <c r="BB152" s="96">
        <v>0.14117647058823529</v>
      </c>
      <c r="BC152" s="96">
        <v>0.60882352941176465</v>
      </c>
      <c r="BD152" s="96">
        <v>2.6911764705882351</v>
      </c>
      <c r="BE152" s="99">
        <f>SUM(BA152:BD152)</f>
        <v>3.4411764705882351</v>
      </c>
      <c r="BF152" s="96">
        <v>5.8764705882352937</v>
      </c>
      <c r="BG152" s="96">
        <v>7.2794117647058822</v>
      </c>
      <c r="BH152" s="96">
        <v>6.8647058823529417</v>
      </c>
      <c r="BI152" s="96">
        <v>5.0911764705882359</v>
      </c>
      <c r="BJ152" s="99">
        <f>SUM(BF152:BI152)</f>
        <v>25.111764705882358</v>
      </c>
      <c r="BK152" s="96">
        <v>2.2500000000000009</v>
      </c>
      <c r="BL152" s="96">
        <v>1.6941176470588228</v>
      </c>
      <c r="BM152" s="96">
        <v>2.920588235294117</v>
      </c>
      <c r="BN152" s="96">
        <v>6.6970588235294102</v>
      </c>
      <c r="BO152" s="99">
        <f>SUM(BK152:BN152)</f>
        <v>13.56176470588235</v>
      </c>
      <c r="BP152" s="96">
        <v>11.929411764705883</v>
      </c>
      <c r="BQ152" s="96">
        <v>0</v>
      </c>
      <c r="BR152" s="96">
        <v>0</v>
      </c>
      <c r="BS152" s="96">
        <v>0</v>
      </c>
      <c r="BT152" s="99">
        <f>SUM(BP152:BS152)</f>
        <v>11.929411764705883</v>
      </c>
      <c r="BU152" s="96">
        <v>0</v>
      </c>
      <c r="BV152" s="96">
        <v>0</v>
      </c>
      <c r="BW152" s="96">
        <v>0</v>
      </c>
      <c r="BX152" s="96">
        <v>0</v>
      </c>
      <c r="BY152" s="99">
        <f>SUM(BU152:BX152)</f>
        <v>0</v>
      </c>
      <c r="BZ152" s="96">
        <v>0</v>
      </c>
      <c r="CA152" s="96">
        <v>0</v>
      </c>
      <c r="CB152" s="96">
        <v>0</v>
      </c>
      <c r="CC152" s="96">
        <v>0</v>
      </c>
      <c r="CD152" s="99">
        <f>SUM(BZ152:CC152)</f>
        <v>0</v>
      </c>
      <c r="CE152" s="96">
        <v>0</v>
      </c>
      <c r="CF152" s="96">
        <v>0</v>
      </c>
      <c r="CG152" s="96">
        <v>0</v>
      </c>
      <c r="CH152" s="96">
        <v>0</v>
      </c>
      <c r="CI152" s="99">
        <f>SUM(CE152:CH152)</f>
        <v>0</v>
      </c>
      <c r="CJ152" s="96">
        <v>0</v>
      </c>
      <c r="CK152" s="96">
        <v>0</v>
      </c>
      <c r="CL152" s="96">
        <v>0</v>
      </c>
      <c r="CM152" s="96">
        <v>0</v>
      </c>
      <c r="CN152" s="99">
        <f>SUM(CJ152:CM152)</f>
        <v>0</v>
      </c>
      <c r="CR152" s="66"/>
      <c r="CS152" s="66"/>
      <c r="CT152" s="66"/>
      <c r="CU152" s="66"/>
      <c r="CV152" s="66"/>
      <c r="CW152" s="66"/>
    </row>
    <row r="153" spans="1:224">
      <c r="A153" s="522" t="s">
        <v>269</v>
      </c>
      <c r="B153" s="45"/>
      <c r="V153" s="89"/>
      <c r="AA153" s="96"/>
      <c r="AB153" s="96"/>
      <c r="AC153" s="96"/>
      <c r="AD153" s="96"/>
      <c r="AE153" s="96"/>
      <c r="AF153" s="99"/>
      <c r="AG153" s="96"/>
      <c r="AH153" s="96"/>
      <c r="AI153" s="96"/>
      <c r="AJ153" s="96"/>
      <c r="AK153" s="99"/>
      <c r="AL153" s="96"/>
      <c r="AM153" s="96"/>
      <c r="AN153" s="96"/>
      <c r="AO153" s="96"/>
      <c r="AP153" s="99"/>
      <c r="AQ153" s="96"/>
      <c r="AR153" s="96"/>
      <c r="AS153" s="96"/>
      <c r="AT153" s="96"/>
      <c r="AU153" s="99"/>
      <c r="AV153" s="96"/>
      <c r="AW153" s="96"/>
      <c r="AX153" s="96"/>
      <c r="AY153" s="96"/>
      <c r="AZ153" s="99"/>
      <c r="BA153" s="96"/>
      <c r="BB153" s="46">
        <f t="shared" ref="BB153:CN153" si="302">(BB145+BB152)/AW145-1</f>
        <v>-3.7077462080612245E-2</v>
      </c>
      <c r="BC153" s="46">
        <f t="shared" si="302"/>
        <v>-6.445332801442849E-2</v>
      </c>
      <c r="BD153" s="46">
        <f t="shared" si="302"/>
        <v>-8.4642651849013983E-3</v>
      </c>
      <c r="BE153" s="153">
        <f t="shared" si="302"/>
        <v>4.3148301123192567E-3</v>
      </c>
      <c r="BF153" s="46">
        <f t="shared" si="302"/>
        <v>2.8171058173597885E-2</v>
      </c>
      <c r="BG153" s="46">
        <f t="shared" si="302"/>
        <v>0.1984280963277314</v>
      </c>
      <c r="BH153" s="46">
        <f t="shared" si="302"/>
        <v>8.7858591712547174E-2</v>
      </c>
      <c r="BI153" s="46">
        <f t="shared" si="302"/>
        <v>0.28558017763360333</v>
      </c>
      <c r="BJ153" s="153">
        <f t="shared" si="302"/>
        <v>0.14526538094793162</v>
      </c>
      <c r="BK153" s="46">
        <f t="shared" si="302"/>
        <v>0.16424852909466159</v>
      </c>
      <c r="BL153" s="46">
        <f t="shared" si="302"/>
        <v>0.15787499697534302</v>
      </c>
      <c r="BM153" s="46">
        <f t="shared" si="302"/>
        <v>2.1587400561182024E-2</v>
      </c>
      <c r="BN153" s="46">
        <f t="shared" si="302"/>
        <v>1.994477397301142E-2</v>
      </c>
      <c r="BO153" s="153">
        <f t="shared" si="302"/>
        <v>8.734831932773135E-2</v>
      </c>
      <c r="BP153" s="46">
        <f t="shared" si="302"/>
        <v>0.19432864719949028</v>
      </c>
      <c r="BQ153" s="46">
        <f t="shared" si="302"/>
        <v>-0.22159467557606138</v>
      </c>
      <c r="BR153" s="46">
        <f t="shared" si="302"/>
        <v>-0.19735203911208299</v>
      </c>
      <c r="BS153" s="46">
        <f t="shared" si="302"/>
        <v>-0.20891064720734021</v>
      </c>
      <c r="BT153" s="153">
        <f t="shared" si="302"/>
        <v>-0.10625158282283564</v>
      </c>
      <c r="BU153" s="46">
        <f t="shared" si="302"/>
        <v>-4.4491039543950506E-2</v>
      </c>
      <c r="BV153" s="46">
        <f>(BV145+BV152)/BQ145-1</f>
        <v>6.6528137348412786E-2</v>
      </c>
      <c r="BW153" s="46">
        <f>(BW145+BW152)/BR145-1</f>
        <v>0.1809927360774819</v>
      </c>
      <c r="BX153" s="46">
        <f t="shared" si="302"/>
        <v>0.16999999999999993</v>
      </c>
      <c r="BY153" s="153">
        <f t="shared" si="302"/>
        <v>8.7021981357808809E-2</v>
      </c>
      <c r="BZ153" s="46">
        <f t="shared" si="302"/>
        <v>5.4999999999999938E-2</v>
      </c>
      <c r="CA153" s="46">
        <f t="shared" si="302"/>
        <v>5.4999999999999938E-2</v>
      </c>
      <c r="CB153" s="46">
        <f t="shared" si="302"/>
        <v>5.4999999999999938E-2</v>
      </c>
      <c r="CC153" s="46">
        <f t="shared" si="302"/>
        <v>5.4999999999999938E-2</v>
      </c>
      <c r="CD153" s="153">
        <f t="shared" si="302"/>
        <v>5.4999999999999716E-2</v>
      </c>
      <c r="CE153" s="46">
        <f t="shared" si="302"/>
        <v>2.0000000000000018E-2</v>
      </c>
      <c r="CF153" s="46">
        <f t="shared" si="302"/>
        <v>2.0000000000000018E-2</v>
      </c>
      <c r="CG153" s="46">
        <f t="shared" si="302"/>
        <v>2.0000000000000018E-2</v>
      </c>
      <c r="CH153" s="46">
        <f t="shared" si="302"/>
        <v>2.0000000000000018E-2</v>
      </c>
      <c r="CI153" s="153">
        <f t="shared" si="302"/>
        <v>2.0000000000000018E-2</v>
      </c>
      <c r="CJ153" s="46">
        <f t="shared" si="302"/>
        <v>2.0000000000000018E-2</v>
      </c>
      <c r="CK153" s="46">
        <f t="shared" si="302"/>
        <v>2.0000000000000018E-2</v>
      </c>
      <c r="CL153" s="46">
        <f t="shared" si="302"/>
        <v>2.0000000000000018E-2</v>
      </c>
      <c r="CM153" s="46">
        <f t="shared" si="302"/>
        <v>2.0000000000000018E-2</v>
      </c>
      <c r="CN153" s="153">
        <f t="shared" si="302"/>
        <v>2.0000000000000018E-2</v>
      </c>
      <c r="CR153" s="66"/>
      <c r="CS153" s="66"/>
      <c r="CT153" s="66"/>
      <c r="CU153" s="66"/>
      <c r="CV153" s="66"/>
      <c r="CW153" s="66"/>
    </row>
    <row r="154" spans="1:224">
      <c r="A154" s="523" t="s">
        <v>270</v>
      </c>
      <c r="B154" s="52"/>
      <c r="C154" s="52"/>
      <c r="D154" s="52"/>
      <c r="E154" s="52"/>
      <c r="F154" s="52"/>
      <c r="G154" s="52"/>
      <c r="H154" s="52"/>
      <c r="I154" s="52"/>
      <c r="J154" s="52"/>
      <c r="K154" s="52"/>
      <c r="L154" s="52"/>
      <c r="M154" s="52"/>
      <c r="N154" s="52"/>
      <c r="O154" s="52"/>
      <c r="P154" s="52"/>
      <c r="Q154" s="52"/>
      <c r="R154" s="52"/>
      <c r="S154" s="52"/>
      <c r="T154" s="52"/>
      <c r="U154" s="52"/>
      <c r="V154" s="184"/>
      <c r="W154" s="52"/>
      <c r="X154" s="52"/>
      <c r="Y154" s="52"/>
      <c r="Z154" s="52"/>
      <c r="AA154" s="1139"/>
      <c r="AB154" s="1139"/>
      <c r="AC154" s="1139"/>
      <c r="AD154" s="1139"/>
      <c r="AE154" s="1139"/>
      <c r="AF154" s="408"/>
      <c r="AG154" s="1139"/>
      <c r="AH154" s="1139"/>
      <c r="AI154" s="1139"/>
      <c r="AJ154" s="1139"/>
      <c r="AK154" s="408"/>
      <c r="AL154" s="1139"/>
      <c r="AM154" s="1139"/>
      <c r="AN154" s="1139"/>
      <c r="AO154" s="1139"/>
      <c r="AP154" s="408"/>
      <c r="AQ154" s="1139"/>
      <c r="AR154" s="1139"/>
      <c r="AS154" s="1139"/>
      <c r="AT154" s="1139"/>
      <c r="AU154" s="408"/>
      <c r="AV154" s="1139"/>
      <c r="AW154" s="1139"/>
      <c r="AX154" s="1139"/>
      <c r="AY154" s="1139"/>
      <c r="AZ154" s="408"/>
      <c r="BA154" s="1139"/>
      <c r="BB154" s="1139"/>
      <c r="BC154" s="1139"/>
      <c r="BD154" s="1139"/>
      <c r="BE154" s="1140">
        <v>100</v>
      </c>
      <c r="BF154" s="1139"/>
      <c r="BG154" s="1139"/>
      <c r="BH154" s="1139"/>
      <c r="BI154" s="1139"/>
      <c r="BJ154" s="1140">
        <v>211</v>
      </c>
      <c r="BK154" s="1139"/>
      <c r="BL154" s="1139"/>
      <c r="BM154" s="1139"/>
      <c r="BN154" s="1139"/>
      <c r="BO154" s="1140">
        <v>150</v>
      </c>
      <c r="BP154" s="1139"/>
      <c r="BQ154" s="1139"/>
      <c r="BR154" s="1139"/>
      <c r="BS154" s="1139"/>
      <c r="BT154" s="1140">
        <v>15</v>
      </c>
      <c r="BU154" s="1139"/>
      <c r="BV154" s="1139"/>
      <c r="BW154" s="1139"/>
      <c r="BX154" s="1139"/>
      <c r="BY154" s="1140">
        <v>0</v>
      </c>
      <c r="BZ154" s="1139"/>
      <c r="CA154" s="1139"/>
      <c r="CB154" s="1139"/>
      <c r="CC154" s="1139"/>
      <c r="CD154" s="1140">
        <v>0</v>
      </c>
      <c r="CE154" s="1139"/>
      <c r="CF154" s="1139"/>
      <c r="CG154" s="1139"/>
      <c r="CH154" s="1139"/>
      <c r="CI154" s="1140">
        <v>0</v>
      </c>
      <c r="CJ154" s="1139"/>
      <c r="CK154" s="1139"/>
      <c r="CL154" s="1139"/>
      <c r="CM154" s="1139"/>
      <c r="CN154" s="1140">
        <v>0</v>
      </c>
      <c r="CR154" s="66"/>
      <c r="CS154" s="66"/>
      <c r="CT154" s="66"/>
      <c r="CU154" s="66"/>
      <c r="CV154" s="66"/>
      <c r="CW154" s="66"/>
    </row>
    <row r="155" spans="1:224">
      <c r="A155" s="522"/>
      <c r="B155" s="45"/>
      <c r="V155" s="89"/>
      <c r="AA155" s="96"/>
      <c r="AB155" s="96"/>
      <c r="AC155" s="96"/>
      <c r="AD155" s="96"/>
      <c r="AE155" s="96"/>
      <c r="AF155" s="96"/>
      <c r="AG155" s="96"/>
      <c r="AH155" s="96"/>
      <c r="AI155" s="96"/>
      <c r="AJ155" s="96"/>
      <c r="AK155" s="96"/>
      <c r="AL155" s="96"/>
      <c r="AM155" s="96"/>
      <c r="AN155" s="96"/>
      <c r="AO155" s="96"/>
      <c r="AP155" s="96"/>
      <c r="AQ155" s="96"/>
      <c r="AR155" s="96"/>
      <c r="AS155" s="96"/>
      <c r="AT155" s="96"/>
      <c r="AU155" s="96"/>
      <c r="AV155" s="96"/>
      <c r="AW155" s="96"/>
      <c r="AX155" s="96"/>
      <c r="AY155" s="96"/>
      <c r="AZ155" s="96"/>
      <c r="BA155" s="96"/>
      <c r="BB155" s="96"/>
      <c r="BC155" s="96"/>
      <c r="BD155" s="96"/>
      <c r="BE155" s="528"/>
      <c r="BF155" s="96"/>
      <c r="BG155" s="96"/>
      <c r="BH155" s="96"/>
      <c r="BI155" s="96"/>
      <c r="BJ155" s="528"/>
      <c r="BK155" s="96"/>
      <c r="BL155" s="96"/>
      <c r="BM155" s="96"/>
      <c r="BN155" s="96"/>
      <c r="BO155" s="528"/>
      <c r="BP155" s="96"/>
      <c r="BQ155" s="96"/>
      <c r="BR155" s="96"/>
      <c r="BS155" s="96"/>
      <c r="BT155" s="528"/>
      <c r="BU155" s="96"/>
      <c r="BV155" s="96"/>
      <c r="BW155" s="96"/>
      <c r="BX155" s="96"/>
      <c r="BY155" s="528"/>
      <c r="BZ155" s="96"/>
      <c r="CA155" s="96"/>
      <c r="CB155" s="96"/>
      <c r="CC155" s="96"/>
      <c r="CD155" s="528"/>
      <c r="CE155" s="96"/>
      <c r="CF155" s="96"/>
      <c r="CG155" s="96"/>
      <c r="CH155" s="96"/>
      <c r="CI155" s="528"/>
      <c r="CJ155" s="96"/>
      <c r="CK155" s="96"/>
      <c r="CL155" s="96"/>
      <c r="CM155" s="96"/>
      <c r="CN155" s="528"/>
      <c r="CR155" s="66"/>
      <c r="CS155" s="66"/>
      <c r="CT155" s="66"/>
      <c r="CU155" s="66"/>
      <c r="CV155" s="66"/>
      <c r="CW155" s="66"/>
    </row>
    <row r="156" spans="1:224">
      <c r="A156" s="520" t="s">
        <v>610</v>
      </c>
      <c r="B156" s="45"/>
      <c r="V156" s="89"/>
      <c r="AA156" s="96"/>
      <c r="AB156" s="96"/>
      <c r="AC156" s="96"/>
      <c r="AD156" s="96"/>
      <c r="AE156" s="96"/>
      <c r="AF156" s="96"/>
      <c r="AG156" s="96"/>
      <c r="AH156" s="96"/>
      <c r="AI156" s="96"/>
      <c r="AJ156" s="96"/>
      <c r="AK156" s="96"/>
      <c r="AL156" s="96"/>
      <c r="AM156" s="96"/>
      <c r="AN156" s="96"/>
      <c r="AO156" s="96"/>
      <c r="AP156" s="96"/>
      <c r="AQ156" s="96"/>
      <c r="AR156" s="96"/>
      <c r="AS156" s="96"/>
      <c r="AT156" s="96"/>
      <c r="AU156" s="96"/>
      <c r="AV156" s="96"/>
      <c r="AW156" s="96"/>
      <c r="AX156" s="96"/>
      <c r="AY156" s="96"/>
      <c r="AZ156" s="96"/>
      <c r="BA156" s="96"/>
      <c r="BB156" s="96"/>
      <c r="BC156" s="96"/>
      <c r="BD156" s="96"/>
      <c r="BE156" s="528"/>
      <c r="BF156" s="96"/>
      <c r="BG156" s="96"/>
      <c r="BH156" s="96"/>
      <c r="BI156" s="96"/>
      <c r="BJ156" s="528"/>
      <c r="BK156" s="96"/>
      <c r="BL156" s="96"/>
      <c r="BM156" s="96"/>
      <c r="BN156" s="96"/>
      <c r="BO156" s="528"/>
      <c r="BP156" s="96"/>
      <c r="BQ156" s="96"/>
      <c r="BR156" s="96"/>
      <c r="BS156" s="96"/>
      <c r="BT156" s="528"/>
      <c r="BU156" s="96"/>
      <c r="BV156" s="96"/>
      <c r="BW156" s="96"/>
      <c r="BX156" s="96"/>
      <c r="BY156" s="528"/>
      <c r="BZ156" s="96"/>
      <c r="CA156" s="96"/>
      <c r="CB156" s="96"/>
      <c r="CC156" s="96"/>
      <c r="CD156" s="528"/>
      <c r="CE156" s="96"/>
      <c r="CF156" s="96"/>
      <c r="CG156" s="96"/>
      <c r="CH156" s="96"/>
      <c r="CI156" s="528"/>
      <c r="CJ156" s="96"/>
      <c r="CK156" s="96"/>
      <c r="CL156" s="96"/>
      <c r="CM156" s="96"/>
      <c r="CN156" s="528"/>
      <c r="CR156" s="66"/>
      <c r="CS156" s="66"/>
      <c r="CT156" s="66"/>
      <c r="CU156" s="66"/>
      <c r="CV156" s="66"/>
      <c r="CW156" s="66"/>
    </row>
    <row r="157" spans="1:224">
      <c r="A157" s="521" t="s">
        <v>603</v>
      </c>
      <c r="B157" s="239"/>
      <c r="C157" s="239"/>
      <c r="D157" s="239"/>
      <c r="E157" s="239"/>
      <c r="F157" s="239"/>
      <c r="G157" s="239"/>
      <c r="H157" s="239"/>
      <c r="I157" s="239"/>
      <c r="J157" s="239"/>
      <c r="K157" s="239"/>
      <c r="L157" s="239"/>
      <c r="M157" s="239"/>
      <c r="N157" s="239"/>
      <c r="O157" s="239"/>
      <c r="P157" s="239"/>
      <c r="Q157" s="239"/>
      <c r="R157" s="239"/>
      <c r="S157" s="239"/>
      <c r="T157" s="239"/>
      <c r="U157" s="239"/>
      <c r="V157" s="249"/>
      <c r="W157" s="239"/>
      <c r="X157" s="239"/>
      <c r="Y157" s="239"/>
      <c r="Z157" s="239"/>
      <c r="AA157" s="462"/>
      <c r="AB157" s="462"/>
      <c r="AC157" s="462"/>
      <c r="AD157" s="462"/>
      <c r="AE157" s="462"/>
      <c r="AF157" s="462"/>
      <c r="AG157" s="462"/>
      <c r="AH157" s="462"/>
      <c r="AI157" s="462"/>
      <c r="AJ157" s="462"/>
      <c r="AK157" s="462"/>
      <c r="AL157" s="462"/>
      <c r="AM157" s="462"/>
      <c r="AN157" s="462"/>
      <c r="AO157" s="462"/>
      <c r="AP157" s="462"/>
      <c r="AQ157" s="462"/>
      <c r="AR157" s="462"/>
      <c r="AS157" s="462"/>
      <c r="AT157" s="462"/>
      <c r="AU157" s="462"/>
      <c r="AV157" s="462"/>
      <c r="AW157" s="462"/>
      <c r="AX157" s="462"/>
      <c r="AY157" s="462"/>
      <c r="AZ157" s="462"/>
      <c r="BA157" s="462"/>
      <c r="BB157" s="462"/>
      <c r="BC157" s="462"/>
      <c r="BD157" s="462"/>
      <c r="BE157" s="524">
        <v>13.6</v>
      </c>
      <c r="BF157" s="462">
        <f>BK157-4.1</f>
        <v>5.9</v>
      </c>
      <c r="BG157" s="462">
        <v>8.5</v>
      </c>
      <c r="BH157" s="462">
        <v>13.4</v>
      </c>
      <c r="BI157" s="462">
        <f>BJ157-SUM(BF157:BH157)</f>
        <v>9.9999999999999964</v>
      </c>
      <c r="BJ157" s="524">
        <v>37.799999999999997</v>
      </c>
      <c r="BK157" s="462">
        <v>10</v>
      </c>
      <c r="BL157" s="462">
        <v>11.4</v>
      </c>
      <c r="BM157" s="462">
        <v>12.428000000000001</v>
      </c>
      <c r="BN157" s="462">
        <f>BO157-SUM(BK157:BM157)</f>
        <v>13.971999999999994</v>
      </c>
      <c r="BO157" s="524">
        <v>47.8</v>
      </c>
      <c r="BP157" s="462">
        <v>14.7</v>
      </c>
      <c r="BQ157" s="462">
        <v>17.5</v>
      </c>
      <c r="BR157" s="462">
        <v>17.5</v>
      </c>
      <c r="BS157" s="462">
        <f>BT157-SUM(BP157:BR157)</f>
        <v>0</v>
      </c>
      <c r="BT157" s="524">
        <v>49.7</v>
      </c>
      <c r="BU157" s="462"/>
      <c r="BV157" s="1245"/>
      <c r="BW157" s="462"/>
      <c r="BX157" s="462"/>
      <c r="BY157" s="524"/>
      <c r="BZ157" s="1245"/>
      <c r="CA157" s="1245"/>
      <c r="CB157" s="1245"/>
      <c r="CC157" s="1245"/>
      <c r="CD157" s="524"/>
      <c r="CE157" s="462"/>
      <c r="CF157" s="462"/>
      <c r="CG157" s="462"/>
      <c r="CH157" s="462"/>
      <c r="CI157" s="524"/>
      <c r="CJ157" s="462"/>
      <c r="CK157" s="462"/>
      <c r="CL157" s="462"/>
      <c r="CM157" s="462"/>
      <c r="CN157" s="524"/>
      <c r="CR157" s="66"/>
      <c r="CS157" s="66"/>
      <c r="CT157" s="66"/>
      <c r="CU157" s="66"/>
      <c r="CV157" s="66"/>
      <c r="CW157" s="66"/>
    </row>
    <row r="158" spans="1:224">
      <c r="A158" s="522" t="s">
        <v>604</v>
      </c>
      <c r="B158" s="45"/>
      <c r="V158" s="89"/>
      <c r="AA158" s="96"/>
      <c r="AB158" s="96"/>
      <c r="AC158" s="96"/>
      <c r="AD158" s="96"/>
      <c r="AE158" s="96"/>
      <c r="AF158" s="96"/>
      <c r="AG158" s="96"/>
      <c r="AH158" s="96"/>
      <c r="AI158" s="96"/>
      <c r="AJ158" s="96"/>
      <c r="AK158" s="96"/>
      <c r="AL158" s="96"/>
      <c r="AM158" s="96"/>
      <c r="AN158" s="96"/>
      <c r="AO158" s="96"/>
      <c r="AP158" s="96"/>
      <c r="AQ158" s="96"/>
      <c r="AR158" s="96"/>
      <c r="AS158" s="96"/>
      <c r="AT158" s="96"/>
      <c r="AU158" s="96"/>
      <c r="AV158" s="96"/>
      <c r="AW158" s="96"/>
      <c r="AX158" s="96"/>
      <c r="AY158" s="96"/>
      <c r="AZ158" s="96"/>
      <c r="BA158" s="96"/>
      <c r="BB158" s="96"/>
      <c r="BC158" s="96"/>
      <c r="BD158" s="96"/>
      <c r="BE158" s="99"/>
      <c r="BF158" s="96"/>
      <c r="BG158" s="96"/>
      <c r="BH158" s="96"/>
      <c r="BI158" s="96"/>
      <c r="BJ158" s="99"/>
      <c r="BK158" s="96">
        <v>-2</v>
      </c>
      <c r="BL158" s="96"/>
      <c r="BM158" s="96"/>
      <c r="BN158" s="96">
        <f>BO158-SUM(BK158:BM158)</f>
        <v>2</v>
      </c>
      <c r="BO158" s="99"/>
      <c r="BP158" s="96">
        <v>-11.6</v>
      </c>
      <c r="BQ158" s="96"/>
      <c r="BR158" s="96"/>
      <c r="BS158" s="96">
        <f>BT158-SUM(BP158:BR158)</f>
        <v>-0.80000000000000071</v>
      </c>
      <c r="BT158" s="99">
        <v>-12.4</v>
      </c>
      <c r="BU158" s="96"/>
      <c r="BV158" s="96">
        <v>-0.2</v>
      </c>
      <c r="BW158" s="96">
        <v>0.2</v>
      </c>
      <c r="BX158" s="96"/>
      <c r="BY158" s="99">
        <f>SUM(BU158:BX158)</f>
        <v>0</v>
      </c>
      <c r="BZ158" s="96"/>
      <c r="CA158" s="96"/>
      <c r="CB158" s="96"/>
      <c r="CC158" s="96"/>
      <c r="CD158" s="99">
        <f>SUM(BZ158:CC158)</f>
        <v>0</v>
      </c>
      <c r="CE158" s="96"/>
      <c r="CF158" s="96"/>
      <c r="CG158" s="96"/>
      <c r="CH158" s="96"/>
      <c r="CI158" s="99">
        <f>SUM(CE158:CH158)</f>
        <v>0</v>
      </c>
      <c r="CJ158" s="96"/>
      <c r="CK158" s="96"/>
      <c r="CL158" s="96"/>
      <c r="CM158" s="96"/>
      <c r="CN158" s="99">
        <f>SUM(CJ158:CM158)</f>
        <v>0</v>
      </c>
      <c r="CR158" s="66"/>
      <c r="CS158" s="66"/>
      <c r="CT158" s="66"/>
      <c r="CU158" s="66"/>
      <c r="CV158" s="66"/>
      <c r="CW158" s="66"/>
    </row>
    <row r="159" spans="1:224">
      <c r="A159" s="522" t="s">
        <v>605</v>
      </c>
      <c r="B159" s="45"/>
      <c r="V159" s="89"/>
      <c r="AA159" s="96"/>
      <c r="AB159" s="96"/>
      <c r="AC159" s="96"/>
      <c r="AD159" s="96"/>
      <c r="AE159" s="96"/>
      <c r="AF159" s="96"/>
      <c r="AG159" s="96"/>
      <c r="AH159" s="96"/>
      <c r="AI159" s="96"/>
      <c r="AJ159" s="96"/>
      <c r="AK159" s="96"/>
      <c r="AL159" s="96"/>
      <c r="AM159" s="96"/>
      <c r="AN159" s="96"/>
      <c r="AO159" s="96"/>
      <c r="AP159" s="96"/>
      <c r="AQ159" s="96"/>
      <c r="AR159" s="96"/>
      <c r="AS159" s="96"/>
      <c r="AT159" s="96"/>
      <c r="AU159" s="96"/>
      <c r="AV159" s="96"/>
      <c r="AW159" s="96"/>
      <c r="AX159" s="96"/>
      <c r="AY159" s="96"/>
      <c r="AZ159" s="96"/>
      <c r="BA159" s="96"/>
      <c r="BB159" s="96"/>
      <c r="BC159" s="96"/>
      <c r="BD159" s="96"/>
      <c r="BE159" s="99">
        <v>-9.6999999999999993</v>
      </c>
      <c r="BF159" s="96">
        <v>-4</v>
      </c>
      <c r="BG159" s="96">
        <v>-2.7</v>
      </c>
      <c r="BH159" s="96">
        <v>-2.8</v>
      </c>
      <c r="BI159" s="96">
        <f>BJ159-SUM(BF159:BH159)</f>
        <v>-0.69999999999999929</v>
      </c>
      <c r="BJ159" s="99">
        <v>-10.199999999999999</v>
      </c>
      <c r="BK159" s="96">
        <v>-2</v>
      </c>
      <c r="BL159" s="96">
        <v>-2.5</v>
      </c>
      <c r="BM159" s="96">
        <v>-2.4</v>
      </c>
      <c r="BN159" s="96">
        <f>BO159-SUM(BK159:BM159)</f>
        <v>-2.2999999999999989</v>
      </c>
      <c r="BO159" s="99">
        <v>-9.1999999999999993</v>
      </c>
      <c r="BP159" s="96">
        <v>-1.9</v>
      </c>
      <c r="BQ159" s="96">
        <v>-2.4</v>
      </c>
      <c r="BR159" s="96">
        <v>-2.2000000000000002</v>
      </c>
      <c r="BS159" s="96">
        <f>BT159-SUM(BP159:BR159)</f>
        <v>-1.9000000000000004</v>
      </c>
      <c r="BT159" s="99">
        <v>-8.4</v>
      </c>
      <c r="BU159" s="96">
        <v>-1.8</v>
      </c>
      <c r="BV159" s="96">
        <v>-1.9</v>
      </c>
      <c r="BW159" s="96">
        <v>-2.2999999999999998</v>
      </c>
      <c r="BX159" s="96">
        <v>-2.4</v>
      </c>
      <c r="BY159" s="99">
        <f>SUM(BU159:BX159)</f>
        <v>-8.4</v>
      </c>
      <c r="BZ159" s="274">
        <v>-2.4</v>
      </c>
      <c r="CA159" s="274">
        <v>-2.4</v>
      </c>
      <c r="CB159" s="274">
        <v>-2.4</v>
      </c>
      <c r="CC159" s="274">
        <v>-2.4</v>
      </c>
      <c r="CD159" s="99">
        <f>SUM(BZ159:CC159)</f>
        <v>-9.6</v>
      </c>
      <c r="CE159" s="274">
        <f t="shared" ref="CE159:CH160" si="303">BZ159</f>
        <v>-2.4</v>
      </c>
      <c r="CF159" s="274">
        <f t="shared" si="303"/>
        <v>-2.4</v>
      </c>
      <c r="CG159" s="274">
        <f t="shared" si="303"/>
        <v>-2.4</v>
      </c>
      <c r="CH159" s="274">
        <f t="shared" si="303"/>
        <v>-2.4</v>
      </c>
      <c r="CI159" s="99">
        <f>SUM(CE159:CH159)</f>
        <v>-9.6</v>
      </c>
      <c r="CJ159" s="274">
        <f t="shared" ref="CJ159:CM160" si="304">CE159</f>
        <v>-2.4</v>
      </c>
      <c r="CK159" s="274">
        <f t="shared" si="304"/>
        <v>-2.4</v>
      </c>
      <c r="CL159" s="274">
        <f t="shared" si="304"/>
        <v>-2.4</v>
      </c>
      <c r="CM159" s="274">
        <f t="shared" si="304"/>
        <v>-2.4</v>
      </c>
      <c r="CN159" s="99">
        <f>SUM(CJ159:CM159)</f>
        <v>-9.6</v>
      </c>
      <c r="CR159" s="66"/>
      <c r="CS159" s="66"/>
      <c r="CT159" s="66"/>
      <c r="CU159" s="66"/>
      <c r="CV159" s="66"/>
      <c r="CW159" s="66"/>
    </row>
    <row r="160" spans="1:224" ht="15">
      <c r="A160" s="522" t="s">
        <v>297</v>
      </c>
      <c r="B160" s="45"/>
      <c r="V160" s="89"/>
      <c r="AA160" s="96"/>
      <c r="AB160" s="96"/>
      <c r="AC160" s="96"/>
      <c r="AD160" s="96"/>
      <c r="AE160" s="96"/>
      <c r="AF160" s="96"/>
      <c r="AG160" s="96"/>
      <c r="AH160" s="96"/>
      <c r="AI160" s="96"/>
      <c r="AJ160" s="96"/>
      <c r="AK160" s="96"/>
      <c r="AL160" s="96"/>
      <c r="AM160" s="96"/>
      <c r="AN160" s="96"/>
      <c r="AO160" s="96"/>
      <c r="AP160" s="96"/>
      <c r="AQ160" s="96"/>
      <c r="AR160" s="96"/>
      <c r="AS160" s="96"/>
      <c r="AT160" s="96"/>
      <c r="AU160" s="108"/>
      <c r="AV160" s="108"/>
      <c r="AW160" s="108"/>
      <c r="AX160" s="108"/>
      <c r="AY160" s="108"/>
      <c r="AZ160" s="108"/>
      <c r="BA160" s="108"/>
      <c r="BB160" s="108"/>
      <c r="BC160" s="108"/>
      <c r="BD160" s="108"/>
      <c r="BE160" s="103">
        <v>1.1000000000000001</v>
      </c>
      <c r="BF160" s="108">
        <f>BK160--1.3</f>
        <v>1.5</v>
      </c>
      <c r="BG160" s="108">
        <v>-0.4</v>
      </c>
      <c r="BH160" s="108">
        <v>-1.2</v>
      </c>
      <c r="BI160" s="108">
        <f>BJ160-SUM(BF160:BH160)</f>
        <v>-1.3</v>
      </c>
      <c r="BJ160" s="103">
        <v>-1.4</v>
      </c>
      <c r="BK160" s="108">
        <v>0.2</v>
      </c>
      <c r="BL160" s="108">
        <v>0.5</v>
      </c>
      <c r="BM160" s="108">
        <v>-0.3</v>
      </c>
      <c r="BN160" s="108">
        <f>BO160-SUM(BK160:BM160)</f>
        <v>-1.7999999999999998</v>
      </c>
      <c r="BO160" s="103">
        <v>-1.4</v>
      </c>
      <c r="BP160" s="108">
        <v>0.1</v>
      </c>
      <c r="BQ160" s="108">
        <v>1.5</v>
      </c>
      <c r="BR160" s="108">
        <v>3.1</v>
      </c>
      <c r="BS160" s="108">
        <f>BT160-SUM(BP160:BR160)</f>
        <v>1.2999999999999998</v>
      </c>
      <c r="BT160" s="103">
        <v>6</v>
      </c>
      <c r="BU160" s="108">
        <v>3.7</v>
      </c>
      <c r="BV160" s="108">
        <v>3.8</v>
      </c>
      <c r="BW160" s="108">
        <v>3.8</v>
      </c>
      <c r="BX160" s="108">
        <v>3.8</v>
      </c>
      <c r="BY160" s="103">
        <f>SUM(BU160:BX160)</f>
        <v>15.100000000000001</v>
      </c>
      <c r="BZ160" s="1244">
        <v>1.5</v>
      </c>
      <c r="CA160" s="1244">
        <v>1.5</v>
      </c>
      <c r="CB160" s="1244">
        <v>1.5</v>
      </c>
      <c r="CC160" s="1244">
        <v>1.5</v>
      </c>
      <c r="CD160" s="103">
        <f>SUM(BZ160:CC160)</f>
        <v>6</v>
      </c>
      <c r="CE160" s="1244">
        <f t="shared" si="303"/>
        <v>1.5</v>
      </c>
      <c r="CF160" s="1244">
        <f t="shared" si="303"/>
        <v>1.5</v>
      </c>
      <c r="CG160" s="1244">
        <f t="shared" si="303"/>
        <v>1.5</v>
      </c>
      <c r="CH160" s="1244">
        <f t="shared" si="303"/>
        <v>1.5</v>
      </c>
      <c r="CI160" s="103">
        <f>SUM(CE160:CH160)</f>
        <v>6</v>
      </c>
      <c r="CJ160" s="1244">
        <f t="shared" si="304"/>
        <v>1.5</v>
      </c>
      <c r="CK160" s="1244">
        <f t="shared" si="304"/>
        <v>1.5</v>
      </c>
      <c r="CL160" s="1244">
        <f t="shared" si="304"/>
        <v>1.5</v>
      </c>
      <c r="CM160" s="1244">
        <f t="shared" si="304"/>
        <v>1.5</v>
      </c>
      <c r="CN160" s="103">
        <f>SUM(CJ160:CM160)</f>
        <v>6</v>
      </c>
      <c r="CR160" s="66"/>
      <c r="CS160" s="66"/>
      <c r="CT160" s="66"/>
      <c r="CU160" s="66"/>
      <c r="CV160" s="66"/>
      <c r="CW160" s="66"/>
    </row>
    <row r="161" spans="1:224">
      <c r="A161" s="522" t="s">
        <v>606</v>
      </c>
      <c r="B161" s="45"/>
      <c r="V161" s="89"/>
      <c r="AA161" s="96"/>
      <c r="AB161" s="96"/>
      <c r="AC161" s="96"/>
      <c r="AD161" s="96"/>
      <c r="AE161" s="96"/>
      <c r="AF161" s="96"/>
      <c r="AG161" s="96"/>
      <c r="AH161" s="96"/>
      <c r="AI161" s="96"/>
      <c r="AJ161" s="96"/>
      <c r="AK161" s="96"/>
      <c r="AL161" s="96"/>
      <c r="AM161" s="96"/>
      <c r="AN161" s="96"/>
      <c r="AO161" s="96"/>
      <c r="AP161" s="96"/>
      <c r="AQ161" s="96"/>
      <c r="AR161" s="96"/>
      <c r="AS161" s="96"/>
      <c r="AT161" s="96"/>
      <c r="AU161" s="96"/>
      <c r="AV161" s="96"/>
      <c r="AW161" s="96"/>
      <c r="AX161" s="96"/>
      <c r="AY161" s="96"/>
      <c r="AZ161" s="96"/>
      <c r="BA161" s="96"/>
      <c r="BB161" s="96"/>
      <c r="BC161" s="96"/>
      <c r="BD161" s="96"/>
      <c r="BE161" s="99">
        <f t="shared" ref="BE161:CN161" si="305">SUM(BE157:BE160)</f>
        <v>5</v>
      </c>
      <c r="BF161" s="96">
        <f t="shared" si="305"/>
        <v>3.4000000000000004</v>
      </c>
      <c r="BG161" s="96">
        <f t="shared" si="305"/>
        <v>5.3999999999999995</v>
      </c>
      <c r="BH161" s="96">
        <f t="shared" si="305"/>
        <v>9.4000000000000021</v>
      </c>
      <c r="BI161" s="96">
        <f t="shared" si="305"/>
        <v>7.9999999999999973</v>
      </c>
      <c r="BJ161" s="99">
        <f t="shared" si="305"/>
        <v>26.2</v>
      </c>
      <c r="BK161" s="96">
        <f t="shared" si="305"/>
        <v>6.2</v>
      </c>
      <c r="BL161" s="96">
        <f t="shared" si="305"/>
        <v>9.4</v>
      </c>
      <c r="BM161" s="96">
        <f t="shared" si="305"/>
        <v>9.7279999999999998</v>
      </c>
      <c r="BN161" s="96">
        <f t="shared" si="305"/>
        <v>11.871999999999996</v>
      </c>
      <c r="BO161" s="99">
        <f t="shared" si="305"/>
        <v>37.199999999999996</v>
      </c>
      <c r="BP161" s="96">
        <f t="shared" si="305"/>
        <v>1.2999999999999998</v>
      </c>
      <c r="BQ161" s="96">
        <f t="shared" si="305"/>
        <v>16.600000000000001</v>
      </c>
      <c r="BR161" s="96">
        <f t="shared" si="305"/>
        <v>18.400000000000002</v>
      </c>
      <c r="BS161" s="96">
        <f t="shared" si="305"/>
        <v>-1.4000000000000012</v>
      </c>
      <c r="BT161" s="99">
        <f t="shared" si="305"/>
        <v>34.900000000000006</v>
      </c>
      <c r="BU161" s="96">
        <f t="shared" si="305"/>
        <v>1.9000000000000001</v>
      </c>
      <c r="BV161" s="96">
        <f t="shared" si="305"/>
        <v>1.6999999999999997</v>
      </c>
      <c r="BW161" s="96">
        <f t="shared" si="305"/>
        <v>1.7000000000000002</v>
      </c>
      <c r="BX161" s="96">
        <f t="shared" si="305"/>
        <v>1.4</v>
      </c>
      <c r="BY161" s="99">
        <f t="shared" si="305"/>
        <v>6.7000000000000011</v>
      </c>
      <c r="BZ161" s="96">
        <f t="shared" si="305"/>
        <v>-0.89999999999999991</v>
      </c>
      <c r="CA161" s="96">
        <f t="shared" si="305"/>
        <v>-0.89999999999999991</v>
      </c>
      <c r="CB161" s="96">
        <f t="shared" si="305"/>
        <v>-0.89999999999999991</v>
      </c>
      <c r="CC161" s="96">
        <f t="shared" si="305"/>
        <v>-0.89999999999999991</v>
      </c>
      <c r="CD161" s="99">
        <f t="shared" si="305"/>
        <v>-3.5999999999999996</v>
      </c>
      <c r="CE161" s="96">
        <f t="shared" si="305"/>
        <v>-0.89999999999999991</v>
      </c>
      <c r="CF161" s="96">
        <f t="shared" si="305"/>
        <v>-0.89999999999999991</v>
      </c>
      <c r="CG161" s="96">
        <f t="shared" si="305"/>
        <v>-0.89999999999999991</v>
      </c>
      <c r="CH161" s="96">
        <f t="shared" si="305"/>
        <v>-0.89999999999999991</v>
      </c>
      <c r="CI161" s="99">
        <f t="shared" si="305"/>
        <v>-3.5999999999999996</v>
      </c>
      <c r="CJ161" s="96">
        <f t="shared" si="305"/>
        <v>-0.89999999999999991</v>
      </c>
      <c r="CK161" s="96">
        <f t="shared" si="305"/>
        <v>-0.89999999999999991</v>
      </c>
      <c r="CL161" s="96">
        <f t="shared" si="305"/>
        <v>-0.89999999999999991</v>
      </c>
      <c r="CM161" s="96">
        <f t="shared" si="305"/>
        <v>-0.89999999999999991</v>
      </c>
      <c r="CN161" s="99">
        <f t="shared" si="305"/>
        <v>-3.5999999999999996</v>
      </c>
      <c r="CR161" s="66"/>
      <c r="CS161" s="66"/>
      <c r="CT161" s="66"/>
      <c r="CU161" s="66"/>
      <c r="CV161" s="66"/>
      <c r="CW161" s="66"/>
    </row>
    <row r="162" spans="1:224">
      <c r="A162" s="1137" t="s">
        <v>609</v>
      </c>
      <c r="B162" s="195"/>
      <c r="C162" s="195"/>
      <c r="D162" s="195"/>
      <c r="E162" s="195"/>
      <c r="F162" s="195"/>
      <c r="G162" s="195"/>
      <c r="H162" s="195"/>
      <c r="I162" s="195"/>
      <c r="J162" s="195"/>
      <c r="K162" s="195"/>
      <c r="L162" s="195"/>
      <c r="M162" s="195"/>
      <c r="N162" s="195"/>
      <c r="O162" s="195"/>
      <c r="P162" s="195"/>
      <c r="Q162" s="195"/>
      <c r="R162" s="195"/>
      <c r="S162" s="195"/>
      <c r="T162" s="195"/>
      <c r="U162" s="195"/>
      <c r="V162" s="231"/>
      <c r="W162" s="195"/>
      <c r="X162" s="195"/>
      <c r="Y162" s="195"/>
      <c r="Z162" s="195"/>
      <c r="AA162" s="476"/>
      <c r="AB162" s="476"/>
      <c r="AC162" s="476"/>
      <c r="AD162" s="476"/>
      <c r="AE162" s="476"/>
      <c r="AF162" s="476"/>
      <c r="AG162" s="476"/>
      <c r="AH162" s="476"/>
      <c r="AI162" s="476"/>
      <c r="AJ162" s="476"/>
      <c r="AK162" s="476"/>
      <c r="AL162" s="476"/>
      <c r="AM162" s="476"/>
      <c r="AN162" s="476"/>
      <c r="AO162" s="476"/>
      <c r="AP162" s="476"/>
      <c r="AQ162" s="476"/>
      <c r="AR162" s="476"/>
      <c r="AS162" s="476"/>
      <c r="AT162" s="476"/>
      <c r="AU162" s="476"/>
      <c r="AV162" s="476"/>
      <c r="AW162" s="476"/>
      <c r="AX162" s="476"/>
      <c r="AY162" s="476"/>
      <c r="AZ162" s="476"/>
      <c r="BA162" s="476"/>
      <c r="BB162" s="476"/>
      <c r="BC162" s="476"/>
      <c r="BD162" s="476"/>
      <c r="BE162" s="407">
        <f>BE37</f>
        <v>0.24499999999999966</v>
      </c>
      <c r="BF162" s="476">
        <f t="shared" ref="BF162:CN162" si="306">BF37</f>
        <v>3.3570000000000002</v>
      </c>
      <c r="BG162" s="476">
        <f t="shared" si="306"/>
        <v>4.4329999999999998</v>
      </c>
      <c r="BH162" s="476">
        <f t="shared" si="306"/>
        <v>8.7829999999999995</v>
      </c>
      <c r="BI162" s="476">
        <f t="shared" si="306"/>
        <v>-0.25800000000000001</v>
      </c>
      <c r="BJ162" s="407">
        <f t="shared" si="306"/>
        <v>16.315000000000001</v>
      </c>
      <c r="BK162" s="476">
        <f t="shared" si="306"/>
        <v>6.149</v>
      </c>
      <c r="BL162" s="476">
        <f t="shared" si="306"/>
        <v>9.3550000000000004</v>
      </c>
      <c r="BM162" s="476">
        <f t="shared" si="306"/>
        <v>9.6980000000000004</v>
      </c>
      <c r="BN162" s="476">
        <f t="shared" si="306"/>
        <v>12.045999999999999</v>
      </c>
      <c r="BO162" s="407">
        <f t="shared" si="306"/>
        <v>37.248000000000005</v>
      </c>
      <c r="BP162" s="476">
        <f t="shared" si="306"/>
        <v>1.302</v>
      </c>
      <c r="BQ162" s="476">
        <f t="shared" si="306"/>
        <v>16.555</v>
      </c>
      <c r="BR162" s="476">
        <f t="shared" si="306"/>
        <v>18.344000000000001</v>
      </c>
      <c r="BS162" s="476">
        <f t="shared" si="306"/>
        <v>-1.306</v>
      </c>
      <c r="BT162" s="407">
        <f t="shared" si="306"/>
        <v>34.895000000000003</v>
      </c>
      <c r="BU162" s="476">
        <f t="shared" si="306"/>
        <v>1.925</v>
      </c>
      <c r="BV162" s="476">
        <f t="shared" si="306"/>
        <v>1.7</v>
      </c>
      <c r="BW162" s="476">
        <f t="shared" si="306"/>
        <v>1.669</v>
      </c>
      <c r="BX162" s="476">
        <f t="shared" si="306"/>
        <v>2.379</v>
      </c>
      <c r="BY162" s="407">
        <f t="shared" si="306"/>
        <v>7.673</v>
      </c>
      <c r="BZ162" s="476">
        <f t="shared" si="306"/>
        <v>-0.89999999999999991</v>
      </c>
      <c r="CA162" s="476">
        <f t="shared" si="306"/>
        <v>-0.89999999999999991</v>
      </c>
      <c r="CB162" s="476">
        <f t="shared" si="306"/>
        <v>-0.89999999999999991</v>
      </c>
      <c r="CC162" s="476">
        <f t="shared" si="306"/>
        <v>-0.89999999999999991</v>
      </c>
      <c r="CD162" s="407">
        <f t="shared" si="306"/>
        <v>-3.5999999999999996</v>
      </c>
      <c r="CE162" s="476">
        <f t="shared" si="306"/>
        <v>-0.89999999999999991</v>
      </c>
      <c r="CF162" s="476">
        <f t="shared" si="306"/>
        <v>-0.89999999999999991</v>
      </c>
      <c r="CG162" s="476">
        <f t="shared" si="306"/>
        <v>-0.89999999999999991</v>
      </c>
      <c r="CH162" s="476">
        <f t="shared" si="306"/>
        <v>-0.89999999999999991</v>
      </c>
      <c r="CI162" s="407">
        <f t="shared" si="306"/>
        <v>-3.5999999999999996</v>
      </c>
      <c r="CJ162" s="476">
        <f t="shared" si="306"/>
        <v>-0.89999999999999991</v>
      </c>
      <c r="CK162" s="476">
        <f t="shared" si="306"/>
        <v>-0.89999999999999991</v>
      </c>
      <c r="CL162" s="476">
        <f t="shared" si="306"/>
        <v>-0.89999999999999991</v>
      </c>
      <c r="CM162" s="476">
        <f t="shared" si="306"/>
        <v>-0.89999999999999991</v>
      </c>
      <c r="CN162" s="407">
        <f t="shared" si="306"/>
        <v>-3.5999999999999996</v>
      </c>
      <c r="CR162" s="66"/>
      <c r="CS162" s="66"/>
      <c r="CT162" s="66"/>
      <c r="CU162" s="66"/>
      <c r="CV162" s="66"/>
      <c r="CW162" s="66"/>
    </row>
    <row r="163" spans="1:224">
      <c r="A163" s="1235" t="s">
        <v>607</v>
      </c>
      <c r="B163" s="45"/>
      <c r="V163" s="89"/>
      <c r="AA163" s="96"/>
      <c r="AB163" s="96"/>
      <c r="AC163" s="96"/>
      <c r="AD163" s="96"/>
      <c r="AE163" s="96"/>
      <c r="AF163" s="96"/>
      <c r="AG163" s="96"/>
      <c r="AH163" s="96"/>
      <c r="AI163" s="96"/>
      <c r="AJ163" s="96"/>
      <c r="AK163" s="96"/>
      <c r="AL163" s="96"/>
      <c r="AM163" s="96"/>
      <c r="AN163" s="96"/>
      <c r="AO163" s="96"/>
      <c r="AP163" s="96"/>
      <c r="AQ163" s="96"/>
      <c r="AR163" s="96"/>
      <c r="AS163" s="96"/>
      <c r="AT163" s="96"/>
      <c r="AU163" s="518"/>
      <c r="AV163" s="518"/>
      <c r="AW163" s="518"/>
      <c r="AX163" s="518"/>
      <c r="AY163" s="518"/>
      <c r="AZ163" s="518"/>
      <c r="BA163" s="518"/>
      <c r="BB163" s="518"/>
      <c r="BC163" s="518"/>
      <c r="BD163" s="518"/>
      <c r="BE163" s="1240">
        <f>BE161-BE162</f>
        <v>4.7550000000000008</v>
      </c>
      <c r="BF163" s="1234">
        <f t="shared" ref="BF163:CN163" si="307">BF161-BF162</f>
        <v>4.3000000000000149E-2</v>
      </c>
      <c r="BG163" s="1234">
        <f t="shared" si="307"/>
        <v>0.96699999999999964</v>
      </c>
      <c r="BH163" s="1234">
        <f t="shared" si="307"/>
        <v>0.61700000000000266</v>
      </c>
      <c r="BI163" s="1234">
        <f t="shared" si="307"/>
        <v>8.2579999999999973</v>
      </c>
      <c r="BJ163" s="1240">
        <f t="shared" si="307"/>
        <v>9.884999999999998</v>
      </c>
      <c r="BK163" s="1234">
        <f t="shared" si="307"/>
        <v>5.1000000000000156E-2</v>
      </c>
      <c r="BL163" s="1234">
        <f t="shared" si="307"/>
        <v>4.4999999999999929E-2</v>
      </c>
      <c r="BM163" s="1234">
        <f t="shared" si="307"/>
        <v>2.9999999999999361E-2</v>
      </c>
      <c r="BN163" s="1234">
        <f t="shared" si="307"/>
        <v>-0.17400000000000304</v>
      </c>
      <c r="BO163" s="1240">
        <f t="shared" si="307"/>
        <v>-4.8000000000008924E-2</v>
      </c>
      <c r="BP163" s="1234">
        <f t="shared" si="307"/>
        <v>-2.0000000000002238E-3</v>
      </c>
      <c r="BQ163" s="1234">
        <f t="shared" si="307"/>
        <v>4.5000000000001705E-2</v>
      </c>
      <c r="BR163" s="1234">
        <f t="shared" si="307"/>
        <v>5.6000000000000938E-2</v>
      </c>
      <c r="BS163" s="1234">
        <f t="shared" si="307"/>
        <v>-9.4000000000001194E-2</v>
      </c>
      <c r="BT163" s="1240">
        <f t="shared" si="307"/>
        <v>5.000000000002558E-3</v>
      </c>
      <c r="BU163" s="1234">
        <f t="shared" si="307"/>
        <v>-2.4999999999999911E-2</v>
      </c>
      <c r="BV163" s="1234">
        <f t="shared" si="307"/>
        <v>0</v>
      </c>
      <c r="BW163" s="1234">
        <f t="shared" si="307"/>
        <v>3.1000000000000139E-2</v>
      </c>
      <c r="BX163" s="1234">
        <f t="shared" si="307"/>
        <v>-0.97900000000000009</v>
      </c>
      <c r="BY163" s="1240">
        <f t="shared" si="307"/>
        <v>-0.97299999999999898</v>
      </c>
      <c r="BZ163" s="1234">
        <f t="shared" si="307"/>
        <v>0</v>
      </c>
      <c r="CA163" s="1234">
        <f t="shared" si="307"/>
        <v>0</v>
      </c>
      <c r="CB163" s="1234">
        <f t="shared" si="307"/>
        <v>0</v>
      </c>
      <c r="CC163" s="1234">
        <f t="shared" si="307"/>
        <v>0</v>
      </c>
      <c r="CD163" s="1240">
        <f t="shared" si="307"/>
        <v>0</v>
      </c>
      <c r="CE163" s="1234">
        <f t="shared" si="307"/>
        <v>0</v>
      </c>
      <c r="CF163" s="1234">
        <f t="shared" si="307"/>
        <v>0</v>
      </c>
      <c r="CG163" s="1234">
        <f t="shared" si="307"/>
        <v>0</v>
      </c>
      <c r="CH163" s="1234">
        <f t="shared" si="307"/>
        <v>0</v>
      </c>
      <c r="CI163" s="1240">
        <f t="shared" si="307"/>
        <v>0</v>
      </c>
      <c r="CJ163" s="1234">
        <f t="shared" si="307"/>
        <v>0</v>
      </c>
      <c r="CK163" s="1234">
        <f t="shared" si="307"/>
        <v>0</v>
      </c>
      <c r="CL163" s="1234">
        <f t="shared" si="307"/>
        <v>0</v>
      </c>
      <c r="CM163" s="1234">
        <f t="shared" si="307"/>
        <v>0</v>
      </c>
      <c r="CN163" s="1240">
        <f t="shared" si="307"/>
        <v>0</v>
      </c>
      <c r="CR163" s="66"/>
      <c r="CS163" s="66"/>
      <c r="CT163" s="66"/>
      <c r="CU163" s="66"/>
      <c r="CV163" s="66"/>
      <c r="CW163" s="66"/>
    </row>
    <row r="164" spans="1:224">
      <c r="A164" s="522"/>
      <c r="B164" s="45"/>
      <c r="V164" s="89"/>
      <c r="AA164" s="96"/>
      <c r="AB164" s="96"/>
      <c r="AC164" s="96"/>
      <c r="AD164" s="96"/>
      <c r="AE164" s="96"/>
      <c r="AF164" s="96"/>
      <c r="AG164" s="96"/>
      <c r="AH164" s="96"/>
      <c r="AI164" s="96"/>
      <c r="AJ164" s="96"/>
      <c r="AK164" s="96"/>
      <c r="AL164" s="96"/>
      <c r="AM164" s="96"/>
      <c r="AN164" s="96"/>
      <c r="AO164" s="96"/>
      <c r="AP164" s="96"/>
      <c r="AQ164" s="96"/>
      <c r="AR164" s="96"/>
      <c r="AS164" s="96"/>
      <c r="AT164" s="96"/>
      <c r="AU164" s="518"/>
      <c r="AV164" s="518"/>
      <c r="AW164" s="518"/>
      <c r="AX164" s="518"/>
      <c r="AY164" s="518"/>
      <c r="AZ164" s="518"/>
      <c r="BA164" s="518"/>
      <c r="BB164" s="518"/>
      <c r="BC164" s="518"/>
      <c r="BD164" s="518"/>
      <c r="BE164" s="1240"/>
      <c r="BF164" s="1234"/>
      <c r="BG164" s="1234"/>
      <c r="BH164" s="1234"/>
      <c r="BI164" s="1234"/>
      <c r="BJ164" s="1240"/>
      <c r="BK164" s="1234"/>
      <c r="BL164" s="1234"/>
      <c r="BM164" s="1234"/>
      <c r="BN164" s="1234"/>
      <c r="BO164" s="1240"/>
      <c r="BP164" s="1234"/>
      <c r="BQ164" s="1234"/>
      <c r="BR164" s="1234"/>
      <c r="BS164" s="1234"/>
      <c r="BT164" s="1240"/>
      <c r="BU164" s="1234"/>
      <c r="BV164" s="1234"/>
      <c r="BW164" s="1234"/>
      <c r="BX164" s="1234"/>
      <c r="BY164" s="1240"/>
      <c r="BZ164" s="1234"/>
      <c r="CA164" s="1234"/>
      <c r="CB164" s="1234"/>
      <c r="CC164" s="1234"/>
      <c r="CD164" s="1240"/>
      <c r="CE164" s="1234"/>
      <c r="CF164" s="1234"/>
      <c r="CG164" s="1234"/>
      <c r="CH164" s="1234"/>
      <c r="CI164" s="1240"/>
      <c r="CJ164" s="1234"/>
      <c r="CK164" s="1234"/>
      <c r="CL164" s="1234"/>
      <c r="CM164" s="1234"/>
      <c r="CN164" s="1240"/>
      <c r="CR164" s="66"/>
      <c r="CS164" s="66"/>
      <c r="CT164" s="66"/>
      <c r="CU164" s="66"/>
      <c r="CV164" s="66"/>
      <c r="CW164" s="66"/>
    </row>
    <row r="165" spans="1:224">
      <c r="A165" s="1243" t="s">
        <v>599</v>
      </c>
      <c r="B165" s="45"/>
      <c r="V165" s="89"/>
      <c r="AA165" s="96"/>
      <c r="AB165" s="96"/>
      <c r="AC165" s="96"/>
      <c r="AD165" s="96"/>
      <c r="AE165" s="96"/>
      <c r="AF165" s="96"/>
      <c r="AG165" s="96"/>
      <c r="AH165" s="96"/>
      <c r="AI165" s="96"/>
      <c r="AJ165" s="96"/>
      <c r="AK165" s="96"/>
      <c r="AL165" s="96"/>
      <c r="AM165" s="96"/>
      <c r="AN165" s="96"/>
      <c r="AO165" s="96"/>
      <c r="AP165" s="96"/>
      <c r="AQ165" s="96"/>
      <c r="AR165" s="96"/>
      <c r="AS165" s="96"/>
      <c r="AT165" s="96"/>
      <c r="AU165" s="96"/>
      <c r="AV165" s="96"/>
      <c r="AW165" s="96"/>
      <c r="AX165" s="96"/>
      <c r="AY165" s="96"/>
      <c r="AZ165" s="96"/>
      <c r="BA165" s="96"/>
      <c r="BB165" s="96"/>
      <c r="BC165" s="96"/>
      <c r="BD165" s="96"/>
      <c r="BE165" s="1166"/>
      <c r="BF165" s="96"/>
      <c r="BG165" s="96"/>
      <c r="BH165" s="96"/>
      <c r="BI165" s="96"/>
      <c r="BJ165" s="1166"/>
      <c r="BK165" s="96"/>
      <c r="BL165" s="96"/>
      <c r="BM165" s="96"/>
      <c r="BN165" s="96"/>
      <c r="BO165" s="1166"/>
      <c r="BP165" s="96"/>
      <c r="BQ165" s="96"/>
      <c r="BR165" s="96"/>
      <c r="BS165" s="96"/>
      <c r="BT165" s="1166"/>
      <c r="BU165" s="96"/>
      <c r="BV165" s="96"/>
      <c r="BW165" s="96"/>
      <c r="BX165" s="96"/>
      <c r="BY165" s="1166"/>
      <c r="BZ165" s="96"/>
      <c r="CA165" s="96"/>
      <c r="CB165" s="96"/>
      <c r="CC165" s="96"/>
      <c r="CD165" s="1166"/>
      <c r="CE165" s="96"/>
      <c r="CF165" s="96"/>
      <c r="CG165" s="96"/>
      <c r="CH165" s="96"/>
      <c r="CI165" s="1166"/>
      <c r="CJ165" s="96"/>
      <c r="CK165" s="96"/>
      <c r="CL165" s="96"/>
      <c r="CM165" s="96"/>
      <c r="CN165" s="1166"/>
      <c r="CR165" s="66"/>
      <c r="CS165" s="66"/>
      <c r="CT165" s="66"/>
      <c r="CU165" s="66"/>
      <c r="CV165" s="66"/>
      <c r="CW165" s="66"/>
    </row>
    <row r="166" spans="1:224">
      <c r="A166" s="522" t="s">
        <v>601</v>
      </c>
      <c r="B166" s="45"/>
      <c r="V166" s="89"/>
      <c r="AA166" s="96"/>
      <c r="AB166" s="96"/>
      <c r="AC166" s="96"/>
      <c r="AD166" s="96"/>
      <c r="AE166" s="96"/>
      <c r="AF166" s="96"/>
      <c r="AG166" s="96"/>
      <c r="AH166" s="96"/>
      <c r="AI166" s="96"/>
      <c r="AJ166" s="96"/>
      <c r="AK166" s="96"/>
      <c r="AL166" s="96"/>
      <c r="AM166" s="96"/>
      <c r="AN166" s="96"/>
      <c r="AO166" s="96"/>
      <c r="AP166" s="96"/>
      <c r="AQ166" s="96"/>
      <c r="AR166" s="96"/>
      <c r="AS166" s="96"/>
      <c r="AT166" s="96"/>
      <c r="AU166" s="96"/>
      <c r="AV166" s="96"/>
      <c r="AW166" s="96"/>
      <c r="AX166" s="96"/>
      <c r="AY166" s="96"/>
      <c r="AZ166" s="96"/>
      <c r="BA166" s="96"/>
      <c r="BB166" s="96"/>
      <c r="BC166" s="96"/>
      <c r="BD166" s="96"/>
      <c r="BE166" s="99">
        <v>3.4680000000000004</v>
      </c>
      <c r="BF166" s="96">
        <v>11.686000000000003</v>
      </c>
      <c r="BG166" s="96">
        <v>15.865164128561631</v>
      </c>
      <c r="BH166" s="96">
        <v>22.742742389170282</v>
      </c>
      <c r="BI166" s="96">
        <v>18.571101506802641</v>
      </c>
      <c r="BJ166" s="99">
        <v>68.865008024534546</v>
      </c>
      <c r="BK166" s="96">
        <v>18</v>
      </c>
      <c r="BL166" s="96">
        <v>20.100000000000001</v>
      </c>
      <c r="BM166" s="96">
        <v>22.4</v>
      </c>
      <c r="BN166" s="96">
        <v>26.499999999999993</v>
      </c>
      <c r="BO166" s="99">
        <v>87</v>
      </c>
      <c r="BP166" s="96">
        <v>30.6</v>
      </c>
      <c r="BQ166" s="96">
        <v>34.5</v>
      </c>
      <c r="BR166" s="96">
        <v>37.4</v>
      </c>
      <c r="BS166" s="96">
        <v>40.599999999999994</v>
      </c>
      <c r="BT166" s="99">
        <v>143.1</v>
      </c>
      <c r="BU166" s="96">
        <v>42.917000000000002</v>
      </c>
      <c r="BV166" s="96">
        <v>46.935000000000002</v>
      </c>
      <c r="BW166" s="96">
        <v>50.274999999999999</v>
      </c>
      <c r="BX166" s="96">
        <v>49.972999999999985</v>
      </c>
      <c r="BY166" s="99">
        <v>190.1</v>
      </c>
      <c r="BZ166" s="96">
        <v>45.851815283338141</v>
      </c>
      <c r="CA166" s="96">
        <v>49.295968937063492</v>
      </c>
      <c r="CB166" s="96">
        <v>49.786259066619955</v>
      </c>
      <c r="CC166" s="96">
        <v>49.470529159752701</v>
      </c>
      <c r="CD166" s="99">
        <v>194.4045724467743</v>
      </c>
      <c r="CE166" s="96">
        <v>48.304714889216456</v>
      </c>
      <c r="CF166" s="96">
        <v>51.502091719623543</v>
      </c>
      <c r="CG166" s="96">
        <v>52.067050129501141</v>
      </c>
      <c r="CH166" s="96">
        <v>51.80831613215242</v>
      </c>
      <c r="CI166" s="99">
        <v>203.68217287049356</v>
      </c>
      <c r="CJ166" s="96">
        <v>51.191027280931898</v>
      </c>
      <c r="CK166" s="96">
        <v>54.16062969419049</v>
      </c>
      <c r="CL166" s="96">
        <v>54.885840151412303</v>
      </c>
      <c r="CM166" s="96">
        <v>54.741093745570041</v>
      </c>
      <c r="CN166" s="99">
        <v>214.97859087210475</v>
      </c>
      <c r="CR166" s="66"/>
      <c r="CS166" s="66"/>
      <c r="CT166" s="66"/>
      <c r="CU166" s="66"/>
      <c r="CV166" s="66"/>
      <c r="CW166" s="66"/>
    </row>
    <row r="167" spans="1:224">
      <c r="A167" s="522" t="s">
        <v>602</v>
      </c>
      <c r="B167" s="45"/>
      <c r="V167" s="89"/>
      <c r="AA167" s="96"/>
      <c r="AB167" s="96"/>
      <c r="AC167" s="96"/>
      <c r="AD167" s="96"/>
      <c r="AE167" s="96"/>
      <c r="AF167" s="96"/>
      <c r="AG167" s="96"/>
      <c r="AH167" s="96"/>
      <c r="AI167" s="96"/>
      <c r="AJ167" s="96"/>
      <c r="AK167" s="96"/>
      <c r="AL167" s="96"/>
      <c r="AM167" s="96"/>
      <c r="AN167" s="96"/>
      <c r="AO167" s="96"/>
      <c r="AP167" s="96"/>
      <c r="AQ167" s="96"/>
      <c r="AR167" s="96"/>
      <c r="AS167" s="96"/>
      <c r="AT167" s="96"/>
      <c r="AU167" s="96"/>
      <c r="AV167" s="96"/>
      <c r="AW167" s="96"/>
      <c r="AX167" s="96"/>
      <c r="AY167" s="96"/>
      <c r="AZ167" s="96"/>
      <c r="BA167" s="96"/>
      <c r="BB167" s="96"/>
      <c r="BC167" s="96"/>
      <c r="BD167" s="96"/>
      <c r="BE167" s="99">
        <f>BE157</f>
        <v>13.6</v>
      </c>
      <c r="BF167" s="96">
        <f t="shared" ref="BF167:BP167" si="308">BF157</f>
        <v>5.9</v>
      </c>
      <c r="BG167" s="96">
        <f t="shared" si="308"/>
        <v>8.5</v>
      </c>
      <c r="BH167" s="96">
        <f t="shared" si="308"/>
        <v>13.4</v>
      </c>
      <c r="BI167" s="96">
        <f t="shared" si="308"/>
        <v>9.9999999999999964</v>
      </c>
      <c r="BJ167" s="99">
        <f t="shared" si="308"/>
        <v>37.799999999999997</v>
      </c>
      <c r="BK167" s="96">
        <f t="shared" si="308"/>
        <v>10</v>
      </c>
      <c r="BL167" s="96">
        <f t="shared" si="308"/>
        <v>11.4</v>
      </c>
      <c r="BM167" s="96">
        <f t="shared" si="308"/>
        <v>12.428000000000001</v>
      </c>
      <c r="BN167" s="96">
        <f t="shared" si="308"/>
        <v>13.971999999999994</v>
      </c>
      <c r="BO167" s="99">
        <f t="shared" si="308"/>
        <v>47.8</v>
      </c>
      <c r="BP167" s="96">
        <f t="shared" si="308"/>
        <v>14.7</v>
      </c>
      <c r="BQ167" s="96">
        <f>BQ157</f>
        <v>17.5</v>
      </c>
      <c r="BR167" s="96">
        <f>BR157</f>
        <v>17.5</v>
      </c>
      <c r="BS167" s="96">
        <f>BS25</f>
        <v>18.076000000000001</v>
      </c>
      <c r="BT167" s="99">
        <f>SUM(BP167:BS167)</f>
        <v>67.77600000000001</v>
      </c>
      <c r="BU167" s="96">
        <f>BU25</f>
        <v>18.867999999999999</v>
      </c>
      <c r="BV167" s="96">
        <f>BV25</f>
        <v>21.896999999999998</v>
      </c>
      <c r="BW167" s="96">
        <f>BW25</f>
        <v>24.076000000000001</v>
      </c>
      <c r="BX167" s="96">
        <f>BX166*BX168</f>
        <v>23.48730999999999</v>
      </c>
      <c r="BY167" s="99">
        <f>SUM(BU167:BX167)</f>
        <v>88.328310000000002</v>
      </c>
      <c r="BZ167" s="96">
        <f>BZ166*BZ168</f>
        <v>21.091835030335545</v>
      </c>
      <c r="CA167" s="96">
        <f>CA166*CA168</f>
        <v>22.676145711049209</v>
      </c>
      <c r="CB167" s="96">
        <f>CB166*CB168</f>
        <v>22.901679170645181</v>
      </c>
      <c r="CC167" s="96">
        <f>CC166*CC168</f>
        <v>22.756443413486242</v>
      </c>
      <c r="CD167" s="99">
        <f>SUM(BZ167:CC167)</f>
        <v>89.426103325516181</v>
      </c>
      <c r="CE167" s="96">
        <f>CE166*CE168</f>
        <v>22.22016884903957</v>
      </c>
      <c r="CF167" s="96">
        <f>CF166*CF168</f>
        <v>23.690962191026831</v>
      </c>
      <c r="CG167" s="96">
        <f>CG166*CG168</f>
        <v>23.950843059570527</v>
      </c>
      <c r="CH167" s="96">
        <f>CH166*CH168</f>
        <v>23.831825420790114</v>
      </c>
      <c r="CI167" s="99">
        <f>SUM(CE167:CH167)</f>
        <v>93.693799520427035</v>
      </c>
      <c r="CJ167" s="96">
        <f>CJ166*CJ168</f>
        <v>23.547872549228675</v>
      </c>
      <c r="CK167" s="96">
        <f>CK166*CK168</f>
        <v>24.913889659327626</v>
      </c>
      <c r="CL167" s="96">
        <f>CL166*CL168</f>
        <v>25.247486469649662</v>
      </c>
      <c r="CM167" s="96">
        <f>CM166*CM168</f>
        <v>25.180903122962221</v>
      </c>
      <c r="CN167" s="99">
        <f>SUM(CJ167:CM167)</f>
        <v>98.890151801168187</v>
      </c>
      <c r="CR167" s="66"/>
      <c r="CS167" s="66"/>
      <c r="CT167" s="66"/>
      <c r="CU167" s="66"/>
      <c r="CV167" s="66"/>
      <c r="CW167" s="66"/>
    </row>
    <row r="168" spans="1:224">
      <c r="A168" s="1236" t="s">
        <v>608</v>
      </c>
      <c r="B168" s="52"/>
      <c r="C168" s="52"/>
      <c r="D168" s="52"/>
      <c r="E168" s="52"/>
      <c r="F168" s="52"/>
      <c r="G168" s="52"/>
      <c r="H168" s="52"/>
      <c r="I168" s="52"/>
      <c r="J168" s="52"/>
      <c r="K168" s="52"/>
      <c r="L168" s="52"/>
      <c r="M168" s="52"/>
      <c r="N168" s="52"/>
      <c r="O168" s="52"/>
      <c r="P168" s="52"/>
      <c r="Q168" s="52"/>
      <c r="R168" s="52"/>
      <c r="S168" s="52"/>
      <c r="T168" s="52"/>
      <c r="U168" s="52"/>
      <c r="V168" s="184"/>
      <c r="W168" s="52"/>
      <c r="X168" s="52"/>
      <c r="Y168" s="52"/>
      <c r="Z168" s="52"/>
      <c r="AA168" s="1139"/>
      <c r="AB168" s="1139"/>
      <c r="AC168" s="1139"/>
      <c r="AD168" s="1139"/>
      <c r="AE168" s="1139"/>
      <c r="AF168" s="1139"/>
      <c r="AG168" s="1139"/>
      <c r="AH168" s="1139"/>
      <c r="AI168" s="1139"/>
      <c r="AJ168" s="1139"/>
      <c r="AK168" s="1139"/>
      <c r="AL168" s="1139"/>
      <c r="AM168" s="1139"/>
      <c r="AN168" s="1139"/>
      <c r="AO168" s="1139"/>
      <c r="AP168" s="1139"/>
      <c r="AQ168" s="1139"/>
      <c r="AR168" s="1139"/>
      <c r="AS168" s="1139"/>
      <c r="AT168" s="1139"/>
      <c r="AU168" s="1237"/>
      <c r="AV168" s="1237"/>
      <c r="AW168" s="1237"/>
      <c r="AX168" s="1237"/>
      <c r="AY168" s="1237"/>
      <c r="AZ168" s="1237"/>
      <c r="BA168" s="1237"/>
      <c r="BB168" s="1237"/>
      <c r="BC168" s="1237"/>
      <c r="BD168" s="1237"/>
      <c r="BE168" s="1241"/>
      <c r="BF168" s="1238">
        <f>BF167/BF166</f>
        <v>0.50487763135375652</v>
      </c>
      <c r="BG168" s="1238">
        <f t="shared" ref="BG168:BW168" si="309">BG167/BG166</f>
        <v>0.53576502147227567</v>
      </c>
      <c r="BH168" s="1238">
        <f t="shared" si="309"/>
        <v>0.58919895282201584</v>
      </c>
      <c r="BI168" s="1238">
        <f t="shared" si="309"/>
        <v>0.53847102156740523</v>
      </c>
      <c r="BJ168" s="1242">
        <f t="shared" si="309"/>
        <v>0.5488999578208571</v>
      </c>
      <c r="BK168" s="1238">
        <f t="shared" si="309"/>
        <v>0.55555555555555558</v>
      </c>
      <c r="BL168" s="1238">
        <f t="shared" si="309"/>
        <v>0.56716417910447758</v>
      </c>
      <c r="BM168" s="1238">
        <f t="shared" si="309"/>
        <v>0.55482142857142869</v>
      </c>
      <c r="BN168" s="1238">
        <f t="shared" si="309"/>
        <v>0.52724528301886786</v>
      </c>
      <c r="BO168" s="1242">
        <f t="shared" si="309"/>
        <v>0.54942528735632179</v>
      </c>
      <c r="BP168" s="1238">
        <f t="shared" si="309"/>
        <v>0.48039215686274506</v>
      </c>
      <c r="BQ168" s="1238">
        <f t="shared" si="309"/>
        <v>0.50724637681159424</v>
      </c>
      <c r="BR168" s="1238">
        <f t="shared" si="309"/>
        <v>0.46791443850267384</v>
      </c>
      <c r="BS168" s="1238">
        <f t="shared" si="309"/>
        <v>0.44522167487684738</v>
      </c>
      <c r="BT168" s="1242">
        <f>BT167/BT166</f>
        <v>0.47362683438155145</v>
      </c>
      <c r="BU168" s="1238">
        <f t="shared" si="309"/>
        <v>0.43963930377239785</v>
      </c>
      <c r="BV168" s="1238">
        <f t="shared" si="309"/>
        <v>0.46653883029721949</v>
      </c>
      <c r="BW168" s="1238">
        <f t="shared" si="309"/>
        <v>0.47888612630532074</v>
      </c>
      <c r="BX168" s="1238">
        <v>0.47</v>
      </c>
      <c r="BY168" s="1242">
        <f>BY167/BY166</f>
        <v>0.46464129405576016</v>
      </c>
      <c r="BZ168" s="1239">
        <v>0.46</v>
      </c>
      <c r="CA168" s="1239">
        <v>0.46</v>
      </c>
      <c r="CB168" s="1239">
        <v>0.46</v>
      </c>
      <c r="CC168" s="1239">
        <v>0.46</v>
      </c>
      <c r="CD168" s="1242">
        <f>CD167/CD166</f>
        <v>0.46</v>
      </c>
      <c r="CE168" s="1239">
        <v>0.46</v>
      </c>
      <c r="CF168" s="1239">
        <v>0.46</v>
      </c>
      <c r="CG168" s="1239">
        <v>0.46</v>
      </c>
      <c r="CH168" s="1239">
        <v>0.46</v>
      </c>
      <c r="CI168" s="1242">
        <f>CI167/CI166</f>
        <v>0.45999999999999996</v>
      </c>
      <c r="CJ168" s="1239">
        <v>0.46</v>
      </c>
      <c r="CK168" s="1239">
        <v>0.46</v>
      </c>
      <c r="CL168" s="1239">
        <v>0.46</v>
      </c>
      <c r="CM168" s="1239">
        <v>0.46</v>
      </c>
      <c r="CN168" s="1242">
        <f>CN167/CN166</f>
        <v>0.46</v>
      </c>
      <c r="CR168" s="197"/>
      <c r="CS168" s="197"/>
      <c r="CT168" s="197"/>
      <c r="CU168" s="197"/>
      <c r="CV168" s="197"/>
      <c r="CW168" s="197"/>
    </row>
    <row r="169" spans="1:224">
      <c r="A169" s="522" t="s">
        <v>627</v>
      </c>
      <c r="B169" s="45"/>
      <c r="V169" s="89"/>
      <c r="AA169" s="96"/>
      <c r="AB169" s="96"/>
      <c r="AC169" s="96"/>
      <c r="AD169" s="96"/>
      <c r="AE169" s="96"/>
      <c r="AF169" s="96"/>
      <c r="AG169" s="96"/>
      <c r="AH169" s="96"/>
      <c r="AI169" s="96"/>
      <c r="AJ169" s="96"/>
      <c r="AK169" s="96"/>
      <c r="AL169" s="96"/>
      <c r="AM169" s="96"/>
      <c r="AN169" s="96"/>
      <c r="AO169" s="96"/>
      <c r="AP169" s="96"/>
      <c r="AQ169" s="96"/>
      <c r="AR169" s="96"/>
      <c r="AS169" s="96"/>
      <c r="AT169" s="96"/>
      <c r="AU169" s="96"/>
      <c r="AV169" s="96"/>
      <c r="AW169" s="96"/>
      <c r="AX169" s="96"/>
      <c r="AY169" s="96"/>
      <c r="AZ169" s="96"/>
      <c r="BA169" s="96"/>
      <c r="BB169" s="96"/>
      <c r="BC169" s="96"/>
      <c r="BD169" s="96"/>
      <c r="BE169" s="528"/>
      <c r="BF169" s="476"/>
      <c r="BG169" s="476"/>
      <c r="BH169" s="476"/>
      <c r="BI169" s="476"/>
      <c r="BJ169" s="1233"/>
      <c r="BK169" s="476"/>
      <c r="BL169" s="476"/>
      <c r="BM169" s="476"/>
      <c r="BN169" s="476"/>
      <c r="BO169" s="1233"/>
      <c r="BP169" s="476">
        <f>BP166-BP167</f>
        <v>15.900000000000002</v>
      </c>
      <c r="BQ169" s="476">
        <f t="shared" ref="BQ169:CN169" si="310">BQ166-BQ167</f>
        <v>17</v>
      </c>
      <c r="BR169" s="476">
        <f t="shared" si="310"/>
        <v>19.899999999999999</v>
      </c>
      <c r="BS169" s="476">
        <f t="shared" si="310"/>
        <v>22.523999999999994</v>
      </c>
      <c r="BT169" s="476">
        <f t="shared" si="310"/>
        <v>75.323999999999984</v>
      </c>
      <c r="BU169" s="476">
        <f t="shared" si="310"/>
        <v>24.049000000000003</v>
      </c>
      <c r="BV169" s="476">
        <f t="shared" si="310"/>
        <v>25.038000000000004</v>
      </c>
      <c r="BW169" s="476">
        <f t="shared" si="310"/>
        <v>26.198999999999998</v>
      </c>
      <c r="BX169" s="476">
        <f t="shared" si="310"/>
        <v>26.485689999999995</v>
      </c>
      <c r="BY169" s="476">
        <f t="shared" si="310"/>
        <v>101.77168999999999</v>
      </c>
      <c r="BZ169" s="476">
        <f t="shared" si="310"/>
        <v>24.759980253002595</v>
      </c>
      <c r="CA169" s="476">
        <f t="shared" si="310"/>
        <v>26.619823226014283</v>
      </c>
      <c r="CB169" s="476">
        <f t="shared" si="310"/>
        <v>26.884579895974774</v>
      </c>
      <c r="CC169" s="476">
        <f t="shared" si="310"/>
        <v>26.714085746266459</v>
      </c>
      <c r="CD169" s="476">
        <f t="shared" si="310"/>
        <v>104.97846912125812</v>
      </c>
      <c r="CE169" s="476">
        <f t="shared" si="310"/>
        <v>26.084546040176885</v>
      </c>
      <c r="CF169" s="476">
        <f t="shared" si="310"/>
        <v>27.811129528596712</v>
      </c>
      <c r="CG169" s="476">
        <f t="shared" si="310"/>
        <v>28.116207069930613</v>
      </c>
      <c r="CH169" s="476">
        <f t="shared" si="310"/>
        <v>27.976490711362306</v>
      </c>
      <c r="CI169" s="476">
        <f t="shared" si="310"/>
        <v>109.98837335006652</v>
      </c>
      <c r="CJ169" s="476">
        <f t="shared" si="310"/>
        <v>27.643154731703223</v>
      </c>
      <c r="CK169" s="476">
        <f t="shared" si="310"/>
        <v>29.246740034862864</v>
      </c>
      <c r="CL169" s="476">
        <f t="shared" si="310"/>
        <v>29.638353681762641</v>
      </c>
      <c r="CM169" s="476">
        <f t="shared" si="310"/>
        <v>29.56019062260782</v>
      </c>
      <c r="CN169" s="476">
        <f t="shared" si="310"/>
        <v>116.08843907093656</v>
      </c>
      <c r="CR169" s="66"/>
      <c r="CS169" s="66"/>
      <c r="CT169" s="66"/>
      <c r="CU169" s="66"/>
      <c r="CV169" s="66"/>
      <c r="CW169" s="66"/>
    </row>
    <row r="170" spans="1:224">
      <c r="A170" s="522"/>
      <c r="B170" s="41"/>
      <c r="V170" s="89"/>
      <c r="AA170" s="96"/>
      <c r="AB170" s="96"/>
      <c r="AC170" s="96"/>
      <c r="AD170" s="96"/>
      <c r="AE170" s="96"/>
      <c r="AF170" s="96"/>
      <c r="AG170" s="96"/>
      <c r="AH170" s="96"/>
      <c r="AI170" s="96"/>
      <c r="AJ170" s="96"/>
      <c r="AK170" s="96"/>
      <c r="AL170" s="96"/>
      <c r="AM170" s="96"/>
      <c r="AN170" s="96"/>
      <c r="AO170" s="96"/>
      <c r="AP170" s="96"/>
      <c r="AQ170" s="96"/>
      <c r="AR170" s="96"/>
      <c r="AS170" s="96"/>
      <c r="AT170" s="96"/>
      <c r="AU170" s="96"/>
      <c r="AV170" s="96"/>
      <c r="AW170" s="96"/>
      <c r="AX170" s="96"/>
      <c r="AY170" s="96"/>
      <c r="AZ170" s="96"/>
      <c r="BA170" s="46"/>
      <c r="BB170" s="46"/>
      <c r="BC170" s="46"/>
      <c r="BD170" s="96"/>
      <c r="BE170" s="96"/>
      <c r="BF170" s="96"/>
      <c r="BG170" s="96"/>
      <c r="BH170" s="96"/>
      <c r="BI170" s="96"/>
      <c r="BJ170" s="96"/>
      <c r="BK170" s="96"/>
      <c r="BL170" s="96"/>
      <c r="BM170" s="96"/>
      <c r="BN170" s="96"/>
      <c r="BO170" s="96"/>
      <c r="BP170" s="96"/>
      <c r="BQ170" s="96"/>
      <c r="BR170" s="96"/>
      <c r="BS170" s="96"/>
      <c r="BT170" s="96"/>
      <c r="BU170" s="96"/>
      <c r="BV170" s="96"/>
      <c r="BW170" s="96"/>
      <c r="BX170" s="96"/>
      <c r="BY170" s="96"/>
      <c r="BZ170" s="96"/>
      <c r="CA170" s="96"/>
      <c r="CB170" s="96"/>
      <c r="CC170" s="96"/>
      <c r="CD170" s="96"/>
      <c r="CE170" s="96"/>
      <c r="CF170" s="96"/>
      <c r="CG170" s="96"/>
      <c r="CH170" s="96"/>
      <c r="CI170" s="96"/>
      <c r="CJ170" s="96"/>
      <c r="CK170" s="96"/>
      <c r="CL170" s="96"/>
      <c r="CM170" s="96"/>
      <c r="CN170" s="96"/>
      <c r="CR170" s="66"/>
      <c r="CS170" s="66"/>
      <c r="CT170" s="66"/>
      <c r="CU170" s="66"/>
      <c r="CV170" s="66"/>
      <c r="CW170" s="66"/>
    </row>
    <row r="171" spans="1:224">
      <c r="A171" s="520" t="s">
        <v>600</v>
      </c>
      <c r="B171" s="41"/>
      <c r="V171" s="89"/>
      <c r="AA171" s="96"/>
      <c r="AB171" s="96"/>
      <c r="AC171" s="96"/>
      <c r="AD171" s="96"/>
      <c r="AE171" s="96"/>
      <c r="AF171" s="96"/>
      <c r="AG171" s="96"/>
      <c r="AH171" s="96"/>
      <c r="AI171" s="96"/>
      <c r="AJ171" s="96"/>
      <c r="AK171" s="96"/>
      <c r="AL171" s="96"/>
      <c r="AM171" s="96"/>
      <c r="AN171" s="96"/>
      <c r="AO171" s="96"/>
      <c r="AP171" s="96"/>
      <c r="AQ171" s="96"/>
      <c r="AR171" s="96"/>
      <c r="AS171" s="96"/>
      <c r="AT171" s="96"/>
      <c r="AU171" s="96"/>
      <c r="AV171" s="96"/>
      <c r="AW171" s="96"/>
      <c r="AX171" s="96"/>
      <c r="AY171" s="96"/>
      <c r="AZ171" s="96"/>
      <c r="BA171" s="96"/>
      <c r="BB171" s="96"/>
      <c r="BC171" s="96"/>
      <c r="BD171" s="96"/>
      <c r="BE171" s="96"/>
      <c r="BF171" s="96"/>
      <c r="BG171" s="96"/>
      <c r="BH171" s="96"/>
      <c r="BI171" s="96"/>
      <c r="BJ171" s="96"/>
      <c r="BK171" s="96"/>
      <c r="BL171" s="96"/>
      <c r="BM171" s="96"/>
      <c r="BN171" s="96"/>
      <c r="BO171" s="96"/>
      <c r="BP171" s="96"/>
      <c r="BQ171" s="96"/>
      <c r="BR171" s="96"/>
      <c r="BS171" s="96"/>
      <c r="BT171" s="96"/>
      <c r="BU171" s="96"/>
      <c r="BV171" s="96"/>
      <c r="BW171" s="96"/>
      <c r="BX171" s="96"/>
      <c r="BY171" s="96"/>
      <c r="BZ171" s="96"/>
      <c r="CA171" s="96"/>
      <c r="CB171" s="96"/>
      <c r="CC171" s="96"/>
      <c r="CD171" s="96"/>
      <c r="CE171" s="96"/>
      <c r="CF171" s="96"/>
      <c r="CG171" s="96"/>
      <c r="CH171" s="96"/>
      <c r="CI171" s="96"/>
      <c r="CJ171" s="96"/>
      <c r="CK171" s="96"/>
      <c r="CL171" s="96"/>
      <c r="CM171" s="96"/>
      <c r="CN171" s="96"/>
      <c r="CR171" s="66"/>
      <c r="CS171" s="66"/>
      <c r="CT171" s="66"/>
      <c r="CU171" s="66"/>
      <c r="CV171" s="66"/>
      <c r="CW171" s="66"/>
    </row>
    <row r="172" spans="1:224">
      <c r="A172" s="521" t="s">
        <v>271</v>
      </c>
      <c r="B172" s="239"/>
      <c r="C172" s="239"/>
      <c r="D172" s="239"/>
      <c r="E172" s="239"/>
      <c r="F172" s="239"/>
      <c r="G172" s="239"/>
      <c r="H172" s="239"/>
      <c r="I172" s="239"/>
      <c r="J172" s="239"/>
      <c r="K172" s="239"/>
      <c r="L172" s="239"/>
      <c r="M172" s="239"/>
      <c r="N172" s="239"/>
      <c r="O172" s="239"/>
      <c r="P172" s="239"/>
      <c r="Q172" s="239"/>
      <c r="R172" s="239"/>
      <c r="S172" s="239"/>
      <c r="T172" s="239"/>
      <c r="U172" s="239"/>
      <c r="V172" s="249"/>
      <c r="W172" s="239"/>
      <c r="X172" s="239"/>
      <c r="Y172" s="239"/>
      <c r="Z172" s="239"/>
      <c r="AA172" s="462"/>
      <c r="AB172" s="462">
        <f t="shared" ref="AB172:AP172" si="311">AB43-AB175</f>
        <v>0</v>
      </c>
      <c r="AC172" s="462">
        <f t="shared" si="311"/>
        <v>0</v>
      </c>
      <c r="AD172" s="462">
        <f t="shared" si="311"/>
        <v>0</v>
      </c>
      <c r="AE172" s="462">
        <f t="shared" si="311"/>
        <v>0</v>
      </c>
      <c r="AF172" s="524">
        <f t="shared" si="311"/>
        <v>0</v>
      </c>
      <c r="AG172" s="462">
        <f t="shared" si="311"/>
        <v>0</v>
      </c>
      <c r="AH172" s="462">
        <f t="shared" si="311"/>
        <v>0</v>
      </c>
      <c r="AI172" s="462">
        <f t="shared" si="311"/>
        <v>0</v>
      </c>
      <c r="AJ172" s="462">
        <f t="shared" si="311"/>
        <v>0</v>
      </c>
      <c r="AK172" s="524">
        <f t="shared" si="311"/>
        <v>0</v>
      </c>
      <c r="AL172" s="462">
        <f t="shared" si="311"/>
        <v>87.533000000000015</v>
      </c>
      <c r="AM172" s="462">
        <f t="shared" si="311"/>
        <v>99.367999999999995</v>
      </c>
      <c r="AN172" s="462">
        <f t="shared" si="311"/>
        <v>81.751999999999995</v>
      </c>
      <c r="AO172" s="462">
        <f t="shared" si="311"/>
        <v>73.216999999999999</v>
      </c>
      <c r="AP172" s="524">
        <f t="shared" si="311"/>
        <v>341.87</v>
      </c>
      <c r="AQ172" s="462">
        <v>69.072000000000003</v>
      </c>
      <c r="AR172" s="462">
        <v>67.277000000000001</v>
      </c>
      <c r="AS172" s="462">
        <v>66.006</v>
      </c>
      <c r="AT172" s="462">
        <v>57.6</v>
      </c>
      <c r="AU172" s="524">
        <f>SUM(AQ172:AT172)</f>
        <v>259.95499999999998</v>
      </c>
      <c r="AV172" s="462">
        <f>AV177-SUM(AV174:AV176)</f>
        <v>69.707000000000008</v>
      </c>
      <c r="AW172" s="462">
        <f>AW177-SUM(AW174:AW176)</f>
        <v>70.778000000000006</v>
      </c>
      <c r="AX172" s="462">
        <f>AX177-SUM(AX174:AX176)</f>
        <v>57.578999999999994</v>
      </c>
      <c r="AY172" s="462">
        <f>AY177-SUM(AY174:AY176)</f>
        <v>52.241</v>
      </c>
      <c r="AZ172" s="524">
        <f>SUM(AV172:AY172)</f>
        <v>250.30500000000001</v>
      </c>
      <c r="BA172" s="462">
        <f>BA177-SUM(BA174:BA176)</f>
        <v>62.300000000000004</v>
      </c>
      <c r="BB172" s="462">
        <f>BB177-SUM(BB174:BB176)</f>
        <v>69.844999999999999</v>
      </c>
      <c r="BC172" s="462">
        <f>BC177-SUM(BC174:BC176)</f>
        <v>68.114000000000004</v>
      </c>
      <c r="BD172" s="462">
        <f>BD177-SUM(BD174:BD176)</f>
        <v>64.72</v>
      </c>
      <c r="BE172" s="524">
        <f>SUM(BA172:BD172)</f>
        <v>264.97900000000004</v>
      </c>
      <c r="BF172" s="462">
        <f>BF177-SUM(BF174:BF176)</f>
        <v>58.881999999999998</v>
      </c>
      <c r="BG172" s="462">
        <f>BG177-SUM(BG174:BG176)</f>
        <v>61.408000000000001</v>
      </c>
      <c r="BH172" s="462">
        <f>BH177-SUM(BH174:BH176)</f>
        <v>54.524000000000001</v>
      </c>
      <c r="BI172" s="462">
        <f>BI177-SUM(BI174:BI176)</f>
        <v>55.830999999999996</v>
      </c>
      <c r="BJ172" s="524">
        <f>SUM(BF172:BI172)</f>
        <v>230.64499999999998</v>
      </c>
      <c r="BK172" s="462">
        <f>BK177-SUM(BK174:BK176)</f>
        <v>54.63</v>
      </c>
      <c r="BL172" s="462">
        <f>BL177-SUM(BL174:BL176)</f>
        <v>53.597000000000001</v>
      </c>
      <c r="BM172" s="462">
        <f>BM177-SUM(BM174:BM176)</f>
        <v>57.141000000000005</v>
      </c>
      <c r="BN172" s="462">
        <f>BN177-SUM(BN174:BN176)</f>
        <v>67.953999999999994</v>
      </c>
      <c r="BO172" s="524">
        <f>SUM(BK172:BN172)</f>
        <v>233.322</v>
      </c>
      <c r="BP172" s="462">
        <f>BP177-SUM(BP174:BP176)</f>
        <v>59.564999999999998</v>
      </c>
      <c r="BQ172" s="462">
        <f>BQ177-SUM(BQ174:BQ176)</f>
        <v>56.28</v>
      </c>
      <c r="BR172" s="462">
        <f>BR177-SUM(BR174:BR176)</f>
        <v>54.603000000000002</v>
      </c>
      <c r="BS172" s="462">
        <f>BS177-SUM(BS174:BS176)</f>
        <v>57.28</v>
      </c>
      <c r="BT172" s="524">
        <f>SUM(BP172:BS172)</f>
        <v>227.72800000000001</v>
      </c>
      <c r="BU172" s="462">
        <f>BU177-SUM(BU174:BU176)</f>
        <v>48.891000000000005</v>
      </c>
      <c r="BV172" s="462">
        <f>BV177-SUM(BV174:BV176)</f>
        <v>43.466999999999999</v>
      </c>
      <c r="BW172" s="462">
        <f>BW177-SUM(BW174:BW176)</f>
        <v>47.975999999999999</v>
      </c>
      <c r="BX172" s="462">
        <f>BX177-SUM(BX174:BX176)</f>
        <v>47.319000000000003</v>
      </c>
      <c r="BY172" s="524">
        <f>SUM(BU172:BX172)</f>
        <v>187.65300000000002</v>
      </c>
      <c r="BZ172" s="462">
        <f>BU172*(1+BZ173)</f>
        <v>44.979720000000007</v>
      </c>
      <c r="CA172" s="462">
        <f>BV172*(1+CA173)</f>
        <v>44.33634</v>
      </c>
      <c r="CB172" s="462">
        <f>BW172*(1+CB173)</f>
        <v>43.178400000000003</v>
      </c>
      <c r="CC172" s="462">
        <f>BX172*(1+CC173)</f>
        <v>42.587100000000007</v>
      </c>
      <c r="CD172" s="524">
        <f>SUM(BZ172:CC172)</f>
        <v>175.08156000000002</v>
      </c>
      <c r="CE172" s="462">
        <f>BZ172*(1+CE173)</f>
        <v>43.180531200000004</v>
      </c>
      <c r="CF172" s="462">
        <f>CA172*(1+CF173)</f>
        <v>42.562886399999996</v>
      </c>
      <c r="CG172" s="462">
        <f>CB172*(1+CG173)</f>
        <v>41.451264000000002</v>
      </c>
      <c r="CH172" s="462">
        <f>CC172*(1+CH173)</f>
        <v>40.883616000000004</v>
      </c>
      <c r="CI172" s="524">
        <f>SUM(CE172:CH172)</f>
        <v>168.07829759999998</v>
      </c>
      <c r="CJ172" s="462">
        <f>CE172*(1+CJ173)</f>
        <v>41.021504640000003</v>
      </c>
      <c r="CK172" s="462">
        <f>CF172*(1+CK173)</f>
        <v>40.434742079999992</v>
      </c>
      <c r="CL172" s="462">
        <f>CG172*(1+CL173)</f>
        <v>39.378700799999997</v>
      </c>
      <c r="CM172" s="462">
        <f>CH172*(1+CM173)</f>
        <v>38.839435200000004</v>
      </c>
      <c r="CN172" s="524">
        <f>SUM(CJ172:CM172)</f>
        <v>159.67438271999998</v>
      </c>
      <c r="CR172" s="66"/>
      <c r="CS172" s="66"/>
      <c r="CT172" s="66"/>
      <c r="CU172" s="66"/>
      <c r="CV172" s="66"/>
      <c r="CW172" s="66"/>
    </row>
    <row r="173" spans="1:224" s="1138" customFormat="1">
      <c r="A173" s="1137" t="s">
        <v>267</v>
      </c>
      <c r="B173" s="195"/>
      <c r="C173" s="195"/>
      <c r="D173" s="195"/>
      <c r="E173" s="195"/>
      <c r="F173" s="195"/>
      <c r="G173" s="195"/>
      <c r="H173" s="195"/>
      <c r="I173" s="195"/>
      <c r="J173" s="195"/>
      <c r="K173" s="195"/>
      <c r="L173" s="195"/>
      <c r="M173" s="195"/>
      <c r="N173" s="195"/>
      <c r="O173" s="195"/>
      <c r="P173" s="195"/>
      <c r="Q173" s="195"/>
      <c r="R173" s="195"/>
      <c r="S173" s="195"/>
      <c r="T173" s="195"/>
      <c r="U173" s="195"/>
      <c r="V173" s="231"/>
      <c r="W173" s="195"/>
      <c r="X173" s="195"/>
      <c r="Y173" s="195"/>
      <c r="Z173" s="195"/>
      <c r="AA173" s="476"/>
      <c r="AB173" s="476"/>
      <c r="AC173" s="476"/>
      <c r="AD173" s="476"/>
      <c r="AE173" s="476"/>
      <c r="AF173" s="407"/>
      <c r="AG173" s="192"/>
      <c r="AH173" s="192"/>
      <c r="AI173" s="192"/>
      <c r="AJ173" s="192"/>
      <c r="AK173" s="193"/>
      <c r="AL173" s="192"/>
      <c r="AM173" s="192"/>
      <c r="AN173" s="192"/>
      <c r="AO173" s="192"/>
      <c r="AP173" s="193"/>
      <c r="AQ173" s="192">
        <f t="shared" ref="AQ173:BG173" si="312">AQ172/AL172-1</f>
        <v>-0.21090331646350535</v>
      </c>
      <c r="AR173" s="192">
        <f t="shared" si="312"/>
        <v>-0.32295105064004503</v>
      </c>
      <c r="AS173" s="192">
        <f t="shared" si="312"/>
        <v>-0.19260690869948127</v>
      </c>
      <c r="AT173" s="192">
        <f t="shared" si="312"/>
        <v>-0.21329745824057256</v>
      </c>
      <c r="AU173" s="193">
        <f t="shared" si="312"/>
        <v>-0.23960862316085063</v>
      </c>
      <c r="AV173" s="192">
        <f t="shared" si="312"/>
        <v>9.1933055362520832E-3</v>
      </c>
      <c r="AW173" s="192">
        <f t="shared" si="312"/>
        <v>5.2038586738409887E-2</v>
      </c>
      <c r="AX173" s="192">
        <f t="shared" si="312"/>
        <v>-0.12767021179892746</v>
      </c>
      <c r="AY173" s="192">
        <f t="shared" si="312"/>
        <v>-9.30381944444445E-2</v>
      </c>
      <c r="AZ173" s="193">
        <f t="shared" si="312"/>
        <v>-3.7121809543959494E-2</v>
      </c>
      <c r="BA173" s="192">
        <f t="shared" si="312"/>
        <v>-0.10625905576197514</v>
      </c>
      <c r="BB173" s="192">
        <f t="shared" si="312"/>
        <v>-1.3182062222724666E-2</v>
      </c>
      <c r="BC173" s="192">
        <f t="shared" si="312"/>
        <v>0.18296601191406614</v>
      </c>
      <c r="BD173" s="192">
        <f t="shared" si="312"/>
        <v>0.23887368159108746</v>
      </c>
      <c r="BE173" s="193">
        <f t="shared" si="312"/>
        <v>5.8624478136673375E-2</v>
      </c>
      <c r="BF173" s="192">
        <f t="shared" si="312"/>
        <v>-5.4863563402889337E-2</v>
      </c>
      <c r="BG173" s="192">
        <f t="shared" si="312"/>
        <v>-0.12079604839286995</v>
      </c>
      <c r="BH173" s="192">
        <f t="shared" ref="BH173:BV173" si="313">BH172/BC172-1</f>
        <v>-0.19951845435593274</v>
      </c>
      <c r="BI173" s="192">
        <f t="shared" si="313"/>
        <v>-0.13734548825710757</v>
      </c>
      <c r="BJ173" s="193">
        <f t="shared" si="313"/>
        <v>-0.1295725321629263</v>
      </c>
      <c r="BK173" s="192">
        <f t="shared" si="313"/>
        <v>-7.2212221052273984E-2</v>
      </c>
      <c r="BL173" s="192">
        <f t="shared" si="313"/>
        <v>-0.12719841063053672</v>
      </c>
      <c r="BM173" s="192">
        <f t="shared" si="313"/>
        <v>4.7997212236813303E-2</v>
      </c>
      <c r="BN173" s="192">
        <f t="shared" si="313"/>
        <v>0.21713743260912399</v>
      </c>
      <c r="BO173" s="193">
        <f t="shared" si="313"/>
        <v>1.1606581543064154E-2</v>
      </c>
      <c r="BP173" s="192">
        <f t="shared" si="313"/>
        <v>9.0334980779791296E-2</v>
      </c>
      <c r="BQ173" s="192">
        <f t="shared" si="313"/>
        <v>5.0058771946190905E-2</v>
      </c>
      <c r="BR173" s="192">
        <f t="shared" si="313"/>
        <v>-4.4416443534414984E-2</v>
      </c>
      <c r="BS173" s="192">
        <f t="shared" si="313"/>
        <v>-0.15707684610177464</v>
      </c>
      <c r="BT173" s="193">
        <f>BT172/BO172-1</f>
        <v>-2.3975450236154328E-2</v>
      </c>
      <c r="BU173" s="192">
        <f t="shared" si="313"/>
        <v>-0.17919919415764274</v>
      </c>
      <c r="BV173" s="192">
        <f t="shared" si="313"/>
        <v>-0.22766524520255871</v>
      </c>
      <c r="BW173" s="192">
        <f>BW172/BR172-1</f>
        <v>-0.12136695785945828</v>
      </c>
      <c r="BX173" s="192">
        <f>BX172/BS172-1</f>
        <v>-0.17390013966480444</v>
      </c>
      <c r="BY173" s="193">
        <f>BY172/BT172-1</f>
        <v>-0.17597748190824136</v>
      </c>
      <c r="BZ173" s="403">
        <v>-0.08</v>
      </c>
      <c r="CA173" s="403">
        <v>0.02</v>
      </c>
      <c r="CB173" s="403">
        <v>-0.1</v>
      </c>
      <c r="CC173" s="403">
        <v>-0.1</v>
      </c>
      <c r="CD173" s="193">
        <f>CD172/BY172-1</f>
        <v>-6.6993013700820114E-2</v>
      </c>
      <c r="CE173" s="403">
        <v>-0.04</v>
      </c>
      <c r="CF173" s="403">
        <v>-0.04</v>
      </c>
      <c r="CG173" s="403">
        <v>-0.04</v>
      </c>
      <c r="CH173" s="403">
        <v>-0.04</v>
      </c>
      <c r="CI173" s="193">
        <f>CI172/CD172-1</f>
        <v>-4.0000000000000258E-2</v>
      </c>
      <c r="CJ173" s="403">
        <v>-0.05</v>
      </c>
      <c r="CK173" s="403">
        <v>-0.05</v>
      </c>
      <c r="CL173" s="403">
        <v>-0.05</v>
      </c>
      <c r="CM173" s="403">
        <v>-0.05</v>
      </c>
      <c r="CN173" s="193">
        <f>CN172/CI172-1</f>
        <v>-5.0000000000000044E-2</v>
      </c>
      <c r="CO173" s="195"/>
      <c r="CP173" s="195"/>
      <c r="CQ173" s="195"/>
      <c r="CR173" s="229"/>
      <c r="CS173" s="229"/>
      <c r="CT173" s="229"/>
      <c r="CU173" s="229"/>
      <c r="CV173" s="229"/>
      <c r="CW173" s="229"/>
      <c r="CX173" s="195"/>
      <c r="CY173" s="195"/>
      <c r="CZ173" s="195"/>
      <c r="DA173" s="195"/>
      <c r="DB173"/>
      <c r="DC173"/>
      <c r="DD173"/>
      <c r="DE173"/>
      <c r="DF173"/>
      <c r="DG173"/>
      <c r="DH173" s="195"/>
      <c r="DI173" s="195"/>
      <c r="DJ173" s="195"/>
      <c r="DK173" s="195"/>
      <c r="DL173" s="195"/>
      <c r="DM173" s="195"/>
      <c r="DN173" s="195"/>
      <c r="DO173" s="195"/>
      <c r="DP173" s="195"/>
      <c r="DQ173" s="195"/>
      <c r="DR173" s="195"/>
      <c r="DS173" s="195"/>
      <c r="DT173" s="195"/>
      <c r="DU173" s="195"/>
      <c r="DV173" s="195"/>
      <c r="DW173" s="195"/>
      <c r="DX173" s="195"/>
      <c r="DY173" s="195"/>
      <c r="DZ173" s="195"/>
      <c r="EA173" s="195"/>
      <c r="EB173" s="195"/>
      <c r="EC173" s="195"/>
      <c r="ED173" s="195"/>
      <c r="EE173" s="195"/>
      <c r="EF173" s="195"/>
      <c r="EG173" s="195"/>
      <c r="EH173" s="195"/>
      <c r="EI173" s="195"/>
      <c r="EJ173" s="195"/>
      <c r="EK173" s="195"/>
      <c r="EL173" s="195"/>
      <c r="EM173" s="195"/>
      <c r="EN173" s="195"/>
      <c r="EO173" s="195"/>
      <c r="EP173" s="195"/>
      <c r="EQ173" s="195"/>
      <c r="ER173" s="195"/>
      <c r="ES173" s="195"/>
      <c r="ET173" s="195"/>
      <c r="EU173" s="195"/>
      <c r="EV173" s="195"/>
      <c r="EW173" s="195"/>
      <c r="EX173" s="195"/>
      <c r="EY173" s="195"/>
      <c r="EZ173" s="195"/>
      <c r="FA173" s="195"/>
      <c r="FB173" s="195"/>
      <c r="FC173" s="195"/>
      <c r="FD173" s="195"/>
      <c r="FE173" s="195"/>
      <c r="FF173" s="195"/>
      <c r="FG173" s="195"/>
      <c r="FH173" s="195"/>
      <c r="FI173" s="195"/>
      <c r="FJ173" s="195"/>
      <c r="FK173" s="195"/>
      <c r="FL173" s="195"/>
      <c r="FM173" s="195"/>
      <c r="FN173" s="195"/>
      <c r="FO173" s="195"/>
      <c r="FP173" s="195"/>
      <c r="FQ173" s="195"/>
      <c r="FR173" s="195"/>
      <c r="FS173" s="195"/>
      <c r="FT173" s="195"/>
      <c r="FU173" s="195"/>
      <c r="FV173" s="195"/>
      <c r="FW173" s="195"/>
      <c r="FX173" s="195"/>
      <c r="FY173" s="195"/>
      <c r="FZ173" s="195"/>
      <c r="GA173" s="195"/>
      <c r="GB173" s="195"/>
      <c r="GC173" s="195"/>
      <c r="GD173" s="195"/>
      <c r="GE173" s="195"/>
      <c r="GF173" s="195"/>
      <c r="GG173" s="195"/>
      <c r="GH173" s="195"/>
      <c r="GI173" s="195"/>
      <c r="GJ173" s="195"/>
      <c r="GK173" s="195"/>
      <c r="GL173" s="195"/>
      <c r="GM173" s="195"/>
      <c r="GN173" s="195"/>
      <c r="GO173" s="195"/>
      <c r="GP173" s="195"/>
      <c r="GQ173" s="195"/>
      <c r="GR173" s="195"/>
      <c r="GS173" s="195"/>
      <c r="GT173" s="195"/>
      <c r="GU173" s="195"/>
      <c r="GV173" s="195"/>
      <c r="GW173" s="195"/>
      <c r="GX173" s="195"/>
      <c r="GY173" s="195"/>
      <c r="GZ173" s="195"/>
      <c r="HA173" s="195"/>
      <c r="HB173" s="195"/>
      <c r="HC173" s="195"/>
      <c r="HD173" s="195"/>
      <c r="HE173" s="195"/>
      <c r="HF173" s="195"/>
      <c r="HG173" s="195"/>
      <c r="HH173" s="195"/>
      <c r="HI173" s="195"/>
      <c r="HJ173" s="195"/>
      <c r="HK173" s="195"/>
      <c r="HL173" s="195"/>
      <c r="HM173" s="195"/>
      <c r="HN173" s="195"/>
      <c r="HO173" s="195"/>
      <c r="HP173" s="195"/>
    </row>
    <row r="174" spans="1:224">
      <c r="A174" s="522" t="s">
        <v>1</v>
      </c>
      <c r="B174" s="45"/>
      <c r="V174" s="89"/>
      <c r="AA174" s="96"/>
      <c r="AB174" s="96"/>
      <c r="AC174" s="96"/>
      <c r="AD174" s="96"/>
      <c r="AE174" s="96"/>
      <c r="AF174" s="99"/>
      <c r="AG174" s="96"/>
      <c r="AH174" s="96"/>
      <c r="AI174" s="96"/>
      <c r="AJ174" s="96"/>
      <c r="AK174" s="99"/>
      <c r="AL174" s="96"/>
      <c r="AM174" s="96"/>
      <c r="AN174" s="96"/>
      <c r="AO174" s="96"/>
      <c r="AP174" s="99">
        <f>'CashFlow '!BY17</f>
        <v>13.704000000000001</v>
      </c>
      <c r="AQ174" s="96">
        <f>'CashFlow '!BZ17</f>
        <v>3.2410000000000001</v>
      </c>
      <c r="AR174" s="96">
        <f>'CashFlow '!CA17</f>
        <v>3.419</v>
      </c>
      <c r="AS174" s="96">
        <f>'CashFlow '!CB17</f>
        <v>7.0960000000000001</v>
      </c>
      <c r="AT174" s="96">
        <f>'CashFlow '!CC17</f>
        <v>3.9319999999999982</v>
      </c>
      <c r="AU174" s="99">
        <f>'CashFlow '!CD17</f>
        <v>17.687999999999999</v>
      </c>
      <c r="AV174" s="96">
        <f>'CashFlow '!CE17</f>
        <v>2.597</v>
      </c>
      <c r="AW174" s="96">
        <f>'CashFlow '!CF17</f>
        <v>2.5669999999999997</v>
      </c>
      <c r="AX174" s="96">
        <f>'CashFlow '!CG17</f>
        <v>3.1660000000000004</v>
      </c>
      <c r="AY174" s="96">
        <f>'CashFlow '!CH17</f>
        <v>3.1430000000000002</v>
      </c>
      <c r="AZ174" s="99">
        <f>'CashFlow '!CI17</f>
        <v>11.473000000000001</v>
      </c>
      <c r="BA174" s="96">
        <f>'CashFlow '!CJ17</f>
        <v>3.01</v>
      </c>
      <c r="BB174" s="96">
        <f>'CashFlow '!CK17</f>
        <v>3.95</v>
      </c>
      <c r="BC174" s="96">
        <f>'CashFlow '!CL17</f>
        <v>4.6040000000000001</v>
      </c>
      <c r="BD174" s="96">
        <f>'CashFlow '!CM17</f>
        <v>8.0489999999999995</v>
      </c>
      <c r="BE174" s="99">
        <f>'CashFlow '!CN17</f>
        <v>19.613</v>
      </c>
      <c r="BF174" s="96">
        <f>'CashFlow '!CO17</f>
        <v>10.584</v>
      </c>
      <c r="BG174" s="96">
        <f>'CashFlow '!CP17</f>
        <v>4.5739999999999998</v>
      </c>
      <c r="BH174" s="96">
        <f>'CashFlow '!CQ17</f>
        <v>10.050000000000001</v>
      </c>
      <c r="BI174" s="96">
        <f>'CashFlow '!CR17</f>
        <v>3.0350000000000001</v>
      </c>
      <c r="BJ174" s="99">
        <f>'CashFlow '!CS17</f>
        <v>28.242999999999999</v>
      </c>
      <c r="BK174" s="96">
        <f>'CashFlow '!CT17</f>
        <v>5.0679999999999996</v>
      </c>
      <c r="BL174" s="96">
        <f>'CashFlow '!CU17</f>
        <v>7.1740000000000013</v>
      </c>
      <c r="BM174" s="96">
        <f>'CashFlow '!CV17</f>
        <v>6.541999999999998</v>
      </c>
      <c r="BN174" s="96">
        <f>'CashFlow '!CW17</f>
        <v>4.4470000000000027</v>
      </c>
      <c r="BO174" s="99">
        <f>SUM(BK174:BN174)</f>
        <v>23.231000000000002</v>
      </c>
      <c r="BP174" s="96">
        <f>'CashFlow '!CY17</f>
        <v>5.0810000000000004</v>
      </c>
      <c r="BQ174" s="96">
        <f>'CashFlow '!CZ17</f>
        <v>4.8440000000000003</v>
      </c>
      <c r="BR174" s="96">
        <f>'CashFlow '!DA17</f>
        <v>4.335</v>
      </c>
      <c r="BS174" s="96">
        <f>'CashFlow '!DB17</f>
        <v>3.8809999999999967</v>
      </c>
      <c r="BT174" s="99">
        <f>SUM(BP174:BS174)</f>
        <v>18.140999999999998</v>
      </c>
      <c r="BU174" s="96">
        <f>'CashFlow '!DD17</f>
        <v>3.5590000000000002</v>
      </c>
      <c r="BV174" s="96">
        <f>'CashFlow '!DE17</f>
        <v>7.8129999999999997</v>
      </c>
      <c r="BW174" s="96">
        <f>'CashFlow '!DF17</f>
        <v>4.9840000000000018</v>
      </c>
      <c r="BX174" s="96">
        <f>'CashFlow '!DG17</f>
        <v>4.5719999999999992</v>
      </c>
      <c r="BY174" s="99">
        <f>SUM(BU174:BX174)</f>
        <v>20.928000000000001</v>
      </c>
      <c r="BZ174" s="274">
        <v>5</v>
      </c>
      <c r="CA174" s="274">
        <v>5</v>
      </c>
      <c r="CB174" s="274">
        <v>5</v>
      </c>
      <c r="CC174" s="274">
        <v>5</v>
      </c>
      <c r="CD174" s="100">
        <f>SUM(BZ174:CC174)</f>
        <v>20</v>
      </c>
      <c r="CE174" s="274">
        <v>5</v>
      </c>
      <c r="CF174" s="274">
        <v>5</v>
      </c>
      <c r="CG174" s="274">
        <v>5</v>
      </c>
      <c r="CH174" s="274">
        <v>5</v>
      </c>
      <c r="CI174" s="100">
        <f>SUM(CE174:CH174)</f>
        <v>20</v>
      </c>
      <c r="CJ174" s="274">
        <v>5</v>
      </c>
      <c r="CK174" s="274">
        <v>5</v>
      </c>
      <c r="CL174" s="274">
        <v>5</v>
      </c>
      <c r="CM174" s="274">
        <v>5</v>
      </c>
      <c r="CN174" s="100">
        <f>SUM(CJ174:CM174)</f>
        <v>20</v>
      </c>
      <c r="CR174" s="117"/>
      <c r="CS174" s="117"/>
      <c r="CT174" s="117"/>
      <c r="CU174" s="117"/>
      <c r="CV174" s="117"/>
      <c r="CW174" s="117"/>
    </row>
    <row r="175" spans="1:224">
      <c r="A175" s="522" t="s">
        <v>272</v>
      </c>
      <c r="B175" s="45"/>
      <c r="V175" s="89"/>
      <c r="AA175" s="96"/>
      <c r="AB175" s="96">
        <v>0</v>
      </c>
      <c r="AC175" s="96">
        <v>0</v>
      </c>
      <c r="AD175" s="96">
        <v>0</v>
      </c>
      <c r="AE175" s="96">
        <v>0</v>
      </c>
      <c r="AF175" s="99">
        <f>SUM(AB175:AE175)</f>
        <v>0</v>
      </c>
      <c r="AG175" s="96">
        <v>0</v>
      </c>
      <c r="AH175" s="96">
        <v>0</v>
      </c>
      <c r="AI175" s="96">
        <v>0</v>
      </c>
      <c r="AJ175" s="96">
        <v>0</v>
      </c>
      <c r="AK175" s="99">
        <f>SUM(AG175:AJ175)</f>
        <v>0</v>
      </c>
      <c r="AL175" s="96">
        <v>0</v>
      </c>
      <c r="AM175" s="96">
        <v>0</v>
      </c>
      <c r="AN175" s="96">
        <v>0</v>
      </c>
      <c r="AO175" s="96">
        <v>0</v>
      </c>
      <c r="AP175" s="99">
        <f>SUM(AL175:AO175)</f>
        <v>0</v>
      </c>
      <c r="AQ175" s="96">
        <v>0</v>
      </c>
      <c r="AR175" s="96">
        <v>0</v>
      </c>
      <c r="AS175" s="96">
        <v>0</v>
      </c>
      <c r="AT175" s="96">
        <v>0</v>
      </c>
      <c r="AU175" s="99">
        <f>SUM(AQ175:AT175)</f>
        <v>0</v>
      </c>
      <c r="AV175" s="96">
        <v>0</v>
      </c>
      <c r="AW175" s="96">
        <v>0</v>
      </c>
      <c r="AX175" s="96">
        <v>0</v>
      </c>
      <c r="AY175" s="96">
        <v>0</v>
      </c>
      <c r="AZ175" s="99">
        <f>SUM(AV175:AY175)</f>
        <v>0</v>
      </c>
      <c r="BA175" s="96">
        <v>0</v>
      </c>
      <c r="BB175" s="96">
        <v>1</v>
      </c>
      <c r="BC175" s="96">
        <v>3.8</v>
      </c>
      <c r="BD175" s="96">
        <f>BE175-SUM(BA175:BC175)</f>
        <v>4.3999999999999995</v>
      </c>
      <c r="BE175" s="99">
        <v>9.1999999999999993</v>
      </c>
      <c r="BF175" s="96">
        <v>0.9</v>
      </c>
      <c r="BG175" s="96">
        <v>1</v>
      </c>
      <c r="BH175" s="96">
        <f>BC175-2.6</f>
        <v>1.1999999999999997</v>
      </c>
      <c r="BI175" s="96">
        <f>BJ175-SUM(BF175:BH175)</f>
        <v>1.2690000000000001</v>
      </c>
      <c r="BJ175" s="99">
        <v>4.3689999999999998</v>
      </c>
      <c r="BK175" s="96">
        <v>0</v>
      </c>
      <c r="BL175" s="96">
        <v>0</v>
      </c>
      <c r="BM175" s="96">
        <v>0</v>
      </c>
      <c r="BN175" s="96">
        <v>0</v>
      </c>
      <c r="BO175" s="99">
        <f>SUM(BK175:BN175)</f>
        <v>0</v>
      </c>
      <c r="BP175" s="96">
        <f>$BT$154/$BO$154*BK175</f>
        <v>0</v>
      </c>
      <c r="BQ175" s="96">
        <f>$BT$154/$BO$154*BL175</f>
        <v>0</v>
      </c>
      <c r="BR175" s="96">
        <f>$BT$154/$BO$154*BM175</f>
        <v>0</v>
      </c>
      <c r="BS175" s="96">
        <f>$BT$154/$BO$154*BN175</f>
        <v>0</v>
      </c>
      <c r="BT175" s="99">
        <f>SUM(BP175:BS175)</f>
        <v>0</v>
      </c>
      <c r="BU175" s="96">
        <f>$BY$154/$BT$154*BP175</f>
        <v>0</v>
      </c>
      <c r="BV175" s="96">
        <f>$BY$154/$BT$154*BQ175</f>
        <v>0</v>
      </c>
      <c r="BW175" s="96">
        <f>$BY$154/$BT$154*BR175</f>
        <v>0</v>
      </c>
      <c r="BX175" s="96">
        <f>$BY$154/$BT$154*BS175</f>
        <v>0</v>
      </c>
      <c r="BY175" s="99">
        <f>SUM(BU175:BX175)</f>
        <v>0</v>
      </c>
      <c r="BZ175" s="1167"/>
      <c r="CA175" s="96"/>
      <c r="CB175" s="96"/>
      <c r="CC175" s="96"/>
      <c r="CD175" s="99">
        <f>SUM(BZ175:CC175)</f>
        <v>0</v>
      </c>
      <c r="CE175" s="96"/>
      <c r="CF175" s="96"/>
      <c r="CG175" s="96"/>
      <c r="CH175" s="96"/>
      <c r="CI175" s="99"/>
      <c r="CJ175" s="96"/>
      <c r="CK175" s="96"/>
      <c r="CL175" s="96"/>
      <c r="CM175" s="96"/>
      <c r="CN175" s="99">
        <f>SUM(CJ175:CM175)</f>
        <v>0</v>
      </c>
      <c r="CR175" s="117"/>
      <c r="CS175" s="117"/>
      <c r="CT175" s="117"/>
      <c r="CU175" s="117"/>
      <c r="CV175" s="117"/>
      <c r="CW175" s="117"/>
    </row>
    <row r="176" spans="1:224" ht="15">
      <c r="A176" s="522" t="s">
        <v>273</v>
      </c>
      <c r="B176" s="45"/>
      <c r="V176" s="89"/>
      <c r="AA176" s="96"/>
      <c r="AB176" s="108"/>
      <c r="AC176" s="108"/>
      <c r="AD176" s="108"/>
      <c r="AE176" s="108"/>
      <c r="AF176" s="103"/>
      <c r="AG176" s="108"/>
      <c r="AH176" s="108"/>
      <c r="AI176" s="108"/>
      <c r="AJ176" s="108"/>
      <c r="AK176" s="103"/>
      <c r="AL176" s="108"/>
      <c r="AM176" s="108"/>
      <c r="AN176" s="108"/>
      <c r="AO176" s="108"/>
      <c r="AP176" s="103"/>
      <c r="AQ176" s="108">
        <f>AQ177-AQ172</f>
        <v>5.6129999999999995</v>
      </c>
      <c r="AR176" s="108">
        <f>AR177-AR172</f>
        <v>7.179000000000002</v>
      </c>
      <c r="AS176" s="108">
        <f>AS177-AS172</f>
        <v>0</v>
      </c>
      <c r="AT176" s="108">
        <f>AT177-AT172</f>
        <v>19.642999999999994</v>
      </c>
      <c r="AU176" s="103">
        <f>SUM(AQ176:AT176)</f>
        <v>32.434999999999995</v>
      </c>
      <c r="AV176" s="108">
        <v>0</v>
      </c>
      <c r="AW176" s="108">
        <v>0</v>
      </c>
      <c r="AX176" s="108">
        <v>11.43</v>
      </c>
      <c r="AY176" s="108">
        <v>14.6</v>
      </c>
      <c r="AZ176" s="103">
        <f>SUM(AV176:AY176)</f>
        <v>26.03</v>
      </c>
      <c r="BA176" s="108">
        <v>0</v>
      </c>
      <c r="BB176" s="108">
        <v>0</v>
      </c>
      <c r="BC176" s="108">
        <v>0</v>
      </c>
      <c r="BD176" s="108">
        <v>0</v>
      </c>
      <c r="BE176" s="103">
        <f>SUM(BA176:BD176)</f>
        <v>0</v>
      </c>
      <c r="BF176" s="108">
        <v>0</v>
      </c>
      <c r="BG176" s="108">
        <v>0</v>
      </c>
      <c r="BH176" s="108">
        <v>0</v>
      </c>
      <c r="BI176" s="108">
        <v>0</v>
      </c>
      <c r="BJ176" s="103">
        <f>SUM(BF176:BI176)</f>
        <v>0</v>
      </c>
      <c r="BK176" s="108">
        <v>0</v>
      </c>
      <c r="BL176" s="108">
        <v>0</v>
      </c>
      <c r="BM176" s="108">
        <v>0</v>
      </c>
      <c r="BN176" s="108">
        <v>0</v>
      </c>
      <c r="BO176" s="103">
        <f>SUM(BK176:BN176)</f>
        <v>0</v>
      </c>
      <c r="BP176" s="108">
        <v>0</v>
      </c>
      <c r="BQ176" s="108">
        <v>0</v>
      </c>
      <c r="BR176" s="108">
        <v>0</v>
      </c>
      <c r="BS176" s="108">
        <v>0</v>
      </c>
      <c r="BT176" s="103">
        <f>SUM(BP176:BS176)</f>
        <v>0</v>
      </c>
      <c r="BU176" s="108">
        <v>0</v>
      </c>
      <c r="BV176" s="108">
        <v>0</v>
      </c>
      <c r="BW176" s="108">
        <v>0</v>
      </c>
      <c r="BX176" s="108">
        <v>0</v>
      </c>
      <c r="BY176" s="103">
        <f>SUM(BU176:BX176)</f>
        <v>0</v>
      </c>
      <c r="BZ176" s="108">
        <v>0</v>
      </c>
      <c r="CA176" s="108">
        <v>0</v>
      </c>
      <c r="CB176" s="108">
        <v>0</v>
      </c>
      <c r="CC176" s="108">
        <v>0</v>
      </c>
      <c r="CD176" s="107">
        <f>SUM(BZ176:CC176)</f>
        <v>0</v>
      </c>
      <c r="CE176" s="108">
        <v>0</v>
      </c>
      <c r="CF176" s="108">
        <v>0</v>
      </c>
      <c r="CG176" s="108">
        <v>0</v>
      </c>
      <c r="CH176" s="108">
        <v>0</v>
      </c>
      <c r="CI176" s="107">
        <f>SUM(CE176:CH176)</f>
        <v>0</v>
      </c>
      <c r="CJ176" s="108">
        <v>0</v>
      </c>
      <c r="CK176" s="108">
        <v>0</v>
      </c>
      <c r="CL176" s="108">
        <v>0</v>
      </c>
      <c r="CM176" s="108">
        <v>0</v>
      </c>
      <c r="CN176" s="107">
        <f>SUM(CJ176:CM176)</f>
        <v>0</v>
      </c>
      <c r="CR176" s="66"/>
      <c r="CS176" s="66"/>
      <c r="CT176" s="66"/>
      <c r="CU176" s="66"/>
      <c r="CV176" s="66"/>
      <c r="CW176" s="66"/>
    </row>
    <row r="177" spans="1:224">
      <c r="A177" s="522" t="s">
        <v>3</v>
      </c>
      <c r="B177" s="45"/>
      <c r="V177" s="89"/>
      <c r="AA177" s="96"/>
      <c r="AB177" s="96">
        <f t="shared" ref="AB177:AP177" si="314">AB172+AB175</f>
        <v>0</v>
      </c>
      <c r="AC177" s="96">
        <f t="shared" si="314"/>
        <v>0</v>
      </c>
      <c r="AD177" s="96">
        <f t="shared" si="314"/>
        <v>0</v>
      </c>
      <c r="AE177" s="96">
        <f t="shared" si="314"/>
        <v>0</v>
      </c>
      <c r="AF177" s="99">
        <f t="shared" si="314"/>
        <v>0</v>
      </c>
      <c r="AG177" s="96">
        <f t="shared" si="314"/>
        <v>0</v>
      </c>
      <c r="AH177" s="96">
        <f t="shared" si="314"/>
        <v>0</v>
      </c>
      <c r="AI177" s="96">
        <f t="shared" si="314"/>
        <v>0</v>
      </c>
      <c r="AJ177" s="96">
        <f t="shared" si="314"/>
        <v>0</v>
      </c>
      <c r="AK177" s="99">
        <f t="shared" si="314"/>
        <v>0</v>
      </c>
      <c r="AL177" s="96">
        <f t="shared" si="314"/>
        <v>87.533000000000015</v>
      </c>
      <c r="AM177" s="96">
        <f t="shared" si="314"/>
        <v>99.367999999999995</v>
      </c>
      <c r="AN177" s="96">
        <f t="shared" si="314"/>
        <v>81.751999999999995</v>
      </c>
      <c r="AO177" s="96">
        <f t="shared" si="314"/>
        <v>73.216999999999999</v>
      </c>
      <c r="AP177" s="99">
        <f t="shared" si="314"/>
        <v>341.87</v>
      </c>
      <c r="AQ177" s="96">
        <f t="shared" ref="AQ177:AY177" si="315">AQ28</f>
        <v>74.685000000000002</v>
      </c>
      <c r="AR177" s="96">
        <f t="shared" si="315"/>
        <v>74.456000000000003</v>
      </c>
      <c r="AS177" s="96">
        <f t="shared" si="315"/>
        <v>66.006</v>
      </c>
      <c r="AT177" s="96">
        <f t="shared" si="315"/>
        <v>77.242999999999995</v>
      </c>
      <c r="AU177" s="99">
        <f t="shared" si="315"/>
        <v>292.39</v>
      </c>
      <c r="AV177" s="96">
        <f t="shared" si="315"/>
        <v>72.304000000000002</v>
      </c>
      <c r="AW177" s="96">
        <f t="shared" si="315"/>
        <v>73.344999999999999</v>
      </c>
      <c r="AX177" s="96">
        <f t="shared" si="315"/>
        <v>72.174999999999997</v>
      </c>
      <c r="AY177" s="96">
        <f t="shared" si="315"/>
        <v>69.983999999999995</v>
      </c>
      <c r="AZ177" s="99">
        <f>AZ172+AZ175</f>
        <v>250.30500000000001</v>
      </c>
      <c r="BA177" s="96">
        <f t="shared" ref="BA177:BS177" si="316">BA28</f>
        <v>65.31</v>
      </c>
      <c r="BB177" s="96">
        <f t="shared" si="316"/>
        <v>74.795000000000002</v>
      </c>
      <c r="BC177" s="96">
        <f t="shared" si="316"/>
        <v>76.518000000000001</v>
      </c>
      <c r="BD177" s="96">
        <f t="shared" si="316"/>
        <v>77.168999999999997</v>
      </c>
      <c r="BE177" s="99">
        <f t="shared" si="316"/>
        <v>293.79200000000003</v>
      </c>
      <c r="BF177" s="96">
        <f t="shared" si="316"/>
        <v>70.366</v>
      </c>
      <c r="BG177" s="96">
        <f t="shared" si="316"/>
        <v>66.981999999999999</v>
      </c>
      <c r="BH177" s="96">
        <f t="shared" si="316"/>
        <v>65.774000000000001</v>
      </c>
      <c r="BI177" s="96">
        <f t="shared" si="316"/>
        <v>60.134999999999998</v>
      </c>
      <c r="BJ177" s="99">
        <f t="shared" si="316"/>
        <v>263.25700000000001</v>
      </c>
      <c r="BK177" s="96">
        <f t="shared" si="316"/>
        <v>59.698</v>
      </c>
      <c r="BL177" s="96">
        <f t="shared" si="316"/>
        <v>60.771000000000001</v>
      </c>
      <c r="BM177" s="96">
        <f t="shared" si="316"/>
        <v>63.683</v>
      </c>
      <c r="BN177" s="143">
        <f t="shared" si="316"/>
        <v>72.400999999999996</v>
      </c>
      <c r="BO177" s="99">
        <f t="shared" si="316"/>
        <v>256.553</v>
      </c>
      <c r="BP177" s="96">
        <f t="shared" si="316"/>
        <v>64.646000000000001</v>
      </c>
      <c r="BQ177" s="96">
        <f t="shared" si="316"/>
        <v>61.124000000000002</v>
      </c>
      <c r="BR177" s="96">
        <f t="shared" si="316"/>
        <v>58.938000000000002</v>
      </c>
      <c r="BS177" s="96">
        <f t="shared" si="316"/>
        <v>61.161000000000001</v>
      </c>
      <c r="BT177" s="99">
        <f t="shared" ref="BT177:CN177" si="317">SUM(BT176,BT174,BT175,BT172)</f>
        <v>245.869</v>
      </c>
      <c r="BU177" s="96">
        <f t="shared" ref="BU177:BX177" si="318">BU28</f>
        <v>52.45</v>
      </c>
      <c r="BV177" s="96">
        <f t="shared" si="318"/>
        <v>51.28</v>
      </c>
      <c r="BW177" s="96">
        <f t="shared" si="318"/>
        <v>52.96</v>
      </c>
      <c r="BX177" s="96">
        <f t="shared" si="318"/>
        <v>51.890999999999998</v>
      </c>
      <c r="BY177" s="99">
        <f t="shared" si="317"/>
        <v>208.58100000000002</v>
      </c>
      <c r="BZ177" s="96">
        <f t="shared" si="317"/>
        <v>49.979720000000007</v>
      </c>
      <c r="CA177" s="96">
        <f t="shared" si="317"/>
        <v>49.33634</v>
      </c>
      <c r="CB177" s="96">
        <f t="shared" si="317"/>
        <v>48.178400000000003</v>
      </c>
      <c r="CC177" s="96">
        <f t="shared" si="317"/>
        <v>47.587100000000007</v>
      </c>
      <c r="CD177" s="99">
        <f t="shared" si="317"/>
        <v>195.08156000000002</v>
      </c>
      <c r="CE177" s="96">
        <f t="shared" si="317"/>
        <v>48.180531200000004</v>
      </c>
      <c r="CF177" s="96">
        <f t="shared" si="317"/>
        <v>47.562886399999996</v>
      </c>
      <c r="CG177" s="96">
        <f t="shared" si="317"/>
        <v>46.451264000000002</v>
      </c>
      <c r="CH177" s="96">
        <f t="shared" si="317"/>
        <v>45.883616000000004</v>
      </c>
      <c r="CI177" s="99">
        <f t="shared" si="317"/>
        <v>188.07829759999998</v>
      </c>
      <c r="CJ177" s="96">
        <f t="shared" si="317"/>
        <v>46.021504640000003</v>
      </c>
      <c r="CK177" s="96">
        <f t="shared" si="317"/>
        <v>45.434742079999992</v>
      </c>
      <c r="CL177" s="96">
        <f t="shared" si="317"/>
        <v>44.378700799999997</v>
      </c>
      <c r="CM177" s="96">
        <f t="shared" si="317"/>
        <v>43.839435200000004</v>
      </c>
      <c r="CN177" s="99">
        <f t="shared" si="317"/>
        <v>179.67438271999998</v>
      </c>
      <c r="CR177" s="66"/>
      <c r="CS177" s="66"/>
      <c r="CT177" s="66"/>
      <c r="CU177" s="66"/>
      <c r="CV177" s="66"/>
      <c r="CW177" s="66"/>
    </row>
    <row r="178" spans="1:224" s="1138" customFormat="1">
      <c r="A178" s="1137" t="s">
        <v>267</v>
      </c>
      <c r="B178" s="195"/>
      <c r="C178" s="195"/>
      <c r="D178" s="195"/>
      <c r="E178" s="195"/>
      <c r="F178" s="195"/>
      <c r="G178" s="195"/>
      <c r="H178" s="195"/>
      <c r="I178" s="195"/>
      <c r="J178" s="195"/>
      <c r="K178" s="195"/>
      <c r="L178" s="195"/>
      <c r="M178" s="195"/>
      <c r="N178" s="195"/>
      <c r="O178" s="195"/>
      <c r="P178" s="195"/>
      <c r="Q178" s="195"/>
      <c r="R178" s="195"/>
      <c r="S178" s="195"/>
      <c r="T178" s="195"/>
      <c r="U178" s="195"/>
      <c r="V178" s="231"/>
      <c r="W178" s="195"/>
      <c r="X178" s="195"/>
      <c r="Y178" s="195"/>
      <c r="Z178" s="195"/>
      <c r="AA178" s="476"/>
      <c r="AB178" s="476"/>
      <c r="AC178" s="476"/>
      <c r="AD178" s="476"/>
      <c r="AE178" s="476"/>
      <c r="AF178" s="407"/>
      <c r="AG178" s="192"/>
      <c r="AH178" s="192"/>
      <c r="AI178" s="192"/>
      <c r="AJ178" s="192"/>
      <c r="AK178" s="193"/>
      <c r="AL178" s="192"/>
      <c r="AM178" s="192"/>
      <c r="AN178" s="192"/>
      <c r="AO178" s="192"/>
      <c r="AP178" s="193"/>
      <c r="AQ178" s="192">
        <f t="shared" ref="AQ178:BL178" si="319">AQ177/AL177-1</f>
        <v>-0.14677892908960066</v>
      </c>
      <c r="AR178" s="192">
        <f t="shared" si="319"/>
        <v>-0.25070445213750903</v>
      </c>
      <c r="AS178" s="192">
        <f t="shared" si="319"/>
        <v>-0.19260690869948127</v>
      </c>
      <c r="AT178" s="192">
        <f t="shared" si="319"/>
        <v>5.4987229741726651E-2</v>
      </c>
      <c r="AU178" s="193">
        <f t="shared" si="319"/>
        <v>-0.14473337818469012</v>
      </c>
      <c r="AV178" s="192">
        <f t="shared" si="319"/>
        <v>-3.1880565039833941E-2</v>
      </c>
      <c r="AW178" s="192">
        <f t="shared" si="319"/>
        <v>-1.4921564413882038E-2</v>
      </c>
      <c r="AX178" s="192">
        <f t="shared" si="319"/>
        <v>9.3461200496924413E-2</v>
      </c>
      <c r="AY178" s="192">
        <f t="shared" si="319"/>
        <v>-9.3976153178928823E-2</v>
      </c>
      <c r="AZ178" s="193">
        <f t="shared" si="319"/>
        <v>-0.14393447108314228</v>
      </c>
      <c r="BA178" s="192">
        <f t="shared" si="319"/>
        <v>-9.673047134321755E-2</v>
      </c>
      <c r="BB178" s="192">
        <f t="shared" si="319"/>
        <v>1.9769582111936801E-2</v>
      </c>
      <c r="BC178" s="192">
        <f t="shared" si="319"/>
        <v>6.0173190162798873E-2</v>
      </c>
      <c r="BD178" s="192">
        <f t="shared" si="319"/>
        <v>0.10266632373113849</v>
      </c>
      <c r="BE178" s="193">
        <f t="shared" si="319"/>
        <v>0.17373604202872506</v>
      </c>
      <c r="BF178" s="192">
        <f t="shared" si="319"/>
        <v>7.741540346041953E-2</v>
      </c>
      <c r="BG178" s="192">
        <f t="shared" si="319"/>
        <v>-0.10445885420148404</v>
      </c>
      <c r="BH178" s="192">
        <f>BH177/BC177-1</f>
        <v>-0.14041140646645234</v>
      </c>
      <c r="BI178" s="192">
        <f t="shared" si="319"/>
        <v>-0.22073630602962324</v>
      </c>
      <c r="BJ178" s="193">
        <f t="shared" si="319"/>
        <v>-0.10393407580873548</v>
      </c>
      <c r="BK178" s="192">
        <f t="shared" si="319"/>
        <v>-0.15160731034874797</v>
      </c>
      <c r="BL178" s="192">
        <f t="shared" si="319"/>
        <v>-9.2726404108566474E-2</v>
      </c>
      <c r="BM178" s="192">
        <f t="shared" ref="BM178:CN178" si="320">BM177/BH177-1</f>
        <v>-3.1790677167269799E-2</v>
      </c>
      <c r="BN178" s="192">
        <f t="shared" si="320"/>
        <v>0.20397439095368752</v>
      </c>
      <c r="BO178" s="193">
        <f t="shared" si="320"/>
        <v>-2.5465609651405319E-2</v>
      </c>
      <c r="BP178" s="192">
        <f t="shared" si="320"/>
        <v>8.288384870514931E-2</v>
      </c>
      <c r="BQ178" s="192">
        <f t="shared" si="320"/>
        <v>5.8086916456863147E-3</v>
      </c>
      <c r="BR178" s="192">
        <f t="shared" si="320"/>
        <v>-7.4509680762526842E-2</v>
      </c>
      <c r="BS178" s="192">
        <f t="shared" si="320"/>
        <v>-0.15524647449620854</v>
      </c>
      <c r="BT178" s="193">
        <f t="shared" si="320"/>
        <v>-4.1644416553304753E-2</v>
      </c>
      <c r="BU178" s="192">
        <f t="shared" si="320"/>
        <v>-0.18865823098103518</v>
      </c>
      <c r="BV178" s="192">
        <f>BV177/BQ177-1</f>
        <v>-0.16104966952424582</v>
      </c>
      <c r="BW178" s="192">
        <f>BW177/BR177-1</f>
        <v>-0.10142861990566365</v>
      </c>
      <c r="BX178" s="192">
        <f>BX177/BS177-1</f>
        <v>-0.15156717516064167</v>
      </c>
      <c r="BY178" s="193">
        <f t="shared" si="320"/>
        <v>-0.15165799673810032</v>
      </c>
      <c r="BZ178" s="192">
        <f t="shared" si="320"/>
        <v>-4.709780743565295E-2</v>
      </c>
      <c r="CA178" s="192">
        <f t="shared" si="320"/>
        <v>-3.7902886115444678E-2</v>
      </c>
      <c r="CB178" s="192">
        <f t="shared" si="320"/>
        <v>-9.0287009063444112E-2</v>
      </c>
      <c r="CC178" s="192">
        <f t="shared" si="320"/>
        <v>-8.2941165134608918E-2</v>
      </c>
      <c r="CD178" s="193">
        <f t="shared" si="320"/>
        <v>-6.4720372421265604E-2</v>
      </c>
      <c r="CE178" s="192">
        <f t="shared" si="320"/>
        <v>-3.5998376941687615E-2</v>
      </c>
      <c r="CF178" s="192">
        <f t="shared" si="320"/>
        <v>-3.5946193009047778E-2</v>
      </c>
      <c r="CG178" s="192">
        <f t="shared" si="320"/>
        <v>-3.5848762100858522E-2</v>
      </c>
      <c r="CH178" s="192">
        <f t="shared" si="320"/>
        <v>-3.5797180328282274E-2</v>
      </c>
      <c r="CI178" s="193">
        <f t="shared" si="320"/>
        <v>-3.5899151103774396E-2</v>
      </c>
      <c r="CJ178" s="192">
        <f t="shared" si="320"/>
        <v>-4.4811182156497265E-2</v>
      </c>
      <c r="CK178" s="192">
        <f t="shared" si="320"/>
        <v>-4.474380091448793E-2</v>
      </c>
      <c r="CL178" s="192">
        <f t="shared" si="320"/>
        <v>-4.4618015130869271E-2</v>
      </c>
      <c r="CM178" s="192">
        <f t="shared" si="320"/>
        <v>-4.4551432040578431E-2</v>
      </c>
      <c r="CN178" s="193">
        <f t="shared" si="320"/>
        <v>-4.4683065442634007E-2</v>
      </c>
      <c r="CO178" s="195"/>
      <c r="CP178" s="195"/>
      <c r="CQ178" s="195"/>
      <c r="CR178" s="229"/>
      <c r="CS178" s="229"/>
      <c r="CT178" s="229"/>
      <c r="CU178" s="229"/>
      <c r="CV178" s="229"/>
      <c r="CW178" s="229"/>
      <c r="CX178" s="195"/>
      <c r="CY178" s="195"/>
      <c r="CZ178" s="195"/>
      <c r="DA178" s="195"/>
      <c r="DB178"/>
      <c r="DC178"/>
      <c r="DD178"/>
      <c r="DE178"/>
      <c r="DF178"/>
      <c r="DG178"/>
      <c r="DH178" s="195"/>
      <c r="DI178" s="195"/>
      <c r="DJ178" s="195"/>
      <c r="DK178" s="195"/>
      <c r="DL178" s="195"/>
      <c r="DM178" s="195"/>
      <c r="DN178" s="195"/>
      <c r="DO178" s="195"/>
      <c r="DP178" s="195"/>
      <c r="DQ178" s="195"/>
      <c r="DR178" s="195"/>
      <c r="DS178" s="195"/>
      <c r="DT178" s="195"/>
      <c r="DU178" s="195"/>
      <c r="DV178" s="195"/>
      <c r="DW178" s="195"/>
      <c r="DX178" s="195"/>
      <c r="DY178" s="195"/>
      <c r="DZ178" s="195"/>
      <c r="EA178" s="195"/>
      <c r="EB178" s="195"/>
      <c r="EC178" s="195"/>
      <c r="ED178" s="195"/>
      <c r="EE178" s="195"/>
      <c r="EF178" s="195"/>
      <c r="EG178" s="195"/>
      <c r="EH178" s="195"/>
      <c r="EI178" s="195"/>
      <c r="EJ178" s="195"/>
      <c r="EK178" s="195"/>
      <c r="EL178" s="195"/>
      <c r="EM178" s="195"/>
      <c r="EN178" s="195"/>
      <c r="EO178" s="195"/>
      <c r="EP178" s="195"/>
      <c r="EQ178" s="195"/>
      <c r="ER178" s="195"/>
      <c r="ES178" s="195"/>
      <c r="ET178" s="195"/>
      <c r="EU178" s="195"/>
      <c r="EV178" s="195"/>
      <c r="EW178" s="195"/>
      <c r="EX178" s="195"/>
      <c r="EY178" s="195"/>
      <c r="EZ178" s="195"/>
      <c r="FA178" s="195"/>
      <c r="FB178" s="195"/>
      <c r="FC178" s="195"/>
      <c r="FD178" s="195"/>
      <c r="FE178" s="195"/>
      <c r="FF178" s="195"/>
      <c r="FG178" s="195"/>
      <c r="FH178" s="195"/>
      <c r="FI178" s="195"/>
      <c r="FJ178" s="195"/>
      <c r="FK178" s="195"/>
      <c r="FL178" s="195"/>
      <c r="FM178" s="195"/>
      <c r="FN178" s="195"/>
      <c r="FO178" s="195"/>
      <c r="FP178" s="195"/>
      <c r="FQ178" s="195"/>
      <c r="FR178" s="195"/>
      <c r="FS178" s="195"/>
      <c r="FT178" s="195"/>
      <c r="FU178" s="195"/>
      <c r="FV178" s="195"/>
      <c r="FW178" s="195"/>
      <c r="FX178" s="195"/>
      <c r="FY178" s="195"/>
      <c r="FZ178" s="195"/>
      <c r="GA178" s="195"/>
      <c r="GB178" s="195"/>
      <c r="GC178" s="195"/>
      <c r="GD178" s="195"/>
      <c r="GE178" s="195"/>
      <c r="GF178" s="195"/>
      <c r="GG178" s="195"/>
      <c r="GH178" s="195"/>
      <c r="GI178" s="195"/>
      <c r="GJ178" s="195"/>
      <c r="GK178" s="195"/>
      <c r="GL178" s="195"/>
      <c r="GM178" s="195"/>
      <c r="GN178" s="195"/>
      <c r="GO178" s="195"/>
      <c r="GP178" s="195"/>
      <c r="GQ178" s="195"/>
      <c r="GR178" s="195"/>
      <c r="GS178" s="195"/>
      <c r="GT178" s="195"/>
      <c r="GU178" s="195"/>
      <c r="GV178" s="195"/>
      <c r="GW178" s="195"/>
      <c r="GX178" s="195"/>
      <c r="GY178" s="195"/>
      <c r="GZ178" s="195"/>
      <c r="HA178" s="195"/>
      <c r="HB178" s="195"/>
      <c r="HC178" s="195"/>
      <c r="HD178" s="195"/>
      <c r="HE178" s="195"/>
      <c r="HF178" s="195"/>
      <c r="HG178" s="195"/>
      <c r="HH178" s="195"/>
      <c r="HI178" s="195"/>
      <c r="HJ178" s="195"/>
      <c r="HK178" s="195"/>
      <c r="HL178" s="195"/>
      <c r="HM178" s="195"/>
      <c r="HN178" s="195"/>
      <c r="HO178" s="195"/>
      <c r="HP178" s="195"/>
    </row>
    <row r="179" spans="1:224">
      <c r="A179" s="522" t="s">
        <v>274</v>
      </c>
      <c r="B179" s="45"/>
      <c r="V179" s="89"/>
      <c r="AA179" s="96"/>
      <c r="AB179" s="96"/>
      <c r="AC179" s="96"/>
      <c r="AD179" s="96"/>
      <c r="AE179" s="96"/>
      <c r="AF179" s="99"/>
      <c r="AG179" s="96"/>
      <c r="AH179" s="96"/>
      <c r="AI179" s="96"/>
      <c r="AJ179" s="96"/>
      <c r="AK179" s="99"/>
      <c r="AL179" s="96"/>
      <c r="AM179" s="96"/>
      <c r="AN179" s="96"/>
      <c r="AO179" s="96"/>
      <c r="AP179" s="99"/>
      <c r="AQ179" s="96"/>
      <c r="AR179" s="96"/>
      <c r="AS179" s="96"/>
      <c r="AT179" s="96"/>
      <c r="AU179" s="99"/>
      <c r="AV179" s="96"/>
      <c r="AW179" s="96"/>
      <c r="AX179" s="96"/>
      <c r="AY179" s="96"/>
      <c r="AZ179" s="99"/>
      <c r="BA179" s="96"/>
      <c r="BB179" s="96">
        <v>0.14117647058823529</v>
      </c>
      <c r="BC179" s="96">
        <v>0.60882352941176465</v>
      </c>
      <c r="BD179" s="96">
        <v>2.6911764705882351</v>
      </c>
      <c r="BE179" s="99">
        <f>SUM(BA179:BD179)</f>
        <v>3.4411764705882351</v>
      </c>
      <c r="BF179" s="96">
        <v>3</v>
      </c>
      <c r="BG179" s="96">
        <v>7.2794117647058822</v>
      </c>
      <c r="BH179" s="96">
        <v>6.8647058823529417</v>
      </c>
      <c r="BI179" s="96">
        <v>5.0911764705882359</v>
      </c>
      <c r="BJ179" s="99">
        <f>SUM(BF179:BI179)</f>
        <v>22.235294117647058</v>
      </c>
      <c r="BK179" s="96">
        <v>5.3222891566265051</v>
      </c>
      <c r="BL179" s="96">
        <v>1.6941176470588228</v>
      </c>
      <c r="BM179" s="96"/>
      <c r="BN179" s="96"/>
      <c r="BO179" s="99">
        <f>SUM(BK179:BN179)</f>
        <v>7.016406803685328</v>
      </c>
      <c r="BP179" s="96">
        <v>0</v>
      </c>
      <c r="BQ179" s="96">
        <v>0</v>
      </c>
      <c r="BR179" s="96">
        <v>0</v>
      </c>
      <c r="BS179" s="96">
        <v>0</v>
      </c>
      <c r="BT179" s="99">
        <f>SUM(BP179:BS179)</f>
        <v>0</v>
      </c>
      <c r="BU179" s="96">
        <v>0</v>
      </c>
      <c r="BV179" s="96">
        <v>0</v>
      </c>
      <c r="BW179" s="96">
        <v>0</v>
      </c>
      <c r="BX179" s="96">
        <v>0</v>
      </c>
      <c r="BY179" s="99">
        <f>SUM(BU179:BX179)</f>
        <v>0</v>
      </c>
      <c r="BZ179" s="96">
        <v>0</v>
      </c>
      <c r="CA179" s="96">
        <v>0</v>
      </c>
      <c r="CB179" s="96">
        <v>0</v>
      </c>
      <c r="CC179" s="96">
        <v>0</v>
      </c>
      <c r="CD179" s="99">
        <f>SUM(BZ179:CC179)</f>
        <v>0</v>
      </c>
      <c r="CE179" s="96">
        <v>0</v>
      </c>
      <c r="CF179" s="96">
        <v>0</v>
      </c>
      <c r="CG179" s="96">
        <v>0</v>
      </c>
      <c r="CH179" s="96">
        <v>0</v>
      </c>
      <c r="CI179" s="99">
        <f>SUM(CE179:CH179)</f>
        <v>0</v>
      </c>
      <c r="CJ179" s="96">
        <v>0</v>
      </c>
      <c r="CK179" s="96">
        <v>0</v>
      </c>
      <c r="CL179" s="96">
        <v>0</v>
      </c>
      <c r="CM179" s="96">
        <v>0</v>
      </c>
      <c r="CN179" s="99">
        <f>SUM(CJ179:CM179)</f>
        <v>0</v>
      </c>
      <c r="CP179" s="96"/>
      <c r="CR179" s="66"/>
      <c r="CS179" s="66"/>
      <c r="CT179" s="66"/>
      <c r="CU179" s="66"/>
      <c r="CV179" s="66"/>
      <c r="CW179" s="66"/>
    </row>
    <row r="180" spans="1:224">
      <c r="A180" s="522" t="s">
        <v>275</v>
      </c>
      <c r="B180" s="45"/>
      <c r="V180" s="89"/>
      <c r="AA180" s="96"/>
      <c r="AB180" s="96"/>
      <c r="AC180" s="96"/>
      <c r="AD180" s="96"/>
      <c r="AE180" s="96"/>
      <c r="AF180" s="99"/>
      <c r="AG180" s="96"/>
      <c r="AH180" s="96"/>
      <c r="AI180" s="96"/>
      <c r="AJ180" s="96"/>
      <c r="AK180" s="99"/>
      <c r="AL180" s="96"/>
      <c r="AM180" s="96"/>
      <c r="AN180" s="96"/>
      <c r="AO180" s="96"/>
      <c r="AP180" s="99"/>
      <c r="AQ180" s="96"/>
      <c r="AR180" s="96"/>
      <c r="AS180" s="96"/>
      <c r="AT180" s="96"/>
      <c r="AU180" s="99"/>
      <c r="AV180" s="96"/>
      <c r="AW180" s="96"/>
      <c r="AX180" s="96"/>
      <c r="AY180" s="96"/>
      <c r="AZ180" s="99"/>
      <c r="BA180" s="96"/>
      <c r="BB180" s="46">
        <f t="shared" ref="BB180:CN180" si="321">(BB172+BB179)/AW172-1</f>
        <v>-1.1187424473872887E-2</v>
      </c>
      <c r="BC180" s="46">
        <f t="shared" si="321"/>
        <v>0.19353971985292873</v>
      </c>
      <c r="BD180" s="46">
        <f t="shared" si="321"/>
        <v>0.29038832469876596</v>
      </c>
      <c r="BE180" s="153">
        <f t="shared" si="321"/>
        <v>7.2372411540273962E-2</v>
      </c>
      <c r="BF180" s="46">
        <f t="shared" si="321"/>
        <v>-6.7094703049760396E-3</v>
      </c>
      <c r="BG180" s="46">
        <f t="shared" si="321"/>
        <v>-1.6573673638687336E-2</v>
      </c>
      <c r="BH180" s="46">
        <f t="shared" si="321"/>
        <v>-9.8735856323913684E-2</v>
      </c>
      <c r="BI180" s="46">
        <f t="shared" si="321"/>
        <v>-5.868083327274054E-2</v>
      </c>
      <c r="BJ180" s="153">
        <f t="shared" si="321"/>
        <v>-4.5659112164937565E-2</v>
      </c>
      <c r="BK180" s="46">
        <f t="shared" si="321"/>
        <v>1.8176847875861935E-2</v>
      </c>
      <c r="BL180" s="46">
        <f t="shared" si="321"/>
        <v>-9.9610512521840389E-2</v>
      </c>
      <c r="BM180" s="46">
        <f t="shared" si="321"/>
        <v>4.7997212236813303E-2</v>
      </c>
      <c r="BN180" s="46">
        <f t="shared" si="321"/>
        <v>0.21713743260912399</v>
      </c>
      <c r="BO180" s="153">
        <f t="shared" si="321"/>
        <v>4.2027387559606E-2</v>
      </c>
      <c r="BP180" s="46">
        <f t="shared" si="321"/>
        <v>9.0334980779791296E-2</v>
      </c>
      <c r="BQ180" s="46">
        <f t="shared" si="321"/>
        <v>5.0058771946190905E-2</v>
      </c>
      <c r="BR180" s="46">
        <f t="shared" si="321"/>
        <v>-4.4416443534414984E-2</v>
      </c>
      <c r="BS180" s="46">
        <f t="shared" si="321"/>
        <v>-0.15707684610177464</v>
      </c>
      <c r="BT180" s="153">
        <f t="shared" si="321"/>
        <v>-2.3975450236154328E-2</v>
      </c>
      <c r="BU180" s="46">
        <f t="shared" si="321"/>
        <v>-0.17919919415764274</v>
      </c>
      <c r="BV180" s="46">
        <f>(BV172+BV179)/BQ172-1</f>
        <v>-0.22766524520255871</v>
      </c>
      <c r="BW180" s="46">
        <f>(BW172+BW179)/BR172-1</f>
        <v>-0.12136695785945828</v>
      </c>
      <c r="BX180" s="46">
        <f t="shared" si="321"/>
        <v>-0.17390013966480444</v>
      </c>
      <c r="BY180" s="153">
        <f t="shared" si="321"/>
        <v>-0.17597748190824136</v>
      </c>
      <c r="BZ180" s="46">
        <f t="shared" si="321"/>
        <v>-7.999999999999996E-2</v>
      </c>
      <c r="CA180" s="46">
        <f t="shared" si="321"/>
        <v>2.0000000000000018E-2</v>
      </c>
      <c r="CB180" s="46">
        <f t="shared" si="321"/>
        <v>-9.9999999999999867E-2</v>
      </c>
      <c r="CC180" s="46">
        <f t="shared" si="321"/>
        <v>-9.9999999999999867E-2</v>
      </c>
      <c r="CD180" s="153">
        <f t="shared" si="321"/>
        <v>-6.6993013700820114E-2</v>
      </c>
      <c r="CE180" s="46">
        <f t="shared" si="321"/>
        <v>-4.0000000000000036E-2</v>
      </c>
      <c r="CF180" s="46">
        <f t="shared" si="321"/>
        <v>-4.0000000000000036E-2</v>
      </c>
      <c r="CG180" s="46">
        <f t="shared" si="321"/>
        <v>-4.0000000000000036E-2</v>
      </c>
      <c r="CH180" s="46">
        <f t="shared" si="321"/>
        <v>-4.0000000000000036E-2</v>
      </c>
      <c r="CI180" s="153">
        <f t="shared" si="321"/>
        <v>-4.0000000000000258E-2</v>
      </c>
      <c r="CJ180" s="46">
        <f t="shared" si="321"/>
        <v>-5.0000000000000044E-2</v>
      </c>
      <c r="CK180" s="46">
        <f t="shared" si="321"/>
        <v>-5.0000000000000155E-2</v>
      </c>
      <c r="CL180" s="46">
        <f t="shared" si="321"/>
        <v>-5.0000000000000155E-2</v>
      </c>
      <c r="CM180" s="46">
        <f t="shared" si="321"/>
        <v>-4.9999999999999933E-2</v>
      </c>
      <c r="CN180" s="153">
        <f t="shared" si="321"/>
        <v>-5.0000000000000044E-2</v>
      </c>
      <c r="CR180" s="66"/>
      <c r="CS180" s="66"/>
      <c r="CT180" s="66"/>
      <c r="CU180" s="66"/>
      <c r="CV180" s="66"/>
      <c r="CW180" s="66"/>
    </row>
    <row r="181" spans="1:224">
      <c r="A181" s="523" t="s">
        <v>270</v>
      </c>
      <c r="B181" s="52"/>
      <c r="C181" s="52"/>
      <c r="D181" s="52"/>
      <c r="E181" s="52"/>
      <c r="F181" s="52"/>
      <c r="G181" s="52"/>
      <c r="H181" s="52"/>
      <c r="I181" s="52"/>
      <c r="J181" s="52"/>
      <c r="K181" s="52"/>
      <c r="L181" s="52"/>
      <c r="M181" s="52"/>
      <c r="N181" s="52"/>
      <c r="O181" s="52"/>
      <c r="P181" s="52"/>
      <c r="Q181" s="52"/>
      <c r="R181" s="52"/>
      <c r="S181" s="52"/>
      <c r="T181" s="52"/>
      <c r="U181" s="52"/>
      <c r="V181" s="184"/>
      <c r="W181" s="52"/>
      <c r="X181" s="52"/>
      <c r="Y181" s="52"/>
      <c r="Z181" s="52"/>
      <c r="AA181" s="1139"/>
      <c r="AB181" s="1139"/>
      <c r="AC181" s="1139"/>
      <c r="AD181" s="1139"/>
      <c r="AE181" s="1139"/>
      <c r="AF181" s="408"/>
      <c r="AG181" s="1139"/>
      <c r="AH181" s="1139"/>
      <c r="AI181" s="1139"/>
      <c r="AJ181" s="1139"/>
      <c r="AK181" s="408"/>
      <c r="AL181" s="1139"/>
      <c r="AM181" s="1139"/>
      <c r="AN181" s="1139"/>
      <c r="AO181" s="1139"/>
      <c r="AP181" s="408"/>
      <c r="AQ181" s="1139"/>
      <c r="AR181" s="1139"/>
      <c r="AS181" s="1139"/>
      <c r="AT181" s="1139"/>
      <c r="AU181" s="408"/>
      <c r="AV181" s="1139"/>
      <c r="AW181" s="1139"/>
      <c r="AX181" s="1139"/>
      <c r="AY181" s="1139"/>
      <c r="AZ181" s="408"/>
      <c r="BA181" s="1139"/>
      <c r="BB181" s="1139"/>
      <c r="BC181" s="1139"/>
      <c r="BD181" s="1139"/>
      <c r="BE181" s="1141">
        <v>0</v>
      </c>
      <c r="BF181" s="1139"/>
      <c r="BG181" s="1139"/>
      <c r="BH181" s="1139"/>
      <c r="BI181" s="1139"/>
      <c r="BJ181" s="1140">
        <v>0</v>
      </c>
      <c r="BK181" s="1139"/>
      <c r="BL181" s="1139"/>
      <c r="BM181" s="1139"/>
      <c r="BN181" s="1139"/>
      <c r="BO181" s="1141">
        <v>0</v>
      </c>
      <c r="BP181" s="1139"/>
      <c r="BQ181" s="1139"/>
      <c r="BR181" s="1139"/>
      <c r="BS181" s="1139"/>
      <c r="BT181" s="1140">
        <v>0</v>
      </c>
      <c r="BU181" s="1139"/>
      <c r="BV181" s="1139"/>
      <c r="BW181" s="1139"/>
      <c r="BX181" s="1139"/>
      <c r="BY181" s="1140">
        <v>0</v>
      </c>
      <c r="BZ181" s="1139"/>
      <c r="CA181" s="1139"/>
      <c r="CB181" s="1139"/>
      <c r="CC181" s="1139"/>
      <c r="CD181" s="1140">
        <v>0</v>
      </c>
      <c r="CE181" s="1139"/>
      <c r="CF181" s="1139"/>
      <c r="CG181" s="1139"/>
      <c r="CH181" s="1139"/>
      <c r="CI181" s="1140">
        <v>0</v>
      </c>
      <c r="CJ181" s="1139"/>
      <c r="CK181" s="1139"/>
      <c r="CL181" s="1139"/>
      <c r="CM181" s="1139"/>
      <c r="CN181" s="1140">
        <v>0</v>
      </c>
      <c r="CR181" s="66"/>
      <c r="CS181" s="66"/>
      <c r="CT181" s="66"/>
      <c r="CU181" s="66"/>
      <c r="CV181" s="66"/>
      <c r="CW181" s="66"/>
    </row>
    <row r="182" spans="1:224">
      <c r="A182" s="522" t="s">
        <v>620</v>
      </c>
      <c r="B182" s="45"/>
      <c r="V182" s="89"/>
      <c r="AA182" s="96"/>
      <c r="AB182" s="96"/>
      <c r="AC182" s="96"/>
      <c r="AD182" s="96"/>
      <c r="AE182" s="96"/>
      <c r="AF182" s="96"/>
      <c r="AG182" s="96"/>
      <c r="AH182" s="96"/>
      <c r="AI182" s="96"/>
      <c r="AJ182" s="96"/>
      <c r="AK182" s="96"/>
      <c r="AL182" s="96"/>
      <c r="AM182" s="96"/>
      <c r="AN182" s="96"/>
      <c r="AO182" s="96"/>
      <c r="AP182" s="96"/>
      <c r="AQ182" s="96"/>
      <c r="AR182" s="96"/>
      <c r="AS182" s="96"/>
      <c r="AT182" s="96"/>
      <c r="AU182" s="96"/>
      <c r="AV182" s="96"/>
      <c r="AW182" s="96"/>
      <c r="AX182" s="96"/>
      <c r="AY182" s="96"/>
      <c r="AZ182" s="96"/>
      <c r="BA182" s="96"/>
      <c r="BB182" s="96"/>
      <c r="BC182" s="96"/>
      <c r="BD182" s="96"/>
      <c r="BE182" s="1205"/>
      <c r="BF182" s="96"/>
      <c r="BG182" s="96"/>
      <c r="BH182" s="96"/>
      <c r="BI182" s="96"/>
      <c r="BJ182" s="528"/>
      <c r="BK182" s="96"/>
      <c r="BL182" s="96"/>
      <c r="BM182" s="96"/>
      <c r="BN182" s="96"/>
      <c r="BO182" s="1205"/>
      <c r="BP182" s="96"/>
      <c r="BQ182" s="96"/>
      <c r="BR182" s="96"/>
      <c r="BS182" s="96"/>
      <c r="BT182" s="528"/>
      <c r="BU182" s="46">
        <v>2.1408932239198798E-2</v>
      </c>
      <c r="BV182" s="46">
        <v>1.9424544093298416E-2</v>
      </c>
      <c r="BW182" s="46">
        <v>2.0172164241639368E-2</v>
      </c>
      <c r="BX182" s="46">
        <v>2.0206775700934577E-2</v>
      </c>
      <c r="BY182" s="46">
        <v>2.0283526516027824E-2</v>
      </c>
      <c r="BZ182" s="46">
        <v>2.0071630282242153E-2</v>
      </c>
      <c r="CA182" s="46">
        <v>1.8421080970349855E-2</v>
      </c>
      <c r="CB182" s="46">
        <v>1.7813218440768722E-2</v>
      </c>
      <c r="CC182" s="46">
        <v>1.7745463406526062E-2</v>
      </c>
      <c r="CD182" s="46">
        <v>1.8483059495583029E-2</v>
      </c>
      <c r="CE182" s="46">
        <v>1.8354785825196025E-2</v>
      </c>
      <c r="CF182" s="46">
        <v>1.6985434509938425E-2</v>
      </c>
      <c r="CG182" s="46">
        <v>1.6408021643099447E-2</v>
      </c>
      <c r="CH182" s="46">
        <v>1.6312951287740449E-2</v>
      </c>
      <c r="CI182" s="46">
        <v>1.6991607369580743E-2</v>
      </c>
      <c r="CJ182" s="46">
        <v>1.6527231468124352E-2</v>
      </c>
      <c r="CK182" s="46">
        <v>1.5412618185507562E-2</v>
      </c>
      <c r="CL182" s="46">
        <v>1.4854803626662055E-2</v>
      </c>
      <c r="CM182" s="46">
        <v>1.4726106000184794E-2</v>
      </c>
      <c r="CN182" s="46">
        <v>1.5360769581981236E-2</v>
      </c>
      <c r="CR182" s="66"/>
      <c r="CS182" s="66"/>
      <c r="CT182" s="66"/>
      <c r="CU182" s="66"/>
      <c r="CV182" s="66"/>
      <c r="CW182" s="66"/>
    </row>
    <row r="183" spans="1:224">
      <c r="A183" s="1206"/>
      <c r="B183" s="41"/>
      <c r="V183" s="89"/>
      <c r="AA183" s="96"/>
      <c r="AB183" s="96"/>
      <c r="AC183" s="96"/>
      <c r="AD183" s="96"/>
      <c r="AE183" s="96"/>
      <c r="AF183" s="96"/>
      <c r="AG183" s="96"/>
      <c r="AH183" s="96"/>
      <c r="AI183" s="96"/>
      <c r="AJ183" s="96"/>
      <c r="AK183" s="96"/>
      <c r="AL183" s="96"/>
      <c r="AM183" s="96"/>
      <c r="AN183" s="96"/>
      <c r="AO183" s="96"/>
      <c r="AP183" s="96"/>
      <c r="AQ183" s="96"/>
      <c r="AR183" s="96"/>
      <c r="AS183" s="96"/>
      <c r="AT183" s="96"/>
      <c r="AU183" s="96"/>
      <c r="AV183" s="96"/>
      <c r="AW183" s="96"/>
      <c r="AX183" s="96"/>
      <c r="AY183" s="96"/>
      <c r="AZ183" s="96"/>
      <c r="BA183" s="46"/>
      <c r="BB183" s="46"/>
      <c r="BC183" s="46"/>
      <c r="BD183" s="96"/>
      <c r="BE183" s="96"/>
      <c r="BF183" s="96"/>
      <c r="BG183" s="96"/>
      <c r="BH183" s="96"/>
      <c r="BI183" s="96"/>
      <c r="BJ183" s="96"/>
      <c r="BK183" s="96"/>
      <c r="BL183" s="96"/>
      <c r="BM183" s="96"/>
      <c r="BN183" s="96"/>
      <c r="BO183" s="96"/>
      <c r="BP183" s="96"/>
      <c r="BQ183" s="96"/>
      <c r="BR183" s="96"/>
      <c r="BS183" s="96"/>
      <c r="BT183" s="96"/>
      <c r="BU183" s="96"/>
      <c r="BV183" s="96"/>
      <c r="BW183" s="96"/>
      <c r="BX183" s="96"/>
      <c r="BY183" s="96"/>
      <c r="BZ183" s="96"/>
      <c r="CA183" s="96"/>
      <c r="CB183" s="96"/>
      <c r="CC183" s="96"/>
      <c r="CD183" s="96"/>
      <c r="CE183" s="96"/>
      <c r="CF183" s="96"/>
      <c r="CG183" s="96"/>
      <c r="CH183" s="96"/>
      <c r="CI183" s="96"/>
      <c r="CJ183" s="96"/>
      <c r="CK183" s="96"/>
      <c r="CL183" s="96"/>
      <c r="CM183" s="96"/>
      <c r="CN183" s="96"/>
      <c r="CR183" s="66"/>
      <c r="CS183" s="66"/>
      <c r="CT183" s="66"/>
      <c r="CU183" s="66"/>
      <c r="CV183" s="66"/>
      <c r="CW183" s="66"/>
    </row>
    <row r="184" spans="1:224">
      <c r="A184" s="520" t="s">
        <v>312</v>
      </c>
      <c r="B184" s="41"/>
      <c r="V184" s="89"/>
      <c r="BF184" s="52"/>
      <c r="CR184" s="66"/>
      <c r="CS184" s="66"/>
      <c r="CT184" s="66"/>
      <c r="CU184" s="66"/>
      <c r="CV184" s="66"/>
      <c r="CW184" s="66"/>
    </row>
    <row r="185" spans="1:224">
      <c r="A185" s="521" t="s">
        <v>313</v>
      </c>
      <c r="B185" s="41"/>
      <c r="V185" s="704">
        <v>0.38</v>
      </c>
      <c r="W185" s="704">
        <f>W313</f>
        <v>0</v>
      </c>
      <c r="X185" s="704">
        <f>X313</f>
        <v>0</v>
      </c>
      <c r="Y185" s="704">
        <f>Y313</f>
        <v>0</v>
      </c>
      <c r="Z185" s="704">
        <f>Z313</f>
        <v>0</v>
      </c>
      <c r="AA185" s="704">
        <v>0.38</v>
      </c>
      <c r="AB185" s="705"/>
      <c r="AC185" s="705"/>
      <c r="AD185" s="390">
        <f>AD95</f>
        <v>2.0071879026242495E-2</v>
      </c>
      <c r="AE185" s="705">
        <f>AE95</f>
        <v>0.18343770376840826</v>
      </c>
      <c r="AF185" s="704">
        <v>0.38</v>
      </c>
      <c r="AG185" s="705">
        <f>AG95</f>
        <v>0.30566325557744806</v>
      </c>
      <c r="AH185" s="705">
        <f>AH95</f>
        <v>0.36470287103792576</v>
      </c>
      <c r="AI185" s="705">
        <f>AI95</f>
        <v>0.36372151108335926</v>
      </c>
      <c r="AJ185" s="705">
        <f>AJ95</f>
        <v>0.22</v>
      </c>
      <c r="AK185" s="704">
        <v>0.38</v>
      </c>
      <c r="AL185" s="390">
        <f>AL95</f>
        <v>0.60173363008082248</v>
      </c>
      <c r="AM185" s="705">
        <f>AM95</f>
        <v>0.42104128489813508</v>
      </c>
      <c r="AN185" s="948">
        <v>0.38</v>
      </c>
      <c r="AO185" s="705">
        <f>AO95</f>
        <v>0.42879898056705751</v>
      </c>
      <c r="AP185" s="704">
        <v>0.38</v>
      </c>
      <c r="AQ185" s="705">
        <f>AQ95</f>
        <v>0.84883720930235773</v>
      </c>
      <c r="AR185" s="705">
        <f>AR95</f>
        <v>0.42127681152071</v>
      </c>
      <c r="AS185" s="705">
        <f>AS95</f>
        <v>0.40974477958237854</v>
      </c>
      <c r="AT185" s="705">
        <v>0.41</v>
      </c>
      <c r="AU185" s="704">
        <f>AU95</f>
        <v>0.26480610092487811</v>
      </c>
      <c r="AV185" s="705">
        <f>AV95</f>
        <v>0.31916473317865196</v>
      </c>
      <c r="AW185" s="705">
        <f>AW95</f>
        <v>0.61224057602710069</v>
      </c>
      <c r="AX185" s="705">
        <f>AX95</f>
        <v>0.32183674506019111</v>
      </c>
      <c r="AY185" s="705"/>
      <c r="AZ185" s="704">
        <v>0.39500000000000002</v>
      </c>
      <c r="BA185" s="705"/>
      <c r="BB185" s="705">
        <f>BB95</f>
        <v>0.29624201207715367</v>
      </c>
      <c r="BC185" s="705">
        <v>0.28999999999999998</v>
      </c>
      <c r="BD185" s="705">
        <f t="shared" ref="BD185:CN185" si="322">BD95</f>
        <v>0.12352840812148175</v>
      </c>
      <c r="BE185" s="978">
        <f t="shared" si="322"/>
        <v>0.23964241572557837</v>
      </c>
      <c r="BF185" s="707">
        <f t="shared" si="322"/>
        <v>0.39507205100401077</v>
      </c>
      <c r="BG185" s="705">
        <f t="shared" si="322"/>
        <v>0.43764176731742233</v>
      </c>
      <c r="BH185" s="705">
        <f t="shared" si="322"/>
        <v>0.33034142907426967</v>
      </c>
      <c r="BI185" s="705">
        <f t="shared" si="322"/>
        <v>0.40352853814047535</v>
      </c>
      <c r="BJ185" s="704">
        <f t="shared" si="322"/>
        <v>0.39655377951739063</v>
      </c>
      <c r="BK185" s="705">
        <f t="shared" si="322"/>
        <v>0.28562994450348334</v>
      </c>
      <c r="BL185" s="705">
        <f t="shared" si="322"/>
        <v>0.3806755812793135</v>
      </c>
      <c r="BM185" s="390">
        <f t="shared" si="322"/>
        <v>0.70501506290979921</v>
      </c>
      <c r="BN185" s="705">
        <f t="shared" si="322"/>
        <v>0.3684679038897038</v>
      </c>
      <c r="BO185" s="704">
        <f t="shared" si="322"/>
        <v>0.4021725665417914</v>
      </c>
      <c r="BP185" s="705">
        <f t="shared" si="322"/>
        <v>0.29511978211327883</v>
      </c>
      <c r="BQ185" s="705">
        <f t="shared" si="322"/>
        <v>0.28971862342748345</v>
      </c>
      <c r="BR185" s="705">
        <f t="shared" si="322"/>
        <v>0.37203776250722514</v>
      </c>
      <c r="BS185" s="705">
        <f t="shared" si="322"/>
        <v>0.42872397223705289</v>
      </c>
      <c r="BT185" s="704">
        <f t="shared" si="322"/>
        <v>0.35731249597152098</v>
      </c>
      <c r="BU185" s="390">
        <f t="shared" si="322"/>
        <v>0.30475508806871277</v>
      </c>
      <c r="BV185" s="705">
        <v>0.37</v>
      </c>
      <c r="BW185" s="390">
        <f t="shared" si="322"/>
        <v>0.54818570749485052</v>
      </c>
      <c r="BX185" s="390">
        <v>0.37</v>
      </c>
      <c r="BY185" s="388">
        <f>AVERAGE(BU185:BX185)</f>
        <v>0.39823519889089087</v>
      </c>
      <c r="BZ185" s="705">
        <f t="shared" si="322"/>
        <v>0.24</v>
      </c>
      <c r="CA185" s="705">
        <f t="shared" si="322"/>
        <v>0.24</v>
      </c>
      <c r="CB185" s="705">
        <f t="shared" si="322"/>
        <v>0.24</v>
      </c>
      <c r="CC185" s="705">
        <f t="shared" si="322"/>
        <v>0.24</v>
      </c>
      <c r="CD185" s="704">
        <f t="shared" si="322"/>
        <v>0.23999999999999977</v>
      </c>
      <c r="CE185" s="705">
        <f t="shared" si="322"/>
        <v>0.24</v>
      </c>
      <c r="CF185" s="705">
        <f t="shared" si="322"/>
        <v>0.24</v>
      </c>
      <c r="CG185" s="705">
        <f t="shared" si="322"/>
        <v>0.24</v>
      </c>
      <c r="CH185" s="705">
        <f t="shared" si="322"/>
        <v>0.24</v>
      </c>
      <c r="CI185" s="704">
        <f t="shared" si="322"/>
        <v>0.23999999999999985</v>
      </c>
      <c r="CJ185" s="705">
        <f t="shared" si="322"/>
        <v>0.24</v>
      </c>
      <c r="CK185" s="705">
        <f t="shared" si="322"/>
        <v>0.24</v>
      </c>
      <c r="CL185" s="705">
        <f t="shared" si="322"/>
        <v>0.24</v>
      </c>
      <c r="CM185" s="705">
        <f t="shared" si="322"/>
        <v>0.24</v>
      </c>
      <c r="CN185" s="704">
        <f t="shared" si="322"/>
        <v>0.23999999999999991</v>
      </c>
      <c r="CR185" s="66"/>
      <c r="CS185" s="66"/>
      <c r="CT185" s="66"/>
      <c r="CU185" s="66"/>
      <c r="CV185" s="66"/>
      <c r="CW185" s="66"/>
    </row>
    <row r="186" spans="1:224">
      <c r="A186" s="522" t="s">
        <v>314</v>
      </c>
      <c r="B186" s="41"/>
      <c r="V186" s="89"/>
      <c r="AA186" s="706"/>
      <c r="AB186" s="707"/>
      <c r="AC186" s="707"/>
      <c r="AD186" s="46"/>
      <c r="AE186" s="707"/>
      <c r="AF186" s="706"/>
      <c r="AG186" s="707"/>
      <c r="AH186" s="707"/>
      <c r="AI186" s="707"/>
      <c r="AJ186" s="707"/>
      <c r="AK186" s="706"/>
      <c r="AL186" s="46"/>
      <c r="AM186" s="707"/>
      <c r="AN186" s="707"/>
      <c r="AO186" s="707"/>
      <c r="AP186" s="706"/>
      <c r="AQ186" s="707"/>
      <c r="AR186" s="707"/>
      <c r="AS186" s="707"/>
      <c r="AT186" s="707"/>
      <c r="AU186" s="706"/>
      <c r="AV186" s="707"/>
      <c r="AW186" s="707"/>
      <c r="AX186" s="707"/>
      <c r="AY186" s="707"/>
      <c r="AZ186" s="706"/>
      <c r="BA186" s="707"/>
      <c r="BB186" s="707"/>
      <c r="BC186" s="707"/>
      <c r="BD186" s="707"/>
      <c r="BE186" s="979"/>
      <c r="BF186" s="707"/>
      <c r="BG186" s="707"/>
      <c r="BH186" s="707"/>
      <c r="BI186" s="707"/>
      <c r="BJ186" s="706"/>
      <c r="BK186" s="707"/>
      <c r="BL186" s="707"/>
      <c r="BM186" s="46"/>
      <c r="BN186" s="707"/>
      <c r="BO186" s="706"/>
      <c r="BP186" s="707"/>
      <c r="BQ186" s="707"/>
      <c r="BR186" s="707"/>
      <c r="BS186" s="707"/>
      <c r="BT186" s="706"/>
      <c r="BU186" s="46"/>
      <c r="BV186" s="707"/>
      <c r="BW186" s="46"/>
      <c r="BX186" s="46"/>
      <c r="BY186" s="153"/>
      <c r="BZ186" s="707"/>
      <c r="CA186" s="707"/>
      <c r="CB186" s="707"/>
      <c r="CC186" s="707"/>
      <c r="CD186" s="706"/>
      <c r="CE186" s="707"/>
      <c r="CF186" s="707"/>
      <c r="CG186" s="707"/>
      <c r="CH186" s="707"/>
      <c r="CI186" s="706"/>
      <c r="CJ186" s="707"/>
      <c r="CK186" s="707"/>
      <c r="CL186" s="707"/>
      <c r="CM186" s="707"/>
      <c r="CN186" s="706"/>
      <c r="CR186" s="66"/>
      <c r="CS186" s="66"/>
      <c r="CT186" s="66"/>
      <c r="CU186" s="66"/>
      <c r="CV186" s="66"/>
      <c r="CW186" s="66"/>
    </row>
    <row r="187" spans="1:224">
      <c r="A187" s="522" t="s">
        <v>315</v>
      </c>
      <c r="B187" s="41"/>
      <c r="V187" s="89"/>
      <c r="AA187" s="706"/>
      <c r="AF187" s="706"/>
      <c r="AK187" s="706"/>
      <c r="AP187" s="706"/>
      <c r="AU187" s="706"/>
      <c r="AZ187" s="706"/>
      <c r="BE187" s="979"/>
      <c r="BJ187" s="706"/>
      <c r="BO187" s="706"/>
      <c r="BT187" s="706"/>
      <c r="BY187" s="153"/>
      <c r="CD187" s="706"/>
      <c r="CI187" s="706"/>
      <c r="CN187" s="706"/>
      <c r="CR187" s="66"/>
      <c r="CS187" s="66"/>
      <c r="CT187" s="66"/>
      <c r="CU187" s="66"/>
      <c r="CV187" s="66"/>
      <c r="CW187" s="66"/>
    </row>
    <row r="188" spans="1:224">
      <c r="A188" s="522" t="s">
        <v>316</v>
      </c>
      <c r="B188" s="41"/>
      <c r="V188" s="89"/>
      <c r="AA188" s="706"/>
      <c r="AF188" s="706"/>
      <c r="AK188" s="706"/>
      <c r="AP188" s="706"/>
      <c r="AU188" s="706"/>
      <c r="AZ188" s="706"/>
      <c r="BE188" s="979"/>
      <c r="BJ188" s="706"/>
      <c r="BO188" s="706"/>
      <c r="BT188" s="706"/>
      <c r="BY188" s="153"/>
      <c r="CD188" s="706"/>
      <c r="CI188" s="706"/>
      <c r="CN188" s="706"/>
      <c r="CR188" s="66"/>
      <c r="CS188" s="66"/>
      <c r="CT188" s="66"/>
      <c r="CU188" s="66"/>
      <c r="CV188" s="66"/>
      <c r="CW188" s="66"/>
    </row>
    <row r="189" spans="1:224">
      <c r="A189" s="523" t="s">
        <v>317</v>
      </c>
      <c r="B189" s="41"/>
      <c r="V189" s="89"/>
      <c r="AA189" s="708"/>
      <c r="AB189" s="172"/>
      <c r="AC189" s="172"/>
      <c r="AD189" s="172"/>
      <c r="AE189" s="172"/>
      <c r="AF189" s="708"/>
      <c r="AG189" s="172"/>
      <c r="AH189" s="172"/>
      <c r="AI189" s="172"/>
      <c r="AJ189" s="172"/>
      <c r="AK189" s="708"/>
      <c r="AL189" s="172"/>
      <c r="AM189" s="172"/>
      <c r="AN189" s="172"/>
      <c r="AO189" s="172"/>
      <c r="AP189" s="708"/>
      <c r="AQ189" s="172"/>
      <c r="AR189" s="172"/>
      <c r="AS189" s="172"/>
      <c r="AT189" s="172"/>
      <c r="AU189" s="708"/>
      <c r="AV189" s="172"/>
      <c r="AW189" s="172"/>
      <c r="AX189" s="172"/>
      <c r="AY189" s="172"/>
      <c r="AZ189" s="708"/>
      <c r="BA189" s="172"/>
      <c r="BB189" s="172"/>
      <c r="BC189" s="172"/>
      <c r="BD189" s="172"/>
      <c r="BE189" s="980"/>
      <c r="BF189" s="172"/>
      <c r="BG189" s="172"/>
      <c r="BH189" s="172"/>
      <c r="BI189" s="172"/>
      <c r="BJ189" s="708"/>
      <c r="BK189" s="172"/>
      <c r="BL189" s="172"/>
      <c r="BM189" s="172"/>
      <c r="BN189" s="172"/>
      <c r="BO189" s="708"/>
      <c r="BP189" s="172"/>
      <c r="BQ189" s="172"/>
      <c r="BR189" s="172"/>
      <c r="BS189" s="172"/>
      <c r="BT189" s="708"/>
      <c r="BU189" s="172"/>
      <c r="BV189" s="172"/>
      <c r="BW189" s="172"/>
      <c r="BX189" s="172"/>
      <c r="BY189" s="170"/>
      <c r="BZ189" s="172"/>
      <c r="CA189" s="172"/>
      <c r="CB189" s="172"/>
      <c r="CC189" s="172"/>
      <c r="CD189" s="708"/>
      <c r="CE189" s="172"/>
      <c r="CF189" s="172"/>
      <c r="CG189" s="172"/>
      <c r="CH189" s="172"/>
      <c r="CI189" s="708"/>
      <c r="CJ189" s="172"/>
      <c r="CK189" s="172"/>
      <c r="CL189" s="172"/>
      <c r="CM189" s="172"/>
      <c r="CN189" s="708"/>
      <c r="CR189" s="66"/>
      <c r="CS189" s="66"/>
      <c r="CT189" s="66"/>
      <c r="CU189" s="66"/>
      <c r="CV189" s="66"/>
      <c r="CW189" s="66"/>
    </row>
    <row r="190" spans="1:224">
      <c r="A190" s="41"/>
      <c r="B190" s="41"/>
      <c r="V190" s="89"/>
      <c r="BE190" s="250"/>
      <c r="CR190" s="66"/>
      <c r="CS190" s="66"/>
      <c r="CT190" s="66"/>
      <c r="CU190" s="66"/>
      <c r="CV190" s="66"/>
      <c r="CW190" s="66"/>
    </row>
    <row r="191" spans="1:224">
      <c r="A191" s="49" t="s">
        <v>211</v>
      </c>
      <c r="B191" s="41"/>
      <c r="V191" s="89"/>
      <c r="AA191" s="202"/>
      <c r="AW191" s="72"/>
      <c r="AZ191" s="96"/>
      <c r="BE191" s="417"/>
      <c r="CR191" s="66"/>
      <c r="CS191" s="66"/>
      <c r="CT191" s="66"/>
      <c r="CU191" s="66"/>
      <c r="CV191" s="66"/>
      <c r="CW191" s="66"/>
    </row>
    <row r="192" spans="1:224">
      <c r="A192" s="43" t="s">
        <v>234</v>
      </c>
      <c r="B192" s="41"/>
      <c r="V192" s="89"/>
      <c r="AA192" s="524"/>
      <c r="AB192" s="392">
        <f>AB44</f>
        <v>24.536000000000001</v>
      </c>
      <c r="AC192" s="392">
        <f>AC44</f>
        <v>24.913</v>
      </c>
      <c r="AD192" s="392">
        <f>AD44</f>
        <v>24.974</v>
      </c>
      <c r="AE192" s="392">
        <f>AE44</f>
        <v>25.989000000000001</v>
      </c>
      <c r="AF192" s="524">
        <f>SUM(AB192:AE192)</f>
        <v>100.41200000000001</v>
      </c>
      <c r="AG192" s="392">
        <f>AG44</f>
        <v>22.149000000000001</v>
      </c>
      <c r="AH192" s="392">
        <f>AH44</f>
        <v>31.065000000000001</v>
      </c>
      <c r="AI192" s="392">
        <f>AI44</f>
        <v>36.457000000000001</v>
      </c>
      <c r="AJ192" s="392">
        <f>AJ44</f>
        <v>37.036999999999999</v>
      </c>
      <c r="AK192" s="524">
        <f>SUM(AG192:AJ192)</f>
        <v>126.708</v>
      </c>
      <c r="AL192" s="392">
        <f>AL44</f>
        <v>36.277999999999999</v>
      </c>
      <c r="AM192" s="392">
        <f>AM44</f>
        <v>34.389000000000003</v>
      </c>
      <c r="AN192" s="392">
        <f>AN44</f>
        <v>33.868000000000002</v>
      </c>
      <c r="AO192" s="392">
        <f>AO44</f>
        <v>32.694000000000003</v>
      </c>
      <c r="AP192" s="524">
        <f>SUM(AL192:AO192)</f>
        <v>137.22899999999998</v>
      </c>
      <c r="AQ192" s="392">
        <f>AQ44</f>
        <v>29.442</v>
      </c>
      <c r="AR192" s="392">
        <f>AR44</f>
        <v>28.088999999999999</v>
      </c>
      <c r="AS192" s="392">
        <f>AS44</f>
        <v>28.384</v>
      </c>
      <c r="AT192" s="392">
        <f>AT44</f>
        <v>28.195</v>
      </c>
      <c r="AU192" s="524">
        <f>SUM(AQ192:AT192)</f>
        <v>114.10999999999999</v>
      </c>
      <c r="AV192" s="392">
        <f>AV44</f>
        <v>28.234999999999999</v>
      </c>
      <c r="AW192" s="392">
        <f>AW44</f>
        <v>28.001999999999999</v>
      </c>
      <c r="AX192" s="392">
        <f>AX44</f>
        <v>21.565999999999999</v>
      </c>
      <c r="AY192" s="392">
        <f>AY44</f>
        <v>20.800999999999998</v>
      </c>
      <c r="AZ192" s="524">
        <f>SUM(AV192:AY192)</f>
        <v>98.603999999999999</v>
      </c>
      <c r="BA192" s="392">
        <f>BA44</f>
        <v>20.963999999999999</v>
      </c>
      <c r="BB192" s="392">
        <f>BB44</f>
        <v>18.963999999999999</v>
      </c>
      <c r="BC192" s="392">
        <f>BC44</f>
        <v>15.62</v>
      </c>
      <c r="BD192" s="392">
        <f>BD44</f>
        <v>13.464</v>
      </c>
      <c r="BE192" s="981">
        <f>SUM(BA192:BD192)</f>
        <v>69.012</v>
      </c>
      <c r="BF192" s="392">
        <f>BF44</f>
        <v>12.994</v>
      </c>
      <c r="BG192" s="392">
        <f>BG44</f>
        <v>13.13</v>
      </c>
      <c r="BH192" s="392">
        <f>BH44</f>
        <v>13.204000000000001</v>
      </c>
      <c r="BI192" s="392">
        <f>((AVERAGE(('Balance Sheet '!CQ39+'Balance Sheet '!CQ33),('Balance Sheet '!CR39+'Balance Sheet '!CR33))*BI193)*(13/52))</f>
        <v>13.387959749999998</v>
      </c>
      <c r="BJ192" s="524">
        <f>SUM(BF192:BI192)</f>
        <v>52.715959750000003</v>
      </c>
      <c r="BK192" s="392">
        <f t="shared" ref="BK192:BN192" si="323">BK44</f>
        <v>12.743</v>
      </c>
      <c r="BL192" s="392">
        <f t="shared" si="323"/>
        <v>17.201000000000001</v>
      </c>
      <c r="BM192" s="392">
        <f t="shared" si="323"/>
        <v>27.937999999999999</v>
      </c>
      <c r="BN192" s="392">
        <f t="shared" si="323"/>
        <v>28.184999999999999</v>
      </c>
      <c r="BO192" s="524">
        <f>SUM(BK192:BN192)</f>
        <v>86.067000000000007</v>
      </c>
      <c r="BP192" s="392">
        <f>BP44</f>
        <v>28.109000000000002</v>
      </c>
      <c r="BQ192" s="392">
        <f t="shared" ref="BQ192:BS192" si="324">BQ44</f>
        <v>28.643000000000001</v>
      </c>
      <c r="BR192" s="392">
        <f t="shared" si="324"/>
        <v>28.731000000000002</v>
      </c>
      <c r="BS192" s="392">
        <f t="shared" si="324"/>
        <v>29.318999999999999</v>
      </c>
      <c r="BT192" s="524">
        <f>SUM(BP192:BS192)</f>
        <v>114.80200000000001</v>
      </c>
      <c r="BU192" s="392">
        <f>BU44</f>
        <v>28.975000000000001</v>
      </c>
      <c r="BV192" s="392">
        <f t="shared" ref="BV192:BX192" si="325">BV44</f>
        <v>28.934999999999999</v>
      </c>
      <c r="BW192" s="392">
        <f t="shared" si="325"/>
        <v>29.977</v>
      </c>
      <c r="BX192" s="392">
        <f t="shared" si="325"/>
        <v>30.172000000000001</v>
      </c>
      <c r="BY192" s="524">
        <f>SUM(BU192:BX192)</f>
        <v>118.059</v>
      </c>
      <c r="BZ192" s="392">
        <f>((AVERAGE(('Balance Sheet '!DH39+'Balance Sheet '!DH33),('Balance Sheet '!DI39+'Balance Sheet '!DI33))*BZ193)*(13/52))</f>
        <v>29.954121749999999</v>
      </c>
      <c r="CA192" s="392">
        <f>((AVERAGE(('Balance Sheet '!DI39+'Balance Sheet '!DI33),('Balance Sheet '!DJ39+'Balance Sheet '!DJ33))*CA193)*(13/52))</f>
        <v>29.954121749999999</v>
      </c>
      <c r="CB192" s="392">
        <f>((AVERAGE(('Balance Sheet '!DJ39+'Balance Sheet '!DJ33),('Balance Sheet '!DK39+'Balance Sheet '!DK33))*CB193)*(13/52))</f>
        <v>29.954121749999999</v>
      </c>
      <c r="CC192" s="392">
        <f>((AVERAGE(('Balance Sheet '!DK39+'Balance Sheet '!DK33),('Balance Sheet '!DL39+'Balance Sheet '!DL33))*CC193)*(13/52))</f>
        <v>29.954121749999999</v>
      </c>
      <c r="CD192" s="524">
        <f>SUM(BZ192:CC192)</f>
        <v>119.816487</v>
      </c>
      <c r="CE192" s="392">
        <f>((AVERAGE(('Balance Sheet '!DM39+'Balance Sheet '!DM33),('Balance Sheet '!DN39+'Balance Sheet '!DN33))*CE193)*(13/52))</f>
        <v>29.954121749999999</v>
      </c>
      <c r="CF192" s="392">
        <f>((AVERAGE(('Balance Sheet '!DN39+'Balance Sheet '!DN33),('Balance Sheet '!DO39+'Balance Sheet '!DO33))*CF193)*(13/52))</f>
        <v>29.954121749999999</v>
      </c>
      <c r="CG192" s="392">
        <f>((AVERAGE(('Balance Sheet '!DO39+'Balance Sheet '!DO33),('Balance Sheet '!DP39+'Balance Sheet '!DP33))*CG193)*(13/52))</f>
        <v>29.954121749999999</v>
      </c>
      <c r="CH192" s="392">
        <f>((AVERAGE(('Balance Sheet '!DP39+'Balance Sheet '!DP33),('Balance Sheet '!DQ39+'Balance Sheet '!DQ33))*CH193)*(13/52))</f>
        <v>29.954121749999999</v>
      </c>
      <c r="CI192" s="524">
        <f>SUM(CE192:CH192)</f>
        <v>119.816487</v>
      </c>
      <c r="CJ192" s="392">
        <f>((AVERAGE(('Balance Sheet '!DR39+'Balance Sheet '!DR33),('Balance Sheet '!DS39+'Balance Sheet '!DS33))*CJ193)*(13/52))</f>
        <v>29.954121749999999</v>
      </c>
      <c r="CK192" s="392">
        <f>((AVERAGE(('Balance Sheet '!DS39+'Balance Sheet '!DS33),('Balance Sheet '!DT39+'Balance Sheet '!DT33))*CK193)*(13/52))</f>
        <v>29.954121749999999</v>
      </c>
      <c r="CL192" s="392">
        <f>((AVERAGE(('Balance Sheet '!DT39+'Balance Sheet '!DT33),('Balance Sheet '!DU39+'Balance Sheet '!DU33))*CL193)*(13/52))</f>
        <v>29.954121749999999</v>
      </c>
      <c r="CM192" s="392">
        <f>((AVERAGE(('Balance Sheet '!DU39+'Balance Sheet '!DU33),('Balance Sheet '!DV39+'Balance Sheet '!DV33))*CM193)*(13/52))</f>
        <v>29.954121749999999</v>
      </c>
      <c r="CN192" s="524">
        <f>SUM(CJ192:CM192)</f>
        <v>119.816487</v>
      </c>
      <c r="CR192" s="66"/>
      <c r="CS192" s="66"/>
      <c r="CT192" s="66"/>
      <c r="CU192" s="66"/>
      <c r="CV192" s="66"/>
      <c r="CW192" s="66"/>
    </row>
    <row r="193" spans="1:101">
      <c r="A193" s="501" t="s">
        <v>245</v>
      </c>
      <c r="B193" s="41"/>
      <c r="V193" s="89"/>
      <c r="AA193" s="706"/>
      <c r="AB193" s="46">
        <f>(AB192*4)/(AVERAGE('Balance Sheet '!BK39,'Balance Sheet '!BJ39))</f>
        <v>0.13633326526671696</v>
      </c>
      <c r="AC193" s="46">
        <f>(AC192*4)/(AVERAGE('Balance Sheet '!BL39,'Balance Sheet '!BK39))</f>
        <v>0.1366790335964449</v>
      </c>
      <c r="AD193" s="46">
        <f>(AD192*4)/(AVERAGE('Balance Sheet '!BM39,'Balance Sheet '!BL39))</f>
        <v>0.14309748996379443</v>
      </c>
      <c r="AE193" s="46">
        <f>(AE192*4)/(AVERAGE('Balance Sheet '!BN39,'Balance Sheet '!BM39))</f>
        <v>0.11898424565537993</v>
      </c>
      <c r="AF193" s="153"/>
      <c r="AG193" s="46">
        <f>(AG192*4)/(AVERAGE('Balance Sheet '!BP39,'Balance Sheet '!BO39))</f>
        <v>8.2046817879790429E-2</v>
      </c>
      <c r="AH193" s="46">
        <f>(AH192*4)/(AVERAGE('Balance Sheet '!BQ39,'Balance Sheet '!BP39))</f>
        <v>9.6268529232094627E-2</v>
      </c>
      <c r="AI193" s="46">
        <f>(AI192*4)/(AVERAGE('Balance Sheet '!BR39,'Balance Sheet '!BQ39))</f>
        <v>9.6866974969543912E-2</v>
      </c>
      <c r="AJ193" s="46">
        <f>(AJ192*4)/(AVERAGE('Balance Sheet '!BS39,'Balance Sheet '!BR39))</f>
        <v>9.8481673287042215E-2</v>
      </c>
      <c r="AK193" s="153">
        <f>AK192/(AVERAGE('Balance Sheet '!BT39,'Balance Sheet '!BO39))</f>
        <v>9.8149643581267515E-2</v>
      </c>
      <c r="AL193" s="46">
        <f>(AL192*4)/(AVERAGE('Balance Sheet '!BU39,'Balance Sheet '!BT39))</f>
        <v>9.6656372382009539E-2</v>
      </c>
      <c r="AM193" s="46">
        <f>(AM192*4)/(AVERAGE('Balance Sheet '!BV39,'Balance Sheet '!BU39))</f>
        <v>8.9950681319716091E-2</v>
      </c>
      <c r="AN193" s="46">
        <v>8.6999999999999994E-2</v>
      </c>
      <c r="AO193" s="46">
        <v>8.6999999999999994E-2</v>
      </c>
      <c r="AP193" s="153">
        <f>AP192/(AVERAGE('Balance Sheet '!BY39,'Balance Sheet '!BT39))</f>
        <v>8.984568728719762E-2</v>
      </c>
      <c r="AQ193" s="46">
        <f>(AQ192*4)/(AVERAGE('Balance Sheet '!BZ39,'Balance Sheet '!BY39))</f>
        <v>7.6456318952328739E-2</v>
      </c>
      <c r="AR193" s="46">
        <f>(AR192*4)/(AVERAGE('Balance Sheet '!CA39,'Balance Sheet '!BZ39))</f>
        <v>7.8206558698422787E-2</v>
      </c>
      <c r="AS193" s="46">
        <f>(AS192*4)/(AVERAGE('Balance Sheet '!CB39,'Balance Sheet '!CA39))</f>
        <v>8.4245924550716472E-2</v>
      </c>
      <c r="AT193" s="46">
        <f>(AT192*4)/(AVERAGE('Balance Sheet '!CC39,'Balance Sheet '!CB39))</f>
        <v>8.3568318285775031E-2</v>
      </c>
      <c r="AU193" s="153">
        <f>AU192/(AVERAGE('Balance Sheet '!CD39,'Balance Sheet '!BY39))</f>
        <v>7.8577628547691084E-2</v>
      </c>
      <c r="AV193" s="46">
        <f>(AV192*4)/(AVERAGE('Balance Sheet '!CE39,'Balance Sheet '!CD39))</f>
        <v>8.3811703435396748E-2</v>
      </c>
      <c r="AW193" s="46">
        <f>(AW192*4)/(AVERAGE('Balance Sheet '!CF39,'Balance Sheet '!CE39))</f>
        <v>8.2085406696811358E-2</v>
      </c>
      <c r="AX193" s="46">
        <f>(AX192*4)/(AVERAGE('Balance Sheet '!CG39,'Balance Sheet '!CF39))</f>
        <v>6.0927336607925764E-2</v>
      </c>
      <c r="AY193" s="46">
        <f>(AY192*4)/(AVERAGE('Balance Sheet '!CH39,'Balance Sheet '!CG39))</f>
        <v>5.7541220043437376E-2</v>
      </c>
      <c r="AZ193" s="153">
        <f>AZ192/(AVERAGE('Balance Sheet '!CI39,'Balance Sheet '!CD39))</f>
        <v>7.0556086056328807E-2</v>
      </c>
      <c r="BA193" s="46">
        <f>(BA192*4)/(AVERAGE('Balance Sheet '!CJ39,'Balance Sheet '!CI39))</f>
        <v>5.8104353773030901E-2</v>
      </c>
      <c r="BB193" s="46">
        <f>(BB192*4)/(AVERAGE('Balance Sheet '!CK39,'Balance Sheet '!CJ39))</f>
        <v>5.6948371769505332E-2</v>
      </c>
      <c r="BC193" s="46">
        <f>(BC192*4)/(AVERAGE('Balance Sheet '!CL39,'Balance Sheet '!CK39))</f>
        <v>4.7049131628003116E-2</v>
      </c>
      <c r="BD193" s="46">
        <f>(BD192*4)/(AVERAGE('Balance Sheet '!CM39,'Balance Sheet '!CL39))</f>
        <v>3.7675409862442361E-2</v>
      </c>
      <c r="BE193" s="606">
        <f>BE192/(AVERAGE('Balance Sheet '!CN39,'Balance Sheet '!CI39))</f>
        <v>4.8093058521165626E-2</v>
      </c>
      <c r="BF193" s="46">
        <f>(BF192*4)/(AVERAGE('Balance Sheet '!CO39,'Balance Sheet '!CN39))</f>
        <v>3.6486663407090315E-2</v>
      </c>
      <c r="BG193" s="46">
        <f>(BG192*4)/(AVERAGE('Balance Sheet '!CP39,'Balance Sheet '!CO39))</f>
        <v>3.6983740744822399E-2</v>
      </c>
      <c r="BH193" s="46">
        <f>(BH192*4)/(AVERAGE('Balance Sheet '!CQ39,'Balance Sheet '!CP39))</f>
        <v>3.7385545874201065E-2</v>
      </c>
      <c r="BI193" s="46">
        <v>3.6999999999999998E-2</v>
      </c>
      <c r="BJ193" s="153">
        <f>BJ192/(AVERAGE('Balance Sheet '!CS39,'Balance Sheet '!CN39))</f>
        <v>3.7391833067283865E-2</v>
      </c>
      <c r="BK193" s="46">
        <f>(BK192*4)/'Balance Sheet '!CT39</f>
        <v>3.6609689372114958E-2</v>
      </c>
      <c r="BL193" s="46">
        <f>(BL192*4)/'Balance Sheet '!CU39</f>
        <v>2.8911891929596912E-2</v>
      </c>
      <c r="BM193" s="46">
        <f>(BM192*4)/'Balance Sheet '!CV39</f>
        <v>4.6955923987808061E-2</v>
      </c>
      <c r="BN193" s="46">
        <f>(BN192*4)/'Balance Sheet '!CW39</f>
        <v>4.6919810572813726E-2</v>
      </c>
      <c r="BO193" s="153">
        <f>BO192/(AVERAGE('Balance Sheet '!CX39,'Balance Sheet '!CS39))</f>
        <v>4.5331954769699381E-2</v>
      </c>
      <c r="BP193" s="46">
        <f>(BP192*4)/'Balance Sheet '!CY39</f>
        <v>4.5363052488500477E-2</v>
      </c>
      <c r="BQ193" s="46">
        <f>(BQ192*4)/'Balance Sheet '!CZ39</f>
        <v>4.6097752728519271E-2</v>
      </c>
      <c r="BR193" s="46">
        <f>(BR192*4)/'Balance Sheet '!DA39</f>
        <v>4.6117323009062627E-2</v>
      </c>
      <c r="BS193" s="46">
        <f>(BS192*4)/'Balance Sheet '!DB39</f>
        <v>4.7143666863641291E-2</v>
      </c>
      <c r="BT193" s="153">
        <f>BT192/(AVERAGE('Balance Sheet '!DC39,'Balance Sheet '!CX39))</f>
        <v>4.6949433927695461E-2</v>
      </c>
      <c r="BU193" s="46">
        <f>(BU192*4)/'Balance Sheet '!DD39</f>
        <v>4.5849801746090213E-2</v>
      </c>
      <c r="BV193" s="46">
        <f>(BV192*4)/'Balance Sheet '!DE39</f>
        <v>4.2870477375766727E-2</v>
      </c>
      <c r="BW193" s="46">
        <f>(BW192*4)/'Balance Sheet '!DF39</f>
        <v>4.4467684274546455E-2</v>
      </c>
      <c r="BX193" s="46">
        <f>(BX192*4)/'Balance Sheet '!DG39</f>
        <v>4.4301692588364416E-2</v>
      </c>
      <c r="BY193" s="153">
        <f>BY192/(AVERAGE('Balance Sheet '!DH39,'Balance Sheet '!DC39))</f>
        <v>4.5303979769218662E-2</v>
      </c>
      <c r="BZ193" s="169">
        <v>4.3499999999999997E-2</v>
      </c>
      <c r="CA193" s="169">
        <f>BZ193</f>
        <v>4.3499999999999997E-2</v>
      </c>
      <c r="CB193" s="169">
        <f>CA193</f>
        <v>4.3499999999999997E-2</v>
      </c>
      <c r="CC193" s="169">
        <f>CB193</f>
        <v>4.3499999999999997E-2</v>
      </c>
      <c r="CD193" s="198">
        <f>CD192/(AVERAGE('Balance Sheet '!DM39,'Balance Sheet '!DH39))</f>
        <v>4.3981780906898464E-2</v>
      </c>
      <c r="CE193" s="169">
        <f>CC193</f>
        <v>4.3499999999999997E-2</v>
      </c>
      <c r="CF193" s="169">
        <f>CE193</f>
        <v>4.3499999999999997E-2</v>
      </c>
      <c r="CG193" s="169">
        <f>CF193</f>
        <v>4.3499999999999997E-2</v>
      </c>
      <c r="CH193" s="169">
        <f>CG193</f>
        <v>4.3499999999999997E-2</v>
      </c>
      <c r="CI193" s="198">
        <f>CI192/(AVERAGE('Balance Sheet '!DR39,'Balance Sheet '!DM39))</f>
        <v>4.3981780906898464E-2</v>
      </c>
      <c r="CJ193" s="169">
        <f>CH193</f>
        <v>4.3499999999999997E-2</v>
      </c>
      <c r="CK193" s="169">
        <f>CJ193</f>
        <v>4.3499999999999997E-2</v>
      </c>
      <c r="CL193" s="169">
        <f>CK193</f>
        <v>4.3499999999999997E-2</v>
      </c>
      <c r="CM193" s="169">
        <f>CL193</f>
        <v>4.3499999999999997E-2</v>
      </c>
      <c r="CN193" s="198">
        <f>CN192/(AVERAGE('Balance Sheet '!DW39,'Balance Sheet '!DR39))</f>
        <v>4.3981780906898464E-2</v>
      </c>
      <c r="CR193" s="66"/>
      <c r="CS193" s="66"/>
      <c r="CT193" s="66"/>
      <c r="CU193" s="66"/>
      <c r="CV193" s="66"/>
      <c r="CW193" s="66"/>
    </row>
    <row r="194" spans="1:101">
      <c r="A194" s="44" t="s">
        <v>303</v>
      </c>
      <c r="B194" s="41"/>
      <c r="V194" s="89"/>
      <c r="AA194" s="99"/>
      <c r="AB194" s="88">
        <f>-AB46</f>
        <v>-3.8690000000000002</v>
      </c>
      <c r="AC194" s="88">
        <f>-AC46</f>
        <v>3.383</v>
      </c>
      <c r="AD194" s="88">
        <f>-AD46</f>
        <v>-8.8249999999999993</v>
      </c>
      <c r="AE194" s="88">
        <f>-AE46</f>
        <v>-6.2489999999999997</v>
      </c>
      <c r="AF194" s="99">
        <f>SUM(AB194:AE194)</f>
        <v>-15.559999999999999</v>
      </c>
      <c r="AG194" s="88">
        <f>-AG46</f>
        <v>1.794</v>
      </c>
      <c r="AH194" s="88">
        <f>-AH46</f>
        <v>2.7930000000000001</v>
      </c>
      <c r="AI194" s="88">
        <f>-AI46</f>
        <v>-0.73699999999999999</v>
      </c>
      <c r="AJ194" s="88">
        <f>-(AJ195*(AVERAGE('Balance Sheet '!BR11)))/4</f>
        <v>-0.16116149999999999</v>
      </c>
      <c r="AK194" s="99">
        <f>SUM(AG194:AJ194)</f>
        <v>3.6888384999999997</v>
      </c>
      <c r="AL194" s="88">
        <f>-(AL195*(AVERAGE('Balance Sheet '!BT11)))/4</f>
        <v>-1.4792975000000002</v>
      </c>
      <c r="AM194" s="88">
        <f>-(AM195*(AVERAGE('Balance Sheet '!BU11)))/4</f>
        <v>-1.2682100000000001</v>
      </c>
      <c r="AN194" s="88">
        <f>-(AN195*(AVERAGE('Balance Sheet '!BV11)))/4</f>
        <v>-1.27095</v>
      </c>
      <c r="AO194" s="88">
        <f>-(AO195*(AVERAGE('Balance Sheet '!BW11)))/4</f>
        <v>-1.301285</v>
      </c>
      <c r="AP194" s="99">
        <f>SUM(AL194:AO194)</f>
        <v>-5.3197425000000003</v>
      </c>
      <c r="AQ194" s="88">
        <f>-(AQ195*(AVERAGE('Balance Sheet '!BY11)))/4</f>
        <v>-0.64063500000000007</v>
      </c>
      <c r="AR194" s="88">
        <f>-(AR195*(AVERAGE('Balance Sheet '!BZ11)))/4</f>
        <v>-0.62507625</v>
      </c>
      <c r="AS194" s="88">
        <f>-(AS195*(AVERAGE('Balance Sheet '!CA11)))/4</f>
        <v>-0.492448</v>
      </c>
      <c r="AT194" s="88">
        <f>-(AT195*(AVERAGE('Balance Sheet '!CB11)))/4</f>
        <v>-0.488817</v>
      </c>
      <c r="AU194" s="99">
        <f>SUM(AQ194:AT194)</f>
        <v>-2.2469762499999999</v>
      </c>
      <c r="AV194" s="88">
        <f>-(AV195*(AVERAGE('Balance Sheet '!CD11)))/4</f>
        <v>-0.59403875000000006</v>
      </c>
      <c r="AW194" s="88">
        <f>-(AW195*(AVERAGE('Balance Sheet '!CE11)))/4</f>
        <v>-0.52301249999999999</v>
      </c>
      <c r="AX194" s="88">
        <f>-(AX195*(AVERAGE('Balance Sheet '!CF11)))/4</f>
        <v>-0.543875</v>
      </c>
      <c r="AY194" s="93">
        <f>-(AY195*(AVERAGE('Balance Sheet '!CG11)))/4</f>
        <v>0</v>
      </c>
      <c r="AZ194" s="99">
        <f>SUM(AV194:AY194)</f>
        <v>-1.6609262500000002</v>
      </c>
      <c r="BA194" s="93">
        <f>-(BA195*(AVERAGE('Balance Sheet '!CI11)))/4</f>
        <v>0</v>
      </c>
      <c r="BB194" s="93">
        <f>-(BB195*(AVERAGE('Balance Sheet '!CJ11)))/4</f>
        <v>0</v>
      </c>
      <c r="BC194" s="93">
        <f>-(BC195*(AVERAGE('Balance Sheet '!CK11)))/4</f>
        <v>0</v>
      </c>
      <c r="BD194" s="93">
        <f>-(BD195*(AVERAGE('Balance Sheet '!CL11)))/4</f>
        <v>0</v>
      </c>
      <c r="BE194" s="541">
        <f>SUM(BA194:BD194)</f>
        <v>0</v>
      </c>
      <c r="BF194" s="93">
        <f>-(BF195*(AVERAGE('Balance Sheet '!CN11)))/4</f>
        <v>0</v>
      </c>
      <c r="BG194" s="93">
        <f>-(BG195*(AVERAGE('Balance Sheet '!CO11)))/4</f>
        <v>0</v>
      </c>
      <c r="BH194" s="93">
        <f>-(BH195*(AVERAGE('Balance Sheet '!CP11)))/4</f>
        <v>0</v>
      </c>
      <c r="BI194" s="93">
        <f>-(BI195*(AVERAGE('Balance Sheet '!CQ11)))/4</f>
        <v>0</v>
      </c>
      <c r="BJ194" s="99">
        <f>SUM(BF194:BI194)</f>
        <v>0</v>
      </c>
      <c r="BK194" s="93">
        <f>-(BK195*(AVERAGE('Balance Sheet '!CS11)))/4</f>
        <v>0</v>
      </c>
      <c r="BL194" s="93">
        <f>-(BL195*(AVERAGE('Balance Sheet '!CT11)))/4</f>
        <v>0</v>
      </c>
      <c r="BM194" s="88">
        <f>-(BM195*(AVERAGE('Balance Sheet '!CU11)))/4</f>
        <v>0</v>
      </c>
      <c r="BN194" s="93">
        <f>-(BN195*(AVERAGE('Balance Sheet '!CV11)))/4</f>
        <v>0</v>
      </c>
      <c r="BO194" s="99">
        <f>SUM(BK194:BN194)</f>
        <v>0</v>
      </c>
      <c r="BP194" s="93">
        <f>-(BP195*(AVERAGE('Balance Sheet '!CX11)))/4</f>
        <v>0</v>
      </c>
      <c r="BQ194" s="93">
        <f>-(BQ195*(AVERAGE('Balance Sheet '!CY11)))/4</f>
        <v>0</v>
      </c>
      <c r="BR194" s="93">
        <f>-(BR195*(AVERAGE('Balance Sheet '!CZ11)))/4</f>
        <v>0</v>
      </c>
      <c r="BS194" s="93">
        <f>-(BS195*(AVERAGE('Balance Sheet '!DA11)))/4</f>
        <v>0</v>
      </c>
      <c r="BT194" s="99">
        <f>SUM(BP194:BS194)</f>
        <v>0</v>
      </c>
      <c r="BU194" s="93">
        <f>-(BU195*(AVERAGE('Balance Sheet '!DC11)))/4</f>
        <v>0</v>
      </c>
      <c r="BV194" s="93">
        <f>-(BV195*(AVERAGE('Balance Sheet '!DD11)))/4</f>
        <v>0</v>
      </c>
      <c r="BW194" s="88">
        <f>-(BW195*(AVERAGE('Balance Sheet '!DE11)))/4</f>
        <v>0</v>
      </c>
      <c r="BX194" s="88">
        <f>-(BX195*(AVERAGE('Balance Sheet '!DF11)))/4</f>
        <v>0</v>
      </c>
      <c r="BY194" s="99">
        <f>SUM(BU194:BX194)</f>
        <v>0</v>
      </c>
      <c r="BZ194" s="93">
        <f>-(BZ195*(AVERAGE('Balance Sheet '!DH11)))/4</f>
        <v>0</v>
      </c>
      <c r="CA194" s="93">
        <f>-(CA195*(AVERAGE('Balance Sheet '!DI11)))/4</f>
        <v>0</v>
      </c>
      <c r="CB194" s="93">
        <f>-(CB195*(AVERAGE('Balance Sheet '!DJ11)))/4</f>
        <v>0</v>
      </c>
      <c r="CC194" s="93">
        <f>-(CC195*(AVERAGE('Balance Sheet '!DK11)))/4</f>
        <v>0</v>
      </c>
      <c r="CD194" s="99">
        <f>SUM(BZ194:CC194)</f>
        <v>0</v>
      </c>
      <c r="CE194" s="93">
        <f>-(CE195*(AVERAGE('Balance Sheet '!DM11)))/4</f>
        <v>0</v>
      </c>
      <c r="CF194" s="93">
        <f>-(CF195*(AVERAGE('Balance Sheet '!DN11)))/4</f>
        <v>0</v>
      </c>
      <c r="CG194" s="93">
        <f>-(CG195*(AVERAGE('Balance Sheet '!DO11)))/4</f>
        <v>0</v>
      </c>
      <c r="CH194" s="93">
        <f>-(CH195*(AVERAGE('Balance Sheet '!DP11)))/4</f>
        <v>0</v>
      </c>
      <c r="CI194" s="99">
        <f>SUM(CE194:CH194)</f>
        <v>0</v>
      </c>
      <c r="CJ194" s="93">
        <f>-(CJ195*(AVERAGE('Balance Sheet '!DR11)))/4</f>
        <v>0</v>
      </c>
      <c r="CK194" s="93">
        <f>-(CK195*(AVERAGE('Balance Sheet '!DS11)))/4</f>
        <v>0</v>
      </c>
      <c r="CL194" s="93">
        <f>-(CL195*(AVERAGE('Balance Sheet '!DT11)))/4</f>
        <v>0</v>
      </c>
      <c r="CM194" s="93">
        <f>-(CM195*(AVERAGE('Balance Sheet '!DU11)))/4</f>
        <v>0</v>
      </c>
      <c r="CN194" s="99">
        <f>SUM(CJ194:CM194)</f>
        <v>0</v>
      </c>
      <c r="CR194" s="66"/>
      <c r="CS194" s="66"/>
      <c r="CT194" s="66"/>
      <c r="CU194" s="66"/>
      <c r="CV194" s="66"/>
      <c r="CW194" s="66"/>
    </row>
    <row r="195" spans="1:101">
      <c r="A195" s="501" t="s">
        <v>245</v>
      </c>
      <c r="B195" s="41"/>
      <c r="V195" s="89"/>
      <c r="AA195" s="153"/>
      <c r="AB195" s="46">
        <f>(AB194*4)/(AVERAGE(SUM('Balance Sheet '!BK11:BK13)*(SUM('Balance Sheet '!BJ11:BJ13))))</f>
        <v>-2.5371541552890076E-3</v>
      </c>
      <c r="AC195" s="46">
        <f>(AC194*4)/(AVERAGE(SUM('Balance Sheet '!BL11:BL13)*(SUM('Balance Sheet '!BK11:BK13))))</f>
        <v>8.3519426882236961E-3</v>
      </c>
      <c r="AD195" s="46">
        <f>(AD194*4)/(AVERAGE(SUM('Balance Sheet '!BM11:BM13)*(SUM('Balance Sheet '!BL11:BL13))))</f>
        <v>-6.3241458626513328E-2</v>
      </c>
      <c r="AE195" s="46">
        <v>0.01</v>
      </c>
      <c r="AF195" s="153"/>
      <c r="AG195" s="860">
        <f>(AG194*4)/(AVERAGE(SUM('Balance Sheet '!BP11:BP13)*(SUM('Balance Sheet '!BO11:BO13))))</f>
        <v>4.7072712007572019E-4</v>
      </c>
      <c r="AH195" s="860">
        <f>(AH194*4)/(AVERAGE(SUM('Balance Sheet '!BQ11:BQ13)*(SUM('Balance Sheet '!BP11:BP13))))</f>
        <v>1.3138679030667732E-4</v>
      </c>
      <c r="AI195" s="46">
        <f>(AI194*4)/(AVERAGE(SUM('Balance Sheet '!BR11:BR13)*(SUM('Balance Sheet '!BQ11:BQ13))))</f>
        <v>-7.3827024818056178E-6</v>
      </c>
      <c r="AJ195" s="46">
        <v>1E-3</v>
      </c>
      <c r="AK195" s="153"/>
      <c r="AL195" s="46">
        <v>0.01</v>
      </c>
      <c r="AM195" s="46">
        <v>0.01</v>
      </c>
      <c r="AN195" s="46">
        <v>0.01</v>
      </c>
      <c r="AO195" s="46">
        <v>0.01</v>
      </c>
      <c r="AP195" s="153"/>
      <c r="AQ195" s="46">
        <v>5.0000000000000001E-3</v>
      </c>
      <c r="AR195" s="46">
        <v>5.0000000000000001E-3</v>
      </c>
      <c r="AS195" s="46">
        <v>4.0000000000000001E-3</v>
      </c>
      <c r="AT195" s="46">
        <v>4.0000000000000001E-3</v>
      </c>
      <c r="AU195" s="153"/>
      <c r="AV195" s="46">
        <v>5.0000000000000001E-3</v>
      </c>
      <c r="AW195" s="46">
        <v>5.0000000000000001E-3</v>
      </c>
      <c r="AX195" s="46">
        <v>5.0000000000000001E-3</v>
      </c>
      <c r="AY195" s="169"/>
      <c r="AZ195" s="706"/>
      <c r="BA195" s="169"/>
      <c r="BB195" s="169"/>
      <c r="BC195" s="169"/>
      <c r="BD195" s="169"/>
      <c r="BE195" s="979"/>
      <c r="BF195" s="169"/>
      <c r="BG195" s="169"/>
      <c r="BH195" s="169"/>
      <c r="BI195" s="169"/>
      <c r="BJ195" s="706"/>
      <c r="BK195" s="169"/>
      <c r="BL195" s="169"/>
      <c r="BM195" s="46"/>
      <c r="BN195" s="169"/>
      <c r="BO195" s="706"/>
      <c r="BP195" s="169"/>
      <c r="BQ195" s="169"/>
      <c r="BR195" s="169"/>
      <c r="BS195" s="169"/>
      <c r="BT195" s="706"/>
      <c r="BU195" s="169"/>
      <c r="BV195" s="169"/>
      <c r="BW195" s="46"/>
      <c r="BX195" s="46"/>
      <c r="BY195" s="153"/>
      <c r="BZ195" s="169"/>
      <c r="CA195" s="169"/>
      <c r="CB195" s="169"/>
      <c r="CC195" s="169"/>
      <c r="CD195" s="706"/>
      <c r="CE195" s="169"/>
      <c r="CF195" s="169"/>
      <c r="CG195" s="169"/>
      <c r="CH195" s="169"/>
      <c r="CI195" s="706"/>
      <c r="CJ195" s="169"/>
      <c r="CK195" s="169"/>
      <c r="CL195" s="169"/>
      <c r="CM195" s="169"/>
      <c r="CN195" s="706"/>
      <c r="CR195" s="66"/>
      <c r="CS195" s="66"/>
      <c r="CT195" s="66"/>
      <c r="CU195" s="66"/>
      <c r="CV195" s="66"/>
      <c r="CW195" s="66"/>
    </row>
    <row r="196" spans="1:101">
      <c r="A196" s="52" t="s">
        <v>246</v>
      </c>
      <c r="B196" s="52"/>
      <c r="C196" s="52"/>
      <c r="D196" s="52"/>
      <c r="E196" s="52"/>
      <c r="F196" s="52"/>
      <c r="G196" s="52"/>
      <c r="H196" s="52"/>
      <c r="I196" s="52"/>
      <c r="J196" s="52"/>
      <c r="K196" s="52"/>
      <c r="L196" s="52"/>
      <c r="M196" s="52"/>
      <c r="N196" s="52"/>
      <c r="O196" s="52"/>
      <c r="P196" s="52"/>
      <c r="Q196" s="52"/>
      <c r="R196" s="52"/>
      <c r="S196" s="52"/>
      <c r="T196" s="52"/>
      <c r="U196" s="52"/>
      <c r="V196" s="184"/>
      <c r="W196" s="52"/>
      <c r="X196" s="52"/>
      <c r="Y196" s="52"/>
      <c r="Z196" s="52"/>
      <c r="AA196" s="408"/>
      <c r="AB196" s="126">
        <f>AB192+AB194</f>
        <v>20.667000000000002</v>
      </c>
      <c r="AC196" s="126">
        <f t="shared" ref="AC196:AZ196" si="326">AC192+AC194</f>
        <v>28.295999999999999</v>
      </c>
      <c r="AD196" s="126">
        <f t="shared" si="326"/>
        <v>16.149000000000001</v>
      </c>
      <c r="AE196" s="126">
        <f t="shared" si="326"/>
        <v>19.740000000000002</v>
      </c>
      <c r="AF196" s="408">
        <f t="shared" si="326"/>
        <v>84.852000000000004</v>
      </c>
      <c r="AG196" s="126">
        <f t="shared" si="326"/>
        <v>23.943000000000001</v>
      </c>
      <c r="AH196" s="126">
        <f t="shared" si="326"/>
        <v>33.858000000000004</v>
      </c>
      <c r="AI196" s="126">
        <f t="shared" si="326"/>
        <v>35.72</v>
      </c>
      <c r="AJ196" s="126">
        <f t="shared" si="326"/>
        <v>36.8758385</v>
      </c>
      <c r="AK196" s="408">
        <f t="shared" si="326"/>
        <v>130.3968385</v>
      </c>
      <c r="AL196" s="126">
        <f t="shared" si="326"/>
        <v>34.798702499999997</v>
      </c>
      <c r="AM196" s="126">
        <f t="shared" si="326"/>
        <v>33.12079</v>
      </c>
      <c r="AN196" s="126">
        <f t="shared" si="326"/>
        <v>32.597050000000003</v>
      </c>
      <c r="AO196" s="126">
        <f t="shared" si="326"/>
        <v>31.392715000000003</v>
      </c>
      <c r="AP196" s="408">
        <f t="shared" si="326"/>
        <v>131.9092575</v>
      </c>
      <c r="AQ196" s="126">
        <f t="shared" si="326"/>
        <v>28.801365000000001</v>
      </c>
      <c r="AR196" s="126">
        <f t="shared" si="326"/>
        <v>27.463923749999999</v>
      </c>
      <c r="AS196" s="126">
        <f t="shared" si="326"/>
        <v>27.891552000000001</v>
      </c>
      <c r="AT196" s="126">
        <f t="shared" si="326"/>
        <v>27.706182999999999</v>
      </c>
      <c r="AU196" s="408">
        <f t="shared" si="326"/>
        <v>111.86302374999998</v>
      </c>
      <c r="AV196" s="126">
        <f t="shared" si="326"/>
        <v>27.64096125</v>
      </c>
      <c r="AW196" s="126">
        <f t="shared" si="326"/>
        <v>27.478987499999999</v>
      </c>
      <c r="AX196" s="126">
        <f>AX192+AX194</f>
        <v>21.022124999999999</v>
      </c>
      <c r="AY196" s="126">
        <f t="shared" si="326"/>
        <v>20.800999999999998</v>
      </c>
      <c r="AZ196" s="408">
        <f t="shared" si="326"/>
        <v>96.943073749999996</v>
      </c>
      <c r="BA196" s="126">
        <f t="shared" ref="BA196:BJ196" si="327">BA192+BA194</f>
        <v>20.963999999999999</v>
      </c>
      <c r="BB196" s="126">
        <f>BB192+BB194</f>
        <v>18.963999999999999</v>
      </c>
      <c r="BC196" s="126">
        <f t="shared" si="327"/>
        <v>15.62</v>
      </c>
      <c r="BD196" s="126">
        <f t="shared" si="327"/>
        <v>13.464</v>
      </c>
      <c r="BE196" s="977">
        <f t="shared" si="327"/>
        <v>69.012</v>
      </c>
      <c r="BF196" s="126">
        <f t="shared" si="327"/>
        <v>12.994</v>
      </c>
      <c r="BG196" s="126">
        <f t="shared" si="327"/>
        <v>13.13</v>
      </c>
      <c r="BH196" s="126">
        <f t="shared" si="327"/>
        <v>13.204000000000001</v>
      </c>
      <c r="BI196" s="126">
        <f t="shared" si="327"/>
        <v>13.387959749999998</v>
      </c>
      <c r="BJ196" s="408">
        <f t="shared" si="327"/>
        <v>52.715959750000003</v>
      </c>
      <c r="BK196" s="126">
        <f t="shared" ref="BK196:BT196" si="328">BK192+BK194</f>
        <v>12.743</v>
      </c>
      <c r="BL196" s="126">
        <f t="shared" si="328"/>
        <v>17.201000000000001</v>
      </c>
      <c r="BM196" s="126">
        <f t="shared" si="328"/>
        <v>27.937999999999999</v>
      </c>
      <c r="BN196" s="126">
        <f t="shared" si="328"/>
        <v>28.184999999999999</v>
      </c>
      <c r="BO196" s="408">
        <f t="shared" si="328"/>
        <v>86.067000000000007</v>
      </c>
      <c r="BP196" s="126">
        <f t="shared" si="328"/>
        <v>28.109000000000002</v>
      </c>
      <c r="BQ196" s="126">
        <f t="shared" si="328"/>
        <v>28.643000000000001</v>
      </c>
      <c r="BR196" s="126">
        <f t="shared" si="328"/>
        <v>28.731000000000002</v>
      </c>
      <c r="BS196" s="126">
        <f t="shared" si="328"/>
        <v>29.318999999999999</v>
      </c>
      <c r="BT196" s="408">
        <f t="shared" si="328"/>
        <v>114.80200000000001</v>
      </c>
      <c r="BU196" s="126">
        <f t="shared" ref="BU196" si="329">BU192+BU194</f>
        <v>28.975000000000001</v>
      </c>
      <c r="BV196" s="126">
        <f t="shared" ref="BV196:CN196" si="330">BV192+BV194</f>
        <v>28.934999999999999</v>
      </c>
      <c r="BW196" s="126">
        <f t="shared" si="330"/>
        <v>29.977</v>
      </c>
      <c r="BX196" s="126">
        <f t="shared" si="330"/>
        <v>30.172000000000001</v>
      </c>
      <c r="BY196" s="408">
        <f t="shared" si="330"/>
        <v>118.059</v>
      </c>
      <c r="BZ196" s="126">
        <f t="shared" si="330"/>
        <v>29.954121749999999</v>
      </c>
      <c r="CA196" s="126">
        <f t="shared" si="330"/>
        <v>29.954121749999999</v>
      </c>
      <c r="CB196" s="126">
        <f t="shared" si="330"/>
        <v>29.954121749999999</v>
      </c>
      <c r="CC196" s="126">
        <f t="shared" si="330"/>
        <v>29.954121749999999</v>
      </c>
      <c r="CD196" s="408">
        <f t="shared" si="330"/>
        <v>119.816487</v>
      </c>
      <c r="CE196" s="126">
        <f t="shared" si="330"/>
        <v>29.954121749999999</v>
      </c>
      <c r="CF196" s="126">
        <f t="shared" si="330"/>
        <v>29.954121749999999</v>
      </c>
      <c r="CG196" s="126">
        <f t="shared" si="330"/>
        <v>29.954121749999999</v>
      </c>
      <c r="CH196" s="126">
        <f t="shared" si="330"/>
        <v>29.954121749999999</v>
      </c>
      <c r="CI196" s="408">
        <f t="shared" si="330"/>
        <v>119.816487</v>
      </c>
      <c r="CJ196" s="126">
        <f t="shared" si="330"/>
        <v>29.954121749999999</v>
      </c>
      <c r="CK196" s="126">
        <f t="shared" si="330"/>
        <v>29.954121749999999</v>
      </c>
      <c r="CL196" s="126">
        <f t="shared" si="330"/>
        <v>29.954121749999999</v>
      </c>
      <c r="CM196" s="126">
        <f t="shared" si="330"/>
        <v>29.954121749999999</v>
      </c>
      <c r="CN196" s="408">
        <f t="shared" si="330"/>
        <v>119.816487</v>
      </c>
      <c r="CR196" s="66"/>
      <c r="CS196" s="66"/>
      <c r="CT196" s="66"/>
      <c r="CU196" s="66"/>
      <c r="CV196" s="66"/>
      <c r="CW196" s="66"/>
    </row>
    <row r="197" spans="1:101">
      <c r="A197" s="41"/>
      <c r="B197" s="41"/>
      <c r="V197" s="89"/>
      <c r="AA197" s="202"/>
      <c r="BE197" s="976"/>
      <c r="CR197" s="66"/>
      <c r="CS197" s="66"/>
      <c r="CT197" s="66"/>
      <c r="CU197" s="66"/>
      <c r="CV197" s="66"/>
      <c r="CW197" s="66"/>
    </row>
    <row r="198" spans="1:101">
      <c r="A198" s="49" t="s">
        <v>161</v>
      </c>
      <c r="B198" s="41"/>
      <c r="V198" s="89"/>
      <c r="AA198" s="202"/>
      <c r="BE198" s="976"/>
      <c r="CR198" s="66"/>
      <c r="CS198" s="66"/>
      <c r="CT198" s="66"/>
      <c r="CU198" s="66"/>
      <c r="CV198" s="66"/>
      <c r="CW198" s="66"/>
    </row>
    <row r="199" spans="1:101">
      <c r="A199" s="43" t="s">
        <v>331</v>
      </c>
      <c r="B199" s="239"/>
      <c r="C199" s="239"/>
      <c r="D199" s="239"/>
      <c r="E199" s="239"/>
      <c r="F199" s="239"/>
      <c r="G199" s="239"/>
      <c r="H199" s="239"/>
      <c r="I199" s="239"/>
      <c r="J199" s="239"/>
      <c r="K199" s="239"/>
      <c r="L199" s="239"/>
      <c r="M199" s="239"/>
      <c r="N199" s="239"/>
      <c r="O199" s="239"/>
      <c r="P199" s="239"/>
      <c r="Q199" s="239"/>
      <c r="R199" s="239"/>
      <c r="S199" s="239"/>
      <c r="T199" s="239"/>
      <c r="U199" s="239"/>
      <c r="V199" s="249"/>
      <c r="W199" s="239"/>
      <c r="X199" s="239"/>
      <c r="Y199" s="239"/>
      <c r="Z199" s="239"/>
      <c r="AA199" s="524">
        <f>-'CashFlow '!BJ50</f>
        <v>32.116999999999997</v>
      </c>
      <c r="AB199" s="392">
        <f>-'CashFlow '!BK50</f>
        <v>8.0449999999999999</v>
      </c>
      <c r="AC199" s="392">
        <f>-'CashFlow '!BL50</f>
        <v>8.0559999999999992</v>
      </c>
      <c r="AD199" s="392">
        <f>-'CashFlow '!BM50</f>
        <v>0</v>
      </c>
      <c r="AE199" s="392">
        <f>-'CashFlow '!BN50</f>
        <v>14.436999999999999</v>
      </c>
      <c r="AF199" s="524">
        <f>-'CashFlow '!BO50</f>
        <v>30.538</v>
      </c>
      <c r="AG199" s="392">
        <f>-'CashFlow '!BP50</f>
        <v>0</v>
      </c>
      <c r="AH199" s="392">
        <f>-'CashFlow '!BQ50</f>
        <v>14.073</v>
      </c>
      <c r="AI199" s="392">
        <f>-'CashFlow '!BR50</f>
        <v>7.0150000000000006</v>
      </c>
      <c r="AJ199" s="392">
        <f>-'CashFlow '!BS50</f>
        <v>6.8879999999999981</v>
      </c>
      <c r="AK199" s="524">
        <f>-'CashFlow '!BT50</f>
        <v>27.975999999999999</v>
      </c>
      <c r="AL199" s="392">
        <f>-'CashFlow '!BU50</f>
        <v>6.6529999999999996</v>
      </c>
      <c r="AM199" s="392">
        <f>-'CashFlow '!BV50</f>
        <v>6.3360000000000012</v>
      </c>
      <c r="AN199" s="392">
        <f>-'CashFlow '!BW50</f>
        <v>6.2709999999999999</v>
      </c>
      <c r="AO199" s="392">
        <f>-'CashFlow '!BX50</f>
        <v>8.3609999999999971</v>
      </c>
      <c r="AP199" s="524">
        <f>-'CashFlow '!BY50</f>
        <v>27.620999999999999</v>
      </c>
      <c r="AQ199" s="392">
        <f>-'CashFlow '!BZ50</f>
        <v>8.3740000000000006</v>
      </c>
      <c r="AR199" s="392">
        <f>-'CashFlow '!CA50</f>
        <v>8.3759999999999994</v>
      </c>
      <c r="AS199" s="392">
        <f>-'CashFlow '!CB50</f>
        <v>7.8339999999999979</v>
      </c>
      <c r="AT199" s="392">
        <f>-'CashFlow '!CC50</f>
        <v>7.7820000000000054</v>
      </c>
      <c r="AU199" s="524">
        <f>-'CashFlow '!CD50</f>
        <v>32.366</v>
      </c>
      <c r="AV199" s="392">
        <f>-'CashFlow '!CE50</f>
        <v>7.7949999999999999</v>
      </c>
      <c r="AW199" s="392">
        <f>-'CashFlow '!CF50</f>
        <v>7.8019999999999996</v>
      </c>
      <c r="AX199" s="392">
        <f>-'CashFlow '!CG50</f>
        <v>7.8089999999999993</v>
      </c>
      <c r="AY199" s="392">
        <f>-'CashFlow '!CH50</f>
        <v>15.637000000000002</v>
      </c>
      <c r="AZ199" s="524">
        <f>SUM(AV199:AY199)</f>
        <v>39.042999999999999</v>
      </c>
      <c r="BA199" s="392">
        <f>-'CashFlow '!CJ50</f>
        <v>15.702999999999999</v>
      </c>
      <c r="BB199" s="392">
        <f>-'CashFlow '!CK50</f>
        <v>15.737000000000002</v>
      </c>
      <c r="BC199" s="392">
        <f>-'CashFlow '!CL50</f>
        <v>19.624999999999996</v>
      </c>
      <c r="BD199" s="392">
        <f>-'CashFlow '!CM50</f>
        <v>19.616</v>
      </c>
      <c r="BE199" s="981">
        <f>SUM(BA199:BD199)</f>
        <v>70.680999999999997</v>
      </c>
      <c r="BF199" s="392">
        <f>-'CashFlow '!CO50</f>
        <v>18.306000000000001</v>
      </c>
      <c r="BG199" s="392">
        <f>-'CashFlow '!CP50</f>
        <v>18.342000000000002</v>
      </c>
      <c r="BH199" s="392">
        <f>-'CashFlow '!CQ50</f>
        <v>18.364000000000001</v>
      </c>
      <c r="BI199" s="387">
        <f>BI200*BI66</f>
        <v>20.40775</v>
      </c>
      <c r="BJ199" s="981">
        <f>SUM(BF199:BI199)</f>
        <v>75.419749999999993</v>
      </c>
      <c r="BK199" s="392">
        <f>BK200*BK66</f>
        <v>20.526440000000001</v>
      </c>
      <c r="BL199" s="392">
        <f>BL200*BL66</f>
        <v>20.00713</v>
      </c>
      <c r="BM199" s="392">
        <f>BM200*BM66</f>
        <v>16.332305000000002</v>
      </c>
      <c r="BN199" s="392">
        <f>BN200*BN66</f>
        <v>16.681439999999998</v>
      </c>
      <c r="BO199" s="981">
        <f>SUM(BK199:BN199)</f>
        <v>73.547314999999998</v>
      </c>
      <c r="BP199" s="392">
        <f>BP200*BP66</f>
        <v>16.21284</v>
      </c>
      <c r="BQ199" s="392">
        <f>BQ200*BQ66</f>
        <v>15.9549</v>
      </c>
      <c r="BR199" s="392">
        <f>BR200*BR66</f>
        <v>15.888479999999999</v>
      </c>
      <c r="BS199" s="392">
        <f>BS200*BS66</f>
        <v>17.621100000000002</v>
      </c>
      <c r="BT199" s="981">
        <f>SUM(BP199:BS199)</f>
        <v>65.677320000000009</v>
      </c>
      <c r="BU199" s="392">
        <f>BU200*BU66</f>
        <v>17.262420000000002</v>
      </c>
      <c r="BV199" s="387">
        <f>BV200*BV66</f>
        <v>17.171000000000003</v>
      </c>
      <c r="BW199" s="392">
        <f>BW200*BW66</f>
        <v>17.034780000000001</v>
      </c>
      <c r="BX199" s="392">
        <f>BX200*BX66</f>
        <v>19.319760000000002</v>
      </c>
      <c r="BY199" s="981">
        <f>SUM(BU199:BX199)</f>
        <v>70.787960000000012</v>
      </c>
      <c r="BZ199" s="387">
        <f>BZ200*BZ66</f>
        <v>21.115807575786999</v>
      </c>
      <c r="CA199" s="387">
        <f>CA200*CA66</f>
        <v>20.985579205584397</v>
      </c>
      <c r="CB199" s="387">
        <f>CB200*CB66</f>
        <v>20.864790281581918</v>
      </c>
      <c r="CC199" s="387">
        <f>CC200*CC66</f>
        <v>21.973755500832137</v>
      </c>
      <c r="CD199" s="981">
        <f>SUM(BZ199:CC199)</f>
        <v>84.939932563785447</v>
      </c>
      <c r="CE199" s="387">
        <f>CE200*CE66</f>
        <v>21.861844320149014</v>
      </c>
      <c r="CF199" s="387">
        <f>CF200*CF66</f>
        <v>21.753539241047918</v>
      </c>
      <c r="CG199" s="387">
        <f>CG200*CG66</f>
        <v>21.648769555654685</v>
      </c>
      <c r="CH199" s="387">
        <f>CH200*CH66</f>
        <v>23.941628825026736</v>
      </c>
      <c r="CI199" s="981">
        <f>SUM(CE199:CH199)</f>
        <v>89.205781941878357</v>
      </c>
      <c r="CJ199" s="387">
        <f>CJ200*CJ66</f>
        <v>23.879573618940245</v>
      </c>
      <c r="CK199" s="387">
        <f>CK200*CK66</f>
        <v>23.867032495264191</v>
      </c>
      <c r="CL199" s="387">
        <f>CL200*CL66</f>
        <v>23.856305903424921</v>
      </c>
      <c r="CM199" s="387">
        <f>CM200*CM66</f>
        <v>26.232094090803496</v>
      </c>
      <c r="CN199" s="981">
        <f>SUM(CJ199:CM199)</f>
        <v>97.835006108432864</v>
      </c>
      <c r="CR199" s="66"/>
      <c r="CS199" s="66"/>
      <c r="CT199" s="66"/>
      <c r="CU199" s="66"/>
      <c r="CV199" s="66"/>
      <c r="CW199" s="66"/>
    </row>
    <row r="200" spans="1:101">
      <c r="A200" s="44" t="s">
        <v>162</v>
      </c>
      <c r="B200" s="45"/>
      <c r="V200" s="529"/>
      <c r="W200" s="463"/>
      <c r="X200" s="463"/>
      <c r="Y200" s="463"/>
      <c r="Z200" s="463"/>
      <c r="AA200" s="832">
        <f>AA199/AA320</f>
        <v>1.1088209908510269</v>
      </c>
      <c r="AB200" s="463"/>
      <c r="AC200" s="463"/>
      <c r="AD200" s="463"/>
      <c r="AE200" s="463"/>
      <c r="AF200" s="529">
        <f t="shared" ref="AF200:AX200" si="331">AF199/AF320</f>
        <v>0.22182190616623929</v>
      </c>
      <c r="AG200" s="820">
        <f t="shared" si="331"/>
        <v>0</v>
      </c>
      <c r="AH200" s="820">
        <f t="shared" si="331"/>
        <v>2.9869278132581136E-2</v>
      </c>
      <c r="AI200" s="820">
        <f t="shared" si="331"/>
        <v>1.4881425901530148E-2</v>
      </c>
      <c r="AJ200" s="820">
        <f t="shared" si="331"/>
        <v>1.4993796120942987E-2</v>
      </c>
      <c r="AK200" s="824" t="e">
        <f t="shared" si="331"/>
        <v>#DIV/0!</v>
      </c>
      <c r="AL200" s="820">
        <f t="shared" si="331"/>
        <v>1.5007015153634118E-2</v>
      </c>
      <c r="AM200" s="820">
        <f t="shared" si="331"/>
        <v>1.4853469677682524E-2</v>
      </c>
      <c r="AN200" s="820">
        <f t="shared" si="331"/>
        <v>1.5002930727179205E-2</v>
      </c>
      <c r="AO200" s="820">
        <f t="shared" si="331"/>
        <v>1.999837353259153E-2</v>
      </c>
      <c r="AP200" s="824" t="e">
        <f t="shared" si="331"/>
        <v>#DIV/0!</v>
      </c>
      <c r="AQ200" s="820" t="e">
        <f t="shared" si="331"/>
        <v>#DIV/0!</v>
      </c>
      <c r="AR200" s="820" t="e">
        <f t="shared" si="331"/>
        <v>#DIV/0!</v>
      </c>
      <c r="AS200" s="820" t="e">
        <f t="shared" si="331"/>
        <v>#DIV/0!</v>
      </c>
      <c r="AT200" s="820" t="e">
        <f t="shared" si="331"/>
        <v>#DIV/0!</v>
      </c>
      <c r="AU200" s="824" t="e">
        <f t="shared" si="331"/>
        <v>#DIV/0!</v>
      </c>
      <c r="AV200" s="820">
        <f t="shared" si="331"/>
        <v>1.9871263781785737E-2</v>
      </c>
      <c r="AW200" s="820">
        <f t="shared" si="331"/>
        <v>2.0006256763202026E-2</v>
      </c>
      <c r="AX200" s="820">
        <f t="shared" si="331"/>
        <v>2.0002254063718281E-2</v>
      </c>
      <c r="AY200" s="820">
        <v>0.04</v>
      </c>
      <c r="AZ200" s="982">
        <f>SUM(AV200:AY200)</f>
        <v>9.9879774608706035E-2</v>
      </c>
      <c r="BA200" s="820">
        <v>0.04</v>
      </c>
      <c r="BB200" s="820">
        <f>BB199/BB320</f>
        <v>3.9551728644529563E-2</v>
      </c>
      <c r="BC200" s="820">
        <v>0.05</v>
      </c>
      <c r="BD200" s="820">
        <f>BD199/BD320</f>
        <v>4.8989051386557979E-2</v>
      </c>
      <c r="BE200" s="982">
        <f>SUM(BA200:BD200)</f>
        <v>0.17854078003108756</v>
      </c>
      <c r="BF200" s="820">
        <f>BF199/BF320</f>
        <v>4.7016581396782352E-2</v>
      </c>
      <c r="BG200" s="820">
        <v>0.05</v>
      </c>
      <c r="BH200" s="820">
        <f>BG200</f>
        <v>0.05</v>
      </c>
      <c r="BI200" s="1047">
        <v>5.5E-2</v>
      </c>
      <c r="BJ200" s="982">
        <f>SUM(BF200:BI200)</f>
        <v>0.20201658139678236</v>
      </c>
      <c r="BK200" s="820">
        <f>BI200</f>
        <v>5.5E-2</v>
      </c>
      <c r="BL200" s="820">
        <f>BK200</f>
        <v>5.5E-2</v>
      </c>
      <c r="BM200" s="820">
        <f>BL200</f>
        <v>5.5E-2</v>
      </c>
      <c r="BN200" s="820">
        <v>0.06</v>
      </c>
      <c r="BO200" s="982">
        <f>SUM(BK200:BN200)</f>
        <v>0.22500000000000001</v>
      </c>
      <c r="BP200" s="820">
        <v>0.06</v>
      </c>
      <c r="BQ200" s="820">
        <f>BP200</f>
        <v>0.06</v>
      </c>
      <c r="BR200" s="820">
        <f>BQ200</f>
        <v>0.06</v>
      </c>
      <c r="BS200" s="820">
        <v>7.0000000000000007E-2</v>
      </c>
      <c r="BT200" s="982">
        <f>SUM(BP200:BS200)</f>
        <v>0.25</v>
      </c>
      <c r="BU200" s="820">
        <f>BS200</f>
        <v>7.0000000000000007E-2</v>
      </c>
      <c r="BV200" s="1047">
        <f>BU200</f>
        <v>7.0000000000000007E-2</v>
      </c>
      <c r="BW200" s="820">
        <f>BV200</f>
        <v>7.0000000000000007E-2</v>
      </c>
      <c r="BX200" s="820">
        <f>BS200+0.01</f>
        <v>0.08</v>
      </c>
      <c r="BY200" s="982">
        <f>SUM(BU200:BX200)</f>
        <v>0.29000000000000004</v>
      </c>
      <c r="BZ200" s="1047">
        <f>BX200+0.005</f>
        <v>8.5000000000000006E-2</v>
      </c>
      <c r="CA200" s="1047">
        <f>BZ200</f>
        <v>8.5000000000000006E-2</v>
      </c>
      <c r="CB200" s="1047">
        <f>CA200</f>
        <v>8.5000000000000006E-2</v>
      </c>
      <c r="CC200" s="1047">
        <f>BX200+0.01</f>
        <v>0.09</v>
      </c>
      <c r="CD200" s="982">
        <f>SUM(BZ200:CC200)</f>
        <v>0.34499999999999997</v>
      </c>
      <c r="CE200" s="1047">
        <f>CC200</f>
        <v>0.09</v>
      </c>
      <c r="CF200" s="1047">
        <f>CE200</f>
        <v>0.09</v>
      </c>
      <c r="CG200" s="1047">
        <f>CF200</f>
        <v>0.09</v>
      </c>
      <c r="CH200" s="1047">
        <f>CC200+0.01</f>
        <v>9.9999999999999992E-2</v>
      </c>
      <c r="CI200" s="982">
        <f>SUM(CE200:CH200)</f>
        <v>0.37</v>
      </c>
      <c r="CJ200" s="1047">
        <f>CH200</f>
        <v>9.9999999999999992E-2</v>
      </c>
      <c r="CK200" s="1047">
        <f>CJ200</f>
        <v>9.9999999999999992E-2</v>
      </c>
      <c r="CL200" s="1047">
        <f>CK200</f>
        <v>9.9999999999999992E-2</v>
      </c>
      <c r="CM200" s="1047">
        <f>CH200+0.01</f>
        <v>0.10999999999999999</v>
      </c>
      <c r="CN200" s="982">
        <f>SUM(CJ200:CM200)</f>
        <v>0.41</v>
      </c>
      <c r="CR200" s="66"/>
      <c r="CS200" s="66"/>
      <c r="CT200" s="66"/>
      <c r="CU200" s="66"/>
      <c r="CV200" s="66"/>
      <c r="CW200" s="66"/>
    </row>
    <row r="201" spans="1:101">
      <c r="A201" s="44" t="s">
        <v>163</v>
      </c>
      <c r="B201" s="45"/>
      <c r="V201" s="529"/>
      <c r="W201" s="463"/>
      <c r="X201" s="463"/>
      <c r="Y201" s="463"/>
      <c r="Z201" s="463"/>
      <c r="AA201" s="181">
        <f t="shared" ref="AA201:BF201" si="332">AA199/AA55</f>
        <v>0.12303384129756911</v>
      </c>
      <c r="AB201" s="46">
        <f t="shared" si="332"/>
        <v>-0.12361138853464008</v>
      </c>
      <c r="AC201" s="46">
        <f t="shared" si="332"/>
        <v>0.64868346887833894</v>
      </c>
      <c r="AD201" s="46">
        <f t="shared" si="332"/>
        <v>0</v>
      </c>
      <c r="AE201" s="46">
        <f t="shared" si="332"/>
        <v>-3.6344366459564764E-2</v>
      </c>
      <c r="AF201" s="153">
        <f t="shared" si="332"/>
        <v>-6.2065825789693947E-2</v>
      </c>
      <c r="AG201" s="46">
        <f t="shared" si="332"/>
        <v>0</v>
      </c>
      <c r="AH201" s="46">
        <f t="shared" si="332"/>
        <v>0.94500402900886704</v>
      </c>
      <c r="AI201" s="46">
        <f t="shared" si="332"/>
        <v>0.47760076252723299</v>
      </c>
      <c r="AJ201" s="46">
        <f t="shared" si="332"/>
        <v>-0.50669412976312922</v>
      </c>
      <c r="AK201" s="153">
        <f t="shared" si="332"/>
        <v>5.5266693006720491</v>
      </c>
      <c r="AL201" s="46">
        <f t="shared" si="332"/>
        <v>-1.9567647058823356</v>
      </c>
      <c r="AM201" s="46">
        <f t="shared" si="332"/>
        <v>0.5898342952895177</v>
      </c>
      <c r="AN201" s="46">
        <f t="shared" si="332"/>
        <v>-6.8987898789889588</v>
      </c>
      <c r="AO201" s="46">
        <f t="shared" si="332"/>
        <v>-0.77718906860010462</v>
      </c>
      <c r="AP201" s="153">
        <f t="shared" si="332"/>
        <v>-6.3863583815034835</v>
      </c>
      <c r="AQ201" s="46">
        <f t="shared" si="332"/>
        <v>-53.679487179500619</v>
      </c>
      <c r="AR201" s="46">
        <f t="shared" si="332"/>
        <v>0.74091110128260618</v>
      </c>
      <c r="AS201" s="46">
        <f t="shared" si="332"/>
        <v>-1.9752899646998865</v>
      </c>
      <c r="AT201" s="46">
        <f t="shared" si="332"/>
        <v>1.953313253012007</v>
      </c>
      <c r="AU201" s="153">
        <f t="shared" si="332"/>
        <v>1.7858088722136749</v>
      </c>
      <c r="AV201" s="46">
        <f t="shared" si="332"/>
        <v>0.63435872395832527</v>
      </c>
      <c r="AW201" s="46">
        <f t="shared" si="332"/>
        <v>-1.4203531767703963</v>
      </c>
      <c r="AX201" s="46">
        <f t="shared" si="332"/>
        <v>-0.298372306281521</v>
      </c>
      <c r="AY201" s="46">
        <f t="shared" si="332"/>
        <v>0.59257996058814733</v>
      </c>
      <c r="AZ201" s="153">
        <f t="shared" si="332"/>
        <v>5.5688204250464777</v>
      </c>
      <c r="BA201" s="46">
        <f t="shared" si="332"/>
        <v>7.2699074074070715</v>
      </c>
      <c r="BB201" s="46">
        <f t="shared" si="332"/>
        <v>1.2871748732210082</v>
      </c>
      <c r="BC201" s="46">
        <f t="shared" si="332"/>
        <v>-9.0772432932467648</v>
      </c>
      <c r="BD201" s="46">
        <f t="shared" si="332"/>
        <v>0.59318394871329971</v>
      </c>
      <c r="BE201" s="606">
        <f t="shared" si="332"/>
        <v>1.5611485367200204</v>
      </c>
      <c r="BF201" s="46">
        <f t="shared" si="332"/>
        <v>0.3953523529792885</v>
      </c>
      <c r="BG201" s="46">
        <f t="shared" ref="BG201:CN201" si="333">BG199/BG55</f>
        <v>0.63233012721067128</v>
      </c>
      <c r="BH201" s="46">
        <f t="shared" si="333"/>
        <v>0.80438020148926859</v>
      </c>
      <c r="BI201" s="46">
        <f t="shared" si="333"/>
        <v>0.87609470249849597</v>
      </c>
      <c r="BJ201" s="153">
        <f t="shared" si="333"/>
        <v>0.62080510671923894</v>
      </c>
      <c r="BK201" s="46">
        <f t="shared" si="333"/>
        <v>0.74622605155051447</v>
      </c>
      <c r="BL201" s="46">
        <f t="shared" si="333"/>
        <v>0.49775171041174282</v>
      </c>
      <c r="BM201" s="46">
        <f t="shared" si="333"/>
        <v>2.1535212289029477</v>
      </c>
      <c r="BN201" s="46">
        <f t="shared" si="333"/>
        <v>0.19429556466641812</v>
      </c>
      <c r="BO201" s="153">
        <f t="shared" si="333"/>
        <v>0.45648955714861988</v>
      </c>
      <c r="BP201" s="46">
        <f t="shared" si="333"/>
        <v>0.63923195205614458</v>
      </c>
      <c r="BQ201" s="46">
        <f t="shared" si="333"/>
        <v>0.60252643504531811</v>
      </c>
      <c r="BR201" s="46">
        <f t="shared" si="333"/>
        <v>0.3249842503579467</v>
      </c>
      <c r="BS201" s="46">
        <f t="shared" si="333"/>
        <v>0.60993769470405002</v>
      </c>
      <c r="BT201" s="153">
        <f t="shared" si="333"/>
        <v>0.50667952446710962</v>
      </c>
      <c r="BU201" s="46">
        <f t="shared" si="333"/>
        <v>0.77267893111320196</v>
      </c>
      <c r="BV201" s="46">
        <f t="shared" si="333"/>
        <v>-9.3067750677508911</v>
      </c>
      <c r="BW201" s="46">
        <f t="shared" si="333"/>
        <v>1.1948362208038172</v>
      </c>
      <c r="BX201" s="46">
        <f t="shared" si="333"/>
        <v>0.12129737060197396</v>
      </c>
      <c r="BY201" s="153">
        <f t="shared" si="333"/>
        <v>0.36591245554544727</v>
      </c>
      <c r="BZ201" s="46">
        <f t="shared" si="333"/>
        <v>0.88768394695297426</v>
      </c>
      <c r="CA201" s="46">
        <f t="shared" si="333"/>
        <v>0.54438125228609668</v>
      </c>
      <c r="CB201" s="46">
        <f t="shared" si="333"/>
        <v>0.62223750808000833</v>
      </c>
      <c r="CC201" s="46">
        <f t="shared" si="333"/>
        <v>0.62130798397621645</v>
      </c>
      <c r="CD201" s="153">
        <f t="shared" si="333"/>
        <v>0.64723166776493457</v>
      </c>
      <c r="CE201" s="46">
        <f t="shared" si="333"/>
        <v>0.66183915926193115</v>
      </c>
      <c r="CF201" s="46">
        <f t="shared" si="333"/>
        <v>0.45851906503961831</v>
      </c>
      <c r="CG201" s="46">
        <f t="shared" si="333"/>
        <v>0.51063719454056578</v>
      </c>
      <c r="CH201" s="46">
        <f t="shared" si="333"/>
        <v>0.5365143462592431</v>
      </c>
      <c r="CI201" s="153">
        <f t="shared" si="333"/>
        <v>0.53258774187520441</v>
      </c>
      <c r="CJ201" s="46">
        <f t="shared" si="333"/>
        <v>0.57375043898848943</v>
      </c>
      <c r="CK201" s="46">
        <f t="shared" si="333"/>
        <v>0.4278184326853372</v>
      </c>
      <c r="CL201" s="46">
        <f t="shared" si="333"/>
        <v>0.46935625603667647</v>
      </c>
      <c r="CM201" s="46">
        <f t="shared" si="333"/>
        <v>0.48964230446572438</v>
      </c>
      <c r="CN201" s="153">
        <f t="shared" si="333"/>
        <v>0.4847886380297694</v>
      </c>
      <c r="CR201" s="66"/>
      <c r="CS201" s="66"/>
      <c r="CT201" s="66"/>
      <c r="CU201" s="66"/>
      <c r="CV201" s="66"/>
      <c r="CW201" s="66"/>
    </row>
    <row r="202" spans="1:101">
      <c r="A202" s="52" t="s">
        <v>553</v>
      </c>
      <c r="B202" s="52"/>
      <c r="C202" s="52"/>
      <c r="D202" s="52"/>
      <c r="E202" s="52"/>
      <c r="F202" s="52"/>
      <c r="G202" s="52"/>
      <c r="H202" s="52"/>
      <c r="I202" s="52"/>
      <c r="J202" s="52"/>
      <c r="K202" s="52"/>
      <c r="L202" s="52"/>
      <c r="M202" s="52"/>
      <c r="N202" s="52"/>
      <c r="O202" s="52"/>
      <c r="P202" s="52"/>
      <c r="Q202" s="52"/>
      <c r="R202" s="52"/>
      <c r="S202" s="52"/>
      <c r="T202" s="52"/>
      <c r="U202" s="52"/>
      <c r="V202" s="649"/>
      <c r="W202" s="648"/>
      <c r="X202" s="648"/>
      <c r="Y202" s="648"/>
      <c r="Z202" s="648"/>
      <c r="AA202" s="185"/>
      <c r="AB202" s="172"/>
      <c r="AC202" s="172"/>
      <c r="AD202" s="172"/>
      <c r="AE202" s="172"/>
      <c r="AF202" s="172"/>
      <c r="AG202" s="172"/>
      <c r="AH202" s="172"/>
      <c r="AI202" s="172"/>
      <c r="AJ202" s="172"/>
      <c r="AK202" s="172"/>
      <c r="AL202" s="172"/>
      <c r="AM202" s="172"/>
      <c r="AN202" s="172"/>
      <c r="AO202" s="172"/>
      <c r="AP202" s="172"/>
      <c r="AQ202" s="172"/>
      <c r="AR202" s="172"/>
      <c r="AS202" s="172"/>
      <c r="AT202" s="172"/>
      <c r="AU202" s="172"/>
      <c r="AV202" s="172"/>
      <c r="AW202" s="172"/>
      <c r="AX202" s="172"/>
      <c r="AY202" s="172"/>
      <c r="AZ202" s="172"/>
      <c r="BA202" s="172"/>
      <c r="BB202" s="172"/>
      <c r="BC202" s="172"/>
      <c r="BD202" s="172"/>
      <c r="BE202" s="623">
        <f>BE200/AZ200-1</f>
        <v>0.78755689758560021</v>
      </c>
      <c r="BF202" s="172"/>
      <c r="BG202" s="172"/>
      <c r="BH202" s="172"/>
      <c r="BI202" s="172"/>
      <c r="BJ202" s="172">
        <f>BJ200/BE200-1</f>
        <v>0.13148705501122593</v>
      </c>
      <c r="BK202" s="172"/>
      <c r="BL202" s="172"/>
      <c r="BM202" s="172"/>
      <c r="BN202" s="172"/>
      <c r="BO202" s="172">
        <f>BO200/BJ200-1</f>
        <v>0.11376996108094573</v>
      </c>
      <c r="BP202" s="172"/>
      <c r="BQ202" s="172"/>
      <c r="BR202" s="172"/>
      <c r="BS202" s="172"/>
      <c r="BT202" s="172">
        <f>BT200/BO200-1</f>
        <v>0.11111111111111116</v>
      </c>
      <c r="BU202" s="172"/>
      <c r="BV202" s="172"/>
      <c r="BW202" s="172"/>
      <c r="BX202" s="172"/>
      <c r="BY202" s="172">
        <f>BY200/BT200-1</f>
        <v>0.16000000000000014</v>
      </c>
      <c r="BZ202" s="172"/>
      <c r="CA202" s="172"/>
      <c r="CB202" s="172"/>
      <c r="CC202" s="172"/>
      <c r="CD202" s="172">
        <f>CD200/BY200-1</f>
        <v>0.18965517241379293</v>
      </c>
      <c r="CE202" s="172"/>
      <c r="CF202" s="172"/>
      <c r="CG202" s="172"/>
      <c r="CH202" s="172"/>
      <c r="CI202" s="172">
        <f>CI200/CD200-1</f>
        <v>7.2463768115942129E-2</v>
      </c>
      <c r="CJ202" s="172"/>
      <c r="CK202" s="172"/>
      <c r="CL202" s="172"/>
      <c r="CM202" s="172"/>
      <c r="CN202" s="172"/>
      <c r="CR202" s="66"/>
      <c r="CS202" s="66"/>
      <c r="CT202" s="66"/>
      <c r="CU202" s="66"/>
      <c r="CV202" s="66"/>
      <c r="CW202" s="66"/>
    </row>
    <row r="203" spans="1:101">
      <c r="A203" s="41"/>
      <c r="B203" s="41"/>
      <c r="V203" s="89"/>
      <c r="AA203" s="202"/>
      <c r="BE203" s="976"/>
      <c r="CR203" s="66"/>
      <c r="CS203" s="66"/>
      <c r="CT203" s="66"/>
      <c r="CU203" s="66"/>
      <c r="CV203" s="66"/>
      <c r="CW203" s="66"/>
    </row>
    <row r="204" spans="1:101">
      <c r="A204" s="49" t="s">
        <v>247</v>
      </c>
      <c r="B204" s="41"/>
      <c r="V204" s="89"/>
      <c r="AA204" s="674"/>
      <c r="AB204" s="672"/>
      <c r="AC204" s="672"/>
      <c r="AD204" s="672"/>
      <c r="AE204" s="672"/>
      <c r="AF204" s="672"/>
      <c r="AG204" s="672"/>
      <c r="AH204" s="672"/>
      <c r="AI204" s="672"/>
      <c r="AJ204" s="672"/>
      <c r="AK204" s="672"/>
      <c r="AL204" s="672"/>
      <c r="AM204" s="672"/>
      <c r="AN204" s="672"/>
      <c r="AO204" s="672"/>
      <c r="AP204" s="672"/>
      <c r="AQ204" s="672"/>
      <c r="AR204" s="672"/>
      <c r="AS204" s="672"/>
      <c r="AT204" s="672"/>
      <c r="AU204" s="672"/>
      <c r="AV204" s="672"/>
      <c r="AW204" s="672"/>
      <c r="AX204" s="672"/>
      <c r="AY204" s="672"/>
      <c r="AZ204" s="672"/>
      <c r="BA204" s="672"/>
      <c r="BB204" s="672"/>
      <c r="BC204" s="672"/>
      <c r="BD204" s="672"/>
      <c r="BE204" s="983"/>
      <c r="BF204" s="672"/>
      <c r="BG204" s="672"/>
      <c r="BH204" s="672"/>
      <c r="BI204" s="672"/>
      <c r="BJ204" s="672"/>
      <c r="BK204" s="672"/>
      <c r="BL204" s="672"/>
      <c r="BM204" s="672"/>
      <c r="BN204" s="672"/>
      <c r="BO204" s="672"/>
      <c r="BP204" s="672"/>
      <c r="BQ204" s="672"/>
      <c r="BR204" s="672"/>
      <c r="BS204" s="672"/>
      <c r="BT204" s="672"/>
      <c r="BU204" s="672"/>
      <c r="BV204" s="672"/>
      <c r="BW204" s="672"/>
      <c r="BX204" s="672"/>
      <c r="BY204" s="672"/>
      <c r="BZ204" s="672"/>
      <c r="CA204" s="672"/>
      <c r="CB204" s="672"/>
      <c r="CC204" s="672"/>
      <c r="CD204" s="672"/>
      <c r="CE204" s="672"/>
      <c r="CF204" s="672"/>
      <c r="CG204" s="672"/>
      <c r="CH204" s="672"/>
      <c r="CI204" s="672"/>
      <c r="CJ204" s="672"/>
      <c r="CK204" s="672"/>
      <c r="CL204" s="672"/>
      <c r="CM204" s="672"/>
      <c r="CN204" s="672"/>
      <c r="CO204" s="671"/>
      <c r="CR204" s="66"/>
      <c r="CS204" s="66"/>
      <c r="CT204" s="66"/>
      <c r="CU204" s="66"/>
      <c r="CV204" s="66"/>
      <c r="CW204" s="66"/>
    </row>
    <row r="205" spans="1:101">
      <c r="A205" s="717" t="s">
        <v>375</v>
      </c>
      <c r="B205" s="41"/>
      <c r="V205" s="89"/>
      <c r="AA205" s="190"/>
      <c r="AB205" s="415"/>
      <c r="AC205" s="713"/>
      <c r="AD205" s="713"/>
      <c r="AE205" s="713">
        <f>SUM(AB17:AE17)</f>
        <v>3662.6409999999996</v>
      </c>
      <c r="AF205" s="190"/>
      <c r="AG205" s="415">
        <f>AG17+AE17+AD17+AC17</f>
        <v>3640.8449999999998</v>
      </c>
      <c r="AH205" s="713">
        <f>AH17+AG17+AE17+AD17</f>
        <v>3608.2840000000001</v>
      </c>
      <c r="AI205" s="713">
        <f>AI17+AH17+AG17+AE17</f>
        <v>3576.4139999999998</v>
      </c>
      <c r="AJ205" s="713">
        <f>SUM(AG17:AJ17)</f>
        <v>3580.835</v>
      </c>
      <c r="AK205" s="190">
        <f>AJ205</f>
        <v>3580.835</v>
      </c>
      <c r="AL205" s="713">
        <f>AL17+AJ17+AI17+AH17</f>
        <v>3554.2979999999998</v>
      </c>
      <c r="AM205" s="713">
        <f>AM17+AL17+AJ17+AI17</f>
        <v>3518.6320000000001</v>
      </c>
      <c r="AN205" s="713">
        <f>AN17+AM17+AL17+AJ17</f>
        <v>3476.625</v>
      </c>
      <c r="AO205" s="713">
        <f>SUM(AL17:AO17)</f>
        <v>3416.4139999999998</v>
      </c>
      <c r="AP205" s="190">
        <f>AO205</f>
        <v>3416.4139999999998</v>
      </c>
      <c r="AQ205" s="415">
        <f>AQ17+AO17+AN17+AM17</f>
        <v>3161.4319999999998</v>
      </c>
      <c r="AR205" s="713">
        <f>AR17+AQ17+AO17+AN17</f>
        <v>2906.9110000000001</v>
      </c>
      <c r="AS205" s="713">
        <f>AS17+AR17+AQ17+AO17</f>
        <v>2657.1130000000003</v>
      </c>
      <c r="AT205" s="713">
        <f>SUM(AQ17:AT17)</f>
        <v>2431.3990000000003</v>
      </c>
      <c r="AU205" s="190">
        <f>AT205</f>
        <v>2431.3990000000003</v>
      </c>
      <c r="AV205" s="415">
        <f>AV17+AT17+AS17+AR17</f>
        <v>2442.0920000000001</v>
      </c>
      <c r="AW205" s="713">
        <f>AW17+AV17+AT17+AS17</f>
        <v>2465.46</v>
      </c>
      <c r="AX205" s="713">
        <f>AX17+AW17+AV17+AT17</f>
        <v>2490.317</v>
      </c>
      <c r="AY205" s="713">
        <f>SUM(AV17:AY17)</f>
        <v>2505.1779999999999</v>
      </c>
      <c r="AZ205" s="190">
        <f>AY205</f>
        <v>2505.1779999999999</v>
      </c>
      <c r="BA205" s="415">
        <f>BA17+AY17+AX17+AW17</f>
        <v>2515.7290000000003</v>
      </c>
      <c r="BB205" s="713">
        <f>BB17+BA17+AY17+AX17</f>
        <v>2520.4070000000002</v>
      </c>
      <c r="BC205" s="713">
        <f>BC17+BB17+BA17+AY17</f>
        <v>2524.913</v>
      </c>
      <c r="BD205" s="713">
        <f>SUM(BA17:BD17)</f>
        <v>2487.4390000000003</v>
      </c>
      <c r="BE205" s="615">
        <f>BD205</f>
        <v>2487.4390000000003</v>
      </c>
      <c r="BF205" s="713">
        <f>BF17+BD17+BC17+BB17</f>
        <v>2406.9259999999999</v>
      </c>
      <c r="BG205" s="713">
        <f>BG17+BF17+BD17+BC17</f>
        <v>2279.8069999999998</v>
      </c>
      <c r="BH205" s="713">
        <f>BH17+BG17+BF17+BD17</f>
        <v>2151.5169999999998</v>
      </c>
      <c r="BI205" s="713">
        <f>SUM(BF17:BI17)</f>
        <v>2061.0630000000001</v>
      </c>
      <c r="BJ205" s="190">
        <f>BI205</f>
        <v>2061.0630000000001</v>
      </c>
      <c r="BK205" s="713">
        <f>BK17+BI17+BH17+BG17</f>
        <v>1989.636</v>
      </c>
      <c r="BL205" s="713">
        <f>BL17+BK17+BI17+BH17</f>
        <v>1955.7429999999999</v>
      </c>
      <c r="BM205" s="713">
        <f>BM17+BL17+BK17+BI17</f>
        <v>1907.883</v>
      </c>
      <c r="BN205" s="713">
        <f>SUM(BK17:BN17)</f>
        <v>1870.297</v>
      </c>
      <c r="BO205" s="190">
        <f>BN205</f>
        <v>1870.297</v>
      </c>
      <c r="BP205" s="713">
        <f>BP17+BN17+BM17+BL17</f>
        <v>1797.3150000000001</v>
      </c>
      <c r="BQ205" s="713">
        <f>BQ17+BP17+BN17+BM17</f>
        <v>1690.4990000000003</v>
      </c>
      <c r="BR205" s="713">
        <f>BR17+BQ17+BP17+BN17</f>
        <v>1589.8820000000001</v>
      </c>
      <c r="BS205" s="713">
        <f>SUM(BP17:BS17)</f>
        <v>1435.4180000000001</v>
      </c>
      <c r="BT205" s="190">
        <f>BS205</f>
        <v>1435.4180000000001</v>
      </c>
      <c r="BU205" s="713">
        <f>BU17+BS17+BR17+BQ17</f>
        <v>1342.45</v>
      </c>
      <c r="BV205" s="713">
        <f>BV17+BU17+BS17+BR17</f>
        <v>1280.0740000000001</v>
      </c>
      <c r="BW205" s="713">
        <f>BW17+BV17+BU17+BS17</f>
        <v>1224.0620000000001</v>
      </c>
      <c r="BX205" s="713">
        <f>SUM(BU17:BX17)</f>
        <v>1223.4080000000001</v>
      </c>
      <c r="BY205" s="190">
        <f>BX205</f>
        <v>1223.4080000000001</v>
      </c>
      <c r="BZ205" s="713">
        <f>BZ17+BX17+BW17+BV17</f>
        <v>1236.7243708374792</v>
      </c>
      <c r="CA205" s="713">
        <f>CA17+BZ17+BX17+BW17</f>
        <v>1244.4924665046467</v>
      </c>
      <c r="CB205" s="713">
        <f>CB17+CA17+BZ17+BX17</f>
        <v>1263.0730172904828</v>
      </c>
      <c r="CC205" s="713">
        <f>SUM(BZ17:CC17)</f>
        <v>1274.1759176650157</v>
      </c>
      <c r="CD205" s="190">
        <f>CC205</f>
        <v>1274.1759176650157</v>
      </c>
      <c r="CE205" s="713">
        <f>CE17+CC17+CB17+CA17</f>
        <v>1291.7554079272845</v>
      </c>
      <c r="CF205" s="713">
        <f>CF17+CE17+CC17+CB17</f>
        <v>1308.2380748577143</v>
      </c>
      <c r="CG205" s="713">
        <f>CG17+CF17+CE17+CC17</f>
        <v>1325.5496405064941</v>
      </c>
      <c r="CH205" s="713">
        <f>SUM(CE17:CH17)</f>
        <v>1344.8552630136642</v>
      </c>
      <c r="CI205" s="190">
        <f>CH205</f>
        <v>1344.8552630136642</v>
      </c>
      <c r="CJ205" s="713">
        <f>CJ17+CH17+CG17+CF17</f>
        <v>1366.4606656496528</v>
      </c>
      <c r="CK205" s="713">
        <f>CK17+CJ17+CH17+CG17</f>
        <v>1387.0346522896025</v>
      </c>
      <c r="CL205" s="713">
        <f>CL17+CK17+CJ17+CH17</f>
        <v>1408.7608438281204</v>
      </c>
      <c r="CM205" s="713">
        <f>SUM(CJ17:CM17)</f>
        <v>1432.8301155385111</v>
      </c>
      <c r="CN205" s="190">
        <f>CM205</f>
        <v>1432.8301155385111</v>
      </c>
      <c r="CO205" s="671"/>
      <c r="CR205" s="66"/>
      <c r="CS205" s="66"/>
      <c r="CT205" s="66"/>
      <c r="CU205" s="66"/>
      <c r="CV205" s="66"/>
      <c r="CW205" s="66"/>
    </row>
    <row r="206" spans="1:101">
      <c r="A206" s="718" t="s">
        <v>248</v>
      </c>
      <c r="B206" s="41"/>
      <c r="V206" s="89"/>
      <c r="AA206" s="189"/>
      <c r="AB206" s="187"/>
      <c r="AC206" s="186"/>
      <c r="AD206" s="186"/>
      <c r="AE206" s="186">
        <f>SUM(AB27:AE27)</f>
        <v>2842.5239999999999</v>
      </c>
      <c r="AF206" s="189"/>
      <c r="AG206" s="187">
        <f>SUM(AG27,AE27,AD27,AC27)</f>
        <v>2824.66</v>
      </c>
      <c r="AH206" s="186">
        <f>SUM(AH27,AG27,AE27,AD27)</f>
        <v>2778.1390000000001</v>
      </c>
      <c r="AI206" s="186">
        <f>SUM(AI27,AH27,AG27,AE27)</f>
        <v>2743.692</v>
      </c>
      <c r="AJ206" s="186">
        <f>SUM(AG27:AJ27)</f>
        <v>2728.4839999999999</v>
      </c>
      <c r="AK206" s="189">
        <f t="shared" ref="AK206:AK211" si="334">AJ206</f>
        <v>2728.4839999999999</v>
      </c>
      <c r="AL206" s="186">
        <f>SUM(AL27,AJ27,AI27,AH27)</f>
        <v>2693.9639999999999</v>
      </c>
      <c r="AM206" s="186">
        <f>SUM(AM27,AL27,AJ27,AI27)</f>
        <v>2666.5859999999998</v>
      </c>
      <c r="AN206" s="186">
        <f>SUM(AN27,AM27,AL27,AJ27)</f>
        <v>2649.578</v>
      </c>
      <c r="AO206" s="186">
        <f>SUM(AL27:AO27)</f>
        <v>2610.761</v>
      </c>
      <c r="AP206" s="189">
        <f t="shared" ref="AP206:AP211" si="335">AO206</f>
        <v>2610.761</v>
      </c>
      <c r="AQ206" s="187">
        <f>SUM(AQ27,AO27,AN27,AM27)</f>
        <v>2408.239</v>
      </c>
      <c r="AR206" s="186">
        <f>SUM(AR27,AQ27,AO27,AN27)</f>
        <v>2213.9549999999999</v>
      </c>
      <c r="AS206" s="186">
        <f>SUM(AS27,AR27,AQ27,AO27)</f>
        <v>2004.8919999999998</v>
      </c>
      <c r="AT206" s="186">
        <f>SUM(AQ27:AT27)</f>
        <v>1816.14</v>
      </c>
      <c r="AU206" s="189">
        <f t="shared" ref="AU206:AU211" si="336">AT206</f>
        <v>1816.14</v>
      </c>
      <c r="AV206" s="187">
        <f>SUM(AV27,AT27,AS27,AR27)</f>
        <v>1832.74</v>
      </c>
      <c r="AW206" s="186">
        <f>SUM(AW27,AV27,AT27,AS27)</f>
        <v>1851.02</v>
      </c>
      <c r="AX206" s="186">
        <f>SUM(AX27,AW27,AV27,AT27)</f>
        <v>1871.42</v>
      </c>
      <c r="AY206" s="186">
        <f>SUM(AV27:AY27)</f>
        <v>1881.2559999999999</v>
      </c>
      <c r="AZ206" s="189">
        <f t="shared" ref="AZ206:AZ211" si="337">AY206</f>
        <v>1881.2559999999999</v>
      </c>
      <c r="BA206" s="187">
        <f>SUM(BA27,AY27,AX27,AW27)</f>
        <v>1886.5839999999998</v>
      </c>
      <c r="BB206" s="186">
        <f>SUM(BB27,BA27,AY27,AX27)</f>
        <v>1876.8020000000001</v>
      </c>
      <c r="BC206" s="186">
        <f>SUM(BC27,BB27,BA27,AY27)</f>
        <v>1867.5789999999997</v>
      </c>
      <c r="BD206" s="186">
        <f>SUM(BA27:BD27)</f>
        <v>1826.2399999999998</v>
      </c>
      <c r="BE206" s="616">
        <f t="shared" ref="BE206:BE211" si="338">BD206</f>
        <v>1826.2399999999998</v>
      </c>
      <c r="BF206" s="186">
        <f>SUM(BF27,BD27,BC27,BB27)</f>
        <v>1739.6020000000001</v>
      </c>
      <c r="BG206" s="186">
        <f>SUM(BG27,BF27,BD27,BC27)</f>
        <v>1614.0840000000003</v>
      </c>
      <c r="BH206" s="186">
        <f>SUM(BH27,BG27,BF27,BD27)</f>
        <v>1488.7139999999999</v>
      </c>
      <c r="BI206" s="186">
        <f>SUM(BF27:BI27)</f>
        <v>1400.796</v>
      </c>
      <c r="BJ206" s="189">
        <f t="shared" ref="BJ206:BJ211" si="339">BI206</f>
        <v>1400.796</v>
      </c>
      <c r="BK206" s="186">
        <f>SUM(BK27,BI27,BH27,BG27)</f>
        <v>1331.7170000000001</v>
      </c>
      <c r="BL206" s="186">
        <f>SUM(BL27,BK27,BI27,BH27)</f>
        <v>1299.059</v>
      </c>
      <c r="BM206" s="186">
        <f>SUM(BM27,BL27,BK27,BI27)</f>
        <v>1246.7759999999998</v>
      </c>
      <c r="BN206" s="186">
        <f>SUM(BK27:BN27)</f>
        <v>1184.0729999999999</v>
      </c>
      <c r="BO206" s="189">
        <f t="shared" ref="BO206:BO211" si="340">BN206</f>
        <v>1184.0729999999999</v>
      </c>
      <c r="BP206" s="186">
        <f>SUM(BP27,BN27,BM27,BL27)</f>
        <v>1093.6980000000001</v>
      </c>
      <c r="BQ206" s="186">
        <f>SUM(BQ27,BP27,BN27,BM27)</f>
        <v>981.13</v>
      </c>
      <c r="BR206" s="186">
        <f>SUM(BR27,BQ27,BP27,BN27)</f>
        <v>876.15200000000004</v>
      </c>
      <c r="BS206" s="186">
        <f>SUM(BP27:BS27)</f>
        <v>744.70100000000002</v>
      </c>
      <c r="BT206" s="189">
        <f t="shared" ref="BT206:BT211" si="341">BS206</f>
        <v>744.70100000000002</v>
      </c>
      <c r="BU206" s="186">
        <f>SUM(BU27,BS27,BR27,BQ27)</f>
        <v>653.37199999999996</v>
      </c>
      <c r="BV206" s="186">
        <f>SUM(BV27,BU27,BS27,BR27)</f>
        <v>580.178</v>
      </c>
      <c r="BW206" s="186">
        <f>SUM(BW27,BV27,BU27,BS27)</f>
        <v>526.01900000000001</v>
      </c>
      <c r="BX206" s="186">
        <f>SUM(BU27:BX27)</f>
        <v>512.947</v>
      </c>
      <c r="BY206" s="189">
        <f t="shared" ref="BY206:BY211" si="342">BX206</f>
        <v>512.947</v>
      </c>
      <c r="BZ206" s="186">
        <f>SUM(BZ27,BX27,BW27,BV27)</f>
        <v>523.85623887579425</v>
      </c>
      <c r="CA206" s="186">
        <f>SUM(CA27,BZ27,BX27,BW27)</f>
        <v>535.16081665836214</v>
      </c>
      <c r="CB206" s="186">
        <f>SUM(CB27,CA27,BZ27,BX27)</f>
        <v>549.54139849183366</v>
      </c>
      <c r="CC206" s="186">
        <f>SUM(BZ27:CC27)</f>
        <v>561.82604595231123</v>
      </c>
      <c r="CD206" s="189">
        <f t="shared" ref="CD206:CD211" si="343">CC206</f>
        <v>561.82604595231123</v>
      </c>
      <c r="CE206" s="186">
        <f>SUM(CE27,CC27,CB27,CA27)</f>
        <v>570.42228524036204</v>
      </c>
      <c r="CF206" s="186">
        <f>SUM(CF27,CE27,CC27,CB27)</f>
        <v>578.42582960695665</v>
      </c>
      <c r="CG206" s="186">
        <f>SUM(CG27,CF27,CE27,CC27)</f>
        <v>587.21891536393105</v>
      </c>
      <c r="CH206" s="186">
        <f>SUM(CE27:CH27)</f>
        <v>597.46247901082052</v>
      </c>
      <c r="CI206" s="189">
        <f t="shared" ref="CI206:CI211" si="344">CH206</f>
        <v>597.46247901082052</v>
      </c>
      <c r="CJ206" s="186">
        <f>SUM(CJ27,CH27,CG27,CF27)</f>
        <v>607.97127785506632</v>
      </c>
      <c r="CK206" s="186">
        <f>SUM(CK27,CJ27,CH27,CG27)</f>
        <v>617.79675550664865</v>
      </c>
      <c r="CL206" s="186">
        <f>SUM(CL27,CK27,CJ27,CH27)</f>
        <v>628.53214646289325</v>
      </c>
      <c r="CM206" s="186">
        <f>SUM(CJ27:CM27)</f>
        <v>640.87376555021615</v>
      </c>
      <c r="CN206" s="189">
        <f t="shared" ref="CN206:CN211" si="345">CM206</f>
        <v>640.87376555021615</v>
      </c>
      <c r="CO206" s="671"/>
      <c r="CR206" s="66"/>
      <c r="CS206" s="66"/>
      <c r="CT206" s="66"/>
      <c r="CU206" s="66"/>
      <c r="CV206" s="66"/>
      <c r="CW206" s="66"/>
    </row>
    <row r="207" spans="1:101">
      <c r="A207" s="718" t="s">
        <v>16</v>
      </c>
      <c r="B207" s="41"/>
      <c r="V207" s="89"/>
      <c r="AA207" s="189"/>
      <c r="AB207" s="187"/>
      <c r="AC207" s="186"/>
      <c r="AD207" s="186"/>
      <c r="AE207" s="186">
        <f>SUM(AB28:AE28)</f>
        <v>454.80400000000003</v>
      </c>
      <c r="AF207" s="189"/>
      <c r="AG207" s="187">
        <f>SUM(AG28,AE28,AD28,AC28)</f>
        <v>448.00599999999997</v>
      </c>
      <c r="AH207" s="186">
        <f>SUM(AH28,AG28,AE28,AD28)</f>
        <v>451.18899999999996</v>
      </c>
      <c r="AI207" s="186">
        <f>SUM(AI28,AH28,AG28,AE28)</f>
        <v>446.14300000000003</v>
      </c>
      <c r="AJ207" s="186">
        <f>SUM(AG28:AJ28)</f>
        <v>452.71300000000002</v>
      </c>
      <c r="AK207" s="189">
        <f t="shared" si="334"/>
        <v>452.71300000000002</v>
      </c>
      <c r="AL207" s="186">
        <f>SUM(AL28,AJ28,AI28,AH28)</f>
        <v>453.31700000000001</v>
      </c>
      <c r="AM207" s="186">
        <f>SUM(AM28,AL28,AJ28,AI28)</f>
        <v>438.08299999999997</v>
      </c>
      <c r="AN207" s="186">
        <f>SUM(AN28,AM28,AL28,AJ28)</f>
        <v>438.12200000000001</v>
      </c>
      <c r="AO207" s="186">
        <f>SUM(AL28:AO28)</f>
        <v>416.60599999999999</v>
      </c>
      <c r="AP207" s="189">
        <f t="shared" si="335"/>
        <v>416.60599999999999</v>
      </c>
      <c r="AQ207" s="187">
        <f>SUM(AQ28,AO28,AN28,AM28)</f>
        <v>380.80899999999997</v>
      </c>
      <c r="AR207" s="186">
        <f>SUM(AR28,AQ28,AO28,AN28)</f>
        <v>357.75299999999999</v>
      </c>
      <c r="AS207" s="186">
        <f>SUM(AS28,AR28,AQ28,AO28)</f>
        <v>325.81099999999998</v>
      </c>
      <c r="AT207" s="186">
        <f>SUM(AQ28:AT28)</f>
        <v>292.39</v>
      </c>
      <c r="AU207" s="189">
        <f t="shared" si="336"/>
        <v>292.39</v>
      </c>
      <c r="AV207" s="187">
        <f>SUM(AV28,AT28,AS28,AR28)</f>
        <v>290.00900000000001</v>
      </c>
      <c r="AW207" s="186">
        <f>SUM(AW28,AV28,AT28,AS28)</f>
        <v>288.89800000000002</v>
      </c>
      <c r="AX207" s="186">
        <f>SUM(AX28,AW28,AV28,AT28)</f>
        <v>295.06700000000001</v>
      </c>
      <c r="AY207" s="186">
        <f>SUM(AV28:AY28)</f>
        <v>287.80799999999999</v>
      </c>
      <c r="AZ207" s="189">
        <f t="shared" si="337"/>
        <v>287.80799999999999</v>
      </c>
      <c r="BA207" s="187">
        <f>SUM(BA28,AY28,AX28,AW28)</f>
        <v>280.81399999999996</v>
      </c>
      <c r="BB207" s="186">
        <f>SUM(BB28,BA28,AY28,AX28)</f>
        <v>282.26400000000001</v>
      </c>
      <c r="BC207" s="186">
        <f>SUM(BC28,BB28,BA28,AY28)</f>
        <v>286.60699999999997</v>
      </c>
      <c r="BD207" s="186">
        <f>SUM(BA28:BD28)</f>
        <v>293.79200000000003</v>
      </c>
      <c r="BE207" s="616">
        <f t="shared" si="338"/>
        <v>293.79200000000003</v>
      </c>
      <c r="BF207" s="186">
        <f>SUM(BF28,BD28,BC28,BB28)</f>
        <v>298.84800000000001</v>
      </c>
      <c r="BG207" s="186">
        <f>SUM(BG28,BF28,BD28,BC28)</f>
        <v>291.03499999999997</v>
      </c>
      <c r="BH207" s="186">
        <f>SUM(BH28,BG28,BF28,BD28)</f>
        <v>280.291</v>
      </c>
      <c r="BI207" s="186">
        <f>SUM(BF28:BI28)</f>
        <v>263.25700000000001</v>
      </c>
      <c r="BJ207" s="189">
        <f t="shared" si="339"/>
        <v>263.25700000000001</v>
      </c>
      <c r="BK207" s="186">
        <f>SUM(BK28,BI28,BH28,BG28)</f>
        <v>252.589</v>
      </c>
      <c r="BL207" s="186">
        <f>SUM(BL28,BK28,BI28,BH28)</f>
        <v>246.37799999999999</v>
      </c>
      <c r="BM207" s="186">
        <f>SUM(BM28,BL28,BK28,BI28)</f>
        <v>244.28700000000001</v>
      </c>
      <c r="BN207" s="186">
        <f>SUM(BK28:BN28)</f>
        <v>256.553</v>
      </c>
      <c r="BO207" s="189">
        <f t="shared" si="340"/>
        <v>256.553</v>
      </c>
      <c r="BP207" s="186">
        <f>SUM(BP28,BN28,BM28,BL28)</f>
        <v>261.50099999999998</v>
      </c>
      <c r="BQ207" s="186">
        <f>SUM(BQ28,BP28,BN28,BM28)</f>
        <v>261.85399999999998</v>
      </c>
      <c r="BR207" s="186">
        <f>SUM(BR28,BQ28,BP28,BN28)</f>
        <v>257.10900000000004</v>
      </c>
      <c r="BS207" s="186">
        <f>SUM(BP28:BS28)</f>
        <v>245.86900000000003</v>
      </c>
      <c r="BT207" s="189">
        <f t="shared" si="341"/>
        <v>245.86900000000003</v>
      </c>
      <c r="BU207" s="186">
        <f>SUM(BU28,BS28,BR28,BQ28)</f>
        <v>233.673</v>
      </c>
      <c r="BV207" s="186">
        <f>SUM(BV28,BU28,BS28,BR28)</f>
        <v>223.82900000000001</v>
      </c>
      <c r="BW207" s="186">
        <f>SUM(BW28,BV28,BU28,BS28)</f>
        <v>217.851</v>
      </c>
      <c r="BX207" s="186">
        <f>SUM(BU28:BX28)</f>
        <v>208.58099999999999</v>
      </c>
      <c r="BY207" s="189">
        <f t="shared" si="342"/>
        <v>208.58099999999999</v>
      </c>
      <c r="BZ207" s="186">
        <f>SUM(BZ28,BX28,BW28,BV28)</f>
        <v>206.11072000000001</v>
      </c>
      <c r="CA207" s="186">
        <f>SUM(CA28,BZ28,BX28,BW28)</f>
        <v>204.16706000000002</v>
      </c>
      <c r="CB207" s="186">
        <f>SUM(CB28,CA28,BZ28,BX28)</f>
        <v>199.38545999999999</v>
      </c>
      <c r="CC207" s="186">
        <f>SUM(BZ28:CC28)</f>
        <v>195.08156000000002</v>
      </c>
      <c r="CD207" s="189">
        <f t="shared" si="343"/>
        <v>195.08156000000002</v>
      </c>
      <c r="CE207" s="186">
        <f>SUM(CE28,CC28,CB28,CA28)</f>
        <v>193.28237120000003</v>
      </c>
      <c r="CF207" s="186">
        <f>SUM(CF28,CE28,CC28,CB28)</f>
        <v>191.50891760000002</v>
      </c>
      <c r="CG207" s="186">
        <f>SUM(CG28,CF28,CE28,CC28)</f>
        <v>189.78178160000004</v>
      </c>
      <c r="CH207" s="186">
        <f>SUM(CE28:CH28)</f>
        <v>188.07829759999998</v>
      </c>
      <c r="CI207" s="189">
        <f t="shared" si="344"/>
        <v>188.07829759999998</v>
      </c>
      <c r="CJ207" s="186">
        <f>SUM(CJ28,CH28,CG28,CF28)</f>
        <v>185.91927104000001</v>
      </c>
      <c r="CK207" s="186">
        <f>SUM(CK28,CJ28,CH28,CG28)</f>
        <v>183.79112671999999</v>
      </c>
      <c r="CL207" s="186">
        <f>SUM(CL28,CK28,CJ28,CH28)</f>
        <v>181.71856352000003</v>
      </c>
      <c r="CM207" s="186">
        <f>SUM(CJ28:CM28)</f>
        <v>179.67438271999998</v>
      </c>
      <c r="CN207" s="189">
        <f t="shared" si="345"/>
        <v>179.67438271999998</v>
      </c>
      <c r="CO207" s="671"/>
      <c r="CR207" s="66"/>
      <c r="CS207" s="66"/>
      <c r="CT207" s="66"/>
      <c r="CU207" s="66"/>
      <c r="CV207" s="66"/>
      <c r="CW207" s="66"/>
    </row>
    <row r="208" spans="1:101">
      <c r="A208" s="718" t="s">
        <v>221</v>
      </c>
      <c r="B208" s="41"/>
      <c r="V208" s="89"/>
      <c r="AA208" s="189"/>
      <c r="AB208" s="187"/>
      <c r="AC208" s="186"/>
      <c r="AD208" s="186"/>
      <c r="AE208" s="186">
        <f>SUM(AB38:AE38)</f>
        <v>-392.85400000000084</v>
      </c>
      <c r="AF208" s="189"/>
      <c r="AG208" s="187">
        <f>SUM(AG38,AE38,AD38,AC38)</f>
        <v>-398.33000000000072</v>
      </c>
      <c r="AH208" s="186">
        <f>SUM(AH38,AG38,AE38,AD38)</f>
        <v>-387.20400000000063</v>
      </c>
      <c r="AI208" s="186">
        <f>SUM(AI38,AH38,AG38,AE38)</f>
        <v>-312.95700000000033</v>
      </c>
      <c r="AJ208" s="186">
        <f>SUM(AG38:AJ38)</f>
        <v>111.97599999999989</v>
      </c>
      <c r="AK208" s="189">
        <f t="shared" si="334"/>
        <v>111.97599999999989</v>
      </c>
      <c r="AL208" s="186">
        <f>SUM(AL38,AJ38,AI38,AH38)</f>
        <v>124.37499999999989</v>
      </c>
      <c r="AM208" s="186">
        <f>SUM(AM38,AL38,AJ38,AI38)</f>
        <v>140.53099999999995</v>
      </c>
      <c r="AN208" s="186">
        <f>SUM(AN38,AM38,AL38,AJ38)</f>
        <v>104.05400000000009</v>
      </c>
      <c r="AO208" s="186">
        <f>SUM(AL38:AO38)</f>
        <v>132.38800000000003</v>
      </c>
      <c r="AP208" s="189">
        <f t="shared" si="335"/>
        <v>132.38800000000003</v>
      </c>
      <c r="AQ208" s="187">
        <f>SUM(AQ38,AO38,AN38,AM38)</f>
        <v>134.2120000000001</v>
      </c>
      <c r="AR208" s="186">
        <f>SUM(AR38,AQ38,AO38,AN38)</f>
        <v>109.02200000000028</v>
      </c>
      <c r="AS208" s="186">
        <f>SUM(AS38,AR38,AQ38,AO38)</f>
        <v>121.06700000000001</v>
      </c>
      <c r="AT208" s="186">
        <f>SUM(AQ38:AT38)</f>
        <v>137.30000000000018</v>
      </c>
      <c r="AU208" s="189">
        <f t="shared" si="336"/>
        <v>137.30000000000018</v>
      </c>
      <c r="AV208" s="187">
        <f>SUM(AV38,AT38,AS38,AR38)</f>
        <v>129.9970000000003</v>
      </c>
      <c r="AW208" s="186">
        <f>SUM(AW38,AV38,AT38,AS38)</f>
        <v>120.91499999999996</v>
      </c>
      <c r="AX208" s="186">
        <f>SUM(AX38,AW38,AV38,AT38)</f>
        <v>119.69799999999998</v>
      </c>
      <c r="AY208" s="186">
        <f>SUM(AV38:AY38)</f>
        <v>122.67499999999984</v>
      </c>
      <c r="AZ208" s="189">
        <f t="shared" si="337"/>
        <v>122.67499999999984</v>
      </c>
      <c r="BA208" s="187">
        <f>SUM(BA38,AY38,AX38,AW38)</f>
        <v>124.31199999999978</v>
      </c>
      <c r="BB208" s="186">
        <f>SUM(BB38,BA38,AY38,AX38)</f>
        <v>142.9129999999999</v>
      </c>
      <c r="BC208" s="186">
        <f>SUM(BC38,BB38,BA38,AY38)</f>
        <v>138.54999999999995</v>
      </c>
      <c r="BD208" s="186">
        <f>SUM(BA38:BD38)</f>
        <v>135.17099999999982</v>
      </c>
      <c r="BE208" s="616">
        <f t="shared" si="338"/>
        <v>135.17099999999982</v>
      </c>
      <c r="BF208" s="186">
        <f>SUM(BF38,BD38,BC38,BB38)</f>
        <v>201.69399999999973</v>
      </c>
      <c r="BG208" s="186">
        <f>SUM(BG38,BF38,BD38,BC38)</f>
        <v>208.55599999999987</v>
      </c>
      <c r="BH208" s="186">
        <f>SUM(BH38,BG38,BF38,BD38)</f>
        <v>228.66899999999993</v>
      </c>
      <c r="BI208" s="186">
        <f>SUM(BF38:BI38)</f>
        <v>251.50800000000015</v>
      </c>
      <c r="BJ208" s="189">
        <f t="shared" si="339"/>
        <v>251.50800000000015</v>
      </c>
      <c r="BK208" s="186">
        <f>SUM(BK38,BI38,BH38,BG38)</f>
        <v>200.40500000000014</v>
      </c>
      <c r="BL208" s="186">
        <f>SUM(BL38,BK38,BI38,BH38)</f>
        <v>200.85900000000004</v>
      </c>
      <c r="BM208" s="186">
        <f>SUM(BM38,BL38,BK38,BI38)</f>
        <v>209.87500000000006</v>
      </c>
      <c r="BN208" s="186">
        <f>SUM(BK38:BN38)</f>
        <v>274.47000000000003</v>
      </c>
      <c r="BO208" s="189">
        <f t="shared" si="340"/>
        <v>274.47000000000003</v>
      </c>
      <c r="BP208" s="186">
        <f>SUM(BP38,BN38,BM38,BL38)</f>
        <v>300.38800000000003</v>
      </c>
      <c r="BQ208" s="186">
        <f>SUM(BQ38,BP38,BN38,BM38)</f>
        <v>301.72800000000001</v>
      </c>
      <c r="BR208" s="186">
        <f>SUM(BR38,BQ38,BP38,BN38)</f>
        <v>351.87699999999995</v>
      </c>
      <c r="BS208" s="186">
        <f>SUM(BP38:BS38)</f>
        <v>314.77999999999997</v>
      </c>
      <c r="BT208" s="189">
        <f t="shared" si="341"/>
        <v>314.77999999999997</v>
      </c>
      <c r="BU208" s="186">
        <f>SUM(BU38,BS38,BR38,BQ38)</f>
        <v>311.67099999999988</v>
      </c>
      <c r="BV208" s="186">
        <f>SUM(BV38,BU38,BS38,BR38)</f>
        <v>271.81699999999995</v>
      </c>
      <c r="BW208" s="186">
        <f>SUM(BW38,BV38,BU38,BS38)</f>
        <v>227.38599999999997</v>
      </c>
      <c r="BX208" s="186">
        <f>SUM(BU38:BX38)</f>
        <v>214.75799999999995</v>
      </c>
      <c r="BY208" s="189">
        <f t="shared" si="342"/>
        <v>214.75799999999995</v>
      </c>
      <c r="BZ208" s="186">
        <f>SUM(BZ38,BX38,BW38,BV38)</f>
        <v>214.7915019313493</v>
      </c>
      <c r="CA208" s="186">
        <f>SUM(CA38,BZ38,BX38,BW38)</f>
        <v>269.17453910489979</v>
      </c>
      <c r="CB208" s="186">
        <f>SUM(CB38,CA38,BZ38,BX38)</f>
        <v>281.09254888661917</v>
      </c>
      <c r="CC208" s="186">
        <f>SUM(BZ38:CC38)</f>
        <v>290.4951038371882</v>
      </c>
      <c r="CD208" s="189">
        <f t="shared" si="343"/>
        <v>290.4951038371882</v>
      </c>
      <c r="CE208" s="186">
        <f>SUM(CE38,CC38,CB38,CA38)</f>
        <v>302.65882829270231</v>
      </c>
      <c r="CF208" s="186">
        <f>SUM(CF38,CE38,CC38,CB38)</f>
        <v>314.36096807655974</v>
      </c>
      <c r="CG208" s="186">
        <f>SUM(CG38,CF38,CE38,CC38)</f>
        <v>326.02376247943971</v>
      </c>
      <c r="CH208" s="186">
        <f>SUM(CE38:CH38)</f>
        <v>338.20464024141643</v>
      </c>
      <c r="CI208" s="189">
        <f t="shared" si="344"/>
        <v>338.20464024141643</v>
      </c>
      <c r="CJ208" s="186">
        <f>SUM(CJ38,CH38,CG38,CF38)</f>
        <v>349.5048777629703</v>
      </c>
      <c r="CK208" s="186">
        <f>SUM(CK38,CJ38,CH38,CG38)</f>
        <v>360.48477130503665</v>
      </c>
      <c r="CL208" s="186">
        <f>SUM(CL38,CK38,CJ38,CH38)</f>
        <v>371.57966092523088</v>
      </c>
      <c r="CM208" s="186">
        <f>SUM(CJ38:CM38)</f>
        <v>383.35544789330663</v>
      </c>
      <c r="CN208" s="189">
        <f t="shared" si="345"/>
        <v>383.35544789330663</v>
      </c>
      <c r="CO208" s="671"/>
      <c r="CR208" s="66"/>
      <c r="CS208" s="66"/>
      <c r="CT208" s="66"/>
      <c r="CU208" s="66"/>
      <c r="CV208" s="66"/>
      <c r="CW208" s="66"/>
    </row>
    <row r="209" spans="1:256">
      <c r="A209" s="718" t="s">
        <v>439</v>
      </c>
      <c r="B209" s="41"/>
      <c r="V209" s="89"/>
      <c r="AA209" s="189"/>
      <c r="AB209" s="187"/>
      <c r="AC209" s="186"/>
      <c r="AD209" s="186"/>
      <c r="AE209" s="186">
        <f>SUM(AE42,AD42,AC42,AB42)</f>
        <v>366.9369999999991</v>
      </c>
      <c r="AF209" s="189"/>
      <c r="AG209" s="187">
        <f>SUM(AG42,AE42,AD42,AC42)</f>
        <v>372.18199999999928</v>
      </c>
      <c r="AH209" s="186">
        <f>SUM(AH42,AG42,AE42,AD42)</f>
        <v>385.87499999999937</v>
      </c>
      <c r="AI209" s="186">
        <f>SUM(AI42,AH42,AG42,AE42)</f>
        <v>396.27499999999964</v>
      </c>
      <c r="AJ209" s="186">
        <f>SUM(AJ42,AI42,AH42,AG42)</f>
        <v>425.20499999999993</v>
      </c>
      <c r="AK209" s="189">
        <f t="shared" si="334"/>
        <v>425.20499999999993</v>
      </c>
      <c r="AL209" s="186">
        <f>SUM(AL42,AJ42,AI42,AH42)</f>
        <v>436.96899999999999</v>
      </c>
      <c r="AM209" s="186">
        <f>SUM(AM42,AL42,AJ42,AI42)</f>
        <v>440.673</v>
      </c>
      <c r="AN209" s="186">
        <f>SUM(AN42,AM42,AL42,AJ42)</f>
        <v>410.78400000000011</v>
      </c>
      <c r="AO209" s="186">
        <f>SUM(AO42,AN42,AM42,AL42)</f>
        <v>389.72100000000012</v>
      </c>
      <c r="AP209" s="189">
        <f t="shared" si="335"/>
        <v>389.72100000000012</v>
      </c>
      <c r="AQ209" s="187">
        <f>SUM(AQ42,AO42,AN42,AM42)</f>
        <v>371.39200000000017</v>
      </c>
      <c r="AR209" s="186">
        <f>SUM(AR42,AQ42,AO42,AN42)</f>
        <v>339.94100000000032</v>
      </c>
      <c r="AS209" s="186">
        <f>SUM(AS42,AR42,AQ42,AO42)</f>
        <v>332.47500000000008</v>
      </c>
      <c r="AT209" s="186">
        <f>SUM(AT42,AS42,AR42,AQ42)</f>
        <v>331.06600000000014</v>
      </c>
      <c r="AU209" s="189">
        <f t="shared" si="336"/>
        <v>331.06600000000014</v>
      </c>
      <c r="AV209" s="187">
        <f>SUM(AV42,AT42,AS42,AR42)</f>
        <v>316.64900000000034</v>
      </c>
      <c r="AW209" s="186">
        <f>SUM(AW42,AV42,AT42,AS42)</f>
        <v>316.29599999999994</v>
      </c>
      <c r="AX209" s="186">
        <f>SUM(AX42,AW42,AV42,AT42)</f>
        <v>313.73199999999997</v>
      </c>
      <c r="AY209" s="186">
        <f>SUM(AY42,AX42,AW42,AV42)</f>
        <v>328.74499999999983</v>
      </c>
      <c r="AZ209" s="189">
        <f t="shared" si="337"/>
        <v>328.74499999999983</v>
      </c>
      <c r="BA209" s="187">
        <f>SUM(BA42,AY42,AX42,AW42)</f>
        <v>346.76299999999981</v>
      </c>
      <c r="BB209" s="186">
        <f>SUM(BB42,BA42,AY42,AX42)</f>
        <v>359.77799999999991</v>
      </c>
      <c r="BC209" s="186">
        <f>SUM(BC42,BB42,BA42,AY42)</f>
        <v>374.03399999999988</v>
      </c>
      <c r="BD209" s="186">
        <f>SUM(BD42,BC42,BB42,BA42)</f>
        <v>367.16199999999981</v>
      </c>
      <c r="BE209" s="616">
        <f t="shared" si="338"/>
        <v>367.16199999999981</v>
      </c>
      <c r="BF209" s="186">
        <f>SUM(BF42,BD42,BC42,BB42)</f>
        <v>426.05999999999977</v>
      </c>
      <c r="BG209" s="186">
        <f>SUM(BG42,BF42,BD42,BC42)</f>
        <v>423.07399999999996</v>
      </c>
      <c r="BH209" s="186">
        <f>SUM(BH42,BG42,BF42,BD42)</f>
        <v>418.46199999999999</v>
      </c>
      <c r="BI209" s="186">
        <f>SUM(BI42,BH42,BG42,BF42)</f>
        <v>436.5060000000002</v>
      </c>
      <c r="BJ209" s="189">
        <f t="shared" si="339"/>
        <v>436.5060000000002</v>
      </c>
      <c r="BK209" s="186">
        <f>SUM(BK42,BI42,BH42,BG42)</f>
        <v>381.09300000000013</v>
      </c>
      <c r="BL209" s="186">
        <f>SUM(BL42,BK42,BI42,BH42)</f>
        <v>386.27700000000004</v>
      </c>
      <c r="BM209" s="186">
        <f>SUM(BM42,BL42,BK42,BI42)</f>
        <v>391.87600000000009</v>
      </c>
      <c r="BN209" s="186">
        <f>SUM(BN42,BM42,BL42,BK42)</f>
        <v>392.423</v>
      </c>
      <c r="BO209" s="189">
        <f t="shared" si="340"/>
        <v>392.423</v>
      </c>
      <c r="BP209" s="186">
        <f>SUM(BP42,BN42,BM42,BL42)</f>
        <v>409.71500000000003</v>
      </c>
      <c r="BQ209" s="186">
        <f>SUM(BQ42,BP42,BN42,BM42)</f>
        <v>407.91399999999999</v>
      </c>
      <c r="BR209" s="186">
        <f>SUM(BR42,BQ42,BP42,BN42)</f>
        <v>408.37399999999991</v>
      </c>
      <c r="BS209" s="186">
        <f>SUM(BS42,BR42,BQ42,BP42)</f>
        <v>391.8769999999999</v>
      </c>
      <c r="BT209" s="189">
        <f t="shared" si="341"/>
        <v>391.8769999999999</v>
      </c>
      <c r="BU209" s="186">
        <f>SUM(BU42,BS42,BR42,BQ42)</f>
        <v>382.94299999999981</v>
      </c>
      <c r="BV209" s="186">
        <f>SUM(BV42,BU42,BS42,BR42)</f>
        <v>396.56299999999987</v>
      </c>
      <c r="BW209" s="186">
        <f>SUM(BW42,BV42,BU42,BS42)</f>
        <v>393.28699999999998</v>
      </c>
      <c r="BX209" s="186">
        <f>SUM(BX42,BW42,BV42,BU42)</f>
        <v>406.19199999999995</v>
      </c>
      <c r="BY209" s="189">
        <f t="shared" si="342"/>
        <v>406.19199999999995</v>
      </c>
      <c r="BZ209" s="186">
        <f>SUM(BZ42,BX42,BW42,BV42)</f>
        <v>411.67057693134927</v>
      </c>
      <c r="CA209" s="186">
        <f>SUM(CA42,BZ42,BX42,BW42)</f>
        <v>411.89860910489983</v>
      </c>
      <c r="CB209" s="186">
        <f>SUM(CB42,CA42,BZ42,BX42)</f>
        <v>424.62349888661913</v>
      </c>
      <c r="CC209" s="186">
        <f>SUM(CC42,CB42,CA42,BZ42)</f>
        <v>431.4422083871882</v>
      </c>
      <c r="CD209" s="189">
        <f t="shared" si="343"/>
        <v>431.4422083871882</v>
      </c>
      <c r="CE209" s="186">
        <f>SUM(CE42,CC42,CB42,CA42)</f>
        <v>441.09631434270227</v>
      </c>
      <c r="CF209" s="186">
        <f>SUM(CF42,CE42,CC42,CB42)</f>
        <v>450.33407402655973</v>
      </c>
      <c r="CG209" s="186">
        <f>SUM(CG42,CF42,CE42,CC42)</f>
        <v>459.53052602943978</v>
      </c>
      <c r="CH209" s="186">
        <f>SUM(CH42,CG42,CF42,CE42)</f>
        <v>469.22068688241643</v>
      </c>
      <c r="CI209" s="189">
        <f t="shared" si="344"/>
        <v>469.22068688241643</v>
      </c>
      <c r="CJ209" s="186">
        <f>SUM(CJ42,CH42,CG42,CF42)</f>
        <v>481.14861353397021</v>
      </c>
      <c r="CK209" s="186">
        <f>SUM(CK42,CJ42,CH42,CG42)</f>
        <v>492.80233937403665</v>
      </c>
      <c r="CL209" s="186">
        <f>SUM(CL42,CK42,CJ42,CH42)</f>
        <v>504.56905974623078</v>
      </c>
      <c r="CM209" s="186">
        <f>SUM(CM42,CL42,CK42,CJ42)</f>
        <v>516.99181546712657</v>
      </c>
      <c r="CN209" s="189">
        <f t="shared" si="345"/>
        <v>516.99181546712657</v>
      </c>
      <c r="CO209" s="671"/>
      <c r="CR209" s="66"/>
      <c r="CS209" s="66"/>
      <c r="CT209" s="66"/>
      <c r="CU209" s="66"/>
      <c r="CV209" s="66"/>
      <c r="CW209" s="66"/>
    </row>
    <row r="210" spans="1:256">
      <c r="A210" s="718" t="s">
        <v>249</v>
      </c>
      <c r="B210" s="41"/>
      <c r="V210" s="89"/>
      <c r="AA210" s="189"/>
      <c r="AB210" s="187"/>
      <c r="AC210" s="186"/>
      <c r="AD210" s="186"/>
      <c r="AE210" s="186">
        <f>SUM(AB44:AE44)</f>
        <v>100.41200000000001</v>
      </c>
      <c r="AF210" s="189"/>
      <c r="AG210" s="187">
        <f>SUM(AG44,AE44,AD44,AC44)</f>
        <v>98.025000000000006</v>
      </c>
      <c r="AH210" s="186">
        <f>SUM(AH44,AG44,AE44,AD44)</f>
        <v>104.17700000000001</v>
      </c>
      <c r="AI210" s="186">
        <f>SUM(AI44,AH44,AG44,AE44)</f>
        <v>115.66000000000001</v>
      </c>
      <c r="AJ210" s="186">
        <f>SUM(AG44:AJ44)</f>
        <v>126.708</v>
      </c>
      <c r="AK210" s="189">
        <f t="shared" si="334"/>
        <v>126.708</v>
      </c>
      <c r="AL210" s="187">
        <f>SUM(AL44,AJ44,AI44,AH44)</f>
        <v>140.83699999999999</v>
      </c>
      <c r="AM210" s="186">
        <f>SUM(AM44,AL44,AJ44,AI44)</f>
        <v>144.161</v>
      </c>
      <c r="AN210" s="186">
        <f>SUM(AN44,AM44,AL44,AJ44)</f>
        <v>141.572</v>
      </c>
      <c r="AO210" s="186">
        <f>SUM(AL44:AO44)</f>
        <v>137.22899999999998</v>
      </c>
      <c r="AP210" s="189">
        <f t="shared" si="335"/>
        <v>137.22899999999998</v>
      </c>
      <c r="AQ210" s="187">
        <f>SUM(AQ44,AO44,AN44,AM44)</f>
        <v>130.393</v>
      </c>
      <c r="AR210" s="186">
        <f>SUM(AR44,AQ44,AO44,AN44)</f>
        <v>124.09299999999999</v>
      </c>
      <c r="AS210" s="186">
        <f>SUM(AS44,AR44,AQ44,AO44)</f>
        <v>118.60899999999999</v>
      </c>
      <c r="AT210" s="186">
        <f>SUM(AQ44:AT44)</f>
        <v>114.10999999999999</v>
      </c>
      <c r="AU210" s="189">
        <f t="shared" si="336"/>
        <v>114.10999999999999</v>
      </c>
      <c r="AV210" s="187">
        <f>SUM(AV44,AT44,AS44,AR44)</f>
        <v>112.90299999999999</v>
      </c>
      <c r="AW210" s="186">
        <f>SUM(AW44,AV44,AT44,AS44)</f>
        <v>112.81599999999999</v>
      </c>
      <c r="AX210" s="186">
        <f>SUM(AX44,AW44,AV44,AT44)</f>
        <v>105.99799999999999</v>
      </c>
      <c r="AY210" s="186">
        <f>SUM(AV44:AY44)</f>
        <v>98.603999999999999</v>
      </c>
      <c r="AZ210" s="189">
        <f t="shared" si="337"/>
        <v>98.603999999999999</v>
      </c>
      <c r="BA210" s="187">
        <f>SUM(BA44,AY44,AX44,AW44)</f>
        <v>91.332999999999998</v>
      </c>
      <c r="BB210" s="186">
        <f>SUM(BB44,BA44,AY44,AX44)</f>
        <v>82.295000000000002</v>
      </c>
      <c r="BC210" s="186">
        <f>SUM(BC44,BB44,BA44,AY44)</f>
        <v>76.34899999999999</v>
      </c>
      <c r="BD210" s="186">
        <f>SUM(BA44:BD44)</f>
        <v>69.012</v>
      </c>
      <c r="BE210" s="616">
        <f t="shared" si="338"/>
        <v>69.012</v>
      </c>
      <c r="BF210" s="186">
        <f>SUM(BF44,BD44,BC44,BB44)</f>
        <v>61.041999999999994</v>
      </c>
      <c r="BG210" s="186">
        <f>SUM(BG44,BF44,BD44,BC44)</f>
        <v>55.207999999999998</v>
      </c>
      <c r="BH210" s="186">
        <f>SUM(BH44,BG44,BF44,BD44)</f>
        <v>52.792000000000002</v>
      </c>
      <c r="BI210" s="186">
        <f>SUM(BF44:BI44)</f>
        <v>52.192000000000007</v>
      </c>
      <c r="BJ210" s="189">
        <f t="shared" si="339"/>
        <v>52.192000000000007</v>
      </c>
      <c r="BK210" s="186">
        <f>SUM(BK44,BI44,BH44,BG44)</f>
        <v>51.941000000000003</v>
      </c>
      <c r="BL210" s="186">
        <f>SUM(BL44,BK44,BI44,BH44)</f>
        <v>56.012000000000008</v>
      </c>
      <c r="BM210" s="186">
        <f>SUM(BM44,BL44,BK44,BI44)</f>
        <v>70.745999999999995</v>
      </c>
      <c r="BN210" s="186">
        <f>SUM(BK44:BN44)</f>
        <v>86.067000000000007</v>
      </c>
      <c r="BO210" s="189">
        <f t="shared" si="340"/>
        <v>86.067000000000007</v>
      </c>
      <c r="BP210" s="186">
        <f>SUM(BP44,BN44,BM44,BL44)</f>
        <v>101.43299999999999</v>
      </c>
      <c r="BQ210" s="186">
        <f>SUM(BQ44,BP44,BN44,BM44)</f>
        <v>112.875</v>
      </c>
      <c r="BR210" s="186">
        <f>SUM(BR44,BQ44,BP44,BN44)</f>
        <v>113.66800000000001</v>
      </c>
      <c r="BS210" s="186">
        <f>SUM(BP44:BS44)</f>
        <v>114.80200000000001</v>
      </c>
      <c r="BT210" s="189">
        <f t="shared" si="341"/>
        <v>114.80200000000001</v>
      </c>
      <c r="BU210" s="186">
        <f>SUM(BU44,BS44,BR44,BQ44)</f>
        <v>115.66800000000001</v>
      </c>
      <c r="BV210" s="186">
        <f>SUM(BV44,BU44,BS44,BR44)</f>
        <v>115.96000000000001</v>
      </c>
      <c r="BW210" s="186">
        <f>SUM(BW44,BV44,BU44,BS44)</f>
        <v>117.206</v>
      </c>
      <c r="BX210" s="186">
        <f>SUM(BU44:BX44)</f>
        <v>118.059</v>
      </c>
      <c r="BY210" s="189">
        <f t="shared" si="342"/>
        <v>118.059</v>
      </c>
      <c r="BZ210" s="186">
        <f>SUM(BZ44,BX44,BW44,BV44)</f>
        <v>119.03812175</v>
      </c>
      <c r="CA210" s="186">
        <f>SUM(CA44,BZ44,BX44,BW44)</f>
        <v>120.0572435</v>
      </c>
      <c r="CB210" s="186">
        <f>SUM(CB44,CA44,BZ44,BX44)</f>
        <v>120.03436524999999</v>
      </c>
      <c r="CC210" s="186">
        <f>SUM(BZ44:CC44)</f>
        <v>119.816487</v>
      </c>
      <c r="CD210" s="189">
        <f t="shared" si="343"/>
        <v>119.816487</v>
      </c>
      <c r="CE210" s="186">
        <f>SUM(CE44,CC44,CB44,CA44)</f>
        <v>119.816487</v>
      </c>
      <c r="CF210" s="186">
        <f>SUM(CF44,CE44,CC44,CB44)</f>
        <v>119.816487</v>
      </c>
      <c r="CG210" s="186">
        <f>SUM(CG44,CF44,CE44,CC44)</f>
        <v>119.816487</v>
      </c>
      <c r="CH210" s="186">
        <f>SUM(CE44:CH44)</f>
        <v>119.816487</v>
      </c>
      <c r="CI210" s="189">
        <f t="shared" si="344"/>
        <v>119.816487</v>
      </c>
      <c r="CJ210" s="186">
        <f>SUM(CJ44,CH44,CG44,CF44)</f>
        <v>119.816487</v>
      </c>
      <c r="CK210" s="186">
        <f>SUM(CK44,CJ44,CH44,CG44)</f>
        <v>119.816487</v>
      </c>
      <c r="CL210" s="186">
        <f>SUM(CL44,CK44,CJ44,CH44)</f>
        <v>119.816487</v>
      </c>
      <c r="CM210" s="186">
        <f>SUM(CJ44:CM44)</f>
        <v>119.816487</v>
      </c>
      <c r="CN210" s="189">
        <f t="shared" si="345"/>
        <v>119.816487</v>
      </c>
      <c r="CO210" s="671"/>
      <c r="CR210" s="66"/>
      <c r="CS210" s="66"/>
      <c r="CT210" s="66"/>
      <c r="CU210" s="66"/>
      <c r="CV210" s="66"/>
      <c r="CW210" s="66"/>
    </row>
    <row r="211" spans="1:256">
      <c r="A211" s="719" t="s">
        <v>409</v>
      </c>
      <c r="B211" s="41"/>
      <c r="V211" s="184"/>
      <c r="AA211" s="714"/>
      <c r="AB211" s="715"/>
      <c r="AC211" s="716"/>
      <c r="AD211" s="716"/>
      <c r="AE211" s="716">
        <f>SUM(AB55:AE55)</f>
        <v>-492.02600000000086</v>
      </c>
      <c r="AF211" s="714"/>
      <c r="AG211" s="715">
        <f>SUM(AG55,AE55,AD55,AC55)</f>
        <v>-437.8670000000007</v>
      </c>
      <c r="AH211" s="716">
        <f>SUM(AH55,AG55,AE55,AD55)</f>
        <v>-435.39400000000063</v>
      </c>
      <c r="AI211" s="716">
        <f>SUM(AI55,AH55,AG55,AE55)</f>
        <v>-378.57200000000029</v>
      </c>
      <c r="AJ211" s="716">
        <f>SUM(AG55:AJ55)</f>
        <v>5.0619999999998821</v>
      </c>
      <c r="AK211" s="714">
        <f t="shared" si="334"/>
        <v>5.0619999999998821</v>
      </c>
      <c r="AL211" s="716">
        <f>SUM(AL55,AJ55,AI55,AH55)</f>
        <v>12.585999999999887</v>
      </c>
      <c r="AM211" s="716">
        <f>SUM(AM55,AL55,AJ55,AI55)</f>
        <v>8.4359999999999395</v>
      </c>
      <c r="AN211" s="716">
        <f>SUM(AN55,AM55,AL55,AJ55)</f>
        <v>-7.1609999999999241</v>
      </c>
      <c r="AO211" s="716">
        <f>SUM(AL55:AO55)</f>
        <v>-4.3249999999999771</v>
      </c>
      <c r="AP211" s="714">
        <f t="shared" si="335"/>
        <v>-4.3249999999999771</v>
      </c>
      <c r="AQ211" s="716">
        <f>SUM(AQ55,AO55,AN55,AM55)</f>
        <v>-1.0809999999999089</v>
      </c>
      <c r="AR211" s="716">
        <f>SUM(AR55,AQ55,AO55,AN55)</f>
        <v>-0.5179999999997289</v>
      </c>
      <c r="AS211" s="716">
        <f>SUM(AS55,AR55,AQ55,AO55)</f>
        <v>-3.5749999999999931</v>
      </c>
      <c r="AT211" s="716">
        <f>SUM(AQ55:AT55)</f>
        <v>11.167000000000185</v>
      </c>
      <c r="AU211" s="714">
        <f t="shared" si="336"/>
        <v>11.167000000000185</v>
      </c>
      <c r="AV211" s="715">
        <f>SUM(AV55,AT55,AS55,AR55)</f>
        <v>23.611000000000303</v>
      </c>
      <c r="AW211" s="716">
        <f>SUM(AW55,AV55,AT55,AS55)</f>
        <v>6.8129999999999686</v>
      </c>
      <c r="AX211" s="716">
        <f>SUM(AX55,AW55,AV55,AT55)</f>
        <v>-15.393000000000011</v>
      </c>
      <c r="AY211" s="716">
        <f>SUM(AV55:AY55)</f>
        <v>7.0109999999998465</v>
      </c>
      <c r="AZ211" s="714">
        <f t="shared" si="337"/>
        <v>7.0109999999998465</v>
      </c>
      <c r="BA211" s="715">
        <f>SUM(BA55,AY55,AX55,AW55)</f>
        <v>-3.1170000000002087</v>
      </c>
      <c r="BB211" s="716">
        <f>SUM(BB55,BA55,AY55,AX55)</f>
        <v>14.601999999999908</v>
      </c>
      <c r="BC211" s="716">
        <f>SUM(BC55,BB55,BA55,AY55)</f>
        <v>38.611999999999959</v>
      </c>
      <c r="BD211" s="716">
        <f>SUM(BA55:BD55)</f>
        <v>45.292999999999829</v>
      </c>
      <c r="BE211" s="984">
        <f t="shared" si="338"/>
        <v>45.292999999999829</v>
      </c>
      <c r="BF211" s="716">
        <f>SUM(BF55,BD55,BC55,BB55)</f>
        <v>89.435999999999751</v>
      </c>
      <c r="BG211" s="716">
        <f>SUM(BG55,BF55,BD55,BC55)</f>
        <v>106.21699999999987</v>
      </c>
      <c r="BH211" s="716">
        <f>SUM(BH55,BG55,BF55,BD55)</f>
        <v>131.20899999999992</v>
      </c>
      <c r="BI211" s="716">
        <f>SUM(BF55:BI55)</f>
        <v>121.43400000000014</v>
      </c>
      <c r="BJ211" s="714">
        <f t="shared" si="339"/>
        <v>121.43400000000014</v>
      </c>
      <c r="BK211" s="716">
        <f>SUM(BK55,BI55,BH55,BG55)</f>
        <v>102.63800000000012</v>
      </c>
      <c r="BL211" s="716">
        <f>SUM(BL55,BK55,BI55,BH55)</f>
        <v>113.82600000000004</v>
      </c>
      <c r="BM211" s="716">
        <f>SUM(BM55,BL55,BK55,BI55)</f>
        <v>98.580000000000055</v>
      </c>
      <c r="BN211" s="716">
        <f>SUM(BK55:BN55)</f>
        <v>161.14200000000005</v>
      </c>
      <c r="BO211" s="714">
        <f t="shared" si="340"/>
        <v>161.14200000000005</v>
      </c>
      <c r="BP211" s="716">
        <f>SUM(BP55,BN55,BM55,BL55)</f>
        <v>158.99800000000005</v>
      </c>
      <c r="BQ211" s="716">
        <f>SUM(BQ55,BP55,BN55,BM55)</f>
        <v>145.28300000000002</v>
      </c>
      <c r="BR211" s="716">
        <f>SUM(BR55,BQ55,BP55,BN55)</f>
        <v>186.58899999999994</v>
      </c>
      <c r="BS211" s="716">
        <f>SUM(BP55:BS55)</f>
        <v>129.62299999999991</v>
      </c>
      <c r="BT211" s="714">
        <f t="shared" si="341"/>
        <v>129.62299999999991</v>
      </c>
      <c r="BU211" s="716">
        <f>SUM(BU55,BS55,BR55,BQ55)</f>
        <v>126.60099999999986</v>
      </c>
      <c r="BV211" s="716">
        <f>SUM(BV55,BU55,BS55,BR55)</f>
        <v>98.275999999999939</v>
      </c>
      <c r="BW211" s="716">
        <f>SUM(BW55,BV55,BU55,BS55)</f>
        <v>63.642999999999972</v>
      </c>
      <c r="BX211" s="716">
        <f>SUM(BU55:BX55)</f>
        <v>194.02899999999994</v>
      </c>
      <c r="BY211" s="714">
        <f t="shared" si="342"/>
        <v>194.02899999999994</v>
      </c>
      <c r="BZ211" s="716">
        <f>SUM(BZ55,BX55,BW55,BV55)</f>
        <v>195.47552893782546</v>
      </c>
      <c r="CA211" s="716">
        <f>SUM(CA55,BZ55,BX55,BW55)</f>
        <v>235.86994465972381</v>
      </c>
      <c r="CB211" s="716">
        <f>SUM(CB55,CA55,BZ55,BX55)</f>
        <v>255.14481956383054</v>
      </c>
      <c r="CC211" s="716">
        <f>SUM(BZ55:CC55)</f>
        <v>131.23574879626304</v>
      </c>
      <c r="CD211" s="714">
        <f t="shared" si="343"/>
        <v>131.23574879626304</v>
      </c>
      <c r="CE211" s="716">
        <f>SUM(CE55,CC55,CB55,CA55)</f>
        <v>140.48017938245377</v>
      </c>
      <c r="CF211" s="716">
        <f>SUM(CF55,CE55,CC55,CB55)</f>
        <v>149.37380561818543</v>
      </c>
      <c r="CG211" s="716">
        <f>SUM(CG55,CF55,CE55,CC55)</f>
        <v>158.23752936437421</v>
      </c>
      <c r="CH211" s="716">
        <f>SUM(CE55:CH55)</f>
        <v>167.49499646347647</v>
      </c>
      <c r="CI211" s="714">
        <f t="shared" si="344"/>
        <v>167.49499646347647</v>
      </c>
      <c r="CJ211" s="716">
        <f>SUM(CJ55,CH55,CG55,CF55)</f>
        <v>176.0831769798574</v>
      </c>
      <c r="CK211" s="716">
        <f>SUM(CK55,CJ55,CH55,CG55)</f>
        <v>184.42789607182783</v>
      </c>
      <c r="CL211" s="716">
        <f>SUM(CL55,CK55,CJ55,CH55)</f>
        <v>192.86001218317546</v>
      </c>
      <c r="CM211" s="716">
        <f>SUM(CJ55:CM55)</f>
        <v>201.80961027891306</v>
      </c>
      <c r="CN211" s="714">
        <f t="shared" si="345"/>
        <v>201.80961027891306</v>
      </c>
      <c r="CO211" s="671"/>
      <c r="CR211" s="66"/>
      <c r="CS211" s="66"/>
      <c r="CT211" s="66"/>
      <c r="CU211" s="66"/>
      <c r="CV211" s="66"/>
      <c r="CW211" s="66"/>
    </row>
    <row r="212" spans="1:256">
      <c r="A212" s="670"/>
      <c r="B212" s="41"/>
      <c r="AA212" s="674"/>
      <c r="AB212" s="672"/>
      <c r="AC212" s="672"/>
      <c r="AD212" s="672"/>
      <c r="AE212" s="672"/>
      <c r="AF212" s="821"/>
      <c r="AG212" s="672"/>
      <c r="AH212" s="672"/>
      <c r="AI212" s="672"/>
      <c r="AJ212" s="672"/>
      <c r="AK212" s="821"/>
      <c r="AL212" s="672"/>
      <c r="AM212" s="672"/>
      <c r="AN212" s="672"/>
      <c r="AO212" s="672"/>
      <c r="AP212" s="821"/>
      <c r="AQ212" s="672"/>
      <c r="AR212" s="672"/>
      <c r="AS212" s="672"/>
      <c r="AT212" s="672"/>
      <c r="AU212" s="825"/>
      <c r="AV212" s="672"/>
      <c r="AW212" s="672"/>
      <c r="AX212" s="672"/>
      <c r="AY212" s="672"/>
      <c r="AZ212" s="825"/>
      <c r="BA212" s="672"/>
      <c r="BB212" s="672"/>
      <c r="BC212" s="672"/>
      <c r="BD212" s="672"/>
      <c r="BE212" s="825"/>
      <c r="BF212" s="672"/>
      <c r="BG212" s="672"/>
      <c r="BH212" s="672"/>
      <c r="BI212" s="672"/>
      <c r="BJ212" s="825"/>
      <c r="BK212" s="672"/>
      <c r="BL212" s="672"/>
      <c r="BM212" s="672"/>
      <c r="BN212" s="672"/>
      <c r="BO212" s="825"/>
      <c r="BP212" s="672"/>
      <c r="BQ212" s="672"/>
      <c r="BR212" s="672"/>
      <c r="BS212" s="672"/>
      <c r="BT212" s="825"/>
      <c r="BU212" s="672"/>
      <c r="BV212" s="672"/>
      <c r="BW212" s="672"/>
      <c r="BX212" s="672"/>
      <c r="BY212" s="825"/>
      <c r="BZ212" s="672"/>
      <c r="CA212" s="672"/>
      <c r="CB212" s="672"/>
      <c r="CC212" s="672"/>
      <c r="CD212" s="825"/>
      <c r="CE212" s="672"/>
      <c r="CF212" s="672"/>
      <c r="CG212" s="672"/>
      <c r="CH212" s="672"/>
      <c r="CI212" s="825"/>
      <c r="CJ212" s="672"/>
      <c r="CK212" s="672"/>
      <c r="CL212" s="672"/>
      <c r="CM212" s="672"/>
      <c r="CN212" s="825"/>
      <c r="CO212" s="671"/>
      <c r="CR212" s="66"/>
      <c r="CS212" s="66"/>
      <c r="CT212" s="66"/>
      <c r="CU212" s="66"/>
      <c r="CV212" s="66"/>
      <c r="CW212" s="66"/>
    </row>
    <row r="213" spans="1:256" s="80" customFormat="1">
      <c r="A213" s="49"/>
      <c r="B213" s="49"/>
      <c r="AA213" s="675"/>
      <c r="AB213" s="673"/>
      <c r="AC213" s="673"/>
      <c r="AD213" s="673"/>
      <c r="AE213" s="673"/>
      <c r="AF213" s="822"/>
      <c r="AG213" s="673"/>
      <c r="AH213" s="673"/>
      <c r="AI213" s="673"/>
      <c r="AJ213" s="673"/>
      <c r="AK213" s="822"/>
      <c r="AL213" s="673"/>
      <c r="AM213" s="673"/>
      <c r="AN213" s="673"/>
      <c r="AO213" s="673"/>
      <c r="AP213" s="822"/>
      <c r="AQ213" s="673"/>
      <c r="AR213" s="673"/>
      <c r="AS213" s="673"/>
      <c r="AT213" s="673"/>
      <c r="AU213" s="822"/>
      <c r="AV213" s="673"/>
      <c r="AW213" s="673"/>
      <c r="AX213" s="673"/>
      <c r="AY213" s="673"/>
      <c r="AZ213" s="822"/>
      <c r="BA213" s="673"/>
      <c r="BB213" s="673"/>
      <c r="BC213" s="673"/>
      <c r="BD213" s="673"/>
      <c r="BE213" s="822"/>
      <c r="BF213" s="673"/>
      <c r="BG213" s="673"/>
      <c r="BH213" s="673"/>
      <c r="BI213" s="673"/>
      <c r="BJ213" s="822"/>
      <c r="BK213" s="673"/>
      <c r="BL213" s="673"/>
      <c r="BM213" s="673"/>
      <c r="BN213" s="673"/>
      <c r="BO213" s="822"/>
      <c r="BP213" s="673"/>
      <c r="BQ213" s="673"/>
      <c r="BR213" s="673"/>
      <c r="BS213" s="673"/>
      <c r="BT213" s="822"/>
      <c r="BU213" s="673"/>
      <c r="BV213" s="673"/>
      <c r="BW213" s="673"/>
      <c r="BX213" s="673"/>
      <c r="BY213" s="822"/>
      <c r="BZ213" s="673"/>
      <c r="CA213" s="673"/>
      <c r="CB213" s="673"/>
      <c r="CC213" s="673"/>
      <c r="CD213" s="822"/>
      <c r="CE213" s="673"/>
      <c r="CF213" s="673"/>
      <c r="CG213" s="673"/>
      <c r="CH213" s="673"/>
      <c r="CI213" s="822"/>
      <c r="CJ213" s="673"/>
      <c r="CK213" s="673"/>
      <c r="CL213" s="673"/>
      <c r="CM213" s="673"/>
      <c r="CN213" s="822"/>
      <c r="CO213" s="673"/>
      <c r="CR213" s="66"/>
      <c r="CS213" s="66"/>
      <c r="CT213" s="66"/>
      <c r="CU213" s="66"/>
      <c r="CV213" s="66"/>
      <c r="CW213" s="66"/>
      <c r="DB213"/>
      <c r="DC213"/>
      <c r="DD213"/>
      <c r="DE213"/>
      <c r="DF213"/>
      <c r="DG213"/>
      <c r="HQ213" s="2"/>
      <c r="HR213" s="2"/>
      <c r="HS213" s="2"/>
      <c r="HT213" s="2"/>
      <c r="HU213" s="2"/>
      <c r="HV213" s="2"/>
      <c r="HW213" s="2"/>
      <c r="HX213" s="2"/>
      <c r="HY213" s="2"/>
      <c r="HZ213" s="2"/>
      <c r="IA213" s="2"/>
      <c r="IB213" s="2"/>
      <c r="IC213" s="2"/>
      <c r="ID213" s="2"/>
      <c r="IE213" s="2"/>
      <c r="IF213" s="2"/>
      <c r="IG213" s="2"/>
      <c r="IH213" s="2"/>
      <c r="II213" s="2"/>
      <c r="IJ213" s="2"/>
      <c r="IK213" s="2"/>
      <c r="IL213" s="2"/>
      <c r="IM213" s="2"/>
      <c r="IN213" s="2"/>
      <c r="IO213" s="2"/>
      <c r="IP213" s="2"/>
      <c r="IQ213" s="2"/>
      <c r="IR213" s="2"/>
      <c r="IS213" s="2"/>
      <c r="IT213" s="2"/>
      <c r="IU213" s="2"/>
      <c r="IV213" s="2"/>
    </row>
    <row r="214" spans="1:256">
      <c r="A214" s="44"/>
      <c r="AF214" s="89"/>
      <c r="AK214" s="89"/>
      <c r="AP214" s="89"/>
      <c r="AU214" s="89"/>
      <c r="AZ214" s="89"/>
      <c r="BE214" s="89"/>
      <c r="BJ214" s="89"/>
      <c r="BO214" s="89"/>
      <c r="BT214" s="89"/>
      <c r="BY214" s="89"/>
      <c r="CD214" s="89"/>
      <c r="CI214" s="89"/>
      <c r="CN214" s="89"/>
      <c r="CR214" s="66"/>
      <c r="CS214" s="66"/>
      <c r="CT214" s="66"/>
      <c r="CU214" s="66"/>
      <c r="CV214" s="66"/>
      <c r="CW214" s="66"/>
    </row>
    <row r="215" spans="1:256">
      <c r="A215" s="41" t="s">
        <v>520</v>
      </c>
      <c r="B215" s="41"/>
      <c r="W215" s="214" t="e">
        <v>#DIV/0!</v>
      </c>
      <c r="X215" s="214" t="e">
        <v>#DIV/0!</v>
      </c>
      <c r="Y215" s="214" t="e">
        <v>#DIV/0!</v>
      </c>
      <c r="Z215" s="214" t="e">
        <v>#DIV/0!</v>
      </c>
      <c r="AA215" s="214" t="e">
        <v>#DIV/0!</v>
      </c>
      <c r="AB215" s="214" t="e">
        <v>#DIV/0!</v>
      </c>
      <c r="AC215" s="214" t="e">
        <v>#DIV/0!</v>
      </c>
      <c r="AD215" s="214" t="e">
        <v>#DIV/0!</v>
      </c>
      <c r="AE215" s="214" t="e">
        <v>#DIV/0!</v>
      </c>
      <c r="AF215" s="215" t="e">
        <v>#DIV/0!</v>
      </c>
      <c r="AG215" s="214" t="e">
        <v>#DIV/0!</v>
      </c>
      <c r="AH215" s="214" t="e">
        <v>#DIV/0!</v>
      </c>
      <c r="AI215" s="214" t="e">
        <v>#DIV/0!</v>
      </c>
      <c r="AJ215" s="214" t="e">
        <v>#DIV/0!</v>
      </c>
      <c r="AK215" s="215" t="e">
        <v>#DIV/0!</v>
      </c>
      <c r="AL215" s="214" t="e">
        <v>#DIV/0!</v>
      </c>
      <c r="AM215" s="214" t="e">
        <v>#DIV/0!</v>
      </c>
      <c r="AN215" s="214" t="e">
        <v>#DIV/0!</v>
      </c>
      <c r="AO215" s="214" t="e">
        <v>#DIV/0!</v>
      </c>
      <c r="AP215" s="215" t="e">
        <v>#DIV/0!</v>
      </c>
      <c r="AQ215" s="214" t="e">
        <v>#DIV/0!</v>
      </c>
      <c r="AR215" s="214" t="e">
        <v>#DIV/0!</v>
      </c>
      <c r="AS215" s="214" t="e">
        <v>#DIV/0!</v>
      </c>
      <c r="AT215" s="214" t="e">
        <v>#DIV/0!</v>
      </c>
      <c r="AU215" s="215" t="e">
        <v>#DIV/0!</v>
      </c>
      <c r="AV215" s="214">
        <v>6587.5</v>
      </c>
      <c r="AW215" s="214">
        <v>6564</v>
      </c>
      <c r="AX215" s="214">
        <v>6545</v>
      </c>
      <c r="AY215" s="214">
        <v>6551.5</v>
      </c>
      <c r="AZ215" s="215">
        <v>6577</v>
      </c>
      <c r="BA215" s="214">
        <v>6552</v>
      </c>
      <c r="BB215" s="214">
        <v>6543</v>
      </c>
      <c r="BC215" s="214">
        <v>6540.5</v>
      </c>
      <c r="BD215" s="214">
        <v>6548</v>
      </c>
      <c r="BE215" s="215">
        <v>6558.5</v>
      </c>
      <c r="BF215" s="214">
        <v>6552</v>
      </c>
      <c r="BG215" s="214">
        <v>6546</v>
      </c>
      <c r="BH215" s="214">
        <v>6538.5</v>
      </c>
      <c r="BI215" s="214">
        <v>6523.5</v>
      </c>
      <c r="BJ215" s="215">
        <v>6536</v>
      </c>
      <c r="BK215" s="214">
        <v>6501.5</v>
      </c>
      <c r="BL215" s="214">
        <v>6482.5</v>
      </c>
      <c r="BM215" s="214">
        <v>6482</v>
      </c>
      <c r="BN215" s="214">
        <v>6483</v>
      </c>
      <c r="BO215" s="215">
        <v>6497</v>
      </c>
      <c r="BP215" s="214">
        <v>6480.5</v>
      </c>
      <c r="BQ215" s="214">
        <v>6486</v>
      </c>
      <c r="BR215" s="214">
        <v>6496.5</v>
      </c>
      <c r="BS215" s="214">
        <v>6520</v>
      </c>
      <c r="BT215" s="215">
        <v>6508</v>
      </c>
      <c r="BU215" s="214">
        <v>6544</v>
      </c>
      <c r="BV215" s="214">
        <v>6557.5</v>
      </c>
      <c r="BW215" s="214">
        <v>6575</v>
      </c>
      <c r="BX215" s="214">
        <v>6610</v>
      </c>
      <c r="BY215" s="215">
        <v>6585.5</v>
      </c>
      <c r="BZ215" s="214">
        <v>6650</v>
      </c>
      <c r="CA215" s="214">
        <v>6684.5</v>
      </c>
      <c r="CB215" s="214">
        <v>6721.5</v>
      </c>
      <c r="CC215" s="214">
        <v>6758.5</v>
      </c>
      <c r="CD215" s="215">
        <v>6705.5</v>
      </c>
      <c r="CE215" s="214">
        <v>6798.5</v>
      </c>
      <c r="CF215" s="214">
        <v>6844</v>
      </c>
      <c r="CG215" s="214">
        <v>6889.5</v>
      </c>
      <c r="CH215" s="214">
        <v>6937.5</v>
      </c>
      <c r="CI215" s="215">
        <v>6870.5</v>
      </c>
      <c r="CJ215" s="214">
        <v>6993.5</v>
      </c>
      <c r="CK215" s="214">
        <v>7055</v>
      </c>
      <c r="CL215" s="214">
        <v>7119</v>
      </c>
      <c r="CM215" s="214">
        <v>7185.5</v>
      </c>
      <c r="CN215" s="215">
        <v>7092</v>
      </c>
      <c r="CR215" s="66"/>
      <c r="CS215" s="66"/>
      <c r="CT215" s="66"/>
      <c r="CU215" s="66"/>
      <c r="CV215" s="66"/>
      <c r="CW215" s="66"/>
    </row>
    <row r="216" spans="1:256">
      <c r="A216" s="41" t="s">
        <v>424</v>
      </c>
      <c r="B216" s="41"/>
      <c r="AA216" s="772" t="e">
        <f t="shared" ref="AA216:BF216" si="346">AA28/AA215</f>
        <v>#DIV/0!</v>
      </c>
      <c r="AB216" s="772" t="e">
        <f t="shared" si="346"/>
        <v>#DIV/0!</v>
      </c>
      <c r="AC216" s="772" t="e">
        <f t="shared" si="346"/>
        <v>#DIV/0!</v>
      </c>
      <c r="AD216" s="772" t="e">
        <f t="shared" si="346"/>
        <v>#DIV/0!</v>
      </c>
      <c r="AE216" s="772" t="e">
        <f t="shared" si="346"/>
        <v>#DIV/0!</v>
      </c>
      <c r="AF216" s="823" t="e">
        <f t="shared" si="346"/>
        <v>#DIV/0!</v>
      </c>
      <c r="AG216" s="772" t="e">
        <f t="shared" si="346"/>
        <v>#DIV/0!</v>
      </c>
      <c r="AH216" s="772" t="e">
        <f t="shared" si="346"/>
        <v>#DIV/0!</v>
      </c>
      <c r="AI216" s="772" t="e">
        <f t="shared" si="346"/>
        <v>#DIV/0!</v>
      </c>
      <c r="AJ216" s="772" t="e">
        <f t="shared" si="346"/>
        <v>#DIV/0!</v>
      </c>
      <c r="AK216" s="823" t="e">
        <f t="shared" si="346"/>
        <v>#DIV/0!</v>
      </c>
      <c r="AL216" s="772" t="e">
        <f t="shared" si="346"/>
        <v>#DIV/0!</v>
      </c>
      <c r="AM216" s="772" t="e">
        <f t="shared" si="346"/>
        <v>#DIV/0!</v>
      </c>
      <c r="AN216" s="772" t="e">
        <f t="shared" si="346"/>
        <v>#DIV/0!</v>
      </c>
      <c r="AO216" s="772" t="e">
        <f t="shared" si="346"/>
        <v>#DIV/0!</v>
      </c>
      <c r="AP216" s="823" t="e">
        <f t="shared" si="346"/>
        <v>#DIV/0!</v>
      </c>
      <c r="AQ216" s="772" t="e">
        <f t="shared" si="346"/>
        <v>#DIV/0!</v>
      </c>
      <c r="AR216" s="772" t="e">
        <f t="shared" si="346"/>
        <v>#DIV/0!</v>
      </c>
      <c r="AS216" s="772" t="e">
        <f t="shared" si="346"/>
        <v>#DIV/0!</v>
      </c>
      <c r="AT216" s="772" t="e">
        <f t="shared" si="346"/>
        <v>#DIV/0!</v>
      </c>
      <c r="AU216" s="823" t="e">
        <f t="shared" si="346"/>
        <v>#DIV/0!</v>
      </c>
      <c r="AV216" s="772">
        <f t="shared" si="346"/>
        <v>1.0975939278937382E-2</v>
      </c>
      <c r="AW216" s="772">
        <f t="shared" si="346"/>
        <v>1.1173826934795857E-2</v>
      </c>
      <c r="AX216" s="772">
        <f t="shared" si="346"/>
        <v>1.102750190985485E-2</v>
      </c>
      <c r="AY216" s="772">
        <f t="shared" si="346"/>
        <v>1.0682133862474241E-2</v>
      </c>
      <c r="AZ216" s="823">
        <f t="shared" si="346"/>
        <v>4.3759768891591909E-2</v>
      </c>
      <c r="BA216" s="772">
        <f t="shared" si="346"/>
        <v>9.9679487179487186E-3</v>
      </c>
      <c r="BB216" s="772">
        <f t="shared" si="346"/>
        <v>1.1431300626623873E-2</v>
      </c>
      <c r="BC216" s="772">
        <f t="shared" si="346"/>
        <v>1.1699105572968427E-2</v>
      </c>
      <c r="BD216" s="772">
        <f t="shared" si="346"/>
        <v>1.178512522907758E-2</v>
      </c>
      <c r="BE216" s="823">
        <f t="shared" si="346"/>
        <v>4.4795608752001226E-2</v>
      </c>
      <c r="BF216" s="772">
        <f t="shared" si="346"/>
        <v>1.0739621489621489E-2</v>
      </c>
      <c r="BG216" s="772">
        <f t="shared" ref="BG216:CL216" si="347">BG28/BG215</f>
        <v>1.0232508402077605E-2</v>
      </c>
      <c r="BH216" s="772">
        <f t="shared" si="347"/>
        <v>1.005949376768372E-2</v>
      </c>
      <c r="BI216" s="772">
        <f t="shared" si="347"/>
        <v>9.2182110830075874E-3</v>
      </c>
      <c r="BJ216" s="823">
        <f t="shared" si="347"/>
        <v>4.0277998776009794E-2</v>
      </c>
      <c r="BK216" s="772">
        <f t="shared" si="347"/>
        <v>9.1821887256786899E-3</v>
      </c>
      <c r="BL216" s="772">
        <f t="shared" si="347"/>
        <v>9.3746239876590816E-3</v>
      </c>
      <c r="BM216" s="772">
        <f t="shared" si="347"/>
        <v>9.8245911755630976E-3</v>
      </c>
      <c r="BN216" s="772">
        <f t="shared" si="347"/>
        <v>1.1167823538485269E-2</v>
      </c>
      <c r="BO216" s="823">
        <f t="shared" si="347"/>
        <v>3.9487917500384793E-2</v>
      </c>
      <c r="BP216" s="772">
        <f t="shared" si="347"/>
        <v>9.9754648561067825E-3</v>
      </c>
      <c r="BQ216" s="772">
        <f t="shared" si="347"/>
        <v>9.4239901325932785E-3</v>
      </c>
      <c r="BR216" s="772">
        <f t="shared" si="347"/>
        <v>9.0722696836758251E-3</v>
      </c>
      <c r="BS216" s="772">
        <f t="shared" si="347"/>
        <v>9.3805214723926382E-3</v>
      </c>
      <c r="BT216" s="823">
        <f t="shared" si="347"/>
        <v>3.7779502151198532E-2</v>
      </c>
      <c r="BU216" s="772">
        <f t="shared" si="347"/>
        <v>8.0149755501222504E-3</v>
      </c>
      <c r="BV216" s="772">
        <f t="shared" si="347"/>
        <v>7.8200533739992382E-3</v>
      </c>
      <c r="BW216" s="772">
        <f t="shared" si="347"/>
        <v>8.0547528517110265E-3</v>
      </c>
      <c r="BX216" s="772">
        <f t="shared" si="347"/>
        <v>7.8503782148260214E-3</v>
      </c>
      <c r="BY216" s="823">
        <f t="shared" si="347"/>
        <v>3.1672765925138562E-2</v>
      </c>
      <c r="BZ216" s="772">
        <f t="shared" si="347"/>
        <v>7.5157473684210538E-3</v>
      </c>
      <c r="CA216" s="772">
        <f t="shared" si="347"/>
        <v>7.3807076071508715E-3</v>
      </c>
      <c r="CB216" s="772">
        <f t="shared" si="347"/>
        <v>7.1678048054749687E-3</v>
      </c>
      <c r="CC216" s="772">
        <f t="shared" si="347"/>
        <v>7.0410742028556642E-3</v>
      </c>
      <c r="CD216" s="823">
        <f t="shared" si="347"/>
        <v>2.9092768622772356E-2</v>
      </c>
      <c r="CE216" s="772">
        <f t="shared" si="347"/>
        <v>7.0869355298963013E-3</v>
      </c>
      <c r="CF216" s="772">
        <f t="shared" si="347"/>
        <v>6.9495742840444182E-3</v>
      </c>
      <c r="CG216" s="772">
        <f t="shared" si="347"/>
        <v>6.7423273096741424E-3</v>
      </c>
      <c r="CH216" s="772">
        <f t="shared" si="347"/>
        <v>6.6138545585585594E-3</v>
      </c>
      <c r="CI216" s="823">
        <f t="shared" si="347"/>
        <v>2.7374761312859323E-2</v>
      </c>
      <c r="CJ216" s="772">
        <f t="shared" si="347"/>
        <v>6.5806112304282556E-3</v>
      </c>
      <c r="CK216" s="772">
        <f t="shared" si="347"/>
        <v>6.4400768362863209E-3</v>
      </c>
      <c r="CL216" s="772">
        <f t="shared" si="347"/>
        <v>6.2338391347099304E-3</v>
      </c>
      <c r="CM216" s="772">
        <f t="shared" ref="CM216:CN216" si="348">CM28/CM215</f>
        <v>6.1010973766613321E-3</v>
      </c>
      <c r="CN216" s="823">
        <f t="shared" si="348"/>
        <v>2.5334797337845456E-2</v>
      </c>
      <c r="CO216" s="441"/>
      <c r="CR216" s="66"/>
      <c r="CS216" s="66"/>
      <c r="CT216" s="66"/>
      <c r="CU216" s="66"/>
      <c r="CV216" s="66"/>
      <c r="CW216" s="66"/>
    </row>
    <row r="217" spans="1:256">
      <c r="A217" s="41" t="s">
        <v>423</v>
      </c>
      <c r="B217" s="41"/>
      <c r="AA217" s="657" t="e">
        <f>AA216*1000000</f>
        <v>#DIV/0!</v>
      </c>
      <c r="AB217" s="657" t="e">
        <f t="shared" ref="AB217:AZ217" si="349">AB216*1000000</f>
        <v>#DIV/0!</v>
      </c>
      <c r="AC217" s="657" t="e">
        <f t="shared" si="349"/>
        <v>#DIV/0!</v>
      </c>
      <c r="AD217" s="657" t="e">
        <f t="shared" si="349"/>
        <v>#DIV/0!</v>
      </c>
      <c r="AE217" s="657" t="e">
        <f t="shared" si="349"/>
        <v>#DIV/0!</v>
      </c>
      <c r="AF217" s="658" t="e">
        <f t="shared" si="349"/>
        <v>#DIV/0!</v>
      </c>
      <c r="AG217" s="657" t="e">
        <f t="shared" si="349"/>
        <v>#DIV/0!</v>
      </c>
      <c r="AH217" s="657" t="e">
        <f t="shared" si="349"/>
        <v>#DIV/0!</v>
      </c>
      <c r="AI217" s="657" t="e">
        <f t="shared" si="349"/>
        <v>#DIV/0!</v>
      </c>
      <c r="AJ217" s="657" t="e">
        <f t="shared" si="349"/>
        <v>#DIV/0!</v>
      </c>
      <c r="AK217" s="658" t="e">
        <f t="shared" si="349"/>
        <v>#DIV/0!</v>
      </c>
      <c r="AL217" s="657" t="e">
        <f t="shared" si="349"/>
        <v>#DIV/0!</v>
      </c>
      <c r="AM217" s="657" t="e">
        <f t="shared" si="349"/>
        <v>#DIV/0!</v>
      </c>
      <c r="AN217" s="657" t="e">
        <f t="shared" si="349"/>
        <v>#DIV/0!</v>
      </c>
      <c r="AO217" s="657" t="e">
        <f t="shared" si="349"/>
        <v>#DIV/0!</v>
      </c>
      <c r="AP217" s="658" t="e">
        <f t="shared" si="349"/>
        <v>#DIV/0!</v>
      </c>
      <c r="AQ217" s="657" t="e">
        <f t="shared" si="349"/>
        <v>#DIV/0!</v>
      </c>
      <c r="AR217" s="657" t="e">
        <f t="shared" si="349"/>
        <v>#DIV/0!</v>
      </c>
      <c r="AS217" s="657" t="e">
        <f t="shared" si="349"/>
        <v>#DIV/0!</v>
      </c>
      <c r="AT217" s="657" t="e">
        <f t="shared" si="349"/>
        <v>#DIV/0!</v>
      </c>
      <c r="AU217" s="658" t="e">
        <f t="shared" si="349"/>
        <v>#DIV/0!</v>
      </c>
      <c r="AV217" s="657">
        <f t="shared" si="349"/>
        <v>10975.939278937383</v>
      </c>
      <c r="AW217" s="657">
        <f t="shared" si="349"/>
        <v>11173.826934795856</v>
      </c>
      <c r="AX217" s="657">
        <f t="shared" si="349"/>
        <v>11027.501909854849</v>
      </c>
      <c r="AY217" s="657">
        <f t="shared" si="349"/>
        <v>10682.133862474242</v>
      </c>
      <c r="AZ217" s="658">
        <f t="shared" si="349"/>
        <v>43759.768891591906</v>
      </c>
      <c r="BA217" s="657">
        <f t="shared" ref="BA217:BJ217" si="350">BA216*1000000</f>
        <v>9967.9487179487187</v>
      </c>
      <c r="BB217" s="657">
        <f t="shared" si="350"/>
        <v>11431.300626623874</v>
      </c>
      <c r="BC217" s="657">
        <f t="shared" si="350"/>
        <v>11699.105572968427</v>
      </c>
      <c r="BD217" s="657">
        <f t="shared" si="350"/>
        <v>11785.125229077581</v>
      </c>
      <c r="BE217" s="658">
        <f t="shared" si="350"/>
        <v>44795.608752001222</v>
      </c>
      <c r="BF217" s="657">
        <f t="shared" si="350"/>
        <v>10739.621489621488</v>
      </c>
      <c r="BG217" s="657">
        <f t="shared" si="350"/>
        <v>10232.508402077605</v>
      </c>
      <c r="BH217" s="657">
        <f t="shared" si="350"/>
        <v>10059.49376768372</v>
      </c>
      <c r="BI217" s="657">
        <f t="shared" si="350"/>
        <v>9218.2110830075871</v>
      </c>
      <c r="BJ217" s="658">
        <f t="shared" si="350"/>
        <v>40277.998776009794</v>
      </c>
      <c r="BK217" s="657">
        <f t="shared" ref="BK217:BT217" si="351">BK216*1000000</f>
        <v>9182.1887256786904</v>
      </c>
      <c r="BL217" s="657">
        <f t="shared" si="351"/>
        <v>9374.6239876590807</v>
      </c>
      <c r="BM217" s="657">
        <f t="shared" si="351"/>
        <v>9824.5911755630968</v>
      </c>
      <c r="BN217" s="657">
        <f t="shared" si="351"/>
        <v>11167.823538485269</v>
      </c>
      <c r="BO217" s="658">
        <f t="shared" si="351"/>
        <v>39487.917500384792</v>
      </c>
      <c r="BP217" s="657">
        <f t="shared" si="351"/>
        <v>9975.4648561067825</v>
      </c>
      <c r="BQ217" s="657">
        <f t="shared" si="351"/>
        <v>9423.9901325932788</v>
      </c>
      <c r="BR217" s="657">
        <f t="shared" si="351"/>
        <v>9072.2696836758259</v>
      </c>
      <c r="BS217" s="657">
        <f t="shared" si="351"/>
        <v>9380.5214723926383</v>
      </c>
      <c r="BT217" s="658">
        <f t="shared" si="351"/>
        <v>37779.502151198532</v>
      </c>
      <c r="BU217" s="657">
        <f t="shared" ref="BU217:CN217" si="352">BU216*1000000</f>
        <v>8014.9755501222508</v>
      </c>
      <c r="BV217" s="657">
        <f t="shared" si="352"/>
        <v>7820.0533739992379</v>
      </c>
      <c r="BW217" s="657">
        <f t="shared" si="352"/>
        <v>8054.7528517110268</v>
      </c>
      <c r="BX217" s="657">
        <f t="shared" si="352"/>
        <v>7850.3782148260216</v>
      </c>
      <c r="BY217" s="658">
        <f t="shared" si="352"/>
        <v>31672.765925138563</v>
      </c>
      <c r="BZ217" s="657">
        <f t="shared" si="352"/>
        <v>7515.7473684210536</v>
      </c>
      <c r="CA217" s="657">
        <f t="shared" si="352"/>
        <v>7380.7076071508718</v>
      </c>
      <c r="CB217" s="657">
        <f t="shared" si="352"/>
        <v>7167.8048054749688</v>
      </c>
      <c r="CC217" s="657">
        <f t="shared" si="352"/>
        <v>7041.0742028556642</v>
      </c>
      <c r="CD217" s="658">
        <f t="shared" si="352"/>
        <v>29092.768622772357</v>
      </c>
      <c r="CE217" s="657">
        <f t="shared" si="352"/>
        <v>7086.935529896301</v>
      </c>
      <c r="CF217" s="657">
        <f t="shared" si="352"/>
        <v>6949.5742840444182</v>
      </c>
      <c r="CG217" s="657">
        <f t="shared" si="352"/>
        <v>6742.3273096741423</v>
      </c>
      <c r="CH217" s="657">
        <f t="shared" si="352"/>
        <v>6613.8545585585598</v>
      </c>
      <c r="CI217" s="658">
        <f t="shared" si="352"/>
        <v>27374.761312859322</v>
      </c>
      <c r="CJ217" s="657">
        <f t="shared" si="352"/>
        <v>6580.611230428256</v>
      </c>
      <c r="CK217" s="657">
        <f t="shared" si="352"/>
        <v>6440.0768362863209</v>
      </c>
      <c r="CL217" s="657">
        <f t="shared" si="352"/>
        <v>6233.8391347099305</v>
      </c>
      <c r="CM217" s="657">
        <f t="shared" si="352"/>
        <v>6101.0973766613324</v>
      </c>
      <c r="CN217" s="658">
        <f t="shared" si="352"/>
        <v>25334.797337845455</v>
      </c>
      <c r="CO217" s="441"/>
      <c r="CR217" s="66"/>
      <c r="CS217" s="66"/>
      <c r="CT217" s="66"/>
      <c r="CU217" s="66"/>
      <c r="CV217" s="66"/>
      <c r="CW217" s="66"/>
    </row>
    <row r="218" spans="1:256">
      <c r="A218" s="41"/>
      <c r="B218" s="41"/>
      <c r="AF218" s="89"/>
      <c r="AK218" s="89"/>
      <c r="AP218" s="89"/>
      <c r="AU218" s="89"/>
      <c r="AZ218" s="89"/>
      <c r="BE218" s="89"/>
      <c r="BJ218" s="89"/>
      <c r="BO218" s="89"/>
      <c r="BT218" s="89"/>
      <c r="BY218" s="89"/>
      <c r="CD218" s="89"/>
      <c r="CI218" s="89"/>
      <c r="CN218" s="89"/>
      <c r="CR218" s="66"/>
      <c r="CS218" s="66"/>
      <c r="CT218" s="66"/>
      <c r="CU218" s="66"/>
      <c r="CV218" s="66"/>
      <c r="CW218" s="66"/>
    </row>
    <row r="219" spans="1:256">
      <c r="A219" s="49" t="s">
        <v>209</v>
      </c>
      <c r="B219" s="41"/>
      <c r="AF219" s="89"/>
      <c r="AK219" s="89"/>
      <c r="AP219" s="89"/>
      <c r="AU219" s="89"/>
      <c r="AZ219" s="89"/>
      <c r="BE219" s="89"/>
      <c r="BJ219" s="89"/>
      <c r="BO219" s="89"/>
      <c r="BT219" s="89"/>
      <c r="BY219" s="89"/>
      <c r="CD219" s="89"/>
      <c r="CI219" s="89"/>
      <c r="CN219" s="89"/>
      <c r="CR219" s="66"/>
      <c r="CS219" s="66"/>
      <c r="CT219" s="66"/>
      <c r="CU219" s="66"/>
      <c r="CV219" s="66"/>
      <c r="CW219" s="66"/>
    </row>
    <row r="220" spans="1:256">
      <c r="A220" s="41" t="s">
        <v>465</v>
      </c>
      <c r="B220" s="41"/>
      <c r="AA220" s="214" t="e">
        <v>#DIV/0!</v>
      </c>
      <c r="AB220" s="214" t="e">
        <v>#DIV/0!</v>
      </c>
      <c r="AC220" s="214" t="e">
        <v>#DIV/0!</v>
      </c>
      <c r="AD220" s="214" t="e">
        <v>#DIV/0!</v>
      </c>
      <c r="AE220" s="214" t="e">
        <v>#DIV/0!</v>
      </c>
      <c r="AF220" s="215" t="e">
        <v>#DIV/0!</v>
      </c>
      <c r="AG220" s="214" t="e">
        <v>#DIV/0!</v>
      </c>
      <c r="AH220" s="214" t="e">
        <v>#DIV/0!</v>
      </c>
      <c r="AI220" s="214" t="e">
        <v>#DIV/0!</v>
      </c>
      <c r="AJ220" s="214" t="e">
        <v>#DIV/0!</v>
      </c>
      <c r="AK220" s="215" t="e">
        <v>#DIV/0!</v>
      </c>
      <c r="AL220" s="214" t="e">
        <v>#DIV/0!</v>
      </c>
      <c r="AM220" s="214" t="e">
        <v>#DIV/0!</v>
      </c>
      <c r="AN220" s="214" t="e">
        <v>#DIV/0!</v>
      </c>
      <c r="AO220" s="214" t="e">
        <v>#DIV/0!</v>
      </c>
      <c r="AP220" s="215" t="e">
        <v>#DIV/0!</v>
      </c>
      <c r="AQ220" s="214" t="e">
        <v>#DIV/0!</v>
      </c>
      <c r="AR220" s="214" t="e">
        <v>#DIV/0!</v>
      </c>
      <c r="AS220" s="214" t="e">
        <v>#DIV/0!</v>
      </c>
      <c r="AT220" s="214" t="e">
        <v>#DIV/0!</v>
      </c>
      <c r="AU220" s="215" t="e">
        <v>#DIV/0!</v>
      </c>
      <c r="AV220" s="214">
        <v>1415.5</v>
      </c>
      <c r="AW220" s="214">
        <v>1419.5</v>
      </c>
      <c r="AX220" s="214">
        <v>1436</v>
      </c>
      <c r="AY220" s="214">
        <v>1437</v>
      </c>
      <c r="AZ220" s="215">
        <v>1422</v>
      </c>
      <c r="BA220" s="214">
        <v>1427</v>
      </c>
      <c r="BB220" s="214">
        <v>1422.5</v>
      </c>
      <c r="BC220" s="214">
        <v>1392</v>
      </c>
      <c r="BD220" s="214">
        <v>1274.5</v>
      </c>
      <c r="BE220" s="215">
        <v>1305</v>
      </c>
      <c r="BF220" s="214">
        <v>1092</v>
      </c>
      <c r="BG220" s="214">
        <v>1003</v>
      </c>
      <c r="BH220" s="214">
        <v>1000</v>
      </c>
      <c r="BI220" s="214">
        <v>976</v>
      </c>
      <c r="BJ220" s="215">
        <v>1070</v>
      </c>
      <c r="BK220" s="214">
        <v>950</v>
      </c>
      <c r="BL220" s="214">
        <v>901.5</v>
      </c>
      <c r="BM220" s="214">
        <v>856</v>
      </c>
      <c r="BN220" s="214">
        <v>742</v>
      </c>
      <c r="BO220" s="215">
        <v>794.5</v>
      </c>
      <c r="BP220" s="214">
        <v>607</v>
      </c>
      <c r="BQ220" s="214">
        <v>582</v>
      </c>
      <c r="BR220" s="214">
        <v>504.5</v>
      </c>
      <c r="BS220" s="214">
        <v>378.5</v>
      </c>
      <c r="BT220" s="215">
        <v>481</v>
      </c>
      <c r="BU220" s="214">
        <v>330.5</v>
      </c>
      <c r="BV220" s="214">
        <v>331</v>
      </c>
      <c r="BW220" s="214">
        <v>332</v>
      </c>
      <c r="BX220" s="214">
        <v>335</v>
      </c>
      <c r="BY220" s="215">
        <v>333.5</v>
      </c>
      <c r="BZ220" s="214">
        <v>337.5</v>
      </c>
      <c r="CA220" s="214">
        <v>338.5</v>
      </c>
      <c r="CB220" s="214">
        <v>339.5</v>
      </c>
      <c r="CC220" s="214">
        <v>340.5</v>
      </c>
      <c r="CD220" s="215">
        <v>339</v>
      </c>
      <c r="CE220" s="214">
        <v>342</v>
      </c>
      <c r="CF220" s="214">
        <v>344</v>
      </c>
      <c r="CG220" s="214">
        <v>346</v>
      </c>
      <c r="CH220" s="214">
        <v>348</v>
      </c>
      <c r="CI220" s="215">
        <v>345</v>
      </c>
      <c r="CJ220" s="214">
        <v>350.5</v>
      </c>
      <c r="CK220" s="214">
        <v>353.5</v>
      </c>
      <c r="CL220" s="214">
        <v>356.5</v>
      </c>
      <c r="CM220" s="214">
        <v>359.5</v>
      </c>
      <c r="CN220" s="215">
        <v>355</v>
      </c>
      <c r="CR220" s="66"/>
      <c r="CS220" s="66"/>
      <c r="CT220" s="66"/>
      <c r="CU220" s="66"/>
      <c r="CV220" s="66"/>
      <c r="CW220" s="66"/>
    </row>
    <row r="221" spans="1:256">
      <c r="A221" s="41" t="s">
        <v>210</v>
      </c>
      <c r="B221" s="41"/>
      <c r="AA221" s="214" t="e">
        <v>#DIV/0!</v>
      </c>
      <c r="AB221" s="214" t="e">
        <v>#DIV/0!</v>
      </c>
      <c r="AC221" s="214" t="e">
        <v>#DIV/0!</v>
      </c>
      <c r="AD221" s="214" t="e">
        <v>#DIV/0!</v>
      </c>
      <c r="AE221" s="214" t="e">
        <v>#DIV/0!</v>
      </c>
      <c r="AF221" s="215" t="e">
        <v>#DIV/0!</v>
      </c>
      <c r="AG221" s="214" t="e">
        <v>#DIV/0!</v>
      </c>
      <c r="AH221" s="214" t="e">
        <v>#DIV/0!</v>
      </c>
      <c r="AI221" s="214" t="e">
        <v>#DIV/0!</v>
      </c>
      <c r="AJ221" s="214" t="e">
        <v>#DIV/0!</v>
      </c>
      <c r="AK221" s="215" t="e">
        <v>#DIV/0!</v>
      </c>
      <c r="AL221" s="214" t="e">
        <v>#DIV/0!</v>
      </c>
      <c r="AM221" s="214" t="e">
        <v>#DIV/0!</v>
      </c>
      <c r="AN221" s="214" t="e">
        <v>#DIV/0!</v>
      </c>
      <c r="AO221" s="214" t="e">
        <v>#DIV/0!</v>
      </c>
      <c r="AP221" s="215" t="e">
        <v>#DIV/0!</v>
      </c>
      <c r="AQ221" s="214" t="e">
        <v>#DIV/0!</v>
      </c>
      <c r="AR221" s="214" t="e">
        <v>#DIV/0!</v>
      </c>
      <c r="AS221" s="214" t="e">
        <v>#DIV/0!</v>
      </c>
      <c r="AT221" s="214" t="e">
        <v>#DIV/0!</v>
      </c>
      <c r="AU221" s="215" t="e">
        <v>#DIV/0!</v>
      </c>
      <c r="AV221" s="214">
        <v>5172</v>
      </c>
      <c r="AW221" s="214">
        <v>5144.5</v>
      </c>
      <c r="AX221" s="214">
        <v>5109</v>
      </c>
      <c r="AY221" s="214">
        <v>5114.5</v>
      </c>
      <c r="AZ221" s="215">
        <v>5155</v>
      </c>
      <c r="BA221" s="214">
        <v>5125</v>
      </c>
      <c r="BB221" s="214">
        <v>5120.5</v>
      </c>
      <c r="BC221" s="214">
        <v>5148.5</v>
      </c>
      <c r="BD221" s="214">
        <v>5273.5</v>
      </c>
      <c r="BE221" s="215">
        <v>5253.5</v>
      </c>
      <c r="BF221" s="214">
        <v>5460</v>
      </c>
      <c r="BG221" s="214">
        <v>5543</v>
      </c>
      <c r="BH221" s="214">
        <v>5538.5</v>
      </c>
      <c r="BI221" s="214">
        <v>5547.5</v>
      </c>
      <c r="BJ221" s="215">
        <v>5466</v>
      </c>
      <c r="BK221" s="214">
        <v>5551.5</v>
      </c>
      <c r="BL221" s="214">
        <v>5581</v>
      </c>
      <c r="BM221" s="214">
        <v>5626</v>
      </c>
      <c r="BN221" s="214">
        <v>5741</v>
      </c>
      <c r="BO221" s="215">
        <v>5702.5</v>
      </c>
      <c r="BP221" s="214">
        <v>5873.5</v>
      </c>
      <c r="BQ221" s="214">
        <v>5904</v>
      </c>
      <c r="BR221" s="214">
        <v>5992</v>
      </c>
      <c r="BS221" s="214">
        <v>6141.5</v>
      </c>
      <c r="BT221" s="215">
        <v>6027</v>
      </c>
      <c r="BU221" s="214">
        <v>6213.5</v>
      </c>
      <c r="BV221" s="214">
        <v>6226.5</v>
      </c>
      <c r="BW221" s="214">
        <v>6243</v>
      </c>
      <c r="BX221" s="214">
        <v>6275</v>
      </c>
      <c r="BY221" s="215">
        <v>6252</v>
      </c>
      <c r="BZ221" s="214">
        <v>6312.5</v>
      </c>
      <c r="CA221" s="214">
        <v>6346</v>
      </c>
      <c r="CB221" s="214">
        <v>6382</v>
      </c>
      <c r="CC221" s="214">
        <v>6418</v>
      </c>
      <c r="CD221" s="215">
        <v>6366.5</v>
      </c>
      <c r="CE221" s="214">
        <v>6456.5</v>
      </c>
      <c r="CF221" s="214">
        <v>6500</v>
      </c>
      <c r="CG221" s="214">
        <v>6543.5</v>
      </c>
      <c r="CH221" s="214">
        <v>6589.5</v>
      </c>
      <c r="CI221" s="215">
        <v>6525.5</v>
      </c>
      <c r="CJ221" s="214">
        <v>6643</v>
      </c>
      <c r="CK221" s="214">
        <v>6701.5</v>
      </c>
      <c r="CL221" s="214">
        <v>6762.5</v>
      </c>
      <c r="CM221" s="214">
        <v>6826</v>
      </c>
      <c r="CN221" s="215">
        <v>6737</v>
      </c>
      <c r="CR221" s="66"/>
      <c r="CS221" s="66"/>
      <c r="CT221" s="66"/>
      <c r="CU221" s="66"/>
      <c r="CV221" s="66"/>
      <c r="CW221" s="66"/>
    </row>
    <row r="222" spans="1:256">
      <c r="A222" s="41" t="s">
        <v>464</v>
      </c>
      <c r="B222" s="41"/>
      <c r="AA222" s="214" t="e">
        <v>#DIV/0!</v>
      </c>
      <c r="AB222" s="214" t="e">
        <v>#DIV/0!</v>
      </c>
      <c r="AC222" s="214" t="e">
        <v>#DIV/0!</v>
      </c>
      <c r="AD222" s="214" t="e">
        <v>#DIV/0!</v>
      </c>
      <c r="AE222" s="214" t="e">
        <v>#DIV/0!</v>
      </c>
      <c r="AF222" s="215" t="e">
        <v>#DIV/0!</v>
      </c>
      <c r="AG222" s="214" t="e">
        <v>#DIV/0!</v>
      </c>
      <c r="AH222" s="214" t="e">
        <v>#DIV/0!</v>
      </c>
      <c r="AI222" s="214" t="e">
        <v>#DIV/0!</v>
      </c>
      <c r="AJ222" s="214" t="e">
        <v>#DIV/0!</v>
      </c>
      <c r="AK222" s="215" t="e">
        <v>#DIV/0!</v>
      </c>
      <c r="AL222" s="214" t="e">
        <v>#DIV/0!</v>
      </c>
      <c r="AM222" s="214" t="e">
        <v>#DIV/0!</v>
      </c>
      <c r="AN222" s="214" t="e">
        <v>#DIV/0!</v>
      </c>
      <c r="AO222" s="214" t="e">
        <v>#DIV/0!</v>
      </c>
      <c r="AP222" s="215" t="e">
        <v>#DIV/0!</v>
      </c>
      <c r="AQ222" s="214" t="e">
        <v>#DIV/0!</v>
      </c>
      <c r="AR222" s="214" t="e">
        <v>#DIV/0!</v>
      </c>
      <c r="AS222" s="214" t="e">
        <v>#DIV/0!</v>
      </c>
      <c r="AT222" s="214" t="e">
        <v>#DIV/0!</v>
      </c>
      <c r="AU222" s="215" t="e">
        <v>#DIV/0!</v>
      </c>
      <c r="AV222" s="214">
        <v>6587.5</v>
      </c>
      <c r="AW222" s="214">
        <v>6564</v>
      </c>
      <c r="AX222" s="214">
        <v>6545</v>
      </c>
      <c r="AY222" s="214">
        <v>6551.5</v>
      </c>
      <c r="AZ222" s="215">
        <v>6577</v>
      </c>
      <c r="BA222" s="214">
        <v>6552</v>
      </c>
      <c r="BB222" s="214">
        <v>6543</v>
      </c>
      <c r="BC222" s="214">
        <v>6540.5</v>
      </c>
      <c r="BD222" s="214">
        <v>6548</v>
      </c>
      <c r="BE222" s="215">
        <v>6558.5</v>
      </c>
      <c r="BF222" s="214">
        <v>6552</v>
      </c>
      <c r="BG222" s="214">
        <v>6546</v>
      </c>
      <c r="BH222" s="214">
        <v>6538.5</v>
      </c>
      <c r="BI222" s="214">
        <v>6523.5</v>
      </c>
      <c r="BJ222" s="215">
        <v>6536</v>
      </c>
      <c r="BK222" s="214">
        <v>6501.5</v>
      </c>
      <c r="BL222" s="214">
        <v>6482.5</v>
      </c>
      <c r="BM222" s="214">
        <v>6482</v>
      </c>
      <c r="BN222" s="214">
        <v>6483</v>
      </c>
      <c r="BO222" s="215">
        <v>6497</v>
      </c>
      <c r="BP222" s="214">
        <v>6480.5</v>
      </c>
      <c r="BQ222" s="214">
        <v>6486</v>
      </c>
      <c r="BR222" s="214">
        <v>6496.5</v>
      </c>
      <c r="BS222" s="214">
        <v>6520</v>
      </c>
      <c r="BT222" s="215">
        <v>6508</v>
      </c>
      <c r="BU222" s="214">
        <v>6544</v>
      </c>
      <c r="BV222" s="214">
        <v>6557.5</v>
      </c>
      <c r="BW222" s="214">
        <v>6575</v>
      </c>
      <c r="BX222" s="214">
        <v>6610</v>
      </c>
      <c r="BY222" s="215">
        <v>6585.5</v>
      </c>
      <c r="BZ222" s="214">
        <v>6650</v>
      </c>
      <c r="CA222" s="214">
        <v>6684.5</v>
      </c>
      <c r="CB222" s="214">
        <v>6721.5</v>
      </c>
      <c r="CC222" s="214">
        <v>6758.5</v>
      </c>
      <c r="CD222" s="215">
        <v>6705.5</v>
      </c>
      <c r="CE222" s="214">
        <v>6798.5</v>
      </c>
      <c r="CF222" s="214">
        <v>6844</v>
      </c>
      <c r="CG222" s="214">
        <v>6889.5</v>
      </c>
      <c r="CH222" s="214">
        <v>6937.5</v>
      </c>
      <c r="CI222" s="215">
        <v>6870.5</v>
      </c>
      <c r="CJ222" s="214">
        <v>6993.5</v>
      </c>
      <c r="CK222" s="214">
        <v>7055</v>
      </c>
      <c r="CL222" s="214">
        <v>7119</v>
      </c>
      <c r="CM222" s="214">
        <v>7185.5</v>
      </c>
      <c r="CN222" s="215">
        <v>7092</v>
      </c>
      <c r="CR222" s="66"/>
      <c r="CS222" s="66"/>
      <c r="CT222" s="66"/>
      <c r="CU222" s="66"/>
      <c r="CV222" s="66"/>
      <c r="CW222" s="66"/>
    </row>
    <row r="223" spans="1:256">
      <c r="A223" s="41"/>
      <c r="B223" s="41"/>
      <c r="AF223" s="89"/>
      <c r="AK223" s="89"/>
      <c r="AP223" s="89"/>
      <c r="AU223" s="89"/>
      <c r="AZ223" s="89"/>
      <c r="BE223" s="89"/>
      <c r="BJ223" s="89"/>
      <c r="BO223" s="89"/>
      <c r="BT223" s="89"/>
      <c r="BY223" s="89"/>
      <c r="CD223" s="89"/>
      <c r="CI223" s="89"/>
      <c r="CN223" s="89"/>
      <c r="CO223" s="80"/>
      <c r="CR223" s="66"/>
      <c r="CS223" s="66"/>
      <c r="CT223" s="66"/>
      <c r="CU223" s="66"/>
      <c r="CV223" s="66"/>
      <c r="CW223" s="66"/>
    </row>
    <row r="224" spans="1:256">
      <c r="A224" s="41" t="s">
        <v>467</v>
      </c>
      <c r="B224" s="41"/>
      <c r="AB224" s="820" t="e">
        <f t="shared" ref="AB224:BG224" si="353">AB14/AB220</f>
        <v>#DIV/0!</v>
      </c>
      <c r="AC224" s="820" t="e">
        <f t="shared" si="353"/>
        <v>#DIV/0!</v>
      </c>
      <c r="AD224" s="820" t="e">
        <f t="shared" si="353"/>
        <v>#DIV/0!</v>
      </c>
      <c r="AE224" s="820" t="e">
        <f t="shared" si="353"/>
        <v>#DIV/0!</v>
      </c>
      <c r="AF224" s="824" t="e">
        <f t="shared" si="353"/>
        <v>#DIV/0!</v>
      </c>
      <c r="AG224" s="820" t="e">
        <f t="shared" si="353"/>
        <v>#DIV/0!</v>
      </c>
      <c r="AH224" s="820" t="e">
        <f t="shared" si="353"/>
        <v>#DIV/0!</v>
      </c>
      <c r="AI224" s="820" t="e">
        <f t="shared" si="353"/>
        <v>#DIV/0!</v>
      </c>
      <c r="AJ224" s="820" t="e">
        <f t="shared" si="353"/>
        <v>#DIV/0!</v>
      </c>
      <c r="AK224" s="824" t="e">
        <f t="shared" si="353"/>
        <v>#DIV/0!</v>
      </c>
      <c r="AL224" s="820" t="e">
        <f t="shared" si="353"/>
        <v>#DIV/0!</v>
      </c>
      <c r="AM224" s="820" t="e">
        <f t="shared" si="353"/>
        <v>#DIV/0!</v>
      </c>
      <c r="AN224" s="820" t="e">
        <f t="shared" si="353"/>
        <v>#DIV/0!</v>
      </c>
      <c r="AO224" s="820" t="e">
        <f t="shared" si="353"/>
        <v>#DIV/0!</v>
      </c>
      <c r="AP224" s="824" t="e">
        <f t="shared" si="353"/>
        <v>#DIV/0!</v>
      </c>
      <c r="AQ224" s="820" t="e">
        <f t="shared" si="353"/>
        <v>#DIV/0!</v>
      </c>
      <c r="AR224" s="820" t="e">
        <f t="shared" si="353"/>
        <v>#DIV/0!</v>
      </c>
      <c r="AS224" s="820" t="e">
        <f t="shared" si="353"/>
        <v>#DIV/0!</v>
      </c>
      <c r="AT224" s="820" t="e">
        <f t="shared" si="353"/>
        <v>#DIV/0!</v>
      </c>
      <c r="AU224" s="824" t="e">
        <f t="shared" si="353"/>
        <v>#DIV/0!</v>
      </c>
      <c r="AV224" s="820">
        <f t="shared" si="353"/>
        <v>0.36729070999646768</v>
      </c>
      <c r="AW224" s="820">
        <f t="shared" si="353"/>
        <v>0.39881366678407887</v>
      </c>
      <c r="AX224" s="820">
        <f t="shared" si="353"/>
        <v>0.38878830083565458</v>
      </c>
      <c r="AY224" s="820">
        <f t="shared" si="353"/>
        <v>0.38548573416840637</v>
      </c>
      <c r="AZ224" s="824">
        <f t="shared" si="353"/>
        <v>1.5458924050632912</v>
      </c>
      <c r="BA224" s="820">
        <f t="shared" si="353"/>
        <v>0.3718990889978977</v>
      </c>
      <c r="BB224" s="820">
        <f t="shared" si="353"/>
        <v>0.40154657293497359</v>
      </c>
      <c r="BC224" s="820">
        <f t="shared" si="353"/>
        <v>0.4008829022988506</v>
      </c>
      <c r="BD224" s="820">
        <f t="shared" si="353"/>
        <v>0.39696273048254216</v>
      </c>
      <c r="BE224" s="824">
        <f t="shared" si="353"/>
        <v>1.6596168582375481</v>
      </c>
      <c r="BF224" s="820">
        <f t="shared" si="353"/>
        <v>0.39618131868131867</v>
      </c>
      <c r="BG224" s="820">
        <f t="shared" si="353"/>
        <v>0.42353339980059818</v>
      </c>
      <c r="BH224" s="820">
        <f t="shared" ref="BH224:CN224" si="354">BH14/BH220</f>
        <v>0.40905900000000001</v>
      </c>
      <c r="BI224" s="820">
        <f t="shared" si="354"/>
        <v>0.41368237704918037</v>
      </c>
      <c r="BJ224" s="824">
        <f t="shared" si="354"/>
        <v>1.5610280373831775</v>
      </c>
      <c r="BK224" s="820">
        <f t="shared" si="354"/>
        <v>0.37638842105263159</v>
      </c>
      <c r="BL224" s="820">
        <f t="shared" si="354"/>
        <v>0.42711924570160842</v>
      </c>
      <c r="BM224" s="820">
        <f t="shared" si="354"/>
        <v>0.41941004672897192</v>
      </c>
      <c r="BN224" s="820">
        <f t="shared" si="354"/>
        <v>0.45440700808625339</v>
      </c>
      <c r="BO224" s="824">
        <f t="shared" si="354"/>
        <v>1.8109528005034614</v>
      </c>
      <c r="BP224" s="820">
        <f t="shared" si="354"/>
        <v>0.42723558484349256</v>
      </c>
      <c r="BQ224" s="820">
        <f t="shared" si="354"/>
        <v>0.44542096219931276</v>
      </c>
      <c r="BR224" s="820">
        <f t="shared" si="354"/>
        <v>0.45320911793855301</v>
      </c>
      <c r="BS224" s="820">
        <f t="shared" si="354"/>
        <v>0.45851254953764858</v>
      </c>
      <c r="BT224" s="824">
        <f t="shared" si="354"/>
        <v>1.9142577962577962</v>
      </c>
      <c r="BU224" s="820">
        <f t="shared" si="354"/>
        <v>0.44844780635400905</v>
      </c>
      <c r="BV224" s="820">
        <f t="shared" si="354"/>
        <v>0.48597885196374624</v>
      </c>
      <c r="BW224" s="820">
        <f t="shared" si="354"/>
        <v>0.4784427710843373</v>
      </c>
      <c r="BX224" s="820">
        <f t="shared" si="354"/>
        <v>0.46235223880597015</v>
      </c>
      <c r="BY224" s="824">
        <f t="shared" si="354"/>
        <v>1.8674722638680661</v>
      </c>
      <c r="BZ224" s="820">
        <f t="shared" si="354"/>
        <v>0.4740093313161875</v>
      </c>
      <c r="CA224" s="820">
        <f t="shared" si="354"/>
        <v>0.51149274169184289</v>
      </c>
      <c r="CB224" s="820">
        <f t="shared" si="354"/>
        <v>0.51432597891566256</v>
      </c>
      <c r="CC224" s="820">
        <f t="shared" si="354"/>
        <v>0.4924051343283582</v>
      </c>
      <c r="CD224" s="824">
        <f t="shared" si="354"/>
        <v>1.9923187624264769</v>
      </c>
      <c r="CE224" s="820">
        <f t="shared" si="354"/>
        <v>0.49770979788199693</v>
      </c>
      <c r="CF224" s="820">
        <f t="shared" si="354"/>
        <v>0.53195245135951663</v>
      </c>
      <c r="CG224" s="820">
        <f t="shared" si="354"/>
        <v>0.53489901807228912</v>
      </c>
      <c r="CH224" s="820">
        <f t="shared" si="354"/>
        <v>0.51702539104477607</v>
      </c>
      <c r="CI224" s="824">
        <f t="shared" si="354"/>
        <v>2.0817631608113358</v>
      </c>
      <c r="CJ224" s="820">
        <f t="shared" si="354"/>
        <v>0.52259528777609676</v>
      </c>
      <c r="CK224" s="820">
        <f t="shared" si="354"/>
        <v>0.55323054941389727</v>
      </c>
      <c r="CL224" s="820">
        <f t="shared" si="354"/>
        <v>0.55629497879518075</v>
      </c>
      <c r="CM224" s="820">
        <f t="shared" si="354"/>
        <v>0.54287666059701489</v>
      </c>
      <c r="CN224" s="824">
        <f t="shared" si="354"/>
        <v>2.1752675126998411</v>
      </c>
      <c r="CR224" s="66"/>
      <c r="CS224" s="66"/>
      <c r="CT224" s="66"/>
      <c r="CU224" s="66"/>
      <c r="CV224" s="66"/>
      <c r="CW224" s="66"/>
    </row>
    <row r="225" spans="1:101">
      <c r="A225" s="41" t="s">
        <v>468</v>
      </c>
      <c r="B225" s="41"/>
      <c r="AB225" s="820" t="e">
        <f t="shared" ref="AB225:BG225" si="355">AB16/AB221</f>
        <v>#DIV/0!</v>
      </c>
      <c r="AC225" s="820" t="e">
        <f t="shared" si="355"/>
        <v>#DIV/0!</v>
      </c>
      <c r="AD225" s="820" t="e">
        <f t="shared" si="355"/>
        <v>#DIV/0!</v>
      </c>
      <c r="AE225" s="820" t="e">
        <f t="shared" si="355"/>
        <v>#DIV/0!</v>
      </c>
      <c r="AF225" s="824" t="e">
        <f t="shared" si="355"/>
        <v>#DIV/0!</v>
      </c>
      <c r="AG225" s="820" t="e">
        <f t="shared" si="355"/>
        <v>#DIV/0!</v>
      </c>
      <c r="AH225" s="820" t="e">
        <f t="shared" si="355"/>
        <v>#DIV/0!</v>
      </c>
      <c r="AI225" s="820" t="e">
        <f t="shared" si="355"/>
        <v>#DIV/0!</v>
      </c>
      <c r="AJ225" s="820" t="e">
        <f t="shared" si="355"/>
        <v>#DIV/0!</v>
      </c>
      <c r="AK225" s="824" t="e">
        <f t="shared" si="355"/>
        <v>#DIV/0!</v>
      </c>
      <c r="AL225" s="820" t="e">
        <f t="shared" si="355"/>
        <v>#DIV/0!</v>
      </c>
      <c r="AM225" s="820" t="e">
        <f t="shared" si="355"/>
        <v>#DIV/0!</v>
      </c>
      <c r="AN225" s="820" t="e">
        <f t="shared" si="355"/>
        <v>#DIV/0!</v>
      </c>
      <c r="AO225" s="820" t="e">
        <f t="shared" si="355"/>
        <v>#DIV/0!</v>
      </c>
      <c r="AP225" s="824" t="e">
        <f t="shared" si="355"/>
        <v>#DIV/0!</v>
      </c>
      <c r="AQ225" s="820" t="e">
        <f t="shared" si="355"/>
        <v>#DIV/0!</v>
      </c>
      <c r="AR225" s="820" t="e">
        <f t="shared" si="355"/>
        <v>#DIV/0!</v>
      </c>
      <c r="AS225" s="820" t="e">
        <f t="shared" si="355"/>
        <v>#DIV/0!</v>
      </c>
      <c r="AT225" s="820" t="e">
        <f t="shared" si="355"/>
        <v>#DIV/0!</v>
      </c>
      <c r="AU225" s="824" t="e">
        <f t="shared" si="355"/>
        <v>#DIV/0!</v>
      </c>
      <c r="AV225" s="820">
        <f t="shared" si="355"/>
        <v>1.4164346481051816E-2</v>
      </c>
      <c r="AW225" s="820">
        <f t="shared" si="355"/>
        <v>1.5502381183788511E-2</v>
      </c>
      <c r="AX225" s="820">
        <f t="shared" si="355"/>
        <v>1.526189078097475E-2</v>
      </c>
      <c r="AY225" s="820">
        <f t="shared" si="355"/>
        <v>1.4847199139700852E-2</v>
      </c>
      <c r="AZ225" s="824">
        <f t="shared" si="355"/>
        <v>5.9538118331716773E-2</v>
      </c>
      <c r="BA225" s="820">
        <f t="shared" si="355"/>
        <v>1.4245658536585366E-2</v>
      </c>
      <c r="BB225" s="820">
        <f t="shared" si="355"/>
        <v>1.5495752367932819E-2</v>
      </c>
      <c r="BC225" s="820">
        <f t="shared" si="355"/>
        <v>1.6072642517238032E-2</v>
      </c>
      <c r="BD225" s="820">
        <f t="shared" si="355"/>
        <v>1.6398217502607376E-2</v>
      </c>
      <c r="BE225" s="824">
        <f t="shared" si="355"/>
        <v>6.1212715332635392E-2</v>
      </c>
      <c r="BF225" s="820">
        <f t="shared" si="355"/>
        <v>1.6587179487179488E-2</v>
      </c>
      <c r="BG225" s="820">
        <f t="shared" si="355"/>
        <v>1.77923507126105E-2</v>
      </c>
      <c r="BH225" s="820">
        <f t="shared" ref="BH225:CN225" si="356">BH16/BH221</f>
        <v>1.8674731425476213E-2</v>
      </c>
      <c r="BI225" s="820">
        <f t="shared" si="356"/>
        <v>1.7701126633618749E-2</v>
      </c>
      <c r="BJ225" s="824">
        <f t="shared" si="356"/>
        <v>7.1499451152579593E-2</v>
      </c>
      <c r="BK225" s="820">
        <f t="shared" si="356"/>
        <v>1.696838692245339E-2</v>
      </c>
      <c r="BL225" s="820">
        <f t="shared" si="356"/>
        <v>1.8721734456190648E-2</v>
      </c>
      <c r="BM225" s="820">
        <f t="shared" si="356"/>
        <v>1.877248489157483E-2</v>
      </c>
      <c r="BN225" s="820">
        <f t="shared" si="356"/>
        <v>2.2155547813969691E-2</v>
      </c>
      <c r="BO225" s="824">
        <f t="shared" si="356"/>
        <v>7.566768960982026E-2</v>
      </c>
      <c r="BP225" s="820">
        <f t="shared" si="356"/>
        <v>1.5128117817315058E-2</v>
      </c>
      <c r="BQ225" s="820">
        <f t="shared" si="356"/>
        <v>1.5071646341463416E-2</v>
      </c>
      <c r="BR225" s="820">
        <f t="shared" si="356"/>
        <v>1.6349799732977302E-2</v>
      </c>
      <c r="BS225" s="820">
        <f t="shared" si="356"/>
        <v>1.5575836522022308E-2</v>
      </c>
      <c r="BT225" s="824">
        <f t="shared" si="356"/>
        <v>6.1633482661357222E-2</v>
      </c>
      <c r="BU225" s="820">
        <f t="shared" si="356"/>
        <v>1.5239398084815321E-2</v>
      </c>
      <c r="BV225" s="820">
        <f t="shared" si="356"/>
        <v>1.8075644423030595E-2</v>
      </c>
      <c r="BW225" s="820">
        <f t="shared" si="356"/>
        <v>1.5838859522665387E-2</v>
      </c>
      <c r="BX225" s="820">
        <f t="shared" si="356"/>
        <v>1.6634741035856573E-2</v>
      </c>
      <c r="BY225" s="824">
        <f t="shared" si="356"/>
        <v>6.5659468969929621E-2</v>
      </c>
      <c r="BZ225" s="820">
        <f t="shared" si="356"/>
        <v>1.4781054453057845E-2</v>
      </c>
      <c r="CA225" s="820">
        <f t="shared" si="356"/>
        <v>1.6652038081849257E-2</v>
      </c>
      <c r="CB225" s="820">
        <f t="shared" si="356"/>
        <v>1.6010752409487381E-2</v>
      </c>
      <c r="CC225" s="820">
        <f t="shared" si="356"/>
        <v>1.6082178712367445E-2</v>
      </c>
      <c r="CD225" s="824">
        <f t="shared" si="356"/>
        <v>6.3516105357051086E-2</v>
      </c>
      <c r="CE225" s="820">
        <f t="shared" si="356"/>
        <v>1.5208455871585019E-2</v>
      </c>
      <c r="CF225" s="820">
        <f t="shared" si="356"/>
        <v>1.6938311940046163E-2</v>
      </c>
      <c r="CG225" s="820">
        <f t="shared" si="356"/>
        <v>1.6313900214274094E-2</v>
      </c>
      <c r="CH225" s="820">
        <f t="shared" si="356"/>
        <v>1.6377930141280601E-2</v>
      </c>
      <c r="CI225" s="824">
        <f t="shared" si="356"/>
        <v>6.4817224682133134E-2</v>
      </c>
      <c r="CJ225" s="820">
        <f t="shared" si="356"/>
        <v>1.5649493916797073E-2</v>
      </c>
      <c r="CK225" s="820">
        <f t="shared" si="356"/>
        <v>1.722586291510016E-2</v>
      </c>
      <c r="CL225" s="820">
        <f t="shared" si="356"/>
        <v>1.6623039982438362E-2</v>
      </c>
      <c r="CM225" s="820">
        <f t="shared" si="356"/>
        <v>1.6674412739803225E-2</v>
      </c>
      <c r="CN225" s="824">
        <f t="shared" si="356"/>
        <v>6.61468840222596E-2</v>
      </c>
      <c r="CO225" s="441"/>
      <c r="CR225" s="66"/>
      <c r="CS225" s="66"/>
      <c r="CT225" s="66"/>
      <c r="CU225" s="66"/>
      <c r="CV225" s="66"/>
      <c r="CW225" s="66"/>
    </row>
    <row r="226" spans="1:101">
      <c r="A226" s="41"/>
      <c r="B226" s="41"/>
      <c r="AB226" s="820"/>
      <c r="AC226" s="820"/>
      <c r="AD226" s="820"/>
      <c r="AE226" s="820"/>
      <c r="AF226" s="824"/>
      <c r="AG226" s="820"/>
      <c r="AH226" s="820"/>
      <c r="AI226" s="820"/>
      <c r="AJ226" s="820"/>
      <c r="AK226" s="824"/>
      <c r="AL226" s="820"/>
      <c r="AM226" s="820"/>
      <c r="AN226" s="820"/>
      <c r="AO226" s="820"/>
      <c r="AP226" s="824"/>
      <c r="AQ226" s="820"/>
      <c r="AR226" s="820"/>
      <c r="AS226" s="820"/>
      <c r="AT226" s="820"/>
      <c r="AU226" s="824"/>
      <c r="AV226" s="820"/>
      <c r="AW226" s="820"/>
      <c r="AX226" s="820"/>
      <c r="AY226" s="820"/>
      <c r="AZ226" s="824"/>
      <c r="BA226" s="820"/>
      <c r="BB226" s="820"/>
      <c r="BC226" s="820"/>
      <c r="BD226" s="820"/>
      <c r="BE226" s="824"/>
      <c r="BF226" s="820"/>
      <c r="BG226" s="820"/>
      <c r="BH226" s="820"/>
      <c r="BI226" s="820"/>
      <c r="BJ226" s="824"/>
      <c r="BK226" s="820"/>
      <c r="BL226" s="820"/>
      <c r="BM226" s="820"/>
      <c r="BN226" s="820"/>
      <c r="BO226" s="824"/>
      <c r="BP226" s="820"/>
      <c r="BQ226" s="820"/>
      <c r="BR226" s="820"/>
      <c r="BS226" s="820"/>
      <c r="BT226" s="824"/>
      <c r="BU226" s="820"/>
      <c r="BV226" s="820"/>
      <c r="BW226" s="820"/>
      <c r="BX226" s="820"/>
      <c r="BY226" s="824"/>
      <c r="BZ226" s="820"/>
      <c r="CA226" s="820"/>
      <c r="CB226" s="820"/>
      <c r="CC226" s="820"/>
      <c r="CD226" s="824"/>
      <c r="CE226" s="820"/>
      <c r="CF226" s="820"/>
      <c r="CG226" s="820"/>
      <c r="CH226" s="820"/>
      <c r="CI226" s="824"/>
      <c r="CJ226" s="820"/>
      <c r="CK226" s="820"/>
      <c r="CL226" s="820"/>
      <c r="CM226" s="820"/>
      <c r="CN226" s="824"/>
      <c r="CO226" s="441"/>
      <c r="CR226" s="66"/>
      <c r="CS226" s="66"/>
      <c r="CT226" s="66"/>
      <c r="CU226" s="66"/>
      <c r="CV226" s="66"/>
      <c r="CW226" s="66"/>
    </row>
    <row r="227" spans="1:101">
      <c r="A227" s="41" t="s">
        <v>615</v>
      </c>
      <c r="B227" s="41"/>
      <c r="AB227" s="820"/>
      <c r="AC227" s="820"/>
      <c r="AD227" s="820"/>
      <c r="AE227" s="820"/>
      <c r="AF227" s="824"/>
      <c r="AG227" s="820"/>
      <c r="AH227" s="820"/>
      <c r="AI227" s="820"/>
      <c r="AJ227" s="820"/>
      <c r="AK227" s="824"/>
      <c r="AL227" s="820"/>
      <c r="AM227" s="820"/>
      <c r="AN227" s="820"/>
      <c r="AO227" s="820"/>
      <c r="AP227" s="824"/>
      <c r="AQ227" s="820" t="e">
        <f t="shared" ref="AQ227:BV227" si="357">AQ20/AQ220</f>
        <v>#DIV/0!</v>
      </c>
      <c r="AR227" s="820" t="e">
        <f t="shared" si="357"/>
        <v>#DIV/0!</v>
      </c>
      <c r="AS227" s="820" t="e">
        <f t="shared" si="357"/>
        <v>#DIV/0!</v>
      </c>
      <c r="AT227" s="820" t="e">
        <f t="shared" si="357"/>
        <v>#DIV/0!</v>
      </c>
      <c r="AU227" s="824" t="e">
        <f t="shared" si="357"/>
        <v>#DIV/0!</v>
      </c>
      <c r="AV227" s="820">
        <f t="shared" si="357"/>
        <v>0.11918050158954432</v>
      </c>
      <c r="AW227" s="820">
        <f t="shared" si="357"/>
        <v>0.12779147587178585</v>
      </c>
      <c r="AX227" s="820">
        <f t="shared" si="357"/>
        <v>0.12520891364902509</v>
      </c>
      <c r="AY227" s="820">
        <f t="shared" si="357"/>
        <v>0.12345163535142659</v>
      </c>
      <c r="AZ227" s="824">
        <f t="shared" si="357"/>
        <v>0.49739803094233481</v>
      </c>
      <c r="BA227" s="820">
        <f t="shared" si="357"/>
        <v>0.11899088997897689</v>
      </c>
      <c r="BB227" s="820">
        <f t="shared" si="357"/>
        <v>0.12787346221441126</v>
      </c>
      <c r="BC227" s="820">
        <f t="shared" si="357"/>
        <v>0.1278735632183908</v>
      </c>
      <c r="BD227" s="820">
        <f t="shared" si="357"/>
        <v>0.12577481365241266</v>
      </c>
      <c r="BE227" s="824">
        <f t="shared" si="357"/>
        <v>0.52873563218390807</v>
      </c>
      <c r="BF227" s="820">
        <f t="shared" si="357"/>
        <v>0.1228021978021978</v>
      </c>
      <c r="BG227" s="820">
        <f t="shared" si="357"/>
        <v>0.13240279162512464</v>
      </c>
      <c r="BH227" s="820">
        <f t="shared" si="357"/>
        <v>0.1288</v>
      </c>
      <c r="BI227" s="820">
        <f t="shared" si="357"/>
        <v>0.13309426229508201</v>
      </c>
      <c r="BJ227" s="824">
        <f t="shared" si="357"/>
        <v>0.49121495327102804</v>
      </c>
      <c r="BK227" s="820">
        <f t="shared" si="357"/>
        <v>0.12168421052631578</v>
      </c>
      <c r="BL227" s="820">
        <f t="shared" si="357"/>
        <v>0.13577371048252912</v>
      </c>
      <c r="BM227" s="820">
        <f t="shared" si="357"/>
        <v>0.13235981308411215</v>
      </c>
      <c r="BN227" s="820">
        <f t="shared" si="357"/>
        <v>0.14649595687331535</v>
      </c>
      <c r="BO227" s="824">
        <f t="shared" si="357"/>
        <v>0.578980490874764</v>
      </c>
      <c r="BP227" s="820">
        <f t="shared" si="357"/>
        <v>0.13047775947281715</v>
      </c>
      <c r="BQ227" s="820">
        <f t="shared" si="357"/>
        <v>0.13470790378006875</v>
      </c>
      <c r="BR227" s="820">
        <f t="shared" si="357"/>
        <v>0.13736372646184342</v>
      </c>
      <c r="BS227" s="820">
        <f t="shared" si="357"/>
        <v>0.13659180977542928</v>
      </c>
      <c r="BT227" s="824">
        <f t="shared" si="357"/>
        <v>0.5792099792099793</v>
      </c>
      <c r="BU227" s="820">
        <f t="shared" si="357"/>
        <v>0.13615733736762481</v>
      </c>
      <c r="BV227" s="820">
        <f t="shared" si="357"/>
        <v>0.15196374622356495</v>
      </c>
      <c r="BW227" s="820">
        <f t="shared" ref="BW227:CN227" si="358">BW20/BW220</f>
        <v>0.15602409638554215</v>
      </c>
      <c r="BX227" s="820">
        <f t="shared" si="358"/>
        <v>0.14716417910447765</v>
      </c>
      <c r="BY227" s="824">
        <f t="shared" si="358"/>
        <v>0.58890554722638677</v>
      </c>
      <c r="BZ227" s="820">
        <f t="shared" si="358"/>
        <v>0.14534033359152798</v>
      </c>
      <c r="CA227" s="820">
        <f t="shared" si="358"/>
        <v>0.16096482838368578</v>
      </c>
      <c r="CB227" s="820">
        <f t="shared" si="358"/>
        <v>0.16875455557228913</v>
      </c>
      <c r="CC227" s="820">
        <f t="shared" si="358"/>
        <v>0.1577146610149254</v>
      </c>
      <c r="CD227" s="824">
        <f t="shared" si="358"/>
        <v>0.63284062149673337</v>
      </c>
      <c r="CE227" s="820">
        <f t="shared" si="358"/>
        <v>0.15260735027110439</v>
      </c>
      <c r="CF227" s="820">
        <f t="shared" si="358"/>
        <v>0.16740342151903323</v>
      </c>
      <c r="CG227" s="820">
        <f t="shared" si="358"/>
        <v>0.17550473779518069</v>
      </c>
      <c r="CH227" s="820">
        <f t="shared" si="358"/>
        <v>0.16560039406567165</v>
      </c>
      <c r="CI227" s="824">
        <f t="shared" si="358"/>
        <v>0.6612523687166707</v>
      </c>
      <c r="CJ227" s="820">
        <f t="shared" si="358"/>
        <v>0.16023771778465959</v>
      </c>
      <c r="CK227" s="820">
        <f t="shared" si="358"/>
        <v>0.17409955837979454</v>
      </c>
      <c r="CL227" s="820">
        <f t="shared" si="358"/>
        <v>0.18252492730698797</v>
      </c>
      <c r="CM227" s="820">
        <f t="shared" si="358"/>
        <v>0.17388041376895522</v>
      </c>
      <c r="CN227" s="824">
        <f t="shared" si="358"/>
        <v>0.69095115297369347</v>
      </c>
      <c r="CO227" s="441"/>
      <c r="CR227" s="66"/>
      <c r="CS227" s="66"/>
      <c r="CT227" s="66"/>
      <c r="CU227" s="66"/>
      <c r="CV227" s="66"/>
      <c r="CW227" s="66"/>
    </row>
    <row r="228" spans="1:101">
      <c r="A228" s="41"/>
      <c r="B228" s="41"/>
      <c r="AB228" s="820"/>
      <c r="AC228" s="820"/>
      <c r="AD228" s="820"/>
      <c r="AE228" s="820"/>
      <c r="AF228" s="824"/>
      <c r="AG228" s="820"/>
      <c r="AH228" s="820"/>
      <c r="AI228" s="820"/>
      <c r="AJ228" s="820"/>
      <c r="AK228" s="824"/>
      <c r="AL228" s="820"/>
      <c r="AM228" s="820"/>
      <c r="AN228" s="820"/>
      <c r="AO228" s="820"/>
      <c r="AP228" s="824"/>
      <c r="AQ228" s="820"/>
      <c r="AR228" s="820"/>
      <c r="AS228" s="820"/>
      <c r="AT228" s="820"/>
      <c r="AU228" s="824"/>
      <c r="AV228" s="820"/>
      <c r="AW228" s="820"/>
      <c r="AX228" s="820"/>
      <c r="AY228" s="820"/>
      <c r="AZ228" s="824"/>
      <c r="BA228" s="820"/>
      <c r="BB228" s="820"/>
      <c r="BC228" s="820"/>
      <c r="BD228" s="820"/>
      <c r="BE228" s="824"/>
      <c r="BF228" s="820"/>
      <c r="BG228" s="820"/>
      <c r="BH228" s="820"/>
      <c r="BI228" s="820"/>
      <c r="BJ228" s="824"/>
      <c r="BK228" s="820"/>
      <c r="BL228" s="820"/>
      <c r="BM228" s="820"/>
      <c r="BN228" s="820"/>
      <c r="BO228" s="824"/>
      <c r="BP228" s="820"/>
      <c r="BQ228" s="820"/>
      <c r="BR228" s="820"/>
      <c r="BS228" s="820"/>
      <c r="BT228" s="824"/>
      <c r="BU228" s="820"/>
      <c r="BV228" s="820"/>
      <c r="BW228" s="820"/>
      <c r="BX228" s="820"/>
      <c r="BY228" s="824"/>
      <c r="BZ228" s="820"/>
      <c r="CA228" s="820"/>
      <c r="CB228" s="820"/>
      <c r="CC228" s="820"/>
      <c r="CD228" s="824"/>
      <c r="CE228" s="820"/>
      <c r="CF228" s="820"/>
      <c r="CG228" s="820"/>
      <c r="CH228" s="820"/>
      <c r="CI228" s="824"/>
      <c r="CJ228" s="820"/>
      <c r="CK228" s="820"/>
      <c r="CL228" s="820"/>
      <c r="CM228" s="820"/>
      <c r="CN228" s="824"/>
      <c r="CO228" s="203"/>
      <c r="CR228" s="66"/>
      <c r="CS228" s="66"/>
      <c r="CT228" s="66"/>
      <c r="CU228" s="66"/>
      <c r="CV228" s="66"/>
      <c r="CW228" s="66"/>
    </row>
    <row r="229" spans="1:101">
      <c r="A229" s="41" t="s">
        <v>466</v>
      </c>
      <c r="B229" s="41"/>
      <c r="AB229" s="820" t="e">
        <f t="shared" ref="AB229:BG229" si="359">AB27/AB220</f>
        <v>#DIV/0!</v>
      </c>
      <c r="AC229" s="820" t="e">
        <f t="shared" si="359"/>
        <v>#DIV/0!</v>
      </c>
      <c r="AD229" s="820" t="e">
        <f t="shared" si="359"/>
        <v>#DIV/0!</v>
      </c>
      <c r="AE229" s="820" t="e">
        <f t="shared" si="359"/>
        <v>#DIV/0!</v>
      </c>
      <c r="AF229" s="824" t="e">
        <f t="shared" si="359"/>
        <v>#DIV/0!</v>
      </c>
      <c r="AG229" s="820" t="e">
        <f t="shared" si="359"/>
        <v>#DIV/0!</v>
      </c>
      <c r="AH229" s="820" t="e">
        <f t="shared" si="359"/>
        <v>#DIV/0!</v>
      </c>
      <c r="AI229" s="820" t="e">
        <f t="shared" si="359"/>
        <v>#DIV/0!</v>
      </c>
      <c r="AJ229" s="820" t="e">
        <f t="shared" si="359"/>
        <v>#DIV/0!</v>
      </c>
      <c r="AK229" s="824" t="e">
        <f t="shared" si="359"/>
        <v>#DIV/0!</v>
      </c>
      <c r="AL229" s="820" t="e">
        <f t="shared" si="359"/>
        <v>#DIV/0!</v>
      </c>
      <c r="AM229" s="820" t="e">
        <f t="shared" si="359"/>
        <v>#DIV/0!</v>
      </c>
      <c r="AN229" s="820" t="e">
        <f t="shared" si="359"/>
        <v>#DIV/0!</v>
      </c>
      <c r="AO229" s="820" t="e">
        <f t="shared" si="359"/>
        <v>#DIV/0!</v>
      </c>
      <c r="AP229" s="824" t="e">
        <f t="shared" si="359"/>
        <v>#DIV/0!</v>
      </c>
      <c r="AQ229" s="820" t="e">
        <f t="shared" si="359"/>
        <v>#DIV/0!</v>
      </c>
      <c r="AR229" s="820" t="e">
        <f t="shared" si="359"/>
        <v>#DIV/0!</v>
      </c>
      <c r="AS229" s="820" t="e">
        <f t="shared" si="359"/>
        <v>#DIV/0!</v>
      </c>
      <c r="AT229" s="820" t="e">
        <f t="shared" si="359"/>
        <v>#DIV/0!</v>
      </c>
      <c r="AU229" s="824" t="e">
        <f t="shared" si="359"/>
        <v>#DIV/0!</v>
      </c>
      <c r="AV229" s="820">
        <f t="shared" si="359"/>
        <v>0.32179441893323912</v>
      </c>
      <c r="AW229" s="820">
        <f t="shared" si="359"/>
        <v>0.34031701303275802</v>
      </c>
      <c r="AX229" s="820">
        <f t="shared" si="359"/>
        <v>0.33314763231197775</v>
      </c>
      <c r="AY229" s="820">
        <f t="shared" si="359"/>
        <v>0.32308698677800973</v>
      </c>
      <c r="AZ229" s="824">
        <f t="shared" si="359"/>
        <v>1.3229648382559773</v>
      </c>
      <c r="BA229" s="820">
        <f t="shared" si="359"/>
        <v>0.32293482831114223</v>
      </c>
      <c r="BB229" s="820">
        <f t="shared" si="359"/>
        <v>0.33272267135325134</v>
      </c>
      <c r="BC229" s="820">
        <f t="shared" si="359"/>
        <v>0.33705244252873567</v>
      </c>
      <c r="BD229" s="820">
        <f t="shared" si="359"/>
        <v>0.33184542958022756</v>
      </c>
      <c r="BE229" s="824">
        <f t="shared" si="359"/>
        <v>1.3993869731800765</v>
      </c>
      <c r="BF229" s="820">
        <f t="shared" si="359"/>
        <v>0.34266483516483515</v>
      </c>
      <c r="BG229" s="820">
        <f t="shared" si="359"/>
        <v>0.34673978065802591</v>
      </c>
      <c r="BH229" s="820">
        <f t="shared" ref="BH229:CN229" si="360">BH27/BH220</f>
        <v>0.34380700000000003</v>
      </c>
      <c r="BI229" s="820">
        <f t="shared" si="360"/>
        <v>0.34325717213114754</v>
      </c>
      <c r="BJ229" s="824">
        <f t="shared" si="360"/>
        <v>1.3091551401869159</v>
      </c>
      <c r="BK229" s="820">
        <f t="shared" si="360"/>
        <v>0.3211694736842105</v>
      </c>
      <c r="BL229" s="820">
        <f t="shared" si="360"/>
        <v>0.349552967276761</v>
      </c>
      <c r="BM229" s="820">
        <f t="shared" si="360"/>
        <v>0.34056542056074768</v>
      </c>
      <c r="BN229" s="820">
        <f t="shared" si="360"/>
        <v>0.36700269541778974</v>
      </c>
      <c r="BO229" s="824">
        <f t="shared" si="360"/>
        <v>1.4903713027061043</v>
      </c>
      <c r="BP229" s="820">
        <f t="shared" si="360"/>
        <v>0.35376606260296539</v>
      </c>
      <c r="BQ229" s="820">
        <f t="shared" si="360"/>
        <v>0.34803092783505157</v>
      </c>
      <c r="BR229" s="820">
        <f t="shared" si="360"/>
        <v>0.36976412289395438</v>
      </c>
      <c r="BS229" s="820">
        <f t="shared" si="360"/>
        <v>0.3721664464993395</v>
      </c>
      <c r="BT229" s="824">
        <f t="shared" si="360"/>
        <v>1.5482349272349272</v>
      </c>
      <c r="BU229" s="820">
        <f t="shared" si="360"/>
        <v>0.37339485627836611</v>
      </c>
      <c r="BV229" s="820">
        <f t="shared" si="360"/>
        <v>0.39081570996978854</v>
      </c>
      <c r="BW229" s="820">
        <f t="shared" si="360"/>
        <v>0.39875602409638555</v>
      </c>
      <c r="BX229" s="820">
        <f t="shared" si="360"/>
        <v>0.38147164179104481</v>
      </c>
      <c r="BY229" s="824">
        <f t="shared" si="360"/>
        <v>1.5379310344827588</v>
      </c>
      <c r="BZ229" s="820">
        <f t="shared" si="360"/>
        <v>0.39797404111346435</v>
      </c>
      <c r="CA229" s="820">
        <f t="shared" si="360"/>
        <v>0.4155526670090634</v>
      </c>
      <c r="CB229" s="820">
        <f t="shared" si="360"/>
        <v>0.43230510112951809</v>
      </c>
      <c r="CC229" s="820">
        <f t="shared" si="360"/>
        <v>0.4113880982686568</v>
      </c>
      <c r="CD229" s="824">
        <f t="shared" si="360"/>
        <v>1.6573039703608001</v>
      </c>
      <c r="CE229" s="820">
        <f t="shared" si="360"/>
        <v>0.41787274316913769</v>
      </c>
      <c r="CF229" s="820">
        <f t="shared" si="360"/>
        <v>0.43217477368942592</v>
      </c>
      <c r="CG229" s="820">
        <f t="shared" si="360"/>
        <v>0.44959730517469876</v>
      </c>
      <c r="CH229" s="820">
        <f t="shared" si="360"/>
        <v>0.43195750318208953</v>
      </c>
      <c r="CI229" s="824">
        <f t="shared" si="360"/>
        <v>1.7317753014806392</v>
      </c>
      <c r="CJ229" s="820">
        <f t="shared" si="360"/>
        <v>0.43772118975204233</v>
      </c>
      <c r="CK229" s="820">
        <f t="shared" si="360"/>
        <v>0.4483553035381751</v>
      </c>
      <c r="CL229" s="820">
        <f t="shared" si="360"/>
        <v>0.46646860742409652</v>
      </c>
      <c r="CM229" s="820">
        <f t="shared" si="360"/>
        <v>0.45246962501999999</v>
      </c>
      <c r="CN229" s="824">
        <f t="shared" si="360"/>
        <v>1.8052782128175102</v>
      </c>
      <c r="CO229" s="441"/>
      <c r="CR229" s="66"/>
      <c r="CS229" s="66"/>
      <c r="CT229" s="66"/>
      <c r="CU229" s="66"/>
      <c r="CV229" s="66"/>
      <c r="CW229" s="66"/>
    </row>
    <row r="230" spans="1:101">
      <c r="A230" s="41" t="s">
        <v>470</v>
      </c>
      <c r="B230" s="41"/>
      <c r="AB230" s="820" t="e">
        <f t="shared" ref="AB230:BG230" si="361">AB28/AB222</f>
        <v>#DIV/0!</v>
      </c>
      <c r="AC230" s="820" t="e">
        <f t="shared" si="361"/>
        <v>#DIV/0!</v>
      </c>
      <c r="AD230" s="820" t="e">
        <f t="shared" si="361"/>
        <v>#DIV/0!</v>
      </c>
      <c r="AE230" s="820" t="e">
        <f t="shared" si="361"/>
        <v>#DIV/0!</v>
      </c>
      <c r="AF230" s="824" t="e">
        <f t="shared" si="361"/>
        <v>#DIV/0!</v>
      </c>
      <c r="AG230" s="820" t="e">
        <f t="shared" si="361"/>
        <v>#DIV/0!</v>
      </c>
      <c r="AH230" s="820" t="e">
        <f t="shared" si="361"/>
        <v>#DIV/0!</v>
      </c>
      <c r="AI230" s="820" t="e">
        <f t="shared" si="361"/>
        <v>#DIV/0!</v>
      </c>
      <c r="AJ230" s="820" t="e">
        <f t="shared" si="361"/>
        <v>#DIV/0!</v>
      </c>
      <c r="AK230" s="824" t="e">
        <f t="shared" si="361"/>
        <v>#DIV/0!</v>
      </c>
      <c r="AL230" s="820" t="e">
        <f t="shared" si="361"/>
        <v>#DIV/0!</v>
      </c>
      <c r="AM230" s="820" t="e">
        <f t="shared" si="361"/>
        <v>#DIV/0!</v>
      </c>
      <c r="AN230" s="820" t="e">
        <f t="shared" si="361"/>
        <v>#DIV/0!</v>
      </c>
      <c r="AO230" s="820" t="e">
        <f t="shared" si="361"/>
        <v>#DIV/0!</v>
      </c>
      <c r="AP230" s="824" t="e">
        <f t="shared" si="361"/>
        <v>#DIV/0!</v>
      </c>
      <c r="AQ230" s="820" t="e">
        <f t="shared" si="361"/>
        <v>#DIV/0!</v>
      </c>
      <c r="AR230" s="820" t="e">
        <f t="shared" si="361"/>
        <v>#DIV/0!</v>
      </c>
      <c r="AS230" s="820" t="e">
        <f t="shared" si="361"/>
        <v>#DIV/0!</v>
      </c>
      <c r="AT230" s="820" t="e">
        <f t="shared" si="361"/>
        <v>#DIV/0!</v>
      </c>
      <c r="AU230" s="824" t="e">
        <f t="shared" si="361"/>
        <v>#DIV/0!</v>
      </c>
      <c r="AV230" s="820">
        <f t="shared" si="361"/>
        <v>1.0975939278937382E-2</v>
      </c>
      <c r="AW230" s="820">
        <f t="shared" si="361"/>
        <v>1.1173826934795857E-2</v>
      </c>
      <c r="AX230" s="820">
        <f t="shared" si="361"/>
        <v>1.102750190985485E-2</v>
      </c>
      <c r="AY230" s="820">
        <f t="shared" si="361"/>
        <v>1.0682133862474241E-2</v>
      </c>
      <c r="AZ230" s="824">
        <f t="shared" si="361"/>
        <v>4.3759768891591909E-2</v>
      </c>
      <c r="BA230" s="820">
        <f t="shared" si="361"/>
        <v>9.9679487179487186E-3</v>
      </c>
      <c r="BB230" s="820">
        <f t="shared" si="361"/>
        <v>1.1431300626623873E-2</v>
      </c>
      <c r="BC230" s="820">
        <f t="shared" si="361"/>
        <v>1.1699105572968427E-2</v>
      </c>
      <c r="BD230" s="820">
        <f t="shared" si="361"/>
        <v>1.178512522907758E-2</v>
      </c>
      <c r="BE230" s="824">
        <f t="shared" si="361"/>
        <v>4.4795608752001226E-2</v>
      </c>
      <c r="BF230" s="820">
        <f t="shared" si="361"/>
        <v>1.0739621489621489E-2</v>
      </c>
      <c r="BG230" s="820">
        <f t="shared" si="361"/>
        <v>1.0232508402077605E-2</v>
      </c>
      <c r="BH230" s="820">
        <f t="shared" ref="BH230:CN230" si="362">BH28/BH222</f>
        <v>1.005949376768372E-2</v>
      </c>
      <c r="BI230" s="820">
        <f t="shared" si="362"/>
        <v>9.2182110830075874E-3</v>
      </c>
      <c r="BJ230" s="824">
        <f t="shared" si="362"/>
        <v>4.0277998776009794E-2</v>
      </c>
      <c r="BK230" s="820">
        <f t="shared" si="362"/>
        <v>9.1821887256786899E-3</v>
      </c>
      <c r="BL230" s="820">
        <f t="shared" si="362"/>
        <v>9.3746239876590816E-3</v>
      </c>
      <c r="BM230" s="820">
        <f t="shared" si="362"/>
        <v>9.8245911755630976E-3</v>
      </c>
      <c r="BN230" s="820">
        <f t="shared" si="362"/>
        <v>1.1167823538485269E-2</v>
      </c>
      <c r="BO230" s="824">
        <f t="shared" si="362"/>
        <v>3.9487917500384793E-2</v>
      </c>
      <c r="BP230" s="820">
        <f t="shared" si="362"/>
        <v>9.9754648561067825E-3</v>
      </c>
      <c r="BQ230" s="820">
        <f t="shared" si="362"/>
        <v>9.4239901325932785E-3</v>
      </c>
      <c r="BR230" s="820">
        <f t="shared" si="362"/>
        <v>9.0722696836758251E-3</v>
      </c>
      <c r="BS230" s="820">
        <f t="shared" si="362"/>
        <v>9.3805214723926382E-3</v>
      </c>
      <c r="BT230" s="824">
        <f t="shared" si="362"/>
        <v>3.7779502151198532E-2</v>
      </c>
      <c r="BU230" s="820">
        <f t="shared" si="362"/>
        <v>8.0149755501222504E-3</v>
      </c>
      <c r="BV230" s="820">
        <f t="shared" si="362"/>
        <v>7.8200533739992382E-3</v>
      </c>
      <c r="BW230" s="820">
        <f t="shared" si="362"/>
        <v>8.0547528517110265E-3</v>
      </c>
      <c r="BX230" s="820">
        <f t="shared" si="362"/>
        <v>7.8503782148260214E-3</v>
      </c>
      <c r="BY230" s="824">
        <f t="shared" si="362"/>
        <v>3.1672765925138562E-2</v>
      </c>
      <c r="BZ230" s="820">
        <f t="shared" si="362"/>
        <v>7.5157473684210538E-3</v>
      </c>
      <c r="CA230" s="820">
        <f t="shared" si="362"/>
        <v>7.3807076071508715E-3</v>
      </c>
      <c r="CB230" s="820">
        <f t="shared" si="362"/>
        <v>7.1678048054749687E-3</v>
      </c>
      <c r="CC230" s="820">
        <f t="shared" si="362"/>
        <v>7.0410742028556642E-3</v>
      </c>
      <c r="CD230" s="824">
        <f t="shared" si="362"/>
        <v>2.9092768622772356E-2</v>
      </c>
      <c r="CE230" s="820">
        <f t="shared" si="362"/>
        <v>7.0869355298963013E-3</v>
      </c>
      <c r="CF230" s="820">
        <f t="shared" si="362"/>
        <v>6.9495742840444182E-3</v>
      </c>
      <c r="CG230" s="820">
        <f t="shared" si="362"/>
        <v>6.7423273096741424E-3</v>
      </c>
      <c r="CH230" s="820">
        <f t="shared" si="362"/>
        <v>6.6138545585585594E-3</v>
      </c>
      <c r="CI230" s="824">
        <f t="shared" si="362"/>
        <v>2.7374761312859323E-2</v>
      </c>
      <c r="CJ230" s="820">
        <f t="shared" si="362"/>
        <v>6.5806112304282556E-3</v>
      </c>
      <c r="CK230" s="820">
        <f t="shared" si="362"/>
        <v>6.4400768362863209E-3</v>
      </c>
      <c r="CL230" s="820">
        <f t="shared" si="362"/>
        <v>6.2338391347099304E-3</v>
      </c>
      <c r="CM230" s="820">
        <f t="shared" si="362"/>
        <v>6.1010973766613321E-3</v>
      </c>
      <c r="CN230" s="824">
        <f t="shared" si="362"/>
        <v>2.5334797337845456E-2</v>
      </c>
      <c r="CO230" s="441"/>
      <c r="CR230" s="66"/>
      <c r="CS230" s="66"/>
      <c r="CT230" s="66"/>
      <c r="CU230" s="66"/>
      <c r="CV230" s="66"/>
      <c r="CW230" s="66"/>
    </row>
    <row r="231" spans="1:101">
      <c r="A231" s="41" t="s">
        <v>469</v>
      </c>
      <c r="B231" s="41"/>
      <c r="AB231" s="820" t="e">
        <f t="shared" ref="AB231:BG231" si="363">AB29/AB222</f>
        <v>#DIV/0!</v>
      </c>
      <c r="AC231" s="820" t="e">
        <f t="shared" si="363"/>
        <v>#DIV/0!</v>
      </c>
      <c r="AD231" s="820" t="e">
        <f t="shared" si="363"/>
        <v>#DIV/0!</v>
      </c>
      <c r="AE231" s="820" t="e">
        <f t="shared" si="363"/>
        <v>#DIV/0!</v>
      </c>
      <c r="AF231" s="824" t="e">
        <f t="shared" si="363"/>
        <v>#DIV/0!</v>
      </c>
      <c r="AG231" s="820" t="e">
        <f t="shared" si="363"/>
        <v>#DIV/0!</v>
      </c>
      <c r="AH231" s="820" t="e">
        <f t="shared" si="363"/>
        <v>#DIV/0!</v>
      </c>
      <c r="AI231" s="820" t="e">
        <f t="shared" si="363"/>
        <v>#DIV/0!</v>
      </c>
      <c r="AJ231" s="820" t="e">
        <f t="shared" si="363"/>
        <v>#DIV/0!</v>
      </c>
      <c r="AK231" s="824" t="e">
        <f t="shared" si="363"/>
        <v>#DIV/0!</v>
      </c>
      <c r="AL231" s="820" t="e">
        <f t="shared" si="363"/>
        <v>#DIV/0!</v>
      </c>
      <c r="AM231" s="820" t="e">
        <f t="shared" si="363"/>
        <v>#DIV/0!</v>
      </c>
      <c r="AN231" s="820" t="e">
        <f t="shared" si="363"/>
        <v>#DIV/0!</v>
      </c>
      <c r="AO231" s="820" t="e">
        <f t="shared" si="363"/>
        <v>#DIV/0!</v>
      </c>
      <c r="AP231" s="824" t="e">
        <f t="shared" si="363"/>
        <v>#DIV/0!</v>
      </c>
      <c r="AQ231" s="820" t="e">
        <f t="shared" si="363"/>
        <v>#DIV/0!</v>
      </c>
      <c r="AR231" s="820" t="e">
        <f t="shared" si="363"/>
        <v>#DIV/0!</v>
      </c>
      <c r="AS231" s="820" t="e">
        <f t="shared" si="363"/>
        <v>#DIV/0!</v>
      </c>
      <c r="AT231" s="820" t="e">
        <f t="shared" si="363"/>
        <v>#DIV/0!</v>
      </c>
      <c r="AU231" s="824" t="e">
        <f t="shared" si="363"/>
        <v>#DIV/0!</v>
      </c>
      <c r="AV231" s="820">
        <f t="shared" si="363"/>
        <v>4.9048956356736242E-3</v>
      </c>
      <c r="AW231" s="820">
        <f t="shared" si="363"/>
        <v>5.4763863497867158E-3</v>
      </c>
      <c r="AX231" s="820">
        <f t="shared" si="363"/>
        <v>6.3984721161191747E-3</v>
      </c>
      <c r="AY231" s="820">
        <f t="shared" si="363"/>
        <v>5.6231397389910715E-3</v>
      </c>
      <c r="AZ231" s="824">
        <f t="shared" si="363"/>
        <v>2.2346966702143835E-2</v>
      </c>
      <c r="BA231" s="820">
        <f t="shared" si="363"/>
        <v>7.9055250305250305E-3</v>
      </c>
      <c r="BB231" s="820">
        <f t="shared" si="363"/>
        <v>5.917621885985022E-3</v>
      </c>
      <c r="BC231" s="820">
        <f t="shared" si="363"/>
        <v>6.7770048161455553E-3</v>
      </c>
      <c r="BD231" s="820">
        <f t="shared" si="363"/>
        <v>7.2568723274282227E-3</v>
      </c>
      <c r="BE231" s="824">
        <f t="shared" si="363"/>
        <v>2.7804985896165282E-2</v>
      </c>
      <c r="BF231" s="820">
        <f t="shared" si="363"/>
        <v>6.4134615384615389E-3</v>
      </c>
      <c r="BG231" s="820">
        <f t="shared" si="363"/>
        <v>6.0334555453712187E-3</v>
      </c>
      <c r="BH231" s="820">
        <f t="shared" ref="BH231:CN231" si="364">BH29/BH222</f>
        <v>5.547755601437639E-3</v>
      </c>
      <c r="BI231" s="820">
        <f t="shared" si="364"/>
        <v>6.3712730895991417E-3</v>
      </c>
      <c r="BJ231" s="824">
        <f t="shared" si="364"/>
        <v>2.4380813953488373E-2</v>
      </c>
      <c r="BK231" s="820">
        <f t="shared" si="364"/>
        <v>5.4671998769514731E-3</v>
      </c>
      <c r="BL231" s="820">
        <f t="shared" si="364"/>
        <v>6.0678750482067107E-3</v>
      </c>
      <c r="BM231" s="820">
        <f t="shared" si="364"/>
        <v>5.6186362233878436E-3</v>
      </c>
      <c r="BN231" s="820">
        <f t="shared" si="364"/>
        <v>5.2060774332870581E-3</v>
      </c>
      <c r="BO231" s="824">
        <f t="shared" si="364"/>
        <v>2.2325842696629211E-2</v>
      </c>
      <c r="BP231" s="820">
        <f t="shared" si="364"/>
        <v>4.9911272278373581E-3</v>
      </c>
      <c r="BQ231" s="820">
        <f t="shared" si="364"/>
        <v>4.7408263953129812E-3</v>
      </c>
      <c r="BR231" s="820">
        <f t="shared" si="364"/>
        <v>4.5196644346956047E-3</v>
      </c>
      <c r="BS231" s="820">
        <f t="shared" si="364"/>
        <v>4.6392638036809814E-3</v>
      </c>
      <c r="BT231" s="824">
        <f t="shared" si="364"/>
        <v>1.8854333128457284E-2</v>
      </c>
      <c r="BU231" s="820">
        <f t="shared" si="364"/>
        <v>4.4567542787286064E-3</v>
      </c>
      <c r="BV231" s="820">
        <f t="shared" si="364"/>
        <v>4.7745329775066717E-3</v>
      </c>
      <c r="BW231" s="820">
        <f t="shared" si="364"/>
        <v>4.7476806083650196E-3</v>
      </c>
      <c r="BX231" s="820">
        <f t="shared" si="364"/>
        <v>5.1432677760968231E-3</v>
      </c>
      <c r="BY231" s="824">
        <f t="shared" si="364"/>
        <v>1.9085414926732974E-2</v>
      </c>
      <c r="BZ231" s="820">
        <f t="shared" si="364"/>
        <v>4.6269285714285709E-3</v>
      </c>
      <c r="CA231" s="820">
        <f t="shared" si="364"/>
        <v>4.9414309222828925E-3</v>
      </c>
      <c r="CB231" s="820">
        <f t="shared" si="364"/>
        <v>4.8996325225024173E-3</v>
      </c>
      <c r="CC231" s="820">
        <f t="shared" si="364"/>
        <v>4.6924842124731816E-3</v>
      </c>
      <c r="CD231" s="824">
        <f t="shared" si="364"/>
        <v>1.9155484982477069E-2</v>
      </c>
      <c r="CE231" s="820">
        <f t="shared" si="364"/>
        <v>4.6163795690225785E-3</v>
      </c>
      <c r="CF231" s="820">
        <f t="shared" si="364"/>
        <v>4.9227958649912329E-3</v>
      </c>
      <c r="CG231" s="820">
        <f t="shared" si="364"/>
        <v>4.8757584149793157E-3</v>
      </c>
      <c r="CH231" s="820">
        <f t="shared" si="364"/>
        <v>4.6628378581621615E-3</v>
      </c>
      <c r="CI231" s="824">
        <f t="shared" si="364"/>
        <v>1.9069361275161921E-2</v>
      </c>
      <c r="CJ231" s="820">
        <f t="shared" si="364"/>
        <v>4.5774141173947234E-3</v>
      </c>
      <c r="CK231" s="820">
        <f t="shared" si="364"/>
        <v>4.8710768530120484E-3</v>
      </c>
      <c r="CL231" s="820">
        <f t="shared" si="364"/>
        <v>4.8129468116308461E-3</v>
      </c>
      <c r="CM231" s="820">
        <f t="shared" si="364"/>
        <v>4.5919429954519517E-3</v>
      </c>
      <c r="CN231" s="824">
        <f t="shared" si="364"/>
        <v>1.8843255439060909E-2</v>
      </c>
      <c r="CR231" s="66"/>
      <c r="CS231" s="66"/>
      <c r="CT231" s="66"/>
      <c r="CU231" s="66"/>
      <c r="CV231" s="66"/>
      <c r="CW231" s="66"/>
    </row>
    <row r="232" spans="1:101">
      <c r="A232" s="41" t="s">
        <v>471</v>
      </c>
      <c r="B232" s="41"/>
      <c r="AB232" s="820" t="e">
        <f t="shared" ref="AB232:BG232" si="365">AB38/AB222</f>
        <v>#DIV/0!</v>
      </c>
      <c r="AC232" s="820" t="e">
        <f t="shared" si="365"/>
        <v>#DIV/0!</v>
      </c>
      <c r="AD232" s="820" t="e">
        <f t="shared" si="365"/>
        <v>#DIV/0!</v>
      </c>
      <c r="AE232" s="820" t="e">
        <f t="shared" si="365"/>
        <v>#DIV/0!</v>
      </c>
      <c r="AF232" s="824" t="e">
        <f t="shared" si="365"/>
        <v>#DIV/0!</v>
      </c>
      <c r="AG232" s="820" t="e">
        <f t="shared" si="365"/>
        <v>#DIV/0!</v>
      </c>
      <c r="AH232" s="820" t="e">
        <f t="shared" si="365"/>
        <v>#DIV/0!</v>
      </c>
      <c r="AI232" s="820" t="e">
        <f t="shared" si="365"/>
        <v>#DIV/0!</v>
      </c>
      <c r="AJ232" s="820" t="e">
        <f t="shared" si="365"/>
        <v>#DIV/0!</v>
      </c>
      <c r="AK232" s="824" t="e">
        <f t="shared" si="365"/>
        <v>#DIV/0!</v>
      </c>
      <c r="AL232" s="820" t="e">
        <f t="shared" si="365"/>
        <v>#DIV/0!</v>
      </c>
      <c r="AM232" s="820" t="e">
        <f t="shared" si="365"/>
        <v>#DIV/0!</v>
      </c>
      <c r="AN232" s="820" t="e">
        <f t="shared" si="365"/>
        <v>#DIV/0!</v>
      </c>
      <c r="AO232" s="820" t="e">
        <f t="shared" si="365"/>
        <v>#DIV/0!</v>
      </c>
      <c r="AP232" s="824" t="e">
        <f t="shared" si="365"/>
        <v>#DIV/0!</v>
      </c>
      <c r="AQ232" s="820" t="e">
        <f t="shared" si="365"/>
        <v>#DIV/0!</v>
      </c>
      <c r="AR232" s="820" t="e">
        <f t="shared" si="365"/>
        <v>#DIV/0!</v>
      </c>
      <c r="AS232" s="820" t="e">
        <f t="shared" si="365"/>
        <v>#DIV/0!</v>
      </c>
      <c r="AT232" s="820" t="e">
        <f t="shared" si="365"/>
        <v>#DIV/0!</v>
      </c>
      <c r="AU232" s="824" t="e">
        <f t="shared" si="365"/>
        <v>#DIV/0!</v>
      </c>
      <c r="AV232" s="820">
        <f t="shared" si="365"/>
        <v>3.1656925996205168E-3</v>
      </c>
      <c r="AW232" s="820">
        <f t="shared" si="365"/>
        <v>5.8487202925045475E-3</v>
      </c>
      <c r="AX232" s="820">
        <f t="shared" si="365"/>
        <v>4.7628724216959338E-3</v>
      </c>
      <c r="AY232" s="820">
        <f t="shared" si="365"/>
        <v>4.9236052812332972E-3</v>
      </c>
      <c r="AZ232" s="826">
        <f t="shared" si="365"/>
        <v>1.8652121027824212E-2</v>
      </c>
      <c r="BA232" s="820">
        <f t="shared" si="365"/>
        <v>3.4326923076923228E-3</v>
      </c>
      <c r="BB232" s="820">
        <f t="shared" si="365"/>
        <v>8.7103775026746086E-3</v>
      </c>
      <c r="BC232" s="820">
        <f t="shared" si="365"/>
        <v>4.0990749942664854E-3</v>
      </c>
      <c r="BD232" s="820">
        <f t="shared" si="365"/>
        <v>4.4102015882711999E-3</v>
      </c>
      <c r="BE232" s="826">
        <f t="shared" si="365"/>
        <v>2.0607303499275857E-2</v>
      </c>
      <c r="BF232" s="820">
        <f t="shared" si="365"/>
        <v>1.3585775335775338E-2</v>
      </c>
      <c r="BG232" s="820">
        <f t="shared" si="365"/>
        <v>9.7546593339444092E-3</v>
      </c>
      <c r="BH232" s="820">
        <f t="shared" ref="BH232:CN232" si="366">BH38/BH222</f>
        <v>7.1764166093140633E-3</v>
      </c>
      <c r="BI232" s="820">
        <f t="shared" si="366"/>
        <v>7.9277994941365903E-3</v>
      </c>
      <c r="BJ232" s="826">
        <f t="shared" si="366"/>
        <v>3.8488525091799217E-2</v>
      </c>
      <c r="BK232" s="820">
        <f t="shared" si="366"/>
        <v>5.8311158963316161E-3</v>
      </c>
      <c r="BL232" s="820">
        <f t="shared" si="366"/>
        <v>9.9202468183571136E-3</v>
      </c>
      <c r="BM232" s="820">
        <f t="shared" si="366"/>
        <v>8.6298981795742084E-3</v>
      </c>
      <c r="BN232" s="820">
        <f t="shared" si="366"/>
        <v>1.7941076662039181E-2</v>
      </c>
      <c r="BO232" s="826">
        <f t="shared" si="366"/>
        <v>4.2241496075111622E-2</v>
      </c>
      <c r="BP232" s="820">
        <f t="shared" si="366"/>
        <v>9.8493943368567257E-3</v>
      </c>
      <c r="BQ232" s="820">
        <f t="shared" si="366"/>
        <v>1.0121492445266724E-2</v>
      </c>
      <c r="BR232" s="820">
        <f t="shared" si="366"/>
        <v>1.6330023859000994E-2</v>
      </c>
      <c r="BS232" s="820">
        <f t="shared" si="366"/>
        <v>1.2149539877300613E-2</v>
      </c>
      <c r="BT232" s="826">
        <f t="shared" si="366"/>
        <v>4.8368162261831556E-2</v>
      </c>
      <c r="BU232" s="820">
        <f t="shared" si="366"/>
        <v>9.2787286063569594E-3</v>
      </c>
      <c r="BV232" s="820">
        <f t="shared" si="366"/>
        <v>3.9335112466641307E-3</v>
      </c>
      <c r="BW232" s="820">
        <f t="shared" si="366"/>
        <v>9.3774904942965746E-3</v>
      </c>
      <c r="BX232" s="820">
        <f t="shared" si="366"/>
        <v>1.0073676248108924E-2</v>
      </c>
      <c r="BY232" s="824">
        <f t="shared" si="366"/>
        <v>3.2617417052615581E-2</v>
      </c>
      <c r="BZ232" s="820">
        <f t="shared" si="366"/>
        <v>9.1358649520826007E-3</v>
      </c>
      <c r="CA232" s="820">
        <f t="shared" si="366"/>
        <v>1.1994470367798719E-2</v>
      </c>
      <c r="CB232" s="820">
        <f t="shared" si="366"/>
        <v>1.0946218817484093E-2</v>
      </c>
      <c r="CC232" s="820">
        <f t="shared" si="366"/>
        <v>1.1243553295933868E-2</v>
      </c>
      <c r="CD232" s="826">
        <f t="shared" si="366"/>
        <v>4.3321915418266847E-2</v>
      </c>
      <c r="CE232" s="820">
        <f t="shared" si="366"/>
        <v>1.0725487443827815E-2</v>
      </c>
      <c r="CF232" s="820">
        <f t="shared" si="366"/>
        <v>1.3424777463092922E-2</v>
      </c>
      <c r="CG232" s="820">
        <f t="shared" si="366"/>
        <v>1.2372132111851271E-2</v>
      </c>
      <c r="CH232" s="820">
        <f t="shared" si="366"/>
        <v>1.2709251562168754E-2</v>
      </c>
      <c r="CI232" s="826">
        <f t="shared" si="366"/>
        <v>4.9225622624469334E-2</v>
      </c>
      <c r="CJ232" s="820">
        <f t="shared" si="366"/>
        <v>1.2042248360394258E-2</v>
      </c>
      <c r="CK232" s="820">
        <f t="shared" si="366"/>
        <v>1.457959893684966E-2</v>
      </c>
      <c r="CL232" s="820">
        <f t="shared" si="366"/>
        <v>1.3531773255343948E-2</v>
      </c>
      <c r="CM232" s="820">
        <f t="shared" si="366"/>
        <v>1.3909431449533294E-2</v>
      </c>
      <c r="CN232" s="826">
        <f t="shared" si="366"/>
        <v>5.4054631682643364E-2</v>
      </c>
      <c r="CO232" s="203"/>
      <c r="CP232" s="203"/>
      <c r="CQ232" s="203"/>
      <c r="CR232" s="66"/>
      <c r="CS232" s="66"/>
      <c r="CT232" s="66"/>
      <c r="CU232" s="66"/>
      <c r="CV232" s="66"/>
      <c r="CW232" s="66"/>
    </row>
    <row r="233" spans="1:101">
      <c r="A233" s="41" t="s">
        <v>472</v>
      </c>
      <c r="B233" s="41"/>
      <c r="AB233" s="820" t="e">
        <f t="shared" ref="AB233:BG233" si="367">AB42/AB222</f>
        <v>#DIV/0!</v>
      </c>
      <c r="AC233" s="820" t="e">
        <f t="shared" si="367"/>
        <v>#DIV/0!</v>
      </c>
      <c r="AD233" s="820" t="e">
        <f t="shared" si="367"/>
        <v>#DIV/0!</v>
      </c>
      <c r="AE233" s="820" t="e">
        <f t="shared" si="367"/>
        <v>#DIV/0!</v>
      </c>
      <c r="AF233" s="824" t="e">
        <f t="shared" si="367"/>
        <v>#DIV/0!</v>
      </c>
      <c r="AG233" s="820" t="e">
        <f t="shared" si="367"/>
        <v>#DIV/0!</v>
      </c>
      <c r="AH233" s="820" t="e">
        <f t="shared" si="367"/>
        <v>#DIV/0!</v>
      </c>
      <c r="AI233" s="820" t="e">
        <f t="shared" si="367"/>
        <v>#DIV/0!</v>
      </c>
      <c r="AJ233" s="820" t="e">
        <f t="shared" si="367"/>
        <v>#DIV/0!</v>
      </c>
      <c r="AK233" s="824" t="e">
        <f t="shared" si="367"/>
        <v>#DIV/0!</v>
      </c>
      <c r="AL233" s="820" t="e">
        <f t="shared" si="367"/>
        <v>#DIV/0!</v>
      </c>
      <c r="AM233" s="820" t="e">
        <f t="shared" si="367"/>
        <v>#DIV/0!</v>
      </c>
      <c r="AN233" s="820" t="e">
        <f t="shared" si="367"/>
        <v>#DIV/0!</v>
      </c>
      <c r="AO233" s="820" t="e">
        <f t="shared" si="367"/>
        <v>#DIV/0!</v>
      </c>
      <c r="AP233" s="824" t="e">
        <f t="shared" si="367"/>
        <v>#DIV/0!</v>
      </c>
      <c r="AQ233" s="820" t="e">
        <f t="shared" si="367"/>
        <v>#DIV/0!</v>
      </c>
      <c r="AR233" s="820" t="e">
        <f t="shared" si="367"/>
        <v>#DIV/0!</v>
      </c>
      <c r="AS233" s="820" t="e">
        <f t="shared" si="367"/>
        <v>#DIV/0!</v>
      </c>
      <c r="AT233" s="820" t="e">
        <f t="shared" si="367"/>
        <v>#DIV/0!</v>
      </c>
      <c r="AU233" s="824" t="e">
        <f t="shared" si="367"/>
        <v>#DIV/0!</v>
      </c>
      <c r="AV233" s="820">
        <f t="shared" si="367"/>
        <v>9.0031119544592263E-3</v>
      </c>
      <c r="AW233" s="820">
        <f t="shared" si="367"/>
        <v>1.3569926873857382E-2</v>
      </c>
      <c r="AX233" s="820">
        <f t="shared" si="367"/>
        <v>1.2907715813598149E-2</v>
      </c>
      <c r="AY233" s="820">
        <f t="shared" si="367"/>
        <v>1.4635274364649309E-2</v>
      </c>
      <c r="AZ233" s="826">
        <f t="shared" si="367"/>
        <v>4.9984035274441209E-2</v>
      </c>
      <c r="BA233" s="820">
        <f t="shared" si="367"/>
        <v>1.1801892551892566E-2</v>
      </c>
      <c r="BB233" s="820">
        <f t="shared" si="367"/>
        <v>1.5602628763564106E-2</v>
      </c>
      <c r="BC233" s="820">
        <f t="shared" si="367"/>
        <v>1.5096246464337579E-2</v>
      </c>
      <c r="BD233" s="820">
        <f t="shared" si="367"/>
        <v>1.359361637141109E-2</v>
      </c>
      <c r="BE233" s="826">
        <f t="shared" si="367"/>
        <v>5.5979873446672372E-2</v>
      </c>
      <c r="BF233" s="820">
        <f t="shared" si="367"/>
        <v>2.0791208791208798E-2</v>
      </c>
      <c r="BG233" s="820">
        <f t="shared" si="367"/>
        <v>1.513932172318975E-2</v>
      </c>
      <c r="BH233" s="820">
        <f t="shared" ref="BH233:CN233" si="368">BH42/BH222</f>
        <v>1.4395503555861435E-2</v>
      </c>
      <c r="BI233" s="820">
        <f t="shared" si="368"/>
        <v>1.6410669119337785E-2</v>
      </c>
      <c r="BJ233" s="826">
        <f t="shared" si="368"/>
        <v>5.8253977968176211E-2</v>
      </c>
      <c r="BK233" s="820">
        <f t="shared" si="368"/>
        <v>1.2429593170806738E-2</v>
      </c>
      <c r="BL233" s="820">
        <f t="shared" si="368"/>
        <v>1.6087311993829543E-2</v>
      </c>
      <c r="BM233" s="820">
        <f t="shared" si="368"/>
        <v>1.5384757790805312E-2</v>
      </c>
      <c r="BN233" s="820">
        <f t="shared" si="368"/>
        <v>1.6597562856702143E-2</v>
      </c>
      <c r="BO233" s="826">
        <f t="shared" si="368"/>
        <v>6.0396490688009882E-2</v>
      </c>
      <c r="BP233" s="820">
        <f t="shared" si="368"/>
        <v>1.5138183782115578E-2</v>
      </c>
      <c r="BQ233" s="820">
        <f t="shared" si="368"/>
        <v>1.5800955905026205E-2</v>
      </c>
      <c r="BR233" s="820">
        <f t="shared" si="368"/>
        <v>1.5421226814438535E-2</v>
      </c>
      <c r="BS233" s="820">
        <f t="shared" si="368"/>
        <v>1.3973159509202455E-2</v>
      </c>
      <c r="BT233" s="826">
        <f t="shared" si="368"/>
        <v>6.0214658881376733E-2</v>
      </c>
      <c r="BU233" s="820">
        <f t="shared" si="368"/>
        <v>1.3626069682151579E-2</v>
      </c>
      <c r="BV233" s="820">
        <f t="shared" si="368"/>
        <v>1.7705680518490283E-2</v>
      </c>
      <c r="BW233" s="820">
        <f t="shared" si="368"/>
        <v>1.4738859315589352E-2</v>
      </c>
      <c r="BX233" s="820">
        <f t="shared" si="368"/>
        <v>1.5735249621785172E-2</v>
      </c>
      <c r="BY233" s="824">
        <f t="shared" si="368"/>
        <v>6.1686432313415827E-2</v>
      </c>
      <c r="BZ233" s="820">
        <f t="shared" si="368"/>
        <v>1.4232718335541248E-2</v>
      </c>
      <c r="CA233" s="820">
        <f t="shared" si="368"/>
        <v>1.7403400729082284E-2</v>
      </c>
      <c r="CB233" s="820">
        <f t="shared" si="368"/>
        <v>1.6310777323769891E-2</v>
      </c>
      <c r="CC233" s="820">
        <f t="shared" si="368"/>
        <v>1.6398418214184956E-2</v>
      </c>
      <c r="CD233" s="826">
        <f t="shared" si="368"/>
        <v>6.4341541777225911E-2</v>
      </c>
      <c r="CE233" s="820">
        <f t="shared" si="368"/>
        <v>1.5341867012850395E-2</v>
      </c>
      <c r="CF233" s="820">
        <f t="shared" si="368"/>
        <v>1.8347573328084156E-2</v>
      </c>
      <c r="CG233" s="820">
        <f t="shared" si="368"/>
        <v>1.7247890526830584E-2</v>
      </c>
      <c r="CH233" s="820">
        <f t="shared" si="368"/>
        <v>1.7372089420330916E-2</v>
      </c>
      <c r="CI233" s="826">
        <f t="shared" si="368"/>
        <v>6.8294983899631262E-2</v>
      </c>
      <c r="CJ233" s="820">
        <f t="shared" si="368"/>
        <v>1.6619662477788982E-2</v>
      </c>
      <c r="CK233" s="820">
        <f t="shared" si="368"/>
        <v>1.9450675789861708E-2</v>
      </c>
      <c r="CL233" s="820">
        <f t="shared" si="368"/>
        <v>1.8344720066974792E-2</v>
      </c>
      <c r="CM233" s="820">
        <f t="shared" si="368"/>
        <v>1.8501374444985244E-2</v>
      </c>
      <c r="CN233" s="826">
        <f t="shared" si="368"/>
        <v>7.2897887121704266E-2</v>
      </c>
      <c r="CO233" s="441"/>
      <c r="CP233" s="650"/>
      <c r="CQ233" s="650"/>
      <c r="CR233" s="66"/>
      <c r="CS233" s="66"/>
      <c r="CT233" s="66"/>
      <c r="CU233" s="66"/>
      <c r="CV233" s="66"/>
      <c r="CW233" s="66"/>
    </row>
    <row r="234" spans="1:101">
      <c r="A234" s="41"/>
      <c r="B234" s="41"/>
      <c r="AF234" s="89"/>
      <c r="AK234" s="89"/>
      <c r="AP234" s="89"/>
      <c r="AU234" s="89"/>
      <c r="AZ234" s="89"/>
      <c r="BE234" s="89"/>
      <c r="BJ234" s="89"/>
      <c r="BO234" s="89"/>
      <c r="BT234" s="89"/>
      <c r="BY234" s="89"/>
      <c r="CD234" s="89"/>
      <c r="CI234" s="89"/>
      <c r="CN234" s="89"/>
      <c r="CO234" s="441"/>
      <c r="CP234" s="650"/>
      <c r="CQ234" s="650"/>
      <c r="CR234" s="66"/>
      <c r="CS234" s="66"/>
      <c r="CT234" s="66"/>
      <c r="CU234" s="66"/>
      <c r="CV234" s="66"/>
      <c r="CW234" s="66"/>
    </row>
    <row r="235" spans="1:101">
      <c r="A235" s="49" t="s">
        <v>143</v>
      </c>
      <c r="B235" s="41"/>
      <c r="AF235" s="89"/>
      <c r="AG235" s="820"/>
      <c r="AH235" s="820"/>
      <c r="AI235" s="820"/>
      <c r="AJ235" s="820"/>
      <c r="AK235" s="824"/>
      <c r="AL235" s="820"/>
      <c r="AM235" s="820"/>
      <c r="AN235" s="820"/>
      <c r="AO235" s="820"/>
      <c r="AP235" s="824"/>
      <c r="AQ235" s="820"/>
      <c r="AR235" s="820"/>
      <c r="AS235" s="820"/>
      <c r="AT235" s="820"/>
      <c r="AU235" s="824"/>
      <c r="AV235" s="820"/>
      <c r="AW235" s="820"/>
      <c r="AX235" s="820"/>
      <c r="AY235" s="820"/>
      <c r="AZ235" s="824"/>
      <c r="BA235" s="820"/>
      <c r="BB235" s="820"/>
      <c r="BC235" s="820"/>
      <c r="BD235" s="820"/>
      <c r="BE235" s="824"/>
      <c r="BF235" s="820"/>
      <c r="BG235" s="820"/>
      <c r="BH235" s="820"/>
      <c r="BI235" s="820"/>
      <c r="BJ235" s="824"/>
      <c r="BK235" s="820"/>
      <c r="BL235" s="820"/>
      <c r="BM235" s="820"/>
      <c r="BN235" s="820"/>
      <c r="BO235" s="824"/>
      <c r="BP235" s="820"/>
      <c r="BQ235" s="820"/>
      <c r="BR235" s="820"/>
      <c r="BS235" s="820"/>
      <c r="BT235" s="824"/>
      <c r="BU235" s="820"/>
      <c r="BV235" s="820"/>
      <c r="BW235" s="820"/>
      <c r="BX235" s="820"/>
      <c r="BY235" s="824"/>
      <c r="BZ235" s="820"/>
      <c r="CA235" s="820"/>
      <c r="CB235" s="820"/>
      <c r="CC235" s="820"/>
      <c r="CD235" s="824"/>
      <c r="CE235" s="820"/>
      <c r="CF235" s="820"/>
      <c r="CG235" s="820"/>
      <c r="CH235" s="820"/>
      <c r="CI235" s="824"/>
      <c r="CJ235" s="820"/>
      <c r="CK235" s="820"/>
      <c r="CL235" s="820"/>
      <c r="CM235" s="820"/>
      <c r="CN235" s="824"/>
      <c r="CO235" s="441"/>
      <c r="CP235" s="650"/>
      <c r="CQ235" s="650"/>
      <c r="CR235" s="66"/>
      <c r="CS235" s="66"/>
      <c r="CT235" s="66"/>
      <c r="CU235" s="66"/>
      <c r="CV235" s="66"/>
      <c r="CW235" s="66"/>
    </row>
    <row r="236" spans="1:101">
      <c r="A236" s="41" t="s">
        <v>467</v>
      </c>
      <c r="B236" s="41"/>
      <c r="AF236" s="153"/>
      <c r="AG236" s="46" t="e">
        <f t="shared" ref="AG236:AL236" si="369">AG224/AB224-1</f>
        <v>#DIV/0!</v>
      </c>
      <c r="AH236" s="46" t="e">
        <f t="shared" si="369"/>
        <v>#DIV/0!</v>
      </c>
      <c r="AI236" s="46" t="e">
        <f t="shared" si="369"/>
        <v>#DIV/0!</v>
      </c>
      <c r="AJ236" s="46" t="e">
        <f t="shared" si="369"/>
        <v>#DIV/0!</v>
      </c>
      <c r="AK236" s="153" t="e">
        <f t="shared" si="369"/>
        <v>#DIV/0!</v>
      </c>
      <c r="AL236" s="46" t="e">
        <f t="shared" si="369"/>
        <v>#DIV/0!</v>
      </c>
      <c r="AM236" s="46" t="e">
        <f t="shared" ref="AM236:AV237" si="370">AM224/AH224-1</f>
        <v>#DIV/0!</v>
      </c>
      <c r="AN236" s="46" t="e">
        <f t="shared" si="370"/>
        <v>#DIV/0!</v>
      </c>
      <c r="AO236" s="46" t="e">
        <f t="shared" si="370"/>
        <v>#DIV/0!</v>
      </c>
      <c r="AP236" s="153" t="e">
        <f t="shared" si="370"/>
        <v>#DIV/0!</v>
      </c>
      <c r="AQ236" s="46" t="e">
        <f t="shared" si="370"/>
        <v>#DIV/0!</v>
      </c>
      <c r="AR236" s="46" t="e">
        <f t="shared" si="370"/>
        <v>#DIV/0!</v>
      </c>
      <c r="AS236" s="46" t="e">
        <f t="shared" si="370"/>
        <v>#DIV/0!</v>
      </c>
      <c r="AT236" s="46" t="e">
        <f t="shared" si="370"/>
        <v>#DIV/0!</v>
      </c>
      <c r="AU236" s="153" t="e">
        <f t="shared" si="370"/>
        <v>#DIV/0!</v>
      </c>
      <c r="AV236" s="46" t="e">
        <f t="shared" si="370"/>
        <v>#DIV/0!</v>
      </c>
      <c r="AW236" s="46" t="e">
        <f t="shared" ref="AW236:BF237" si="371">AW224/AR224-1</f>
        <v>#DIV/0!</v>
      </c>
      <c r="AX236" s="46" t="e">
        <f t="shared" si="371"/>
        <v>#DIV/0!</v>
      </c>
      <c r="AY236" s="46" t="e">
        <f t="shared" si="371"/>
        <v>#DIV/0!</v>
      </c>
      <c r="AZ236" s="153" t="e">
        <f t="shared" si="371"/>
        <v>#DIV/0!</v>
      </c>
      <c r="BA236" s="46">
        <f t="shared" si="371"/>
        <v>1.2546952253364552E-2</v>
      </c>
      <c r="BB236" s="46">
        <f t="shared" si="371"/>
        <v>6.8525890121371447E-3</v>
      </c>
      <c r="BC236" s="46">
        <f t="shared" si="371"/>
        <v>3.1108450118483733E-2</v>
      </c>
      <c r="BD236" s="46">
        <f t="shared" si="371"/>
        <v>2.977281724548031E-2</v>
      </c>
      <c r="BE236" s="153">
        <f t="shared" si="371"/>
        <v>7.3565568212750732E-2</v>
      </c>
      <c r="BF236" s="46">
        <f t="shared" si="371"/>
        <v>6.5292522627174998E-2</v>
      </c>
      <c r="BG236" s="46">
        <f t="shared" ref="BG236:BP237" si="372">BG224/BB224-1</f>
        <v>5.4755359272323112E-2</v>
      </c>
      <c r="BH236" s="46">
        <f t="shared" si="372"/>
        <v>2.0395226771368513E-2</v>
      </c>
      <c r="BI236" s="46">
        <f t="shared" si="372"/>
        <v>4.2118932793297814E-2</v>
      </c>
      <c r="BJ236" s="153">
        <f t="shared" si="372"/>
        <v>-5.9404567002933617E-2</v>
      </c>
      <c r="BK236" s="46">
        <f t="shared" si="372"/>
        <v>-4.9959189632078904E-2</v>
      </c>
      <c r="BL236" s="46">
        <f t="shared" si="372"/>
        <v>8.4665008773769923E-3</v>
      </c>
      <c r="BM236" s="46">
        <f t="shared" si="372"/>
        <v>2.5304532424349269E-2</v>
      </c>
      <c r="BN236" s="46">
        <f t="shared" si="372"/>
        <v>9.8444200904965085E-2</v>
      </c>
      <c r="BO236" s="153">
        <f t="shared" si="372"/>
        <v>0.16010267409369794</v>
      </c>
      <c r="BP236" s="46">
        <f t="shared" si="372"/>
        <v>0.13509226359476889</v>
      </c>
      <c r="BQ236" s="46">
        <f t="shared" ref="BQ236:BZ237" si="373">BQ224/BL224-1</f>
        <v>4.2849196522720456E-2</v>
      </c>
      <c r="BR236" s="46">
        <f t="shared" si="373"/>
        <v>8.0587175899061059E-2</v>
      </c>
      <c r="BS236" s="46">
        <f t="shared" si="373"/>
        <v>9.0349430760008342E-3</v>
      </c>
      <c r="BT236" s="153">
        <f t="shared" si="373"/>
        <v>5.7044554516062052E-2</v>
      </c>
      <c r="BU236" s="46">
        <f t="shared" si="373"/>
        <v>4.96499408360076E-2</v>
      </c>
      <c r="BV236" s="46">
        <f t="shared" si="373"/>
        <v>9.1055188700986722E-2</v>
      </c>
      <c r="BW236" s="46">
        <f t="shared" si="373"/>
        <v>5.5677726124666149E-2</v>
      </c>
      <c r="BX236" s="46">
        <f t="shared" si="373"/>
        <v>8.3742293906532428E-3</v>
      </c>
      <c r="BY236" s="153">
        <f t="shared" si="373"/>
        <v>-2.4440559929384542E-2</v>
      </c>
      <c r="BZ236" s="46">
        <f t="shared" si="373"/>
        <v>5.699999999999994E-2</v>
      </c>
      <c r="CA236" s="46">
        <f t="shared" ref="CA236:CJ237" si="374">CA224/BV224-1</f>
        <v>5.2499999999999991E-2</v>
      </c>
      <c r="CB236" s="46">
        <f t="shared" si="374"/>
        <v>7.4999999999999956E-2</v>
      </c>
      <c r="CC236" s="46">
        <f t="shared" si="374"/>
        <v>6.4999999999999947E-2</v>
      </c>
      <c r="CD236" s="153">
        <f t="shared" si="374"/>
        <v>6.6853200967932125E-2</v>
      </c>
      <c r="CE236" s="46">
        <f t="shared" si="374"/>
        <v>5.0000000000000044E-2</v>
      </c>
      <c r="CF236" s="46">
        <f t="shared" si="374"/>
        <v>4.0000000000000036E-2</v>
      </c>
      <c r="CG236" s="46">
        <f t="shared" si="374"/>
        <v>4.0000000000000036E-2</v>
      </c>
      <c r="CH236" s="46">
        <f t="shared" si="374"/>
        <v>4.9999999999999822E-2</v>
      </c>
      <c r="CI236" s="153">
        <f t="shared" si="374"/>
        <v>4.4894622322345201E-2</v>
      </c>
      <c r="CJ236" s="46">
        <f t="shared" si="374"/>
        <v>5.0000000000000044E-2</v>
      </c>
      <c r="CK236" s="46">
        <f t="shared" ref="CK236:CN237" si="375">CK224/CF224-1</f>
        <v>4.0000000000000036E-2</v>
      </c>
      <c r="CL236" s="46">
        <f t="shared" si="375"/>
        <v>4.0000000000000036E-2</v>
      </c>
      <c r="CM236" s="46">
        <f t="shared" si="375"/>
        <v>5.0000000000000044E-2</v>
      </c>
      <c r="CN236" s="153">
        <f t="shared" si="375"/>
        <v>4.4915941279344729E-2</v>
      </c>
      <c r="CO236" s="441"/>
      <c r="CP236" s="650"/>
      <c r="CQ236" s="650"/>
      <c r="CR236" s="66"/>
      <c r="CS236" s="66"/>
      <c r="CT236" s="66"/>
      <c r="CU236" s="66"/>
      <c r="CV236" s="66"/>
      <c r="CW236" s="66"/>
    </row>
    <row r="237" spans="1:101">
      <c r="A237" s="41" t="s">
        <v>468</v>
      </c>
      <c r="B237" s="41"/>
      <c r="AF237" s="153"/>
      <c r="AG237" s="46" t="e">
        <f t="shared" ref="AG237:AL237" si="376">AG225/AB225-1</f>
        <v>#DIV/0!</v>
      </c>
      <c r="AH237" s="46" t="e">
        <f t="shared" si="376"/>
        <v>#DIV/0!</v>
      </c>
      <c r="AI237" s="46" t="e">
        <f t="shared" si="376"/>
        <v>#DIV/0!</v>
      </c>
      <c r="AJ237" s="46" t="e">
        <f t="shared" si="376"/>
        <v>#DIV/0!</v>
      </c>
      <c r="AK237" s="153" t="e">
        <f t="shared" si="376"/>
        <v>#DIV/0!</v>
      </c>
      <c r="AL237" s="46" t="e">
        <f t="shared" si="376"/>
        <v>#DIV/0!</v>
      </c>
      <c r="AM237" s="46" t="e">
        <f t="shared" si="370"/>
        <v>#DIV/0!</v>
      </c>
      <c r="AN237" s="46" t="e">
        <f t="shared" si="370"/>
        <v>#DIV/0!</v>
      </c>
      <c r="AO237" s="46" t="e">
        <f t="shared" si="370"/>
        <v>#DIV/0!</v>
      </c>
      <c r="AP237" s="153" t="e">
        <f t="shared" si="370"/>
        <v>#DIV/0!</v>
      </c>
      <c r="AQ237" s="46" t="e">
        <f t="shared" si="370"/>
        <v>#DIV/0!</v>
      </c>
      <c r="AR237" s="46" t="e">
        <f t="shared" si="370"/>
        <v>#DIV/0!</v>
      </c>
      <c r="AS237" s="46" t="e">
        <f t="shared" si="370"/>
        <v>#DIV/0!</v>
      </c>
      <c r="AT237" s="46" t="e">
        <f t="shared" si="370"/>
        <v>#DIV/0!</v>
      </c>
      <c r="AU237" s="153" t="e">
        <f t="shared" si="370"/>
        <v>#DIV/0!</v>
      </c>
      <c r="AV237" s="46" t="e">
        <f t="shared" si="370"/>
        <v>#DIV/0!</v>
      </c>
      <c r="AW237" s="46" t="e">
        <f t="shared" si="371"/>
        <v>#DIV/0!</v>
      </c>
      <c r="AX237" s="46" t="e">
        <f t="shared" si="371"/>
        <v>#DIV/0!</v>
      </c>
      <c r="AY237" s="46" t="e">
        <f t="shared" si="371"/>
        <v>#DIV/0!</v>
      </c>
      <c r="AZ237" s="153" t="e">
        <f t="shared" si="371"/>
        <v>#DIV/0!</v>
      </c>
      <c r="BA237" s="46">
        <f t="shared" si="371"/>
        <v>5.7406146935423674E-3</v>
      </c>
      <c r="BB237" s="46">
        <f t="shared" si="371"/>
        <v>-4.2759984915241578E-4</v>
      </c>
      <c r="BC237" s="46">
        <f t="shared" si="371"/>
        <v>5.3122627327012006E-2</v>
      </c>
      <c r="BD237" s="46">
        <f t="shared" si="371"/>
        <v>0.10446538423258289</v>
      </c>
      <c r="BE237" s="153">
        <f t="shared" si="371"/>
        <v>2.8126468350722744E-2</v>
      </c>
      <c r="BF237" s="46">
        <f t="shared" si="371"/>
        <v>0.16436733651734547</v>
      </c>
      <c r="BG237" s="46">
        <f t="shared" si="372"/>
        <v>0.1482082502447768</v>
      </c>
      <c r="BH237" s="46">
        <f t="shared" si="372"/>
        <v>0.16189552560802745</v>
      </c>
      <c r="BI237" s="46">
        <f t="shared" si="372"/>
        <v>7.9454314519502356E-2</v>
      </c>
      <c r="BJ237" s="153">
        <f t="shared" si="372"/>
        <v>0.16804900361052688</v>
      </c>
      <c r="BK237" s="46">
        <f t="shared" si="372"/>
        <v>2.298205282993071E-2</v>
      </c>
      <c r="BL237" s="46">
        <f t="shared" si="372"/>
        <v>5.223501709200451E-2</v>
      </c>
      <c r="BM237" s="46">
        <f t="shared" si="372"/>
        <v>5.2345312964052759E-3</v>
      </c>
      <c r="BN237" s="46">
        <f t="shared" si="372"/>
        <v>0.2516461958918994</v>
      </c>
      <c r="BO237" s="153">
        <f t="shared" si="372"/>
        <v>5.8297488862476099E-2</v>
      </c>
      <c r="BP237" s="46">
        <f t="shared" si="372"/>
        <v>-0.1084528018808435</v>
      </c>
      <c r="BQ237" s="46">
        <f t="shared" si="373"/>
        <v>-0.19496527542725994</v>
      </c>
      <c r="BR237" s="46">
        <f t="shared" si="373"/>
        <v>-0.12905511297999972</v>
      </c>
      <c r="BS237" s="46">
        <f t="shared" si="373"/>
        <v>-0.29697804573347952</v>
      </c>
      <c r="BT237" s="153">
        <f t="shared" si="373"/>
        <v>-0.18547159323656237</v>
      </c>
      <c r="BU237" s="46">
        <f t="shared" si="373"/>
        <v>7.3558567459659496E-3</v>
      </c>
      <c r="BV237" s="46">
        <f t="shared" si="373"/>
        <v>0.19931452832083241</v>
      </c>
      <c r="BW237" s="46">
        <f t="shared" si="373"/>
        <v>-3.1250548548393264E-2</v>
      </c>
      <c r="BX237" s="46">
        <f t="shared" si="373"/>
        <v>6.7983797360553044E-2</v>
      </c>
      <c r="BY237" s="153">
        <f t="shared" si="373"/>
        <v>6.5321415158267504E-2</v>
      </c>
      <c r="BZ237" s="46">
        <f t="shared" si="373"/>
        <v>-3.007622933704801E-2</v>
      </c>
      <c r="CA237" s="46">
        <f t="shared" si="374"/>
        <v>-7.8758262104751786E-2</v>
      </c>
      <c r="CB237" s="46">
        <f t="shared" si="374"/>
        <v>1.0852605048742081E-2</v>
      </c>
      <c r="CC237" s="46">
        <f t="shared" si="374"/>
        <v>-3.3217368536009428E-2</v>
      </c>
      <c r="CD237" s="153">
        <f t="shared" si="374"/>
        <v>-3.2643633073854761E-2</v>
      </c>
      <c r="CE237" s="46">
        <f t="shared" si="374"/>
        <v>2.8915489073159772E-2</v>
      </c>
      <c r="CF237" s="46">
        <f t="shared" si="374"/>
        <v>1.719152074897945E-2</v>
      </c>
      <c r="CG237" s="46">
        <f t="shared" si="374"/>
        <v>1.8934013657414317E-2</v>
      </c>
      <c r="CH237" s="46">
        <f t="shared" si="374"/>
        <v>1.8390010097681486E-2</v>
      </c>
      <c r="CI237" s="153">
        <f t="shared" si="374"/>
        <v>2.0484872581023383E-2</v>
      </c>
      <c r="CJ237" s="46">
        <f t="shared" si="374"/>
        <v>2.8999528218776938E-2</v>
      </c>
      <c r="CK237" s="46">
        <f t="shared" si="375"/>
        <v>1.6976365535821714E-2</v>
      </c>
      <c r="CL237" s="46">
        <f t="shared" si="375"/>
        <v>1.8949470335351215E-2</v>
      </c>
      <c r="CM237" s="46">
        <f t="shared" si="375"/>
        <v>1.8102568271147979E-2</v>
      </c>
      <c r="CN237" s="153">
        <f t="shared" si="375"/>
        <v>2.0513981378363244E-2</v>
      </c>
      <c r="CO237" s="441"/>
      <c r="CP237" s="650"/>
      <c r="CQ237" s="650"/>
      <c r="CR237" s="66"/>
      <c r="CS237" s="66"/>
      <c r="CT237" s="66"/>
      <c r="CU237" s="66"/>
      <c r="CV237" s="66"/>
      <c r="CW237" s="66"/>
    </row>
    <row r="238" spans="1:101">
      <c r="A238" s="41"/>
      <c r="B238" s="41"/>
      <c r="AF238" s="153"/>
      <c r="AG238" s="46"/>
      <c r="AH238" s="46"/>
      <c r="AI238" s="46"/>
      <c r="AJ238" s="46"/>
      <c r="AK238" s="153"/>
      <c r="AL238" s="46"/>
      <c r="AM238" s="46"/>
      <c r="AN238" s="46"/>
      <c r="AO238" s="46"/>
      <c r="AP238" s="153"/>
      <c r="AQ238" s="46"/>
      <c r="AR238" s="46"/>
      <c r="AS238" s="46"/>
      <c r="AT238" s="46"/>
      <c r="AU238" s="153"/>
      <c r="AV238" s="46"/>
      <c r="AW238" s="46"/>
      <c r="AX238" s="46"/>
      <c r="AY238" s="46"/>
      <c r="AZ238" s="153"/>
      <c r="BA238" s="46"/>
      <c r="BB238" s="46"/>
      <c r="BC238" s="46"/>
      <c r="BD238" s="46"/>
      <c r="BE238" s="153"/>
      <c r="BF238" s="46"/>
      <c r="BG238" s="46"/>
      <c r="BH238" s="46"/>
      <c r="BI238" s="46"/>
      <c r="BJ238" s="153"/>
      <c r="BK238" s="46"/>
      <c r="BL238" s="46"/>
      <c r="BM238" s="46"/>
      <c r="BN238" s="46"/>
      <c r="BO238" s="153"/>
      <c r="BP238" s="46"/>
      <c r="BQ238" s="46"/>
      <c r="BR238" s="46"/>
      <c r="BS238" s="46"/>
      <c r="BT238" s="153"/>
      <c r="BU238" s="46"/>
      <c r="BV238" s="46"/>
      <c r="BW238" s="46"/>
      <c r="BX238" s="46"/>
      <c r="BY238" s="153"/>
      <c r="BZ238" s="46"/>
      <c r="CA238" s="46"/>
      <c r="CB238" s="46"/>
      <c r="CC238" s="46"/>
      <c r="CD238" s="153"/>
      <c r="CE238" s="46"/>
      <c r="CF238" s="46"/>
      <c r="CG238" s="46"/>
      <c r="CH238" s="46"/>
      <c r="CI238" s="153"/>
      <c r="CJ238" s="46"/>
      <c r="CK238" s="46"/>
      <c r="CL238" s="46"/>
      <c r="CM238" s="46"/>
      <c r="CN238" s="153"/>
      <c r="CO238" s="441"/>
      <c r="CP238" s="650"/>
      <c r="CQ238" s="650"/>
      <c r="CR238" s="66"/>
      <c r="CS238" s="66"/>
      <c r="CT238" s="66"/>
      <c r="CU238" s="66"/>
      <c r="CV238" s="66"/>
      <c r="CW238" s="66"/>
    </row>
    <row r="239" spans="1:101">
      <c r="A239" s="41" t="s">
        <v>466</v>
      </c>
      <c r="B239" s="41"/>
      <c r="AF239" s="153"/>
      <c r="AG239" s="46" t="e">
        <f t="shared" ref="AG239:AK243" si="377">AG229/AB229-1</f>
        <v>#DIV/0!</v>
      </c>
      <c r="AH239" s="46" t="e">
        <f t="shared" si="377"/>
        <v>#DIV/0!</v>
      </c>
      <c r="AI239" s="46" t="e">
        <f t="shared" si="377"/>
        <v>#DIV/0!</v>
      </c>
      <c r="AJ239" s="46" t="e">
        <f t="shared" si="377"/>
        <v>#DIV/0!</v>
      </c>
      <c r="AK239" s="153" t="e">
        <f t="shared" si="377"/>
        <v>#DIV/0!</v>
      </c>
      <c r="AL239" s="46" t="e">
        <f t="shared" ref="AL239:AL243" si="378">AL229/AG229-1</f>
        <v>#DIV/0!</v>
      </c>
      <c r="AM239" s="46" t="e">
        <f t="shared" ref="AM239:AZ243" si="379">AM229/AH229-1</f>
        <v>#DIV/0!</v>
      </c>
      <c r="AN239" s="46" t="e">
        <f t="shared" si="379"/>
        <v>#DIV/0!</v>
      </c>
      <c r="AO239" s="46" t="e">
        <f t="shared" si="379"/>
        <v>#DIV/0!</v>
      </c>
      <c r="AP239" s="153" t="e">
        <f t="shared" si="379"/>
        <v>#DIV/0!</v>
      </c>
      <c r="AQ239" s="46" t="e">
        <f t="shared" si="379"/>
        <v>#DIV/0!</v>
      </c>
      <c r="AR239" s="46" t="e">
        <f t="shared" si="379"/>
        <v>#DIV/0!</v>
      </c>
      <c r="AS239" s="46" t="e">
        <f t="shared" si="379"/>
        <v>#DIV/0!</v>
      </c>
      <c r="AT239" s="46" t="e">
        <f t="shared" si="379"/>
        <v>#DIV/0!</v>
      </c>
      <c r="AU239" s="153" t="e">
        <f t="shared" si="379"/>
        <v>#DIV/0!</v>
      </c>
      <c r="AV239" s="46" t="e">
        <f t="shared" si="379"/>
        <v>#DIV/0!</v>
      </c>
      <c r="AW239" s="46" t="e">
        <f t="shared" si="379"/>
        <v>#DIV/0!</v>
      </c>
      <c r="AX239" s="46" t="e">
        <f t="shared" si="379"/>
        <v>#DIV/0!</v>
      </c>
      <c r="AY239" s="46" t="e">
        <f t="shared" si="379"/>
        <v>#DIV/0!</v>
      </c>
      <c r="AZ239" s="153" t="e">
        <f t="shared" si="379"/>
        <v>#DIV/0!</v>
      </c>
      <c r="BA239" s="46">
        <f t="shared" ref="BA239:BE243" si="380">BA229/AV229-1</f>
        <v>3.5439066397844332E-3</v>
      </c>
      <c r="BB239" s="46">
        <f t="shared" si="380"/>
        <v>-2.231549228711549E-2</v>
      </c>
      <c r="BC239" s="46">
        <f t="shared" si="380"/>
        <v>1.1720960433244887E-2</v>
      </c>
      <c r="BD239" s="46">
        <f t="shared" si="380"/>
        <v>2.7108621395004251E-2</v>
      </c>
      <c r="BE239" s="153">
        <f t="shared" si="380"/>
        <v>5.77658095772553E-2</v>
      </c>
      <c r="BF239" s="46">
        <f t="shared" ref="BF239:BJ243" si="381">BF229/BA229-1</f>
        <v>6.1095939873922145E-2</v>
      </c>
      <c r="BG239" s="46">
        <f t="shared" si="381"/>
        <v>4.212850674636659E-2</v>
      </c>
      <c r="BH239" s="46">
        <f t="shared" si="381"/>
        <v>2.0040078690984453E-2</v>
      </c>
      <c r="BI239" s="46">
        <f t="shared" si="381"/>
        <v>3.4388729009633856E-2</v>
      </c>
      <c r="BJ239" s="153">
        <f t="shared" si="381"/>
        <v>-6.447954334469097E-2</v>
      </c>
      <c r="BK239" s="46">
        <f t="shared" ref="BK239:BT243" si="382">BK229/BF229-1</f>
        <v>-6.2729989408701781E-2</v>
      </c>
      <c r="BL239" s="46">
        <f t="shared" si="382"/>
        <v>8.1132502691105834E-3</v>
      </c>
      <c r="BM239" s="46">
        <f t="shared" si="382"/>
        <v>-9.4284858634418045E-3</v>
      </c>
      <c r="BN239" s="46">
        <f t="shared" si="382"/>
        <v>6.9177063771794334E-2</v>
      </c>
      <c r="BO239" s="153">
        <f t="shared" si="382"/>
        <v>0.13842222129098847</v>
      </c>
      <c r="BP239" s="46">
        <f t="shared" si="382"/>
        <v>0.10149342197697608</v>
      </c>
      <c r="BQ239" s="46">
        <f t="shared" si="382"/>
        <v>-4.354245519833766E-3</v>
      </c>
      <c r="BR239" s="46">
        <f t="shared" si="382"/>
        <v>8.5735957235853366E-2</v>
      </c>
      <c r="BS239" s="46">
        <f t="shared" si="382"/>
        <v>1.4070063097687768E-2</v>
      </c>
      <c r="BT239" s="153">
        <f t="shared" si="382"/>
        <v>3.8824972289629001E-2</v>
      </c>
      <c r="BU239" s="46">
        <f t="shared" ref="BU239:CD243" si="383">BU229/BP229-1</f>
        <v>5.5485236574064123E-2</v>
      </c>
      <c r="BV239" s="46">
        <f t="shared" si="383"/>
        <v>0.12293385073815832</v>
      </c>
      <c r="BW239" s="46">
        <f t="shared" si="383"/>
        <v>7.8406474309963947E-2</v>
      </c>
      <c r="BX239" s="46">
        <f t="shared" si="383"/>
        <v>2.5002778673981929E-2</v>
      </c>
      <c r="BY239" s="153">
        <f t="shared" si="383"/>
        <v>-6.6552514550041186E-3</v>
      </c>
      <c r="BZ239" s="46">
        <f t="shared" si="383"/>
        <v>6.5826254491236025E-2</v>
      </c>
      <c r="CA239" s="46">
        <f t="shared" si="383"/>
        <v>6.3295707946814828E-2</v>
      </c>
      <c r="CB239" s="46">
        <f t="shared" si="383"/>
        <v>8.4134345328468862E-2</v>
      </c>
      <c r="CC239" s="46">
        <f t="shared" si="383"/>
        <v>7.8423801929683234E-2</v>
      </c>
      <c r="CD239" s="153">
        <f t="shared" si="383"/>
        <v>7.7619173552986531E-2</v>
      </c>
      <c r="CE239" s="46">
        <f t="shared" ref="CE239:CN243" si="384">CE229/BZ229-1</f>
        <v>5.0000000000000266E-2</v>
      </c>
      <c r="CF239" s="46">
        <f t="shared" si="384"/>
        <v>4.0000000000000036E-2</v>
      </c>
      <c r="CG239" s="46">
        <f t="shared" si="384"/>
        <v>3.9999999999999813E-2</v>
      </c>
      <c r="CH239" s="46">
        <f t="shared" si="384"/>
        <v>4.9999999999999822E-2</v>
      </c>
      <c r="CI239" s="153">
        <f t="shared" si="384"/>
        <v>4.4935227605607198E-2</v>
      </c>
      <c r="CJ239" s="46">
        <f t="shared" si="384"/>
        <v>4.7498782601550937E-2</v>
      </c>
      <c r="CK239" s="46">
        <f t="shared" si="384"/>
        <v>3.7439783240048596E-2</v>
      </c>
      <c r="CL239" s="46">
        <f t="shared" si="384"/>
        <v>3.7525363375659371E-2</v>
      </c>
      <c r="CM239" s="46">
        <f t="shared" si="384"/>
        <v>4.7486434861773175E-2</v>
      </c>
      <c r="CN239" s="153">
        <f t="shared" si="384"/>
        <v>4.2443676886965154E-2</v>
      </c>
      <c r="CO239" s="385"/>
      <c r="CP239" s="650"/>
      <c r="CQ239" s="650"/>
      <c r="CR239" s="66"/>
      <c r="CS239" s="66"/>
      <c r="CT239" s="66"/>
      <c r="CU239" s="66"/>
      <c r="CV239" s="66"/>
      <c r="CW239" s="66"/>
    </row>
    <row r="240" spans="1:101">
      <c r="A240" s="41" t="s">
        <v>470</v>
      </c>
      <c r="B240" s="41"/>
      <c r="AF240" s="153"/>
      <c r="AG240" s="46" t="e">
        <f t="shared" si="377"/>
        <v>#DIV/0!</v>
      </c>
      <c r="AH240" s="46" t="e">
        <f t="shared" si="377"/>
        <v>#DIV/0!</v>
      </c>
      <c r="AI240" s="46" t="e">
        <f t="shared" si="377"/>
        <v>#DIV/0!</v>
      </c>
      <c r="AJ240" s="46" t="e">
        <f t="shared" si="377"/>
        <v>#DIV/0!</v>
      </c>
      <c r="AK240" s="153" t="e">
        <f t="shared" si="377"/>
        <v>#DIV/0!</v>
      </c>
      <c r="AL240" s="46" t="e">
        <f t="shared" si="378"/>
        <v>#DIV/0!</v>
      </c>
      <c r="AM240" s="46" t="e">
        <f t="shared" si="379"/>
        <v>#DIV/0!</v>
      </c>
      <c r="AN240" s="46" t="e">
        <f t="shared" si="379"/>
        <v>#DIV/0!</v>
      </c>
      <c r="AO240" s="46" t="e">
        <f t="shared" si="379"/>
        <v>#DIV/0!</v>
      </c>
      <c r="AP240" s="153" t="e">
        <f t="shared" si="379"/>
        <v>#DIV/0!</v>
      </c>
      <c r="AQ240" s="46" t="e">
        <f t="shared" si="379"/>
        <v>#DIV/0!</v>
      </c>
      <c r="AR240" s="46" t="e">
        <f t="shared" si="379"/>
        <v>#DIV/0!</v>
      </c>
      <c r="AS240" s="46" t="e">
        <f t="shared" si="379"/>
        <v>#DIV/0!</v>
      </c>
      <c r="AT240" s="46" t="e">
        <f t="shared" si="379"/>
        <v>#DIV/0!</v>
      </c>
      <c r="AU240" s="153" t="e">
        <f t="shared" si="379"/>
        <v>#DIV/0!</v>
      </c>
      <c r="AV240" s="46" t="e">
        <f t="shared" si="379"/>
        <v>#DIV/0!</v>
      </c>
      <c r="AW240" s="46" t="e">
        <f t="shared" si="379"/>
        <v>#DIV/0!</v>
      </c>
      <c r="AX240" s="46" t="e">
        <f t="shared" si="379"/>
        <v>#DIV/0!</v>
      </c>
      <c r="AY240" s="46" t="e">
        <f t="shared" si="379"/>
        <v>#DIV/0!</v>
      </c>
      <c r="AZ240" s="153" t="e">
        <f t="shared" si="379"/>
        <v>#DIV/0!</v>
      </c>
      <c r="BA240" s="46">
        <f t="shared" si="380"/>
        <v>-9.1836382779829862E-2</v>
      </c>
      <c r="BB240" s="46">
        <f t="shared" si="380"/>
        <v>2.3042570225088266E-2</v>
      </c>
      <c r="BC240" s="46">
        <f t="shared" si="380"/>
        <v>6.0902611362360526E-2</v>
      </c>
      <c r="BD240" s="46">
        <f t="shared" si="380"/>
        <v>0.10325571471053063</v>
      </c>
      <c r="BE240" s="153">
        <f t="shared" si="380"/>
        <v>2.3671054181649165E-2</v>
      </c>
      <c r="BF240" s="46">
        <f t="shared" si="381"/>
        <v>7.7415403460419308E-2</v>
      </c>
      <c r="BG240" s="46">
        <f t="shared" si="381"/>
        <v>-0.10486927635812859</v>
      </c>
      <c r="BH240" s="46">
        <f t="shared" si="381"/>
        <v>-0.14014847503155636</v>
      </c>
      <c r="BI240" s="46">
        <f t="shared" si="381"/>
        <v>-0.21780966227975374</v>
      </c>
      <c r="BJ240" s="153">
        <f t="shared" si="381"/>
        <v>-0.10084939354216527</v>
      </c>
      <c r="BK240" s="46">
        <f t="shared" si="382"/>
        <v>-0.14501747249173202</v>
      </c>
      <c r="BL240" s="46">
        <f t="shared" si="382"/>
        <v>-8.3839111653633114E-2</v>
      </c>
      <c r="BM240" s="46">
        <f t="shared" si="382"/>
        <v>-2.3351333332026103E-2</v>
      </c>
      <c r="BN240" s="46">
        <f t="shared" si="382"/>
        <v>0.21149574878704014</v>
      </c>
      <c r="BO240" s="153">
        <f t="shared" si="382"/>
        <v>-1.9615703352560465E-2</v>
      </c>
      <c r="BP240" s="46">
        <f t="shared" si="382"/>
        <v>8.6392923749174955E-2</v>
      </c>
      <c r="BQ240" s="46">
        <f t="shared" si="382"/>
        <v>5.2659333322790935E-3</v>
      </c>
      <c r="BR240" s="46">
        <f t="shared" si="382"/>
        <v>-7.6575348372615926E-2</v>
      </c>
      <c r="BS240" s="46">
        <f t="shared" si="382"/>
        <v>-0.16004032119001843</v>
      </c>
      <c r="BT240" s="153">
        <f t="shared" si="382"/>
        <v>-4.3264255431287646E-2</v>
      </c>
      <c r="BU240" s="46">
        <f t="shared" si="383"/>
        <v>-0.19653112253554372</v>
      </c>
      <c r="BV240" s="46">
        <f t="shared" si="383"/>
        <v>-0.17019720267392424</v>
      </c>
      <c r="BW240" s="46">
        <f t="shared" si="383"/>
        <v>-0.11215681052732218</v>
      </c>
      <c r="BX240" s="46">
        <f t="shared" si="383"/>
        <v>-0.16311921059718348</v>
      </c>
      <c r="BY240" s="153">
        <f t="shared" si="383"/>
        <v>-0.16164152194541925</v>
      </c>
      <c r="BZ240" s="46">
        <f t="shared" si="383"/>
        <v>-6.2286925091565859E-2</v>
      </c>
      <c r="CA240" s="46">
        <f t="shared" si="383"/>
        <v>-5.6181939666695935E-2</v>
      </c>
      <c r="CB240" s="46">
        <f t="shared" si="383"/>
        <v>-0.11011486790034142</v>
      </c>
      <c r="CC240" s="46">
        <f t="shared" si="383"/>
        <v>-0.10309108552781909</v>
      </c>
      <c r="CD240" s="153">
        <f t="shared" si="383"/>
        <v>-8.1457909563827258E-2</v>
      </c>
      <c r="CE240" s="46">
        <f t="shared" si="384"/>
        <v>-5.7055116078873702E-2</v>
      </c>
      <c r="CF240" s="46">
        <f t="shared" si="384"/>
        <v>-5.8413548680447014E-2</v>
      </c>
      <c r="CG240" s="46">
        <f t="shared" si="384"/>
        <v>-5.9359526012180863E-2</v>
      </c>
      <c r="CH240" s="46">
        <f t="shared" si="384"/>
        <v>-6.0675350378190385E-2</v>
      </c>
      <c r="CI240" s="153">
        <f t="shared" si="384"/>
        <v>-5.9052726544845391E-2</v>
      </c>
      <c r="CJ240" s="46">
        <f t="shared" si="384"/>
        <v>-7.1444744675905669E-2</v>
      </c>
      <c r="CK240" s="46">
        <f t="shared" si="384"/>
        <v>-7.3313476039511771E-2</v>
      </c>
      <c r="CL240" s="46">
        <f t="shared" si="384"/>
        <v>-7.5417307942706069E-2</v>
      </c>
      <c r="CM240" s="46">
        <f t="shared" si="384"/>
        <v>-7.7527737774895855E-2</v>
      </c>
      <c r="CN240" s="153">
        <f t="shared" si="384"/>
        <v>-7.451988171511803E-2</v>
      </c>
      <c r="CO240" s="385"/>
      <c r="CP240" s="651"/>
      <c r="CQ240" s="651"/>
      <c r="CR240" s="66"/>
      <c r="CS240" s="66"/>
      <c r="CT240" s="66"/>
      <c r="CU240" s="66"/>
      <c r="CV240" s="66"/>
      <c r="CW240" s="66"/>
    </row>
    <row r="241" spans="1:101">
      <c r="A241" s="41" t="s">
        <v>469</v>
      </c>
      <c r="B241" s="41"/>
      <c r="AF241" s="153"/>
      <c r="AG241" s="46" t="e">
        <f t="shared" si="377"/>
        <v>#DIV/0!</v>
      </c>
      <c r="AH241" s="46" t="e">
        <f t="shared" si="377"/>
        <v>#DIV/0!</v>
      </c>
      <c r="AI241" s="46" t="e">
        <f t="shared" si="377"/>
        <v>#DIV/0!</v>
      </c>
      <c r="AJ241" s="46" t="e">
        <f t="shared" si="377"/>
        <v>#DIV/0!</v>
      </c>
      <c r="AK241" s="153" t="e">
        <f t="shared" si="377"/>
        <v>#DIV/0!</v>
      </c>
      <c r="AL241" s="46" t="e">
        <f t="shared" si="378"/>
        <v>#DIV/0!</v>
      </c>
      <c r="AM241" s="46" t="e">
        <f t="shared" si="379"/>
        <v>#DIV/0!</v>
      </c>
      <c r="AN241" s="46" t="e">
        <f t="shared" si="379"/>
        <v>#DIV/0!</v>
      </c>
      <c r="AO241" s="46" t="e">
        <f t="shared" si="379"/>
        <v>#DIV/0!</v>
      </c>
      <c r="AP241" s="153" t="e">
        <f t="shared" si="379"/>
        <v>#DIV/0!</v>
      </c>
      <c r="AQ241" s="46" t="e">
        <f t="shared" si="379"/>
        <v>#DIV/0!</v>
      </c>
      <c r="AR241" s="46" t="e">
        <f t="shared" si="379"/>
        <v>#DIV/0!</v>
      </c>
      <c r="AS241" s="46" t="e">
        <f t="shared" si="379"/>
        <v>#DIV/0!</v>
      </c>
      <c r="AT241" s="46" t="e">
        <f t="shared" si="379"/>
        <v>#DIV/0!</v>
      </c>
      <c r="AU241" s="153" t="e">
        <f t="shared" si="379"/>
        <v>#DIV/0!</v>
      </c>
      <c r="AV241" s="46" t="e">
        <f t="shared" si="379"/>
        <v>#DIV/0!</v>
      </c>
      <c r="AW241" s="46" t="e">
        <f t="shared" si="379"/>
        <v>#DIV/0!</v>
      </c>
      <c r="AX241" s="46" t="e">
        <f t="shared" si="379"/>
        <v>#DIV/0!</v>
      </c>
      <c r="AY241" s="46" t="e">
        <f t="shared" si="379"/>
        <v>#DIV/0!</v>
      </c>
      <c r="AZ241" s="706" t="e">
        <f t="shared" si="379"/>
        <v>#DIV/0!</v>
      </c>
      <c r="BA241" s="46">
        <f t="shared" si="380"/>
        <v>0.61176212864298973</v>
      </c>
      <c r="BB241" s="46">
        <f t="shared" si="380"/>
        <v>8.0570563874751144E-2</v>
      </c>
      <c r="BC241" s="46">
        <f t="shared" si="380"/>
        <v>5.9159857721778897E-2</v>
      </c>
      <c r="BD241" s="46">
        <f t="shared" si="380"/>
        <v>0.29053743358159601</v>
      </c>
      <c r="BE241" s="706">
        <f t="shared" si="380"/>
        <v>0.24423982309410408</v>
      </c>
      <c r="BF241" s="46">
        <f t="shared" si="381"/>
        <v>-0.18873679942853827</v>
      </c>
      <c r="BG241" s="46">
        <f t="shared" si="381"/>
        <v>1.9574359703605104E-2</v>
      </c>
      <c r="BH241" s="46">
        <f t="shared" si="381"/>
        <v>-0.18138532405633678</v>
      </c>
      <c r="BI241" s="46">
        <f t="shared" si="381"/>
        <v>-0.12203594026063436</v>
      </c>
      <c r="BJ241" s="706">
        <f t="shared" si="381"/>
        <v>-0.12314956588951742</v>
      </c>
      <c r="BK241" s="46">
        <f t="shared" si="382"/>
        <v>-0.14754304767173443</v>
      </c>
      <c r="BL241" s="46">
        <f t="shared" si="382"/>
        <v>5.7047744160305669E-3</v>
      </c>
      <c r="BM241" s="46">
        <f t="shared" si="382"/>
        <v>1.2776449981292792E-2</v>
      </c>
      <c r="BN241" s="46">
        <f t="shared" si="382"/>
        <v>-0.18288270490464786</v>
      </c>
      <c r="BO241" s="706">
        <f t="shared" si="382"/>
        <v>-8.4286409009127428E-2</v>
      </c>
      <c r="BP241" s="46">
        <f t="shared" si="382"/>
        <v>-8.7077966752438285E-2</v>
      </c>
      <c r="BQ241" s="46">
        <f t="shared" si="382"/>
        <v>-0.21870072180967592</v>
      </c>
      <c r="BR241" s="46">
        <f t="shared" si="382"/>
        <v>-0.19559404542292946</v>
      </c>
      <c r="BS241" s="46">
        <f t="shared" si="382"/>
        <v>-0.10887537438109085</v>
      </c>
      <c r="BT241" s="706">
        <f t="shared" si="382"/>
        <v>-0.15549287950040336</v>
      </c>
      <c r="BU241" s="46">
        <f t="shared" si="383"/>
        <v>-0.10706458174986133</v>
      </c>
      <c r="BV241" s="46">
        <f t="shared" si="383"/>
        <v>7.1098537223415192E-3</v>
      </c>
      <c r="BW241" s="46">
        <f t="shared" si="383"/>
        <v>5.0449801520446647E-2</v>
      </c>
      <c r="BX241" s="46">
        <f t="shared" si="383"/>
        <v>0.10863878273443817</v>
      </c>
      <c r="BY241" s="153">
        <f t="shared" si="383"/>
        <v>1.2256163965137068E-2</v>
      </c>
      <c r="BZ241" s="46">
        <f t="shared" si="383"/>
        <v>3.8183458646616319E-2</v>
      </c>
      <c r="CA241" s="46">
        <f t="shared" si="383"/>
        <v>3.495586805295825E-2</v>
      </c>
      <c r="CB241" s="46">
        <f t="shared" si="383"/>
        <v>3.2005504723647826E-2</v>
      </c>
      <c r="CC241" s="46">
        <f t="shared" si="383"/>
        <v>-8.7645361518730147E-2</v>
      </c>
      <c r="CD241" s="706">
        <f t="shared" si="383"/>
        <v>3.6713928417635433E-3</v>
      </c>
      <c r="CE241" s="46">
        <f t="shared" si="384"/>
        <v>-2.2799146870632336E-3</v>
      </c>
      <c r="CF241" s="46">
        <f t="shared" si="384"/>
        <v>-3.771186440677865E-3</v>
      </c>
      <c r="CG241" s="46">
        <f t="shared" si="384"/>
        <v>-4.8726322664925936E-3</v>
      </c>
      <c r="CH241" s="46">
        <f t="shared" si="384"/>
        <v>-6.317837837837903E-3</v>
      </c>
      <c r="CI241" s="706">
        <f t="shared" si="384"/>
        <v>-4.4960337675570283E-3</v>
      </c>
      <c r="CJ241" s="46">
        <f t="shared" si="384"/>
        <v>-8.4406949310074086E-3</v>
      </c>
      <c r="CK241" s="46">
        <f t="shared" si="384"/>
        <v>-1.0506024096385458E-2</v>
      </c>
      <c r="CL241" s="46">
        <f t="shared" si="384"/>
        <v>-1.2882427307206124E-2</v>
      </c>
      <c r="CM241" s="46">
        <f t="shared" si="384"/>
        <v>-1.5204230742467351E-2</v>
      </c>
      <c r="CN241" s="706">
        <f t="shared" si="384"/>
        <v>-1.185702199661598E-2</v>
      </c>
      <c r="CR241" s="66"/>
      <c r="CS241" s="66"/>
      <c r="CT241" s="66"/>
      <c r="CU241" s="66"/>
      <c r="CV241" s="66"/>
      <c r="CW241" s="66"/>
    </row>
    <row r="242" spans="1:101">
      <c r="A242" s="41" t="s">
        <v>471</v>
      </c>
      <c r="B242" s="41"/>
      <c r="AF242" s="153"/>
      <c r="AG242" s="46" t="e">
        <f t="shared" si="377"/>
        <v>#DIV/0!</v>
      </c>
      <c r="AH242" s="46" t="e">
        <f t="shared" si="377"/>
        <v>#DIV/0!</v>
      </c>
      <c r="AI242" s="46" t="e">
        <f t="shared" si="377"/>
        <v>#DIV/0!</v>
      </c>
      <c r="AJ242" s="46" t="e">
        <f t="shared" si="377"/>
        <v>#DIV/0!</v>
      </c>
      <c r="AK242" s="153" t="e">
        <f t="shared" si="377"/>
        <v>#DIV/0!</v>
      </c>
      <c r="AL242" s="46" t="e">
        <f t="shared" si="378"/>
        <v>#DIV/0!</v>
      </c>
      <c r="AM242" s="46" t="e">
        <f t="shared" si="379"/>
        <v>#DIV/0!</v>
      </c>
      <c r="AN242" s="46" t="e">
        <f t="shared" si="379"/>
        <v>#DIV/0!</v>
      </c>
      <c r="AO242" s="46" t="e">
        <f t="shared" si="379"/>
        <v>#DIV/0!</v>
      </c>
      <c r="AP242" s="153" t="e">
        <f t="shared" si="379"/>
        <v>#DIV/0!</v>
      </c>
      <c r="AQ242" s="46" t="e">
        <f t="shared" si="379"/>
        <v>#DIV/0!</v>
      </c>
      <c r="AR242" s="46" t="e">
        <f t="shared" si="379"/>
        <v>#DIV/0!</v>
      </c>
      <c r="AS242" s="46" t="e">
        <f t="shared" si="379"/>
        <v>#DIV/0!</v>
      </c>
      <c r="AT242" s="46" t="e">
        <f t="shared" si="379"/>
        <v>#DIV/0!</v>
      </c>
      <c r="AU242" s="153" t="e">
        <f t="shared" si="379"/>
        <v>#DIV/0!</v>
      </c>
      <c r="AV242" s="46" t="e">
        <f t="shared" si="379"/>
        <v>#DIV/0!</v>
      </c>
      <c r="AW242" s="46" t="e">
        <f t="shared" si="379"/>
        <v>#DIV/0!</v>
      </c>
      <c r="AX242" s="46" t="e">
        <f t="shared" si="379"/>
        <v>#DIV/0!</v>
      </c>
      <c r="AY242" s="46" t="e">
        <f t="shared" si="379"/>
        <v>#DIV/0!</v>
      </c>
      <c r="AZ242" s="706" t="e">
        <f t="shared" si="379"/>
        <v>#DIV/0!</v>
      </c>
      <c r="BA242" s="46">
        <f t="shared" si="380"/>
        <v>8.434164078464601E-2</v>
      </c>
      <c r="BB242" s="46">
        <f t="shared" si="380"/>
        <v>0.48927920417692561</v>
      </c>
      <c r="BC242" s="46">
        <f t="shared" si="380"/>
        <v>-0.1393691387587257</v>
      </c>
      <c r="BD242" s="46">
        <f t="shared" si="380"/>
        <v>-0.1042739341675043</v>
      </c>
      <c r="BE242" s="706">
        <f t="shared" si="380"/>
        <v>0.10482359987558576</v>
      </c>
      <c r="BF242" s="46">
        <f t="shared" si="381"/>
        <v>2.9577608821306134</v>
      </c>
      <c r="BG242" s="46">
        <f t="shared" si="381"/>
        <v>0.11988938837026786</v>
      </c>
      <c r="BH242" s="46">
        <f t="shared" si="381"/>
        <v>0.75074050105254475</v>
      </c>
      <c r="BI242" s="46">
        <f t="shared" si="381"/>
        <v>0.79760478868365969</v>
      </c>
      <c r="BJ242" s="706">
        <f t="shared" si="381"/>
        <v>0.86771282779193837</v>
      </c>
      <c r="BK242" s="46">
        <f t="shared" si="382"/>
        <v>-0.57079255675776008</v>
      </c>
      <c r="BL242" s="46">
        <f t="shared" si="382"/>
        <v>1.6975219609821846E-2</v>
      </c>
      <c r="BM242" s="46">
        <f t="shared" si="382"/>
        <v>0.20253584057170171</v>
      </c>
      <c r="BN242" s="46">
        <f t="shared" si="382"/>
        <v>1.2630588318118314</v>
      </c>
      <c r="BO242" s="706">
        <f t="shared" si="382"/>
        <v>9.750882826403906E-2</v>
      </c>
      <c r="BP242" s="46">
        <f t="shared" si="382"/>
        <v>0.68910968534393713</v>
      </c>
      <c r="BQ242" s="46">
        <f t="shared" si="382"/>
        <v>2.0286352809005814E-2</v>
      </c>
      <c r="BR242" s="46">
        <f t="shared" si="382"/>
        <v>0.89226147507185338</v>
      </c>
      <c r="BS242" s="46">
        <f t="shared" si="382"/>
        <v>-0.3228087641469507</v>
      </c>
      <c r="BT242" s="706">
        <f t="shared" si="382"/>
        <v>0.14503904349944929</v>
      </c>
      <c r="BU242" s="46">
        <f t="shared" si="383"/>
        <v>-5.793916975831892E-2</v>
      </c>
      <c r="BV242" s="46">
        <f t="shared" si="383"/>
        <v>-0.61137043099769128</v>
      </c>
      <c r="BW242" s="46">
        <f t="shared" si="383"/>
        <v>-0.4257515742006851</v>
      </c>
      <c r="BX242" s="46">
        <f t="shared" si="383"/>
        <v>-0.17085944407409981</v>
      </c>
      <c r="BY242" s="153">
        <f t="shared" si="383"/>
        <v>-0.32564282934613897</v>
      </c>
      <c r="BZ242" s="46">
        <f t="shared" si="383"/>
        <v>-1.5396899762374905E-2</v>
      </c>
      <c r="CA242" s="46">
        <f t="shared" si="383"/>
        <v>2.0493036922090404</v>
      </c>
      <c r="CB242" s="46">
        <f t="shared" si="383"/>
        <v>0.1672865810039077</v>
      </c>
      <c r="CC242" s="46">
        <f t="shared" si="383"/>
        <v>0.11613208713597056</v>
      </c>
      <c r="CD242" s="706">
        <f t="shared" si="383"/>
        <v>0.32818350847290279</v>
      </c>
      <c r="CE242" s="46">
        <f t="shared" si="384"/>
        <v>0.17399802865768565</v>
      </c>
      <c r="CF242" s="46">
        <f t="shared" si="384"/>
        <v>0.11924720737433447</v>
      </c>
      <c r="CG242" s="46">
        <f t="shared" si="384"/>
        <v>0.13026537456839482</v>
      </c>
      <c r="CH242" s="46">
        <f t="shared" si="384"/>
        <v>0.13035899129547812</v>
      </c>
      <c r="CI242" s="706">
        <f t="shared" si="384"/>
        <v>0.13627530429352075</v>
      </c>
      <c r="CJ242" s="46">
        <f t="shared" si="384"/>
        <v>0.12276933085444042</v>
      </c>
      <c r="CK242" s="46">
        <f t="shared" si="384"/>
        <v>8.6021647430025938E-2</v>
      </c>
      <c r="CL242" s="46">
        <f t="shared" si="384"/>
        <v>9.3730097044619765E-2</v>
      </c>
      <c r="CM242" s="46">
        <f t="shared" si="384"/>
        <v>9.4433561370134367E-2</v>
      </c>
      <c r="CN242" s="706">
        <f t="shared" si="384"/>
        <v>9.8099501859293836E-2</v>
      </c>
      <c r="CO242" s="80"/>
      <c r="CR242" s="66"/>
      <c r="CS242" s="66"/>
      <c r="CT242" s="66"/>
      <c r="CU242" s="66"/>
      <c r="CV242" s="66"/>
      <c r="CW242" s="66"/>
    </row>
    <row r="243" spans="1:101">
      <c r="A243" s="52" t="s">
        <v>472</v>
      </c>
      <c r="B243" s="52"/>
      <c r="C243" s="52"/>
      <c r="D243" s="52"/>
      <c r="E243" s="52"/>
      <c r="F243" s="52"/>
      <c r="G243" s="52"/>
      <c r="H243" s="52"/>
      <c r="I243" s="52"/>
      <c r="J243" s="52"/>
      <c r="K243" s="52"/>
      <c r="L243" s="52"/>
      <c r="M243" s="52"/>
      <c r="N243" s="52"/>
      <c r="O243" s="52"/>
      <c r="P243" s="52"/>
      <c r="Q243" s="52"/>
      <c r="R243" s="52"/>
      <c r="S243" s="52"/>
      <c r="T243" s="52"/>
      <c r="U243" s="52"/>
      <c r="V243" s="52"/>
      <c r="W243" s="52"/>
      <c r="X243" s="52"/>
      <c r="Y243" s="52"/>
      <c r="Z243" s="52"/>
      <c r="AA243" s="52"/>
      <c r="AB243" s="52"/>
      <c r="AC243" s="52"/>
      <c r="AD243" s="52"/>
      <c r="AE243" s="52"/>
      <c r="AF243" s="170"/>
      <c r="AG243" s="172" t="e">
        <f t="shared" si="377"/>
        <v>#DIV/0!</v>
      </c>
      <c r="AH243" s="172" t="e">
        <f t="shared" si="377"/>
        <v>#DIV/0!</v>
      </c>
      <c r="AI243" s="172" t="e">
        <f t="shared" si="377"/>
        <v>#DIV/0!</v>
      </c>
      <c r="AJ243" s="172" t="e">
        <f t="shared" si="377"/>
        <v>#DIV/0!</v>
      </c>
      <c r="AK243" s="170" t="e">
        <f t="shared" si="377"/>
        <v>#DIV/0!</v>
      </c>
      <c r="AL243" s="172" t="e">
        <f t="shared" si="378"/>
        <v>#DIV/0!</v>
      </c>
      <c r="AM243" s="172" t="e">
        <f t="shared" si="379"/>
        <v>#DIV/0!</v>
      </c>
      <c r="AN243" s="172" t="e">
        <f t="shared" si="379"/>
        <v>#DIV/0!</v>
      </c>
      <c r="AO243" s="172" t="e">
        <f t="shared" si="379"/>
        <v>#DIV/0!</v>
      </c>
      <c r="AP243" s="170" t="e">
        <f t="shared" si="379"/>
        <v>#DIV/0!</v>
      </c>
      <c r="AQ243" s="172" t="e">
        <f t="shared" si="379"/>
        <v>#DIV/0!</v>
      </c>
      <c r="AR243" s="172" t="e">
        <f t="shared" si="379"/>
        <v>#DIV/0!</v>
      </c>
      <c r="AS243" s="172" t="e">
        <f t="shared" si="379"/>
        <v>#DIV/0!</v>
      </c>
      <c r="AT243" s="172" t="e">
        <f t="shared" si="379"/>
        <v>#DIV/0!</v>
      </c>
      <c r="AU243" s="170" t="e">
        <f t="shared" si="379"/>
        <v>#DIV/0!</v>
      </c>
      <c r="AV243" s="172" t="e">
        <f t="shared" si="379"/>
        <v>#DIV/0!</v>
      </c>
      <c r="AW243" s="172" t="e">
        <f t="shared" si="379"/>
        <v>#DIV/0!</v>
      </c>
      <c r="AX243" s="172" t="e">
        <f t="shared" si="379"/>
        <v>#DIV/0!</v>
      </c>
      <c r="AY243" s="172" t="e">
        <f t="shared" si="379"/>
        <v>#DIV/0!</v>
      </c>
      <c r="AZ243" s="170" t="e">
        <f t="shared" si="379"/>
        <v>#DIV/0!</v>
      </c>
      <c r="BA243" s="172">
        <f t="shared" si="380"/>
        <v>0.31086813221811682</v>
      </c>
      <c r="BB243" s="172">
        <f t="shared" si="380"/>
        <v>0.14979460896158159</v>
      </c>
      <c r="BC243" s="172">
        <f t="shared" si="380"/>
        <v>0.16955212543754916</v>
      </c>
      <c r="BD243" s="172">
        <f t="shared" si="380"/>
        <v>-7.117447662985299E-2</v>
      </c>
      <c r="BE243" s="170">
        <f t="shared" si="380"/>
        <v>0.11995506443828607</v>
      </c>
      <c r="BF243" s="172">
        <f t="shared" si="381"/>
        <v>0.76168429764891354</v>
      </c>
      <c r="BG243" s="172">
        <f t="shared" si="381"/>
        <v>-2.969416547654391E-2</v>
      </c>
      <c r="BH243" s="172">
        <f t="shared" si="381"/>
        <v>-4.6418353736575213E-2</v>
      </c>
      <c r="BI243" s="172">
        <f t="shared" si="381"/>
        <v>0.20723350365038073</v>
      </c>
      <c r="BJ243" s="170">
        <f t="shared" si="381"/>
        <v>4.0623609549067741E-2</v>
      </c>
      <c r="BK243" s="172">
        <f t="shared" si="382"/>
        <v>-0.40217073015675864</v>
      </c>
      <c r="BL243" s="172">
        <f t="shared" si="382"/>
        <v>6.2617750515711945E-2</v>
      </c>
      <c r="BM243" s="172">
        <f t="shared" si="382"/>
        <v>6.871966868717716E-2</v>
      </c>
      <c r="BN243" s="172">
        <f t="shared" si="382"/>
        <v>1.1388550704744205E-2</v>
      </c>
      <c r="BO243" s="170">
        <f t="shared" si="382"/>
        <v>3.6778822572496539E-2</v>
      </c>
      <c r="BP243" s="172">
        <f t="shared" si="382"/>
        <v>0.21791466334316389</v>
      </c>
      <c r="BQ243" s="172">
        <f t="shared" si="382"/>
        <v>-1.780012030059297E-2</v>
      </c>
      <c r="BR243" s="172">
        <f t="shared" si="382"/>
        <v>2.3704645941855507E-3</v>
      </c>
      <c r="BS243" s="172">
        <f t="shared" si="382"/>
        <v>-0.15811980169365325</v>
      </c>
      <c r="BT243" s="170">
        <f t="shared" si="382"/>
        <v>-3.0106352962200322E-3</v>
      </c>
      <c r="BU243" s="172">
        <f t="shared" si="383"/>
        <v>-9.988741857860306E-2</v>
      </c>
      <c r="BV243" s="172">
        <f t="shared" si="383"/>
        <v>0.12054489772091537</v>
      </c>
      <c r="BW243" s="172">
        <f t="shared" si="383"/>
        <v>-4.4248587162358466E-2</v>
      </c>
      <c r="BX243" s="172">
        <f t="shared" si="383"/>
        <v>0.12610534585411681</v>
      </c>
      <c r="BY243" s="170">
        <f t="shared" si="383"/>
        <v>2.4442111927238441E-2</v>
      </c>
      <c r="BZ243" s="172">
        <f t="shared" si="383"/>
        <v>4.4521176505085691E-2</v>
      </c>
      <c r="CA243" s="172">
        <f t="shared" si="383"/>
        <v>-1.7072475078962701E-2</v>
      </c>
      <c r="CB243" s="172">
        <f t="shared" si="383"/>
        <v>0.10665126618841625</v>
      </c>
      <c r="CC243" s="172">
        <f t="shared" si="383"/>
        <v>4.2145412900322698E-2</v>
      </c>
      <c r="CD243" s="170">
        <f t="shared" si="383"/>
        <v>4.3042033138179114E-2</v>
      </c>
      <c r="CE243" s="172">
        <f t="shared" si="384"/>
        <v>7.7929503778588538E-2</v>
      </c>
      <c r="CF243" s="172">
        <f t="shared" si="384"/>
        <v>5.4252189770249704E-2</v>
      </c>
      <c r="CG243" s="172">
        <f t="shared" si="384"/>
        <v>5.7453620048814491E-2</v>
      </c>
      <c r="CH243" s="172">
        <f t="shared" si="384"/>
        <v>5.9375922325466401E-2</v>
      </c>
      <c r="CI243" s="170">
        <f t="shared" si="384"/>
        <v>6.1444628356802866E-2</v>
      </c>
      <c r="CJ243" s="172">
        <f t="shared" si="384"/>
        <v>8.3288133306611334E-2</v>
      </c>
      <c r="CK243" s="172">
        <f t="shared" si="384"/>
        <v>6.012252639912119E-2</v>
      </c>
      <c r="CL243" s="172">
        <f t="shared" si="384"/>
        <v>6.3592097737285247E-2</v>
      </c>
      <c r="CM243" s="172">
        <f t="shared" si="384"/>
        <v>6.5005711019003876E-2</v>
      </c>
      <c r="CN243" s="170">
        <f t="shared" si="384"/>
        <v>6.7397383515568121E-2</v>
      </c>
      <c r="CR243" s="66"/>
      <c r="CS243" s="66"/>
      <c r="CT243" s="66"/>
      <c r="CU243" s="66"/>
      <c r="CV243" s="66"/>
      <c r="CW243" s="66"/>
    </row>
    <row r="244" spans="1:101">
      <c r="A244" s="41"/>
      <c r="B244" s="41"/>
      <c r="CO244" s="441"/>
      <c r="CR244" s="66"/>
      <c r="CS244" s="66"/>
      <c r="CT244" s="66"/>
      <c r="CU244" s="66"/>
      <c r="CV244" s="66"/>
      <c r="CW244" s="66"/>
    </row>
    <row r="245" spans="1:101">
      <c r="A245" s="41" t="s">
        <v>179</v>
      </c>
      <c r="B245" s="41"/>
      <c r="AY245" s="1074">
        <v>32.256999999999948</v>
      </c>
      <c r="AZ245" s="1074">
        <v>122.67499999999984</v>
      </c>
      <c r="BA245" s="1074">
        <v>22.491000000000099</v>
      </c>
      <c r="BB245" s="1074">
        <v>56.991999999999962</v>
      </c>
      <c r="BC245" s="1074">
        <v>26.809999999999945</v>
      </c>
      <c r="BD245" s="1074">
        <v>28.877999999999815</v>
      </c>
      <c r="BE245" s="1074">
        <v>135.1530000000007</v>
      </c>
      <c r="BF245" s="1074">
        <v>89.01400000000001</v>
      </c>
      <c r="BG245" s="1074">
        <v>63.854000000000099</v>
      </c>
      <c r="BH245" s="1074">
        <v>46.923000000000002</v>
      </c>
      <c r="BI245" s="1074">
        <v>51.717000000000041</v>
      </c>
      <c r="BJ245" s="1074">
        <v>251.56099999999969</v>
      </c>
      <c r="CO245" s="441"/>
      <c r="CR245" s="66"/>
      <c r="CS245" s="66"/>
      <c r="CT245" s="66"/>
      <c r="CU245" s="66"/>
      <c r="CV245" s="66"/>
      <c r="CW245" s="66"/>
    </row>
    <row r="246" spans="1:101">
      <c r="A246" s="89" t="s">
        <v>180</v>
      </c>
      <c r="AY246" s="96">
        <f t="shared" ref="AY246:BJ246" si="385">AY42</f>
        <v>95.882999999999953</v>
      </c>
      <c r="AZ246" s="96">
        <f t="shared" si="385"/>
        <v>328.74499999999983</v>
      </c>
      <c r="BA246" s="96">
        <f t="shared" si="385"/>
        <v>77.326000000000093</v>
      </c>
      <c r="BB246" s="96">
        <f t="shared" si="385"/>
        <v>102.08799999999995</v>
      </c>
      <c r="BC246" s="96">
        <f t="shared" si="385"/>
        <v>98.736999999999938</v>
      </c>
      <c r="BD246" s="96">
        <f t="shared" si="385"/>
        <v>89.010999999999825</v>
      </c>
      <c r="BE246" s="96">
        <f t="shared" si="385"/>
        <v>367.14400000000074</v>
      </c>
      <c r="BF246" s="96">
        <f t="shared" si="385"/>
        <v>136.22400000000005</v>
      </c>
      <c r="BG246" s="96">
        <f t="shared" si="385"/>
        <v>99.102000000000103</v>
      </c>
      <c r="BH246" s="96">
        <f t="shared" si="385"/>
        <v>94.125</v>
      </c>
      <c r="BI246" s="96">
        <f t="shared" si="385"/>
        <v>107.05500000000005</v>
      </c>
      <c r="BJ246" s="96">
        <f t="shared" si="385"/>
        <v>380.74799999999971</v>
      </c>
    </row>
    <row r="247" spans="1:101">
      <c r="A247" s="41" t="s">
        <v>85</v>
      </c>
      <c r="B247" s="41"/>
      <c r="AY247" s="96">
        <f>AY246-AY245</f>
        <v>63.626000000000005</v>
      </c>
      <c r="AZ247" s="96">
        <f t="shared" ref="AZ247:BJ247" si="386">AZ246-AZ245</f>
        <v>206.07</v>
      </c>
      <c r="BA247" s="96">
        <f t="shared" si="386"/>
        <v>54.834999999999994</v>
      </c>
      <c r="BB247" s="96">
        <f t="shared" si="386"/>
        <v>45.095999999999989</v>
      </c>
      <c r="BC247" s="96">
        <f t="shared" si="386"/>
        <v>71.926999999999992</v>
      </c>
      <c r="BD247" s="96">
        <f t="shared" si="386"/>
        <v>60.13300000000001</v>
      </c>
      <c r="BE247" s="96">
        <f t="shared" si="386"/>
        <v>231.99100000000004</v>
      </c>
      <c r="BF247" s="96">
        <f t="shared" si="386"/>
        <v>47.210000000000036</v>
      </c>
      <c r="BG247" s="96">
        <f t="shared" si="386"/>
        <v>35.248000000000005</v>
      </c>
      <c r="BH247" s="96">
        <f t="shared" si="386"/>
        <v>47.201999999999998</v>
      </c>
      <c r="BI247" s="96">
        <f t="shared" si="386"/>
        <v>55.338000000000008</v>
      </c>
      <c r="BJ247" s="96">
        <f t="shared" si="386"/>
        <v>129.18700000000001</v>
      </c>
      <c r="CO247" s="80"/>
      <c r="CR247" s="66"/>
      <c r="CS247" s="66"/>
      <c r="CT247" s="66"/>
      <c r="CU247" s="66"/>
      <c r="CV247" s="66"/>
      <c r="CW247" s="66"/>
    </row>
    <row r="248" spans="1:101" ht="12.75" hidden="1" customHeight="1" outlineLevel="1">
      <c r="A248" s="41"/>
      <c r="B248" s="41"/>
      <c r="CO248" s="441"/>
      <c r="CR248" s="66"/>
      <c r="CS248" s="66"/>
      <c r="CT248" s="66"/>
      <c r="CU248" s="66"/>
      <c r="CV248" s="66"/>
      <c r="CW248" s="66"/>
    </row>
    <row r="249" spans="1:101" ht="12.75" hidden="1" customHeight="1" outlineLevel="1">
      <c r="A249" s="41"/>
      <c r="B249" s="41"/>
      <c r="AH249" s="518"/>
      <c r="AM249" s="518"/>
      <c r="AN249" s="96"/>
      <c r="CO249" s="203"/>
      <c r="CR249" s="66"/>
      <c r="CS249" s="66"/>
      <c r="CT249" s="66"/>
      <c r="CU249" s="66"/>
      <c r="CV249" s="66"/>
      <c r="CW249" s="66"/>
    </row>
    <row r="250" spans="1:101" ht="12.75" hidden="1" customHeight="1" outlineLevel="1">
      <c r="A250" s="41"/>
      <c r="B250" s="41"/>
      <c r="CO250" s="441"/>
      <c r="CR250" s="66"/>
      <c r="CS250" s="66"/>
      <c r="CT250" s="66"/>
      <c r="CU250" s="66"/>
      <c r="CV250" s="66"/>
      <c r="CW250" s="66"/>
    </row>
    <row r="251" spans="1:101" ht="15.75" hidden="1" customHeight="1" outlineLevel="1">
      <c r="A251" s="464"/>
      <c r="B251" s="41"/>
      <c r="CO251" s="80"/>
      <c r="CR251" s="66"/>
      <c r="CS251" s="66"/>
      <c r="CT251" s="66"/>
      <c r="CU251" s="66"/>
      <c r="CV251" s="66"/>
      <c r="CW251" s="66"/>
    </row>
    <row r="252" spans="1:101" ht="15.75" hidden="1" customHeight="1" outlineLevel="1">
      <c r="A252" s="464"/>
      <c r="B252" s="41"/>
      <c r="CO252" s="80"/>
      <c r="CR252" s="66"/>
      <c r="CS252" s="66"/>
      <c r="CT252" s="66"/>
      <c r="CU252" s="66"/>
      <c r="CV252" s="66"/>
      <c r="CW252" s="66"/>
    </row>
    <row r="253" spans="1:101" ht="15.75" hidden="1" customHeight="1" outlineLevel="1">
      <c r="A253" s="771"/>
      <c r="B253" s="41"/>
      <c r="V253" s="750"/>
      <c r="AA253" s="750"/>
      <c r="AB253" s="750"/>
      <c r="AC253" s="750"/>
      <c r="AD253" s="750"/>
      <c r="AG253" s="80"/>
      <c r="CO253" s="441"/>
      <c r="CR253" s="66"/>
      <c r="CS253" s="66"/>
      <c r="CT253" s="66"/>
      <c r="CU253" s="66"/>
      <c r="CV253" s="66"/>
      <c r="CW253" s="66"/>
    </row>
    <row r="254" spans="1:101" ht="12.75" hidden="1" customHeight="1" outlineLevel="1">
      <c r="A254" s="652"/>
      <c r="B254" s="41"/>
      <c r="V254" s="536"/>
      <c r="W254" s="534"/>
      <c r="X254" s="535"/>
      <c r="Y254" s="535"/>
      <c r="Z254" s="536"/>
      <c r="AA254" s="536"/>
      <c r="AB254" s="563"/>
      <c r="AC254" s="563"/>
      <c r="AD254" s="563"/>
      <c r="AE254" s="1"/>
      <c r="AF254" s="31"/>
      <c r="AG254" s="1"/>
      <c r="AH254" s="1"/>
      <c r="AI254" s="64"/>
      <c r="AJ254" s="64"/>
      <c r="AK254" s="65"/>
      <c r="AL254" s="64"/>
      <c r="AM254" s="64"/>
      <c r="AN254" s="64"/>
      <c r="AO254" s="64"/>
      <c r="AP254" s="65"/>
      <c r="AQ254" s="64"/>
      <c r="AR254" s="64"/>
      <c r="AS254" s="64"/>
      <c r="AT254" s="64"/>
      <c r="AU254" s="65"/>
      <c r="AV254" s="66"/>
      <c r="AW254" s="66"/>
      <c r="AX254" s="66"/>
      <c r="AY254" s="66"/>
      <c r="AZ254" s="66"/>
      <c r="BA254" s="66"/>
      <c r="BB254" s="66"/>
      <c r="BC254" s="66"/>
      <c r="BD254" s="66"/>
      <c r="BE254" s="66"/>
      <c r="BF254" s="66"/>
      <c r="BG254" s="66"/>
      <c r="BH254" s="66"/>
      <c r="BI254" s="66"/>
      <c r="BJ254" s="66"/>
      <c r="BK254" s="66"/>
      <c r="BL254" s="66"/>
      <c r="BM254" s="117"/>
      <c r="BN254" s="66"/>
      <c r="BO254" s="66"/>
      <c r="BP254" s="66"/>
      <c r="BQ254" s="66"/>
      <c r="BR254" s="66"/>
      <c r="BS254" s="66"/>
      <c r="BT254" s="66"/>
      <c r="BU254" s="117"/>
      <c r="BV254" s="66"/>
      <c r="BW254" s="117"/>
      <c r="BX254" s="117"/>
      <c r="BY254" s="117"/>
      <c r="BZ254" s="66"/>
      <c r="CA254" s="66"/>
      <c r="CB254" s="66"/>
      <c r="CC254" s="66"/>
      <c r="CD254" s="66"/>
      <c r="CE254" s="66"/>
      <c r="CF254" s="66"/>
      <c r="CG254" s="66"/>
      <c r="CH254" s="66"/>
      <c r="CI254" s="66"/>
      <c r="CJ254" s="66"/>
      <c r="CK254" s="66"/>
      <c r="CL254" s="66"/>
      <c r="CM254" s="66"/>
      <c r="CN254" s="66"/>
      <c r="CO254" s="203"/>
      <c r="CR254" s="66"/>
      <c r="CS254" s="66"/>
      <c r="CT254" s="66"/>
      <c r="CU254" s="66"/>
      <c r="CV254" s="66"/>
      <c r="CW254" s="66"/>
    </row>
    <row r="255" spans="1:101" ht="12.75" hidden="1" customHeight="1" outlineLevel="1">
      <c r="A255" s="41"/>
      <c r="B255" s="41"/>
      <c r="V255" s="99"/>
      <c r="AA255" s="99"/>
      <c r="AF255" s="99"/>
      <c r="AK255" s="99"/>
      <c r="AP255" s="99"/>
      <c r="AU255" s="99"/>
      <c r="AV255" s="66"/>
      <c r="AW255" s="66"/>
      <c r="AX255" s="66"/>
      <c r="AY255" s="66"/>
      <c r="AZ255" s="66"/>
      <c r="BA255" s="66"/>
      <c r="BB255" s="66"/>
      <c r="BC255" s="66"/>
      <c r="BD255" s="66"/>
      <c r="BE255" s="66"/>
      <c r="BF255" s="66"/>
      <c r="BG255" s="66"/>
      <c r="BH255" s="66"/>
      <c r="BI255" s="66"/>
      <c r="BJ255" s="66"/>
      <c r="BK255" s="66"/>
      <c r="BL255" s="66"/>
      <c r="BM255" s="117"/>
      <c r="BN255" s="66"/>
      <c r="BO255" s="66"/>
      <c r="BP255" s="66"/>
      <c r="BQ255" s="66"/>
      <c r="BR255" s="66"/>
      <c r="BS255" s="66"/>
      <c r="BT255" s="66"/>
      <c r="BU255" s="117"/>
      <c r="BV255" s="66"/>
      <c r="BW255" s="117"/>
      <c r="BX255" s="117"/>
      <c r="BY255" s="117"/>
      <c r="BZ255" s="66"/>
      <c r="CA255" s="66"/>
      <c r="CB255" s="66"/>
      <c r="CC255" s="66"/>
      <c r="CD255" s="66"/>
      <c r="CE255" s="66"/>
      <c r="CF255" s="66"/>
      <c r="CG255" s="66"/>
      <c r="CH255" s="66"/>
      <c r="CI255" s="66"/>
      <c r="CJ255" s="66"/>
      <c r="CK255" s="66"/>
      <c r="CL255" s="66"/>
      <c r="CM255" s="66"/>
      <c r="CN255" s="66"/>
      <c r="CO255" s="441"/>
      <c r="CR255" s="66"/>
      <c r="CS255" s="66"/>
      <c r="CT255" s="66"/>
      <c r="CU255" s="66"/>
      <c r="CV255" s="66"/>
      <c r="CW255" s="66"/>
    </row>
    <row r="256" spans="1:101" ht="12.75" hidden="1" customHeight="1" outlineLevel="1">
      <c r="A256" s="578"/>
      <c r="B256" s="41"/>
      <c r="V256" s="99"/>
      <c r="AA256" s="99"/>
      <c r="AF256" s="99"/>
      <c r="AK256" s="99"/>
      <c r="AP256" s="99"/>
      <c r="AU256" s="99"/>
      <c r="AV256" s="66"/>
      <c r="AW256" s="66"/>
      <c r="AX256" s="66"/>
      <c r="AY256" s="66"/>
      <c r="AZ256" s="66"/>
      <c r="BA256" s="66"/>
      <c r="BB256" s="66"/>
      <c r="BC256" s="66"/>
      <c r="BD256" s="66"/>
      <c r="BE256" s="66"/>
      <c r="BF256" s="66"/>
      <c r="BG256" s="66"/>
      <c r="BH256" s="66"/>
      <c r="BI256" s="66"/>
      <c r="BJ256" s="66"/>
      <c r="BK256" s="66"/>
      <c r="BL256" s="66"/>
      <c r="BM256" s="117"/>
      <c r="BN256" s="66"/>
      <c r="BO256" s="66"/>
      <c r="BP256" s="66"/>
      <c r="BQ256" s="66"/>
      <c r="BR256" s="66"/>
      <c r="BS256" s="66"/>
      <c r="BT256" s="66"/>
      <c r="BU256" s="117"/>
      <c r="BV256" s="66"/>
      <c r="BW256" s="117"/>
      <c r="BX256" s="117"/>
      <c r="BY256" s="117"/>
      <c r="BZ256" s="66"/>
      <c r="CA256" s="66"/>
      <c r="CB256" s="66"/>
      <c r="CC256" s="66"/>
      <c r="CD256" s="66"/>
      <c r="CE256" s="66"/>
      <c r="CF256" s="66"/>
      <c r="CG256" s="66"/>
      <c r="CH256" s="66"/>
      <c r="CI256" s="66"/>
      <c r="CJ256" s="66"/>
      <c r="CK256" s="66"/>
      <c r="CL256" s="66"/>
      <c r="CM256" s="66"/>
      <c r="CN256" s="66"/>
      <c r="CR256" s="66"/>
      <c r="CS256" s="66"/>
      <c r="CT256" s="66"/>
      <c r="CU256" s="66"/>
      <c r="CV256" s="66"/>
      <c r="CW256" s="66"/>
    </row>
    <row r="257" spans="1:101" ht="12.75" hidden="1" customHeight="1" outlineLevel="1">
      <c r="A257" s="577"/>
      <c r="B257" s="41"/>
      <c r="V257" s="99"/>
      <c r="W257" s="88"/>
      <c r="X257" s="88"/>
      <c r="Y257" s="88"/>
      <c r="Z257" s="88"/>
      <c r="AA257" s="99"/>
      <c r="AB257" s="88"/>
      <c r="AC257" s="88"/>
      <c r="AD257" s="93"/>
      <c r="AE257" s="93"/>
      <c r="AF257" s="99"/>
      <c r="AG257" s="88"/>
      <c r="AH257" s="88"/>
      <c r="AI257" s="93"/>
      <c r="AJ257" s="93"/>
      <c r="AK257" s="99"/>
      <c r="AL257" s="93"/>
      <c r="AM257" s="93"/>
      <c r="AN257" s="93"/>
      <c r="AO257" s="93"/>
      <c r="AP257" s="99"/>
      <c r="AQ257" s="93"/>
      <c r="AR257" s="93"/>
      <c r="AS257" s="93"/>
      <c r="AT257" s="93"/>
      <c r="AU257" s="99"/>
      <c r="AV257" s="66"/>
      <c r="AW257" s="66"/>
      <c r="AX257" s="66"/>
      <c r="AY257" s="66"/>
      <c r="AZ257" s="66"/>
      <c r="BA257" s="66"/>
      <c r="BB257" s="66"/>
      <c r="BC257" s="66"/>
      <c r="BD257" s="66"/>
      <c r="BE257" s="66"/>
      <c r="BF257" s="66"/>
      <c r="BG257" s="66"/>
      <c r="BH257" s="66"/>
      <c r="BI257" s="66"/>
      <c r="BJ257" s="66"/>
      <c r="BK257" s="66"/>
      <c r="BL257" s="66"/>
      <c r="BM257" s="117"/>
      <c r="BN257" s="66"/>
      <c r="BO257" s="66"/>
      <c r="BP257" s="66"/>
      <c r="BQ257" s="66"/>
      <c r="BR257" s="66"/>
      <c r="BS257" s="66"/>
      <c r="BT257" s="66"/>
      <c r="BU257" s="117"/>
      <c r="BV257" s="66"/>
      <c r="BW257" s="117"/>
      <c r="BX257" s="117"/>
      <c r="BY257" s="117"/>
      <c r="BZ257" s="66"/>
      <c r="CA257" s="66"/>
      <c r="CB257" s="66"/>
      <c r="CC257" s="66"/>
      <c r="CD257" s="66"/>
      <c r="CE257" s="66"/>
      <c r="CF257" s="66"/>
      <c r="CG257" s="66"/>
      <c r="CH257" s="66"/>
      <c r="CI257" s="66"/>
      <c r="CJ257" s="66"/>
      <c r="CK257" s="66"/>
      <c r="CL257" s="66"/>
      <c r="CM257" s="66"/>
      <c r="CN257" s="66"/>
      <c r="CR257" s="66"/>
      <c r="CS257" s="66"/>
      <c r="CT257" s="66"/>
      <c r="CU257" s="66"/>
      <c r="CV257" s="66"/>
      <c r="CW257" s="66"/>
    </row>
    <row r="258" spans="1:101" ht="15" hidden="1" customHeight="1" outlineLevel="1">
      <c r="A258" s="577"/>
      <c r="B258" s="41"/>
      <c r="V258" s="99"/>
      <c r="W258" s="102"/>
      <c r="X258" s="102"/>
      <c r="Y258" s="102"/>
      <c r="Z258" s="102"/>
      <c r="AA258" s="99"/>
      <c r="AB258" s="88"/>
      <c r="AC258" s="88"/>
      <c r="AD258" s="106"/>
      <c r="AE258" s="106"/>
      <c r="AF258" s="99"/>
      <c r="AG258" s="88"/>
      <c r="AH258" s="88"/>
      <c r="AI258" s="93"/>
      <c r="AJ258" s="93"/>
      <c r="AK258" s="99"/>
      <c r="AL258" s="93"/>
      <c r="AM258" s="93"/>
      <c r="AN258" s="93"/>
      <c r="AO258" s="93"/>
      <c r="AP258" s="99"/>
      <c r="AQ258" s="93"/>
      <c r="AR258" s="93"/>
      <c r="AS258" s="93"/>
      <c r="AT258" s="93"/>
      <c r="AU258" s="99"/>
      <c r="AV258" s="66"/>
      <c r="AW258" s="66"/>
      <c r="AX258" s="66"/>
      <c r="AY258" s="66"/>
      <c r="AZ258" s="66"/>
      <c r="BA258" s="66"/>
      <c r="BB258" s="66"/>
      <c r="BC258" s="66"/>
      <c r="BD258" s="66"/>
      <c r="BE258" s="66"/>
      <c r="BF258" s="66"/>
      <c r="BG258" s="66"/>
      <c r="BH258" s="66"/>
      <c r="BI258" s="66"/>
      <c r="BJ258" s="66"/>
      <c r="BK258" s="66"/>
      <c r="BL258" s="66"/>
      <c r="BM258" s="117"/>
      <c r="BN258" s="66"/>
      <c r="BO258" s="66"/>
      <c r="BP258" s="66"/>
      <c r="BQ258" s="66"/>
      <c r="BR258" s="66"/>
      <c r="BS258" s="66"/>
      <c r="BT258" s="66"/>
      <c r="BU258" s="117"/>
      <c r="BV258" s="66"/>
      <c r="BW258" s="117"/>
      <c r="BX258" s="117"/>
      <c r="BY258" s="117"/>
      <c r="BZ258" s="66"/>
      <c r="CA258" s="66"/>
      <c r="CB258" s="66"/>
      <c r="CC258" s="66"/>
      <c r="CD258" s="66"/>
      <c r="CE258" s="66"/>
      <c r="CF258" s="66"/>
      <c r="CG258" s="66"/>
      <c r="CH258" s="66"/>
      <c r="CI258" s="66"/>
      <c r="CJ258" s="66"/>
      <c r="CK258" s="66"/>
      <c r="CL258" s="66"/>
      <c r="CM258" s="66"/>
      <c r="CN258" s="66"/>
      <c r="CR258" s="66"/>
      <c r="CS258" s="66"/>
      <c r="CT258" s="66"/>
      <c r="CU258" s="66"/>
      <c r="CV258" s="66"/>
      <c r="CW258" s="66"/>
    </row>
    <row r="259" spans="1:101" ht="15" hidden="1" customHeight="1" outlineLevel="1">
      <c r="A259" s="577"/>
      <c r="B259" s="41"/>
      <c r="V259" s="103"/>
      <c r="W259" s="88"/>
      <c r="X259" s="88"/>
      <c r="Y259" s="88"/>
      <c r="Z259" s="91"/>
      <c r="AA259" s="103"/>
      <c r="AB259" s="233"/>
      <c r="AC259" s="233"/>
      <c r="AD259" s="93"/>
      <c r="AE259" s="94"/>
      <c r="AF259" s="103"/>
      <c r="AG259" s="233"/>
      <c r="AH259" s="233"/>
      <c r="AI259" s="235"/>
      <c r="AJ259" s="807"/>
      <c r="AK259" s="99"/>
      <c r="AL259" s="235"/>
      <c r="AM259" s="235"/>
      <c r="AN259" s="235"/>
      <c r="AO259" s="807"/>
      <c r="AP259" s="262"/>
      <c r="AQ259" s="235"/>
      <c r="AR259" s="235"/>
      <c r="AS259" s="235"/>
      <c r="AT259" s="807"/>
      <c r="AU259" s="262"/>
      <c r="AV259" s="66"/>
      <c r="AW259" s="66"/>
      <c r="AX259" s="66"/>
      <c r="AY259" s="66"/>
      <c r="AZ259" s="66"/>
      <c r="BA259" s="66"/>
      <c r="BB259" s="66"/>
      <c r="BC259" s="66"/>
      <c r="BD259" s="66"/>
      <c r="BE259" s="66"/>
      <c r="BF259" s="66"/>
      <c r="BG259" s="66"/>
      <c r="BH259" s="66"/>
      <c r="BI259" s="66"/>
      <c r="BJ259" s="66"/>
      <c r="BK259" s="66"/>
      <c r="BL259" s="66"/>
      <c r="BM259" s="117"/>
      <c r="BN259" s="66"/>
      <c r="BO259" s="66"/>
      <c r="BP259" s="66"/>
      <c r="BQ259" s="66"/>
      <c r="BR259" s="66"/>
      <c r="BS259" s="66"/>
      <c r="BT259" s="66"/>
      <c r="BU259" s="117"/>
      <c r="BV259" s="66"/>
      <c r="BW259" s="117"/>
      <c r="BX259" s="117"/>
      <c r="BY259" s="117"/>
      <c r="BZ259" s="66"/>
      <c r="CA259" s="66"/>
      <c r="CB259" s="66"/>
      <c r="CC259" s="66"/>
      <c r="CD259" s="66"/>
      <c r="CE259" s="66"/>
      <c r="CF259" s="66"/>
      <c r="CG259" s="66"/>
      <c r="CH259" s="66"/>
      <c r="CI259" s="66"/>
      <c r="CJ259" s="66"/>
      <c r="CK259" s="66"/>
      <c r="CL259" s="66"/>
      <c r="CM259" s="66"/>
      <c r="CN259" s="66"/>
      <c r="CR259" s="66"/>
      <c r="CS259" s="66"/>
      <c r="CT259" s="66"/>
      <c r="CU259" s="66"/>
      <c r="CV259" s="66"/>
      <c r="CW259" s="66"/>
    </row>
    <row r="260" spans="1:101" ht="12.75" hidden="1" customHeight="1" outlineLevel="1">
      <c r="A260" s="578"/>
      <c r="B260" s="41"/>
      <c r="V260" s="111"/>
      <c r="W260" s="110"/>
      <c r="X260" s="110"/>
      <c r="Y260" s="110"/>
      <c r="Z260" s="113"/>
      <c r="AA260" s="111"/>
      <c r="AB260" s="110"/>
      <c r="AC260" s="110"/>
      <c r="AD260" s="115"/>
      <c r="AE260" s="116"/>
      <c r="AF260" s="111"/>
      <c r="AG260" s="110"/>
      <c r="AH260" s="110"/>
      <c r="AI260" s="115"/>
      <c r="AJ260" s="116"/>
      <c r="AK260" s="111"/>
      <c r="AL260" s="115"/>
      <c r="AM260" s="115"/>
      <c r="AN260" s="115"/>
      <c r="AO260" s="116"/>
      <c r="AP260" s="111"/>
      <c r="AQ260" s="115"/>
      <c r="AR260" s="115"/>
      <c r="AS260" s="115"/>
      <c r="AT260" s="116"/>
      <c r="AU260" s="111"/>
      <c r="AV260" s="66"/>
      <c r="AW260" s="66"/>
      <c r="AX260" s="66"/>
      <c r="AY260" s="66"/>
      <c r="AZ260" s="66"/>
      <c r="BA260" s="66"/>
      <c r="BB260" s="66"/>
      <c r="BC260" s="66"/>
      <c r="BD260" s="66"/>
      <c r="BE260" s="66"/>
      <c r="BF260" s="66"/>
      <c r="BG260" s="66"/>
      <c r="BH260" s="66"/>
      <c r="BI260" s="66"/>
      <c r="BJ260" s="66"/>
      <c r="BK260" s="66"/>
      <c r="BL260" s="66"/>
      <c r="BM260" s="117"/>
      <c r="BN260" s="66"/>
      <c r="BO260" s="66"/>
      <c r="BP260" s="66"/>
      <c r="BQ260" s="66"/>
      <c r="BR260" s="66"/>
      <c r="BS260" s="66"/>
      <c r="BT260" s="66"/>
      <c r="BU260" s="117"/>
      <c r="BV260" s="66"/>
      <c r="BW260" s="117"/>
      <c r="BX260" s="117"/>
      <c r="BY260" s="117"/>
      <c r="BZ260" s="66"/>
      <c r="CA260" s="66"/>
      <c r="CB260" s="66"/>
      <c r="CC260" s="66"/>
      <c r="CD260" s="66"/>
      <c r="CE260" s="66"/>
      <c r="CF260" s="66"/>
      <c r="CG260" s="66"/>
      <c r="CH260" s="66"/>
      <c r="CI260" s="66"/>
      <c r="CJ260" s="66"/>
      <c r="CK260" s="66"/>
      <c r="CL260" s="66"/>
      <c r="CM260" s="66"/>
      <c r="CN260" s="66"/>
      <c r="CR260" s="66"/>
      <c r="CS260" s="66"/>
      <c r="CT260" s="66"/>
      <c r="CU260" s="66"/>
      <c r="CV260" s="66"/>
      <c r="CW260" s="66"/>
    </row>
    <row r="261" spans="1:101" ht="12.75" hidden="1" customHeight="1" outlineLevel="1">
      <c r="A261" s="578"/>
      <c r="B261" s="41"/>
      <c r="V261" s="99"/>
      <c r="W261" s="88"/>
      <c r="X261" s="88"/>
      <c r="Y261" s="88"/>
      <c r="Z261" s="88"/>
      <c r="AA261" s="99"/>
      <c r="AB261" s="88"/>
      <c r="AC261" s="88"/>
      <c r="AD261" s="93"/>
      <c r="AE261" s="93"/>
      <c r="AF261" s="99"/>
      <c r="AG261" s="88"/>
      <c r="AH261" s="88"/>
      <c r="AI261" s="93"/>
      <c r="AJ261" s="93"/>
      <c r="AK261" s="99"/>
      <c r="AL261" s="93"/>
      <c r="AM261" s="93"/>
      <c r="AN261" s="93"/>
      <c r="AO261" s="93"/>
      <c r="AP261" s="99"/>
      <c r="AQ261" s="93"/>
      <c r="AR261" s="93"/>
      <c r="AS261" s="93"/>
      <c r="AT261" s="93"/>
      <c r="AU261" s="99"/>
      <c r="AV261" s="66"/>
      <c r="AW261" s="66"/>
      <c r="AX261" s="66"/>
      <c r="AY261" s="66"/>
      <c r="AZ261" s="66"/>
      <c r="BA261" s="66"/>
      <c r="BB261" s="66"/>
      <c r="BC261" s="66"/>
      <c r="BD261" s="66"/>
      <c r="BE261" s="66"/>
      <c r="BF261" s="66"/>
      <c r="BG261" s="66"/>
      <c r="BH261" s="66"/>
      <c r="BI261" s="66"/>
      <c r="BJ261" s="66"/>
      <c r="BK261" s="66"/>
      <c r="BL261" s="66"/>
      <c r="BM261" s="117"/>
      <c r="BN261" s="66"/>
      <c r="BO261" s="66"/>
      <c r="BP261" s="66"/>
      <c r="BQ261" s="66"/>
      <c r="BR261" s="66"/>
      <c r="BS261" s="66"/>
      <c r="BT261" s="66"/>
      <c r="BU261" s="117"/>
      <c r="BV261" s="66"/>
      <c r="BW261" s="117"/>
      <c r="BX261" s="117"/>
      <c r="BY261" s="117"/>
      <c r="BZ261" s="66"/>
      <c r="CA261" s="66"/>
      <c r="CB261" s="66"/>
      <c r="CC261" s="66"/>
      <c r="CD261" s="66"/>
      <c r="CE261" s="66"/>
      <c r="CF261" s="66"/>
      <c r="CG261" s="66"/>
      <c r="CH261" s="66"/>
      <c r="CI261" s="66"/>
      <c r="CJ261" s="66"/>
      <c r="CK261" s="66"/>
      <c r="CL261" s="66"/>
      <c r="CM261" s="66"/>
      <c r="CN261" s="66"/>
      <c r="CR261" s="66"/>
      <c r="CS261" s="66"/>
      <c r="CT261" s="66"/>
      <c r="CU261" s="66"/>
      <c r="CV261" s="66"/>
      <c r="CW261" s="66"/>
    </row>
    <row r="262" spans="1:101" ht="12.75" hidden="1" customHeight="1" outlineLevel="1">
      <c r="A262" s="577"/>
      <c r="B262" s="41"/>
      <c r="V262" s="99"/>
      <c r="W262" s="88"/>
      <c r="X262" s="88"/>
      <c r="Y262" s="88"/>
      <c r="Z262" s="88"/>
      <c r="AA262" s="99"/>
      <c r="AB262" s="88"/>
      <c r="AC262" s="88"/>
      <c r="AD262" s="93"/>
      <c r="AE262" s="93"/>
      <c r="AF262" s="99"/>
      <c r="AG262" s="88"/>
      <c r="AH262" s="88"/>
      <c r="AI262" s="93"/>
      <c r="AJ262" s="93"/>
      <c r="AK262" s="99"/>
      <c r="AL262" s="93"/>
      <c r="AM262" s="93"/>
      <c r="AN262" s="93"/>
      <c r="AO262" s="93"/>
      <c r="AP262" s="99"/>
      <c r="AQ262" s="93"/>
      <c r="AR262" s="93"/>
      <c r="AS262" s="93"/>
      <c r="AT262" s="93"/>
      <c r="AU262" s="99"/>
      <c r="AV262" s="66"/>
      <c r="AW262" s="66"/>
      <c r="AX262" s="66"/>
      <c r="AY262" s="66"/>
      <c r="AZ262" s="66"/>
      <c r="BA262" s="66"/>
      <c r="BB262" s="66"/>
      <c r="BC262" s="66"/>
      <c r="BD262" s="66"/>
      <c r="BE262" s="66"/>
      <c r="BF262" s="66"/>
      <c r="BG262" s="66"/>
      <c r="BH262" s="66"/>
      <c r="BI262" s="66"/>
      <c r="BJ262" s="66"/>
      <c r="BK262" s="66"/>
      <c r="BL262" s="66"/>
      <c r="BM262" s="117"/>
      <c r="BN262" s="66"/>
      <c r="BO262" s="66"/>
      <c r="BP262" s="66"/>
      <c r="BQ262" s="66"/>
      <c r="BR262" s="66"/>
      <c r="BS262" s="66"/>
      <c r="BT262" s="66"/>
      <c r="BU262" s="117"/>
      <c r="BV262" s="66"/>
      <c r="BW262" s="117"/>
      <c r="BX262" s="117"/>
      <c r="BY262" s="117"/>
      <c r="BZ262" s="66"/>
      <c r="CA262" s="66"/>
      <c r="CB262" s="66"/>
      <c r="CC262" s="66"/>
      <c r="CD262" s="66"/>
      <c r="CE262" s="66"/>
      <c r="CF262" s="66"/>
      <c r="CG262" s="66"/>
      <c r="CH262" s="66"/>
      <c r="CI262" s="66"/>
      <c r="CJ262" s="66"/>
      <c r="CK262" s="66"/>
      <c r="CL262" s="66"/>
      <c r="CM262" s="66"/>
      <c r="CN262" s="66"/>
      <c r="CR262" s="66"/>
      <c r="CS262" s="66"/>
      <c r="CT262" s="66"/>
      <c r="CU262" s="66"/>
      <c r="CV262" s="66"/>
      <c r="CW262" s="66"/>
    </row>
    <row r="263" spans="1:101" ht="12.75" hidden="1" customHeight="1" outlineLevel="1">
      <c r="A263" s="577"/>
      <c r="B263" s="41"/>
      <c r="V263" s="99"/>
      <c r="W263" s="88"/>
      <c r="X263" s="88"/>
      <c r="Y263" s="88"/>
      <c r="Z263" s="88"/>
      <c r="AA263" s="99"/>
      <c r="AB263" s="88"/>
      <c r="AC263" s="88"/>
      <c r="AD263" s="93"/>
      <c r="AE263" s="93"/>
      <c r="AF263" s="99"/>
      <c r="AG263" s="88"/>
      <c r="AH263" s="88"/>
      <c r="AI263" s="93"/>
      <c r="AJ263" s="93"/>
      <c r="AK263" s="99"/>
      <c r="AL263" s="93"/>
      <c r="AM263" s="93"/>
      <c r="AN263" s="93"/>
      <c r="AO263" s="93"/>
      <c r="AP263" s="99"/>
      <c r="AQ263" s="93"/>
      <c r="AR263" s="93"/>
      <c r="AS263" s="93"/>
      <c r="AT263" s="93"/>
      <c r="AU263" s="99"/>
      <c r="AV263" s="66"/>
      <c r="AW263" s="66"/>
      <c r="AX263" s="66"/>
      <c r="AY263" s="66"/>
      <c r="AZ263" s="66"/>
      <c r="BA263" s="66"/>
      <c r="BB263" s="66"/>
      <c r="BC263" s="66"/>
      <c r="BD263" s="66"/>
      <c r="BE263" s="66"/>
      <c r="BF263" s="66"/>
      <c r="BG263" s="66"/>
      <c r="BH263" s="66"/>
      <c r="BI263" s="66"/>
      <c r="BJ263" s="66"/>
      <c r="BK263" s="66"/>
      <c r="BL263" s="66"/>
      <c r="BM263" s="117"/>
      <c r="BN263" s="66"/>
      <c r="BO263" s="66"/>
      <c r="BP263" s="66"/>
      <c r="BQ263" s="66"/>
      <c r="BR263" s="66"/>
      <c r="BS263" s="66"/>
      <c r="BT263" s="66"/>
      <c r="BU263" s="117"/>
      <c r="BV263" s="66"/>
      <c r="BW263" s="117"/>
      <c r="BX263" s="117"/>
      <c r="BY263" s="117"/>
      <c r="BZ263" s="66"/>
      <c r="CA263" s="66"/>
      <c r="CB263" s="66"/>
      <c r="CC263" s="66"/>
      <c r="CD263" s="66"/>
      <c r="CE263" s="66"/>
      <c r="CF263" s="66"/>
      <c r="CG263" s="66"/>
      <c r="CH263" s="66"/>
      <c r="CI263" s="66"/>
      <c r="CJ263" s="66"/>
      <c r="CK263" s="66"/>
      <c r="CL263" s="66"/>
      <c r="CM263" s="66"/>
      <c r="CN263" s="66"/>
      <c r="CR263" s="66"/>
      <c r="CS263" s="66"/>
      <c r="CT263" s="66"/>
      <c r="CU263" s="66"/>
      <c r="CV263" s="66"/>
      <c r="CW263" s="66"/>
    </row>
    <row r="264" spans="1:101" ht="12.75" hidden="1" customHeight="1" outlineLevel="1">
      <c r="A264" s="577"/>
      <c r="B264" s="41"/>
      <c r="V264" s="99"/>
      <c r="W264" s="88"/>
      <c r="X264" s="88"/>
      <c r="Y264" s="88"/>
      <c r="Z264" s="88"/>
      <c r="AA264" s="99"/>
      <c r="AB264" s="88"/>
      <c r="AC264" s="88"/>
      <c r="AD264" s="93"/>
      <c r="AE264" s="93"/>
      <c r="AF264" s="99"/>
      <c r="AG264" s="88"/>
      <c r="AH264" s="88"/>
      <c r="AI264" s="93"/>
      <c r="AJ264" s="93"/>
      <c r="AK264" s="99"/>
      <c r="AL264" s="93"/>
      <c r="AM264" s="93"/>
      <c r="AN264" s="93"/>
      <c r="AO264" s="93"/>
      <c r="AP264" s="99"/>
      <c r="AQ264" s="93"/>
      <c r="AR264" s="93"/>
      <c r="AS264" s="93"/>
      <c r="AT264" s="93"/>
      <c r="AU264" s="99"/>
      <c r="AV264" s="66"/>
      <c r="AW264" s="66"/>
      <c r="AX264" s="66"/>
      <c r="AY264" s="66"/>
      <c r="AZ264" s="66"/>
      <c r="BA264" s="66"/>
      <c r="BB264" s="66"/>
      <c r="BC264" s="66"/>
      <c r="BD264" s="66"/>
      <c r="BE264" s="66"/>
      <c r="BF264" s="66"/>
      <c r="BG264" s="66"/>
      <c r="BH264" s="66"/>
      <c r="BI264" s="66"/>
      <c r="BJ264" s="66"/>
      <c r="BK264" s="66"/>
      <c r="BL264" s="66"/>
      <c r="BM264" s="117"/>
      <c r="BN264" s="66"/>
      <c r="BO264" s="66"/>
      <c r="BP264" s="66"/>
      <c r="BQ264" s="66"/>
      <c r="BR264" s="66"/>
      <c r="BS264" s="66"/>
      <c r="BT264" s="66"/>
      <c r="BU264" s="117"/>
      <c r="BV264" s="66"/>
      <c r="BW264" s="117"/>
      <c r="BX264" s="117"/>
      <c r="BY264" s="117"/>
      <c r="BZ264" s="66"/>
      <c r="CA264" s="66"/>
      <c r="CB264" s="66"/>
      <c r="CC264" s="66"/>
      <c r="CD264" s="66"/>
      <c r="CE264" s="66"/>
      <c r="CF264" s="66"/>
      <c r="CG264" s="66"/>
      <c r="CH264" s="66"/>
      <c r="CI264" s="66"/>
      <c r="CJ264" s="66"/>
      <c r="CK264" s="66"/>
      <c r="CL264" s="66"/>
      <c r="CM264" s="66"/>
      <c r="CN264" s="66"/>
      <c r="CR264" s="66"/>
      <c r="CS264" s="66"/>
      <c r="CT264" s="66"/>
      <c r="CU264" s="66"/>
      <c r="CV264" s="66"/>
      <c r="CW264" s="66"/>
    </row>
    <row r="265" spans="1:101" ht="12.75" hidden="1" customHeight="1" outlineLevel="1">
      <c r="A265" s="577"/>
      <c r="B265" s="41"/>
      <c r="V265" s="99"/>
      <c r="W265" s="88"/>
      <c r="X265" s="88"/>
      <c r="Y265" s="88"/>
      <c r="Z265" s="88"/>
      <c r="AA265" s="99"/>
      <c r="AB265" s="88"/>
      <c r="AC265" s="88"/>
      <c r="AD265" s="93"/>
      <c r="AE265" s="93"/>
      <c r="AF265" s="99"/>
      <c r="AG265" s="88"/>
      <c r="AH265" s="88"/>
      <c r="AI265" s="93"/>
      <c r="AJ265" s="93"/>
      <c r="AK265" s="99"/>
      <c r="AL265" s="93"/>
      <c r="AM265" s="93"/>
      <c r="AN265" s="93"/>
      <c r="AO265" s="93"/>
      <c r="AP265" s="99"/>
      <c r="AQ265" s="93"/>
      <c r="AR265" s="93"/>
      <c r="AS265" s="93"/>
      <c r="AT265" s="93"/>
      <c r="AU265" s="99"/>
      <c r="AV265" s="66"/>
      <c r="AW265" s="66"/>
      <c r="AX265" s="66"/>
      <c r="AY265" s="66"/>
      <c r="AZ265" s="66"/>
      <c r="BA265" s="66"/>
      <c r="BB265" s="66"/>
      <c r="BC265" s="66"/>
      <c r="BD265" s="66"/>
      <c r="BE265" s="66"/>
      <c r="BF265" s="66"/>
      <c r="BG265" s="66"/>
      <c r="BH265" s="66"/>
      <c r="BI265" s="66"/>
      <c r="BJ265" s="66"/>
      <c r="BK265" s="66"/>
      <c r="BL265" s="66"/>
      <c r="BM265" s="117"/>
      <c r="BN265" s="66"/>
      <c r="BO265" s="66"/>
      <c r="BP265" s="66"/>
      <c r="BQ265" s="66"/>
      <c r="BR265" s="66"/>
      <c r="BS265" s="66"/>
      <c r="BT265" s="66"/>
      <c r="BU265" s="117"/>
      <c r="BV265" s="66"/>
      <c r="BW265" s="117"/>
      <c r="BX265" s="117"/>
      <c r="BY265" s="117"/>
      <c r="BZ265" s="66"/>
      <c r="CA265" s="66"/>
      <c r="CB265" s="66"/>
      <c r="CC265" s="66"/>
      <c r="CD265" s="66"/>
      <c r="CE265" s="66"/>
      <c r="CF265" s="66"/>
      <c r="CG265" s="66"/>
      <c r="CH265" s="66"/>
      <c r="CI265" s="66"/>
      <c r="CJ265" s="66"/>
      <c r="CK265" s="66"/>
      <c r="CL265" s="66"/>
      <c r="CM265" s="66"/>
      <c r="CN265" s="66"/>
      <c r="CR265" s="66"/>
      <c r="CS265" s="66"/>
      <c r="CT265" s="66"/>
      <c r="CU265" s="66"/>
      <c r="CV265" s="66"/>
      <c r="CW265" s="66"/>
    </row>
    <row r="266" spans="1:101" ht="12.75" hidden="1" customHeight="1" outlineLevel="1">
      <c r="A266" s="577"/>
      <c r="B266" s="41"/>
      <c r="V266" s="99"/>
      <c r="W266" s="88"/>
      <c r="X266" s="88"/>
      <c r="Y266" s="88"/>
      <c r="Z266" s="88"/>
      <c r="AA266" s="99"/>
      <c r="AB266" s="88"/>
      <c r="AC266" s="88"/>
      <c r="AD266" s="93"/>
      <c r="AE266" s="93"/>
      <c r="AF266" s="99"/>
      <c r="AG266" s="88"/>
      <c r="AH266" s="88"/>
      <c r="AI266" s="93"/>
      <c r="AJ266" s="93"/>
      <c r="AK266" s="99"/>
      <c r="AL266" s="93"/>
      <c r="AM266" s="93"/>
      <c r="AN266" s="93"/>
      <c r="AO266" s="93"/>
      <c r="AP266" s="99"/>
      <c r="AQ266" s="93"/>
      <c r="AR266" s="93"/>
      <c r="AS266" s="93"/>
      <c r="AT266" s="93"/>
      <c r="AU266" s="99"/>
      <c r="AV266" s="66"/>
      <c r="AW266" s="66"/>
      <c r="AX266" s="66"/>
      <c r="AY266" s="66"/>
      <c r="AZ266" s="66"/>
      <c r="BA266" s="66"/>
      <c r="BB266" s="66"/>
      <c r="BC266" s="66"/>
      <c r="BD266" s="66"/>
      <c r="BE266" s="66"/>
      <c r="BF266" s="66"/>
      <c r="BG266" s="66"/>
      <c r="BH266" s="66"/>
      <c r="BI266" s="66"/>
      <c r="BJ266" s="66"/>
      <c r="BK266" s="66"/>
      <c r="BL266" s="66"/>
      <c r="BM266" s="117"/>
      <c r="BN266" s="66"/>
      <c r="BO266" s="66"/>
      <c r="BP266" s="66"/>
      <c r="BQ266" s="66"/>
      <c r="BR266" s="66"/>
      <c r="BS266" s="66"/>
      <c r="BT266" s="66"/>
      <c r="BU266" s="117"/>
      <c r="BV266" s="66"/>
      <c r="BW266" s="117"/>
      <c r="BX266" s="117"/>
      <c r="BY266" s="117"/>
      <c r="BZ266" s="66"/>
      <c r="CA266" s="66"/>
      <c r="CB266" s="66"/>
      <c r="CC266" s="66"/>
      <c r="CD266" s="66"/>
      <c r="CE266" s="66"/>
      <c r="CF266" s="66"/>
      <c r="CG266" s="66"/>
      <c r="CH266" s="66"/>
      <c r="CI266" s="66"/>
      <c r="CJ266" s="66"/>
      <c r="CK266" s="66"/>
      <c r="CL266" s="66"/>
      <c r="CM266" s="66"/>
      <c r="CN266" s="66"/>
      <c r="CR266" s="66"/>
      <c r="CS266" s="66"/>
      <c r="CT266" s="66"/>
      <c r="CU266" s="66"/>
      <c r="CV266" s="66"/>
      <c r="CW266" s="66"/>
    </row>
    <row r="267" spans="1:101" ht="12.75" hidden="1" customHeight="1" outlineLevel="1">
      <c r="A267" s="595"/>
      <c r="B267" s="41"/>
      <c r="V267" s="99"/>
      <c r="W267" s="88"/>
      <c r="X267" s="88"/>
      <c r="Y267" s="88"/>
      <c r="Z267" s="88"/>
      <c r="AA267" s="99"/>
      <c r="AB267" s="88"/>
      <c r="AC267" s="88"/>
      <c r="AD267" s="93"/>
      <c r="AE267" s="93"/>
      <c r="AF267" s="99"/>
      <c r="AG267" s="88"/>
      <c r="AH267" s="88"/>
      <c r="AI267" s="93"/>
      <c r="AJ267" s="93"/>
      <c r="AK267" s="99"/>
      <c r="AL267" s="93"/>
      <c r="AM267" s="93"/>
      <c r="AN267" s="93"/>
      <c r="AO267" s="93"/>
      <c r="AP267" s="99"/>
      <c r="AQ267" s="93"/>
      <c r="AR267" s="93"/>
      <c r="AS267" s="93"/>
      <c r="AT267" s="93"/>
      <c r="AU267" s="99"/>
      <c r="AV267" s="66"/>
      <c r="AW267" s="66"/>
      <c r="AX267" s="66"/>
      <c r="AY267" s="66"/>
      <c r="AZ267" s="66"/>
      <c r="BA267" s="66"/>
      <c r="BB267" s="66"/>
      <c r="BC267" s="66"/>
      <c r="BD267" s="66"/>
      <c r="BE267" s="66"/>
      <c r="BF267" s="66"/>
      <c r="BG267" s="66"/>
      <c r="BH267" s="66"/>
      <c r="BI267" s="66"/>
      <c r="BJ267" s="66"/>
      <c r="BK267" s="66"/>
      <c r="BL267" s="66"/>
      <c r="BM267" s="117"/>
      <c r="BN267" s="66"/>
      <c r="BO267" s="66"/>
      <c r="BP267" s="66"/>
      <c r="BQ267" s="66"/>
      <c r="BR267" s="66"/>
      <c r="BS267" s="66"/>
      <c r="BT267" s="66"/>
      <c r="BU267" s="117"/>
      <c r="BV267" s="66"/>
      <c r="BW267" s="117"/>
      <c r="BX267" s="117"/>
      <c r="BY267" s="117"/>
      <c r="BZ267" s="66"/>
      <c r="CA267" s="66"/>
      <c r="CB267" s="66"/>
      <c r="CC267" s="66"/>
      <c r="CD267" s="66"/>
      <c r="CE267" s="66"/>
      <c r="CF267" s="66"/>
      <c r="CG267" s="66"/>
      <c r="CH267" s="66"/>
      <c r="CI267" s="66"/>
      <c r="CJ267" s="66"/>
      <c r="CK267" s="66"/>
      <c r="CL267" s="66"/>
      <c r="CM267" s="66"/>
      <c r="CN267" s="66"/>
      <c r="CR267" s="66"/>
      <c r="CS267" s="66"/>
      <c r="CT267" s="66"/>
      <c r="CU267" s="66"/>
      <c r="CV267" s="66"/>
      <c r="CW267" s="66"/>
    </row>
    <row r="268" spans="1:101" ht="12.75" hidden="1" customHeight="1" outlineLevel="1">
      <c r="A268" s="595"/>
      <c r="B268" s="41"/>
      <c r="V268" s="99"/>
      <c r="W268" s="88"/>
      <c r="X268" s="88"/>
      <c r="Y268" s="88"/>
      <c r="Z268" s="88"/>
      <c r="AA268" s="99"/>
      <c r="AB268" s="88"/>
      <c r="AC268" s="88"/>
      <c r="AD268" s="93"/>
      <c r="AE268" s="93"/>
      <c r="AF268" s="99"/>
      <c r="AG268" s="88"/>
      <c r="AH268" s="88"/>
      <c r="AI268" s="93"/>
      <c r="AJ268" s="93"/>
      <c r="AK268" s="99"/>
      <c r="AL268" s="93"/>
      <c r="AM268" s="93"/>
      <c r="AN268" s="93"/>
      <c r="AO268" s="93"/>
      <c r="AP268" s="99"/>
      <c r="AQ268" s="93"/>
      <c r="AR268" s="93"/>
      <c r="AS268" s="93"/>
      <c r="AT268" s="93"/>
      <c r="AU268" s="99"/>
      <c r="AV268" s="66"/>
      <c r="AW268" s="66"/>
      <c r="AX268" s="66"/>
      <c r="AY268" s="66"/>
      <c r="AZ268" s="66"/>
      <c r="BA268" s="66"/>
      <c r="BB268" s="66"/>
      <c r="BC268" s="66"/>
      <c r="BD268" s="66"/>
      <c r="BE268" s="66"/>
      <c r="BF268" s="66"/>
      <c r="BG268" s="66"/>
      <c r="BH268" s="66"/>
      <c r="BI268" s="66"/>
      <c r="BJ268" s="66"/>
      <c r="BK268" s="66"/>
      <c r="BL268" s="66"/>
      <c r="BM268" s="117"/>
      <c r="BN268" s="66"/>
      <c r="BO268" s="66"/>
      <c r="BP268" s="66"/>
      <c r="BQ268" s="66"/>
      <c r="BR268" s="66"/>
      <c r="BS268" s="66"/>
      <c r="BT268" s="66"/>
      <c r="BU268" s="117"/>
      <c r="BV268" s="66"/>
      <c r="BW268" s="117"/>
      <c r="BX268" s="117"/>
      <c r="BY268" s="117"/>
      <c r="BZ268" s="66"/>
      <c r="CA268" s="66"/>
      <c r="CB268" s="66"/>
      <c r="CC268" s="66"/>
      <c r="CD268" s="66"/>
      <c r="CE268" s="66"/>
      <c r="CF268" s="66"/>
      <c r="CG268" s="66"/>
      <c r="CH268" s="66"/>
      <c r="CI268" s="66"/>
      <c r="CJ268" s="66"/>
      <c r="CK268" s="66"/>
      <c r="CL268" s="66"/>
      <c r="CM268" s="66"/>
      <c r="CN268" s="66"/>
      <c r="CR268" s="66"/>
      <c r="CS268" s="66"/>
      <c r="CT268" s="66"/>
      <c r="CU268" s="66"/>
      <c r="CV268" s="66"/>
      <c r="CW268" s="66"/>
    </row>
    <row r="269" spans="1:101" ht="12.75" hidden="1" customHeight="1" outlineLevel="1">
      <c r="A269" s="595"/>
      <c r="B269" s="41"/>
      <c r="V269" s="99"/>
      <c r="W269" s="88"/>
      <c r="X269" s="88"/>
      <c r="Y269" s="88"/>
      <c r="Z269" s="88"/>
      <c r="AA269" s="99"/>
      <c r="AB269" s="88"/>
      <c r="AC269" s="88"/>
      <c r="AD269" s="93"/>
      <c r="AE269" s="93"/>
      <c r="AF269" s="99"/>
      <c r="AG269" s="88"/>
      <c r="AH269" s="88"/>
      <c r="AI269" s="93"/>
      <c r="AJ269" s="93"/>
      <c r="AK269" s="99"/>
      <c r="AL269" s="93"/>
      <c r="AM269" s="93"/>
      <c r="AN269" s="93"/>
      <c r="AO269" s="93"/>
      <c r="AP269" s="99"/>
      <c r="AQ269" s="93"/>
      <c r="AR269" s="93"/>
      <c r="AS269" s="93"/>
      <c r="AT269" s="93"/>
      <c r="AU269" s="99"/>
      <c r="AV269" s="66"/>
      <c r="AW269" s="66"/>
      <c r="AX269" s="66"/>
      <c r="AY269" s="66"/>
      <c r="AZ269" s="66"/>
      <c r="BA269" s="66"/>
      <c r="BB269" s="66"/>
      <c r="BC269" s="66"/>
      <c r="BD269" s="66"/>
      <c r="BE269" s="66"/>
      <c r="BF269" s="66"/>
      <c r="BG269" s="66"/>
      <c r="BH269" s="66"/>
      <c r="BI269" s="66"/>
      <c r="BJ269" s="66"/>
      <c r="BK269" s="66"/>
      <c r="BL269" s="66"/>
      <c r="BM269" s="117"/>
      <c r="BN269" s="66"/>
      <c r="BO269" s="66"/>
      <c r="BP269" s="66"/>
      <c r="BQ269" s="66"/>
      <c r="BR269" s="66"/>
      <c r="BS269" s="66"/>
      <c r="BT269" s="66"/>
      <c r="BU269" s="117"/>
      <c r="BV269" s="66"/>
      <c r="BW269" s="117"/>
      <c r="BX269" s="117"/>
      <c r="BY269" s="117"/>
      <c r="BZ269" s="66"/>
      <c r="CA269" s="66"/>
      <c r="CB269" s="66"/>
      <c r="CC269" s="66"/>
      <c r="CD269" s="66"/>
      <c r="CE269" s="66"/>
      <c r="CF269" s="66"/>
      <c r="CG269" s="66"/>
      <c r="CH269" s="66"/>
      <c r="CI269" s="66"/>
      <c r="CJ269" s="66"/>
      <c r="CK269" s="66"/>
      <c r="CL269" s="66"/>
      <c r="CM269" s="66"/>
      <c r="CN269" s="66"/>
      <c r="CR269" s="66"/>
      <c r="CS269" s="66"/>
      <c r="CT269" s="66"/>
      <c r="CU269" s="66"/>
      <c r="CV269" s="66"/>
      <c r="CW269" s="66"/>
    </row>
    <row r="270" spans="1:101" ht="12.75" hidden="1" customHeight="1" outlineLevel="1">
      <c r="A270" s="595"/>
      <c r="B270" s="41"/>
      <c r="V270" s="99"/>
      <c r="W270" s="88"/>
      <c r="X270" s="88"/>
      <c r="Y270" s="88"/>
      <c r="Z270" s="88"/>
      <c r="AA270" s="99"/>
      <c r="AB270" s="88"/>
      <c r="AC270" s="88"/>
      <c r="AD270" s="93"/>
      <c r="AE270" s="93"/>
      <c r="AF270" s="99"/>
      <c r="AG270" s="88"/>
      <c r="AH270" s="88"/>
      <c r="AI270" s="93"/>
      <c r="AJ270" s="93"/>
      <c r="AK270" s="99"/>
      <c r="AL270" s="93"/>
      <c r="AM270" s="93"/>
      <c r="AN270" s="93"/>
      <c r="AO270" s="93"/>
      <c r="AP270" s="99"/>
      <c r="AQ270" s="93"/>
      <c r="AR270" s="93"/>
      <c r="AS270" s="93"/>
      <c r="AT270" s="93"/>
      <c r="AU270" s="99"/>
      <c r="AV270" s="66"/>
      <c r="AW270" s="66"/>
      <c r="AX270" s="66"/>
      <c r="AY270" s="66"/>
      <c r="AZ270" s="66"/>
      <c r="BA270" s="66"/>
      <c r="BB270" s="66"/>
      <c r="BC270" s="66"/>
      <c r="BD270" s="66"/>
      <c r="BE270" s="66"/>
      <c r="BF270" s="66"/>
      <c r="BG270" s="66"/>
      <c r="BH270" s="66"/>
      <c r="BI270" s="66"/>
      <c r="BJ270" s="66"/>
      <c r="BK270" s="66"/>
      <c r="BL270" s="66"/>
      <c r="BM270" s="117"/>
      <c r="BN270" s="66"/>
      <c r="BO270" s="66"/>
      <c r="BP270" s="66"/>
      <c r="BQ270" s="66"/>
      <c r="BR270" s="66"/>
      <c r="BS270" s="66"/>
      <c r="BT270" s="66"/>
      <c r="BU270" s="117"/>
      <c r="BV270" s="66"/>
      <c r="BW270" s="117"/>
      <c r="BX270" s="117"/>
      <c r="BY270" s="117"/>
      <c r="BZ270" s="66"/>
      <c r="CA270" s="66"/>
      <c r="CB270" s="66"/>
      <c r="CC270" s="66"/>
      <c r="CD270" s="66"/>
      <c r="CE270" s="66"/>
      <c r="CF270" s="66"/>
      <c r="CG270" s="66"/>
      <c r="CH270" s="66"/>
      <c r="CI270" s="66"/>
      <c r="CJ270" s="66"/>
      <c r="CK270" s="66"/>
      <c r="CL270" s="66"/>
      <c r="CM270" s="66"/>
      <c r="CN270" s="66"/>
      <c r="CO270" s="80"/>
      <c r="CR270" s="66"/>
      <c r="CS270" s="66"/>
      <c r="CT270" s="66"/>
      <c r="CU270" s="66"/>
      <c r="CV270" s="66"/>
      <c r="CW270" s="66"/>
    </row>
    <row r="271" spans="1:101" ht="12.75" hidden="1" customHeight="1" outlineLevel="1">
      <c r="A271" s="595"/>
      <c r="B271" s="41"/>
      <c r="V271" s="803"/>
      <c r="W271" s="804"/>
      <c r="X271" s="804"/>
      <c r="Y271" s="804"/>
      <c r="Z271" s="804"/>
      <c r="AA271" s="803"/>
      <c r="AB271" s="804"/>
      <c r="AC271" s="804"/>
      <c r="AD271" s="805"/>
      <c r="AE271" s="805"/>
      <c r="AF271" s="803"/>
      <c r="AG271" s="804"/>
      <c r="AH271" s="804"/>
      <c r="AI271" s="805"/>
      <c r="AJ271" s="805"/>
      <c r="AK271" s="99"/>
      <c r="AL271" s="805"/>
      <c r="AM271" s="805"/>
      <c r="AN271" s="805"/>
      <c r="AO271" s="805"/>
      <c r="AP271" s="803"/>
      <c r="AQ271" s="805"/>
      <c r="AR271" s="805"/>
      <c r="AS271" s="805"/>
      <c r="AT271" s="805"/>
      <c r="AU271" s="803"/>
      <c r="AV271" s="66"/>
      <c r="AW271" s="66"/>
      <c r="AX271" s="66"/>
      <c r="AY271" s="66"/>
      <c r="AZ271" s="66"/>
      <c r="BA271" s="66"/>
      <c r="BB271" s="66"/>
      <c r="BC271" s="66"/>
      <c r="BD271" s="66"/>
      <c r="BE271" s="66"/>
      <c r="BF271" s="66"/>
      <c r="BG271" s="66"/>
      <c r="BH271" s="66"/>
      <c r="BI271" s="66"/>
      <c r="BJ271" s="66"/>
      <c r="BK271" s="66"/>
      <c r="BL271" s="66"/>
      <c r="BM271" s="117"/>
      <c r="BN271" s="66"/>
      <c r="BO271" s="66"/>
      <c r="BP271" s="66"/>
      <c r="BQ271" s="66"/>
      <c r="BR271" s="66"/>
      <c r="BS271" s="66"/>
      <c r="BT271" s="66"/>
      <c r="BU271" s="117"/>
      <c r="BV271" s="66"/>
      <c r="BW271" s="117"/>
      <c r="BX271" s="117"/>
      <c r="BY271" s="117"/>
      <c r="BZ271" s="66"/>
      <c r="CA271" s="66"/>
      <c r="CB271" s="66"/>
      <c r="CC271" s="66"/>
      <c r="CD271" s="66"/>
      <c r="CE271" s="66"/>
      <c r="CF271" s="66"/>
      <c r="CG271" s="66"/>
      <c r="CH271" s="66"/>
      <c r="CI271" s="66"/>
      <c r="CJ271" s="66"/>
      <c r="CK271" s="66"/>
      <c r="CL271" s="66"/>
      <c r="CM271" s="66"/>
      <c r="CN271" s="66"/>
      <c r="CO271" s="385"/>
      <c r="CR271" s="66"/>
      <c r="CS271" s="66"/>
      <c r="CT271" s="66"/>
      <c r="CU271" s="66"/>
      <c r="CV271" s="66"/>
      <c r="CW271" s="66"/>
    </row>
    <row r="272" spans="1:101" ht="15" hidden="1" customHeight="1" outlineLevel="1">
      <c r="A272" s="624"/>
      <c r="B272" s="41"/>
      <c r="V272" s="103"/>
      <c r="W272" s="101"/>
      <c r="X272" s="102"/>
      <c r="Y272" s="102"/>
      <c r="Z272" s="104"/>
      <c r="AA272" s="103"/>
      <c r="AB272" s="102"/>
      <c r="AC272" s="102"/>
      <c r="AD272" s="106"/>
      <c r="AE272" s="774"/>
      <c r="AF272" s="103"/>
      <c r="AG272" s="102"/>
      <c r="AH272" s="102"/>
      <c r="AI272" s="106"/>
      <c r="AJ272" s="774"/>
      <c r="AK272" s="99"/>
      <c r="AL272" s="106"/>
      <c r="AM272" s="106"/>
      <c r="AN272" s="106"/>
      <c r="AO272" s="774"/>
      <c r="AP272" s="103"/>
      <c r="AQ272" s="120"/>
      <c r="AR272" s="106"/>
      <c r="AS272" s="106"/>
      <c r="AT272" s="774"/>
      <c r="AU272" s="103"/>
      <c r="AV272" s="66"/>
      <c r="AW272" s="66"/>
      <c r="AX272" s="66"/>
      <c r="AY272" s="66"/>
      <c r="AZ272" s="66"/>
      <c r="BA272" s="66"/>
      <c r="BB272" s="66"/>
      <c r="BC272" s="66"/>
      <c r="BD272" s="66"/>
      <c r="BE272" s="66"/>
      <c r="BF272" s="66"/>
      <c r="BG272" s="66"/>
      <c r="BH272" s="66"/>
      <c r="BI272" s="66"/>
      <c r="BJ272" s="66"/>
      <c r="BK272" s="66"/>
      <c r="BL272" s="66"/>
      <c r="BM272" s="117"/>
      <c r="BN272" s="66"/>
      <c r="BO272" s="66"/>
      <c r="BP272" s="66"/>
      <c r="BQ272" s="66"/>
      <c r="BR272" s="66"/>
      <c r="BS272" s="66"/>
      <c r="BT272" s="66"/>
      <c r="BU272" s="117"/>
      <c r="BV272" s="66"/>
      <c r="BW272" s="117"/>
      <c r="BX272" s="117"/>
      <c r="BY272" s="117"/>
      <c r="BZ272" s="66"/>
      <c r="CA272" s="66"/>
      <c r="CB272" s="66"/>
      <c r="CC272" s="66"/>
      <c r="CD272" s="66"/>
      <c r="CE272" s="66"/>
      <c r="CF272" s="66"/>
      <c r="CG272" s="66"/>
      <c r="CH272" s="66"/>
      <c r="CI272" s="66"/>
      <c r="CJ272" s="66"/>
      <c r="CK272" s="66"/>
      <c r="CL272" s="66"/>
      <c r="CM272" s="66"/>
      <c r="CN272" s="66"/>
      <c r="CO272" s="385"/>
      <c r="CR272" s="66"/>
      <c r="CS272" s="66"/>
      <c r="CT272" s="66"/>
      <c r="CU272" s="66"/>
      <c r="CV272" s="66"/>
      <c r="CW272" s="66"/>
    </row>
    <row r="273" spans="1:101" ht="12.75" hidden="1" customHeight="1" outlineLevel="1">
      <c r="A273" s="577"/>
      <c r="B273" s="41"/>
      <c r="V273" s="99"/>
      <c r="W273" s="88"/>
      <c r="X273" s="88"/>
      <c r="Y273" s="88"/>
      <c r="Z273" s="88"/>
      <c r="AA273" s="99"/>
      <c r="AB273" s="88"/>
      <c r="AC273" s="88"/>
      <c r="AD273" s="93"/>
      <c r="AE273" s="93"/>
      <c r="AF273" s="99"/>
      <c r="AG273" s="88"/>
      <c r="AH273" s="88"/>
      <c r="AI273" s="93"/>
      <c r="AJ273" s="93"/>
      <c r="AK273" s="99"/>
      <c r="AL273" s="93"/>
      <c r="AM273" s="93"/>
      <c r="AN273" s="93"/>
      <c r="AO273" s="93"/>
      <c r="AP273" s="99"/>
      <c r="AQ273" s="93"/>
      <c r="AR273" s="93"/>
      <c r="AS273" s="93"/>
      <c r="AT273" s="93"/>
      <c r="AU273" s="99"/>
      <c r="AV273" s="66"/>
      <c r="AW273" s="66"/>
      <c r="AX273" s="66"/>
      <c r="AY273" s="66"/>
      <c r="AZ273" s="66"/>
      <c r="BA273" s="66"/>
      <c r="BB273" s="66"/>
      <c r="BC273" s="66"/>
      <c r="BD273" s="66"/>
      <c r="BE273" s="66"/>
      <c r="BF273" s="66"/>
      <c r="BG273" s="66"/>
      <c r="BH273" s="66"/>
      <c r="BI273" s="66"/>
      <c r="BJ273" s="66"/>
      <c r="BK273" s="66"/>
      <c r="BL273" s="66"/>
      <c r="BM273" s="117"/>
      <c r="BN273" s="66"/>
      <c r="BO273" s="66"/>
      <c r="BP273" s="66"/>
      <c r="BQ273" s="66"/>
      <c r="BR273" s="66"/>
      <c r="BS273" s="66"/>
      <c r="BT273" s="66"/>
      <c r="BU273" s="117"/>
      <c r="BV273" s="66"/>
      <c r="BW273" s="117"/>
      <c r="BX273" s="117"/>
      <c r="BY273" s="117"/>
      <c r="BZ273" s="66"/>
      <c r="CA273" s="66"/>
      <c r="CB273" s="66"/>
      <c r="CC273" s="66"/>
      <c r="CD273" s="66"/>
      <c r="CE273" s="66"/>
      <c r="CF273" s="66"/>
      <c r="CG273" s="66"/>
      <c r="CH273" s="66"/>
      <c r="CI273" s="66"/>
      <c r="CJ273" s="66"/>
      <c r="CK273" s="66"/>
      <c r="CL273" s="66"/>
      <c r="CM273" s="66"/>
      <c r="CN273" s="66"/>
      <c r="CO273" s="385"/>
      <c r="CR273" s="66"/>
      <c r="CS273" s="66"/>
      <c r="CT273" s="66"/>
      <c r="CU273" s="66"/>
      <c r="CV273" s="66"/>
      <c r="CW273" s="66"/>
    </row>
    <row r="274" spans="1:101" ht="12.75" hidden="1" customHeight="1" outlineLevel="1">
      <c r="A274" s="594"/>
      <c r="B274" s="41"/>
      <c r="V274" s="470"/>
      <c r="W274" s="469"/>
      <c r="X274" s="469"/>
      <c r="Y274" s="469"/>
      <c r="Z274" s="469"/>
      <c r="AA274" s="470"/>
      <c r="AB274" s="469"/>
      <c r="AC274" s="469"/>
      <c r="AD274" s="475"/>
      <c r="AE274" s="475"/>
      <c r="AF274" s="470"/>
      <c r="AG274" s="469"/>
      <c r="AH274" s="469"/>
      <c r="AI274" s="475"/>
      <c r="AJ274" s="475"/>
      <c r="AK274" s="470"/>
      <c r="AL274" s="475"/>
      <c r="AM274" s="475"/>
      <c r="AN274" s="475"/>
      <c r="AO274" s="475"/>
      <c r="AP274" s="470"/>
      <c r="AQ274" s="475"/>
      <c r="AR274" s="475"/>
      <c r="AS274" s="475"/>
      <c r="AT274" s="475"/>
      <c r="AU274" s="470"/>
      <c r="AV274" s="66"/>
      <c r="AW274" s="66"/>
      <c r="AX274" s="66"/>
      <c r="AY274" s="66"/>
      <c r="AZ274" s="66"/>
      <c r="BA274" s="66"/>
      <c r="BB274" s="66"/>
      <c r="BC274" s="66"/>
      <c r="BD274" s="66"/>
      <c r="BE274" s="66"/>
      <c r="BF274" s="66"/>
      <c r="BG274" s="66"/>
      <c r="BH274" s="66"/>
      <c r="BI274" s="66"/>
      <c r="BJ274" s="66"/>
      <c r="BK274" s="66"/>
      <c r="BL274" s="66"/>
      <c r="BM274" s="117"/>
      <c r="BN274" s="66"/>
      <c r="BO274" s="66"/>
      <c r="BP274" s="66"/>
      <c r="BQ274" s="66"/>
      <c r="BR274" s="66"/>
      <c r="BS274" s="66"/>
      <c r="BT274" s="66"/>
      <c r="BU274" s="117"/>
      <c r="BV274" s="66"/>
      <c r="BW274" s="117"/>
      <c r="BX274" s="117"/>
      <c r="BY274" s="117"/>
      <c r="BZ274" s="66"/>
      <c r="CA274" s="66"/>
      <c r="CB274" s="66"/>
      <c r="CC274" s="66"/>
      <c r="CD274" s="66"/>
      <c r="CE274" s="66"/>
      <c r="CF274" s="66"/>
      <c r="CG274" s="66"/>
      <c r="CH274" s="66"/>
      <c r="CI274" s="66"/>
      <c r="CJ274" s="66"/>
      <c r="CK274" s="66"/>
      <c r="CL274" s="66"/>
      <c r="CM274" s="66"/>
      <c r="CN274" s="66"/>
      <c r="CO274" s="385"/>
      <c r="CR274" s="66"/>
      <c r="CS274" s="66"/>
      <c r="CT274" s="66"/>
      <c r="CU274" s="66"/>
      <c r="CV274" s="66"/>
      <c r="CW274" s="66"/>
    </row>
    <row r="275" spans="1:101" ht="12.75" hidden="1" customHeight="1" outlineLevel="1">
      <c r="A275" s="577"/>
      <c r="B275" s="41"/>
      <c r="V275" s="407"/>
      <c r="W275" s="409"/>
      <c r="X275" s="409"/>
      <c r="Y275" s="409"/>
      <c r="Z275" s="409"/>
      <c r="AA275" s="407"/>
      <c r="AB275" s="409"/>
      <c r="AC275" s="409"/>
      <c r="AD275" s="806"/>
      <c r="AE275" s="806"/>
      <c r="AF275" s="407"/>
      <c r="AG275" s="409"/>
      <c r="AH275" s="409"/>
      <c r="AI275" s="806"/>
      <c r="AJ275" s="806"/>
      <c r="AK275" s="407"/>
      <c r="AL275" s="806"/>
      <c r="AM275" s="806"/>
      <c r="AN275" s="806"/>
      <c r="AO275" s="806"/>
      <c r="AP275" s="407"/>
      <c r="AQ275" s="806"/>
      <c r="AR275" s="806"/>
      <c r="AS275" s="806"/>
      <c r="AT275" s="806"/>
      <c r="AU275" s="407"/>
      <c r="AV275" s="66"/>
      <c r="AW275" s="66"/>
      <c r="AX275" s="66"/>
      <c r="AY275" s="66"/>
      <c r="AZ275" s="66"/>
      <c r="BA275" s="66"/>
      <c r="BB275" s="66"/>
      <c r="BC275" s="66"/>
      <c r="BD275" s="66"/>
      <c r="BE275" s="66"/>
      <c r="BF275" s="66"/>
      <c r="BG275" s="66"/>
      <c r="BH275" s="66"/>
      <c r="BI275" s="66"/>
      <c r="BJ275" s="66"/>
      <c r="BK275" s="66"/>
      <c r="BL275" s="66"/>
      <c r="BM275" s="117"/>
      <c r="BN275" s="66"/>
      <c r="BO275" s="66"/>
      <c r="BP275" s="66"/>
      <c r="BQ275" s="66"/>
      <c r="BR275" s="66"/>
      <c r="BS275" s="66"/>
      <c r="BT275" s="66"/>
      <c r="BU275" s="117"/>
      <c r="BV275" s="66"/>
      <c r="BW275" s="117"/>
      <c r="BX275" s="117"/>
      <c r="BY275" s="117"/>
      <c r="BZ275" s="66"/>
      <c r="CA275" s="66"/>
      <c r="CB275" s="66"/>
      <c r="CC275" s="66"/>
      <c r="CD275" s="66"/>
      <c r="CE275" s="66"/>
      <c r="CF275" s="66"/>
      <c r="CG275" s="66"/>
      <c r="CH275" s="66"/>
      <c r="CI275" s="66"/>
      <c r="CJ275" s="66"/>
      <c r="CK275" s="66"/>
      <c r="CL275" s="66"/>
      <c r="CM275" s="66"/>
      <c r="CN275" s="66"/>
      <c r="CO275" s="385"/>
      <c r="CR275" s="66"/>
      <c r="CS275" s="66"/>
      <c r="CT275" s="66"/>
      <c r="CU275" s="66"/>
      <c r="CV275" s="66"/>
      <c r="CW275" s="66"/>
    </row>
    <row r="276" spans="1:101" ht="12.75" hidden="1" customHeight="1" outlineLevel="1">
      <c r="A276" s="594"/>
      <c r="B276" s="41"/>
      <c r="V276" s="470"/>
      <c r="W276" s="469"/>
      <c r="X276" s="469"/>
      <c r="Y276" s="469"/>
      <c r="Z276" s="469"/>
      <c r="AA276" s="470"/>
      <c r="AB276" s="469"/>
      <c r="AC276" s="469"/>
      <c r="AD276" s="475"/>
      <c r="AE276" s="475"/>
      <c r="AF276" s="470"/>
      <c r="AG276" s="469"/>
      <c r="AH276" s="469"/>
      <c r="AI276" s="475"/>
      <c r="AJ276" s="475"/>
      <c r="AK276" s="470"/>
      <c r="AL276" s="475"/>
      <c r="AM276" s="475"/>
      <c r="AN276" s="475"/>
      <c r="AO276" s="475"/>
      <c r="AP276" s="470"/>
      <c r="AQ276" s="475"/>
      <c r="AR276" s="475"/>
      <c r="AS276" s="475"/>
      <c r="AT276" s="475"/>
      <c r="AU276" s="470"/>
      <c r="AV276" s="66"/>
      <c r="AW276" s="66"/>
      <c r="AX276" s="66"/>
      <c r="AY276" s="66"/>
      <c r="AZ276" s="66"/>
      <c r="BA276" s="66"/>
      <c r="BB276" s="66"/>
      <c r="BC276" s="66"/>
      <c r="BD276" s="66"/>
      <c r="BE276" s="66"/>
      <c r="BF276" s="66"/>
      <c r="BG276" s="66"/>
      <c r="BH276" s="66"/>
      <c r="BI276" s="66"/>
      <c r="BJ276" s="66"/>
      <c r="BK276" s="66"/>
      <c r="BL276" s="66"/>
      <c r="BM276" s="117"/>
      <c r="BN276" s="66"/>
      <c r="BO276" s="66"/>
      <c r="BP276" s="66"/>
      <c r="BQ276" s="66"/>
      <c r="BR276" s="66"/>
      <c r="BS276" s="66"/>
      <c r="BT276" s="66"/>
      <c r="BU276" s="117"/>
      <c r="BV276" s="66"/>
      <c r="BW276" s="117"/>
      <c r="BX276" s="117"/>
      <c r="BY276" s="117"/>
      <c r="BZ276" s="66"/>
      <c r="CA276" s="66"/>
      <c r="CB276" s="66"/>
      <c r="CC276" s="66"/>
      <c r="CD276" s="66"/>
      <c r="CE276" s="66"/>
      <c r="CF276" s="66"/>
      <c r="CG276" s="66"/>
      <c r="CH276" s="66"/>
      <c r="CI276" s="66"/>
      <c r="CJ276" s="66"/>
      <c r="CK276" s="66"/>
      <c r="CL276" s="66"/>
      <c r="CM276" s="66"/>
      <c r="CN276" s="66"/>
      <c r="CO276" s="385"/>
      <c r="CR276" s="66"/>
      <c r="CS276" s="66"/>
      <c r="CT276" s="66"/>
      <c r="CU276" s="66"/>
      <c r="CV276" s="66"/>
      <c r="CW276" s="66"/>
    </row>
    <row r="277" spans="1:101" ht="12.75" hidden="1" customHeight="1" outlineLevel="1">
      <c r="A277" s="595"/>
      <c r="B277" s="41"/>
      <c r="V277" s="99"/>
      <c r="W277" s="88"/>
      <c r="X277" s="88"/>
      <c r="Y277" s="88"/>
      <c r="Z277" s="88"/>
      <c r="AA277" s="99"/>
      <c r="AB277" s="88"/>
      <c r="AC277" s="88"/>
      <c r="AD277" s="93"/>
      <c r="AE277" s="93"/>
      <c r="AF277" s="99"/>
      <c r="AG277" s="88"/>
      <c r="AH277" s="88"/>
      <c r="AI277" s="93"/>
      <c r="AJ277" s="93"/>
      <c r="AK277" s="99"/>
      <c r="AL277" s="93"/>
      <c r="AM277" s="93"/>
      <c r="AN277" s="93"/>
      <c r="AO277" s="93"/>
      <c r="AP277" s="99"/>
      <c r="AQ277" s="93"/>
      <c r="AR277" s="93"/>
      <c r="AS277" s="93"/>
      <c r="AT277" s="93"/>
      <c r="AU277" s="99"/>
      <c r="AV277" s="66"/>
      <c r="AW277" s="66"/>
      <c r="AX277" s="66"/>
      <c r="AY277" s="66"/>
      <c r="AZ277" s="66"/>
      <c r="BA277" s="66"/>
      <c r="BB277" s="66"/>
      <c r="BC277" s="66"/>
      <c r="BD277" s="66"/>
      <c r="BE277" s="66"/>
      <c r="BF277" s="66"/>
      <c r="BG277" s="66"/>
      <c r="BH277" s="66"/>
      <c r="BI277" s="66"/>
      <c r="BJ277" s="66"/>
      <c r="BK277" s="66"/>
      <c r="BL277" s="66"/>
      <c r="BM277" s="117"/>
      <c r="BN277" s="66"/>
      <c r="BO277" s="66"/>
      <c r="BP277" s="66"/>
      <c r="BQ277" s="66"/>
      <c r="BR277" s="66"/>
      <c r="BS277" s="66"/>
      <c r="BT277" s="66"/>
      <c r="BU277" s="117"/>
      <c r="BV277" s="66"/>
      <c r="BW277" s="117"/>
      <c r="BX277" s="117"/>
      <c r="BY277" s="117"/>
      <c r="BZ277" s="66"/>
      <c r="CA277" s="66"/>
      <c r="CB277" s="66"/>
      <c r="CC277" s="66"/>
      <c r="CD277" s="66"/>
      <c r="CE277" s="66"/>
      <c r="CF277" s="66"/>
      <c r="CG277" s="66"/>
      <c r="CH277" s="66"/>
      <c r="CI277" s="66"/>
      <c r="CJ277" s="66"/>
      <c r="CK277" s="66"/>
      <c r="CL277" s="66"/>
      <c r="CM277" s="66"/>
      <c r="CN277" s="66"/>
      <c r="CO277" s="80"/>
      <c r="CR277" s="66"/>
      <c r="CS277" s="66"/>
      <c r="CT277" s="66"/>
      <c r="CU277" s="66"/>
      <c r="CV277" s="66"/>
      <c r="CW277" s="66"/>
    </row>
    <row r="278" spans="1:101" ht="12.75" hidden="1" customHeight="1" outlineLevel="1">
      <c r="A278" s="595"/>
      <c r="B278" s="41"/>
      <c r="V278" s="99"/>
      <c r="W278" s="88"/>
      <c r="X278" s="88"/>
      <c r="Y278" s="88"/>
      <c r="Z278" s="88"/>
      <c r="AA278" s="99"/>
      <c r="AB278" s="88"/>
      <c r="AC278" s="88"/>
      <c r="AD278" s="93"/>
      <c r="AE278" s="93"/>
      <c r="AF278" s="99"/>
      <c r="AG278" s="88"/>
      <c r="AH278" s="88"/>
      <c r="AI278" s="93"/>
      <c r="AJ278" s="93"/>
      <c r="AK278" s="99"/>
      <c r="AL278" s="93"/>
      <c r="AM278" s="93"/>
      <c r="AN278" s="93"/>
      <c r="AO278" s="93"/>
      <c r="AP278" s="99"/>
      <c r="AQ278" s="93"/>
      <c r="AR278" s="93"/>
      <c r="AS278" s="93"/>
      <c r="AT278" s="93"/>
      <c r="AU278" s="99"/>
      <c r="AV278" s="66"/>
      <c r="AW278" s="66"/>
      <c r="AX278" s="66"/>
      <c r="AY278" s="66"/>
      <c r="AZ278" s="66"/>
      <c r="BA278" s="66"/>
      <c r="BB278" s="66"/>
      <c r="BC278" s="66"/>
      <c r="BD278" s="66"/>
      <c r="BE278" s="66"/>
      <c r="BF278" s="66"/>
      <c r="BG278" s="66"/>
      <c r="BH278" s="66"/>
      <c r="BI278" s="66"/>
      <c r="BJ278" s="66"/>
      <c r="BK278" s="66"/>
      <c r="BL278" s="66"/>
      <c r="BM278" s="117"/>
      <c r="BN278" s="66"/>
      <c r="BO278" s="66"/>
      <c r="BP278" s="66"/>
      <c r="BQ278" s="66"/>
      <c r="BR278" s="66"/>
      <c r="BS278" s="66"/>
      <c r="BT278" s="66"/>
      <c r="BU278" s="117"/>
      <c r="BV278" s="66"/>
      <c r="BW278" s="117"/>
      <c r="BX278" s="117"/>
      <c r="BY278" s="117"/>
      <c r="BZ278" s="66"/>
      <c r="CA278" s="66"/>
      <c r="CB278" s="66"/>
      <c r="CC278" s="66"/>
      <c r="CD278" s="66"/>
      <c r="CE278" s="66"/>
      <c r="CF278" s="66"/>
      <c r="CG278" s="66"/>
      <c r="CH278" s="66"/>
      <c r="CI278" s="66"/>
      <c r="CJ278" s="66"/>
      <c r="CK278" s="66"/>
      <c r="CL278" s="66"/>
      <c r="CM278" s="66"/>
      <c r="CN278" s="66"/>
      <c r="CR278" s="66"/>
      <c r="CS278" s="66"/>
      <c r="CT278" s="66"/>
      <c r="CU278" s="66"/>
      <c r="CV278" s="66"/>
      <c r="CW278" s="66"/>
    </row>
    <row r="279" spans="1:101" ht="12.75" hidden="1" customHeight="1" outlineLevel="1">
      <c r="A279" s="595"/>
      <c r="B279" s="41"/>
      <c r="V279" s="99"/>
      <c r="W279" s="88"/>
      <c r="X279" s="88"/>
      <c r="Y279" s="88"/>
      <c r="Z279" s="88"/>
      <c r="AA279" s="99"/>
      <c r="AB279" s="88"/>
      <c r="AC279" s="88"/>
      <c r="AD279" s="93"/>
      <c r="AE279" s="93"/>
      <c r="AF279" s="99"/>
      <c r="AG279" s="88"/>
      <c r="AH279" s="88"/>
      <c r="AI279" s="93"/>
      <c r="AJ279" s="93"/>
      <c r="AK279" s="99"/>
      <c r="AL279" s="93"/>
      <c r="AM279" s="93"/>
      <c r="AN279" s="93"/>
      <c r="AO279" s="93"/>
      <c r="AP279" s="99"/>
      <c r="AQ279" s="93"/>
      <c r="AR279" s="93"/>
      <c r="AS279" s="93"/>
      <c r="AT279" s="93"/>
      <c r="AU279" s="99"/>
      <c r="AV279" s="66"/>
      <c r="AW279" s="66"/>
      <c r="AX279" s="66"/>
      <c r="AY279" s="66"/>
      <c r="AZ279" s="66"/>
      <c r="BA279" s="66"/>
      <c r="BB279" s="66"/>
      <c r="BC279" s="66"/>
      <c r="BD279" s="66"/>
      <c r="BE279" s="66"/>
      <c r="BF279" s="66"/>
      <c r="BG279" s="66"/>
      <c r="BH279" s="66"/>
      <c r="BI279" s="66"/>
      <c r="BJ279" s="66"/>
      <c r="BK279" s="66"/>
      <c r="BL279" s="66"/>
      <c r="BM279" s="117"/>
      <c r="BN279" s="66"/>
      <c r="BO279" s="66"/>
      <c r="BP279" s="66"/>
      <c r="BQ279" s="66"/>
      <c r="BR279" s="66"/>
      <c r="BS279" s="66"/>
      <c r="BT279" s="66"/>
      <c r="BU279" s="117"/>
      <c r="BV279" s="66"/>
      <c r="BW279" s="117"/>
      <c r="BX279" s="117"/>
      <c r="BY279" s="117"/>
      <c r="BZ279" s="66"/>
      <c r="CA279" s="66"/>
      <c r="CB279" s="66"/>
      <c r="CC279" s="66"/>
      <c r="CD279" s="66"/>
      <c r="CE279" s="66"/>
      <c r="CF279" s="66"/>
      <c r="CG279" s="66"/>
      <c r="CH279" s="66"/>
      <c r="CI279" s="66"/>
      <c r="CJ279" s="66"/>
      <c r="CK279" s="66"/>
      <c r="CL279" s="66"/>
      <c r="CM279" s="66"/>
      <c r="CN279" s="66"/>
      <c r="CR279" s="66"/>
      <c r="CS279" s="66"/>
      <c r="CT279" s="66"/>
      <c r="CU279" s="66"/>
      <c r="CV279" s="66"/>
      <c r="CW279" s="66"/>
    </row>
    <row r="280" spans="1:101" ht="12.75" hidden="1" customHeight="1" outlineLevel="1">
      <c r="A280" s="595"/>
      <c r="B280" s="41"/>
      <c r="V280" s="99"/>
      <c r="W280" s="88"/>
      <c r="X280" s="88"/>
      <c r="Y280" s="88"/>
      <c r="Z280" s="88"/>
      <c r="AA280" s="99"/>
      <c r="AB280" s="88"/>
      <c r="AC280" s="88"/>
      <c r="AD280" s="93"/>
      <c r="AE280" s="93"/>
      <c r="AF280" s="99"/>
      <c r="AG280" s="88"/>
      <c r="AH280" s="88"/>
      <c r="AI280" s="93"/>
      <c r="AJ280" s="93"/>
      <c r="AK280" s="99"/>
      <c r="AL280" s="93"/>
      <c r="AM280" s="93"/>
      <c r="AN280" s="93"/>
      <c r="AO280" s="93"/>
      <c r="AP280" s="99"/>
      <c r="AQ280" s="93"/>
      <c r="AR280" s="93"/>
      <c r="AS280" s="93"/>
      <c r="AT280" s="93"/>
      <c r="AU280" s="99"/>
      <c r="AV280" s="66"/>
      <c r="AW280" s="66"/>
      <c r="AX280" s="66"/>
      <c r="AY280" s="66"/>
      <c r="AZ280" s="66"/>
      <c r="BA280" s="66"/>
      <c r="BB280" s="66"/>
      <c r="BC280" s="66"/>
      <c r="BD280" s="66"/>
      <c r="BE280" s="66"/>
      <c r="BF280" s="66"/>
      <c r="BG280" s="66"/>
      <c r="BH280" s="66"/>
      <c r="BI280" s="66"/>
      <c r="BJ280" s="66"/>
      <c r="BK280" s="66"/>
      <c r="BL280" s="66"/>
      <c r="BM280" s="117"/>
      <c r="BN280" s="66"/>
      <c r="BO280" s="66"/>
      <c r="BP280" s="66"/>
      <c r="BQ280" s="66"/>
      <c r="BR280" s="66"/>
      <c r="BS280" s="66"/>
      <c r="BT280" s="66"/>
      <c r="BU280" s="117"/>
      <c r="BV280" s="66"/>
      <c r="BW280" s="117"/>
      <c r="BX280" s="117"/>
      <c r="BY280" s="117"/>
      <c r="BZ280" s="66"/>
      <c r="CA280" s="66"/>
      <c r="CB280" s="66"/>
      <c r="CC280" s="66"/>
      <c r="CD280" s="66"/>
      <c r="CE280" s="66"/>
      <c r="CF280" s="66"/>
      <c r="CG280" s="66"/>
      <c r="CH280" s="66"/>
      <c r="CI280" s="66"/>
      <c r="CJ280" s="66"/>
      <c r="CK280" s="66"/>
      <c r="CL280" s="66"/>
      <c r="CM280" s="66"/>
      <c r="CN280" s="66"/>
      <c r="CR280" s="66"/>
      <c r="CS280" s="66"/>
      <c r="CT280" s="66"/>
      <c r="CU280" s="66"/>
      <c r="CV280" s="66"/>
      <c r="CW280" s="66"/>
    </row>
    <row r="281" spans="1:101" ht="12.75" hidden="1" customHeight="1" outlineLevel="1">
      <c r="A281" s="577"/>
      <c r="B281" s="41"/>
      <c r="V281" s="99"/>
      <c r="W281" s="88"/>
      <c r="X281" s="88"/>
      <c r="Y281" s="88"/>
      <c r="Z281" s="88"/>
      <c r="AA281" s="99"/>
      <c r="AB281" s="88"/>
      <c r="AC281" s="88"/>
      <c r="AD281" s="93"/>
      <c r="AE281" s="93"/>
      <c r="AF281" s="99"/>
      <c r="AG281" s="88"/>
      <c r="AH281" s="88"/>
      <c r="AI281" s="93"/>
      <c r="AJ281" s="93"/>
      <c r="AK281" s="99"/>
      <c r="AL281" s="93"/>
      <c r="AM281" s="93"/>
      <c r="AN281" s="93"/>
      <c r="AO281" s="93"/>
      <c r="AP281" s="99"/>
      <c r="AQ281" s="93"/>
      <c r="AR281" s="93"/>
      <c r="AS281" s="93"/>
      <c r="AT281" s="93"/>
      <c r="AU281" s="99"/>
      <c r="AV281" s="66"/>
      <c r="AW281" s="66"/>
      <c r="AX281" s="66"/>
      <c r="AY281" s="66"/>
      <c r="AZ281" s="66"/>
      <c r="BA281" s="66"/>
      <c r="BB281" s="66"/>
      <c r="BC281" s="66"/>
      <c r="BD281" s="66"/>
      <c r="BE281" s="66"/>
      <c r="BF281" s="66"/>
      <c r="BG281" s="66"/>
      <c r="BH281" s="66"/>
      <c r="BI281" s="66"/>
      <c r="BJ281" s="66"/>
      <c r="BK281" s="66"/>
      <c r="BL281" s="66"/>
      <c r="BM281" s="117"/>
      <c r="BN281" s="66"/>
      <c r="BO281" s="66"/>
      <c r="BP281" s="66"/>
      <c r="BQ281" s="66"/>
      <c r="BR281" s="66"/>
      <c r="BS281" s="66"/>
      <c r="BT281" s="66"/>
      <c r="BU281" s="117"/>
      <c r="BV281" s="66"/>
      <c r="BW281" s="117"/>
      <c r="BX281" s="117"/>
      <c r="BY281" s="117"/>
      <c r="BZ281" s="66"/>
      <c r="CA281" s="66"/>
      <c r="CB281" s="66"/>
      <c r="CC281" s="66"/>
      <c r="CD281" s="66"/>
      <c r="CE281" s="66"/>
      <c r="CF281" s="66"/>
      <c r="CG281" s="66"/>
      <c r="CH281" s="66"/>
      <c r="CI281" s="66"/>
      <c r="CJ281" s="66"/>
      <c r="CK281" s="66"/>
      <c r="CL281" s="66"/>
      <c r="CM281" s="66"/>
      <c r="CN281" s="66"/>
      <c r="CR281" s="66"/>
      <c r="CS281" s="66"/>
      <c r="CT281" s="66"/>
      <c r="CU281" s="66"/>
      <c r="CV281" s="66"/>
      <c r="CW281" s="66"/>
    </row>
    <row r="282" spans="1:101" ht="12.75" hidden="1" customHeight="1" outlineLevel="1">
      <c r="A282" s="577"/>
      <c r="B282" s="41"/>
      <c r="V282" s="99"/>
      <c r="W282" s="87"/>
      <c r="X282" s="88"/>
      <c r="Y282" s="88"/>
      <c r="Z282" s="88"/>
      <c r="AA282" s="99"/>
      <c r="AB282" s="88"/>
      <c r="AC282" s="88"/>
      <c r="AD282" s="93"/>
      <c r="AE282" s="93"/>
      <c r="AF282" s="99"/>
      <c r="AG282" s="88"/>
      <c r="AH282" s="88"/>
      <c r="AI282" s="93"/>
      <c r="AJ282" s="93"/>
      <c r="AK282" s="99"/>
      <c r="AL282" s="93"/>
      <c r="AM282" s="93"/>
      <c r="AN282" s="93"/>
      <c r="AO282" s="93"/>
      <c r="AP282" s="99"/>
      <c r="AQ282" s="216"/>
      <c r="AR282" s="93"/>
      <c r="AS282" s="93"/>
      <c r="AT282" s="93"/>
      <c r="AU282" s="99"/>
      <c r="AV282" s="66"/>
      <c r="AW282" s="66"/>
      <c r="AX282" s="66"/>
      <c r="AY282" s="66"/>
      <c r="AZ282" s="66"/>
      <c r="BA282" s="66"/>
      <c r="BB282" s="66"/>
      <c r="BC282" s="66"/>
      <c r="BD282" s="66"/>
      <c r="BE282" s="66"/>
      <c r="BF282" s="66"/>
      <c r="BG282" s="66"/>
      <c r="BH282" s="66"/>
      <c r="BI282" s="66"/>
      <c r="BJ282" s="66"/>
      <c r="BK282" s="66"/>
      <c r="BL282" s="66"/>
      <c r="BM282" s="117"/>
      <c r="BN282" s="66"/>
      <c r="BO282" s="66"/>
      <c r="BP282" s="66"/>
      <c r="BQ282" s="66"/>
      <c r="BR282" s="66"/>
      <c r="BS282" s="66"/>
      <c r="BT282" s="66"/>
      <c r="BU282" s="117"/>
      <c r="BV282" s="66"/>
      <c r="BW282" s="117"/>
      <c r="BX282" s="117"/>
      <c r="BY282" s="117"/>
      <c r="BZ282" s="66"/>
      <c r="CA282" s="66"/>
      <c r="CB282" s="66"/>
      <c r="CC282" s="66"/>
      <c r="CD282" s="66"/>
      <c r="CE282" s="66"/>
      <c r="CF282" s="66"/>
      <c r="CG282" s="66"/>
      <c r="CH282" s="66"/>
      <c r="CI282" s="66"/>
      <c r="CJ282" s="66"/>
      <c r="CK282" s="66"/>
      <c r="CL282" s="66"/>
      <c r="CM282" s="66"/>
      <c r="CN282" s="66"/>
      <c r="CR282" s="66"/>
      <c r="CS282" s="66"/>
      <c r="CT282" s="66"/>
      <c r="CU282" s="66"/>
      <c r="CV282" s="66"/>
      <c r="CW282" s="66"/>
    </row>
    <row r="283" spans="1:101" ht="12.75" hidden="1" customHeight="1" outlineLevel="1">
      <c r="A283" s="578"/>
      <c r="B283" s="41"/>
      <c r="V283" s="236"/>
      <c r="W283" s="110"/>
      <c r="X283" s="110"/>
      <c r="Y283" s="110"/>
      <c r="Z283" s="110"/>
      <c r="AA283" s="236"/>
      <c r="AB283" s="110"/>
      <c r="AC283" s="110"/>
      <c r="AD283" s="115"/>
      <c r="AE283" s="115"/>
      <c r="AF283" s="236"/>
      <c r="AG283" s="110"/>
      <c r="AH283" s="110"/>
      <c r="AI283" s="115"/>
      <c r="AJ283" s="115"/>
      <c r="AK283" s="236"/>
      <c r="AL283" s="115"/>
      <c r="AM283" s="115"/>
      <c r="AN283" s="115"/>
      <c r="AO283" s="115"/>
      <c r="AP283" s="236"/>
      <c r="AQ283" s="115"/>
      <c r="AR283" s="115"/>
      <c r="AS283" s="115"/>
      <c r="AT283" s="115"/>
      <c r="AU283" s="236"/>
      <c r="AV283" s="66"/>
      <c r="AW283" s="66"/>
      <c r="AX283" s="66"/>
      <c r="AY283" s="66"/>
      <c r="AZ283" s="66"/>
      <c r="BA283" s="66"/>
      <c r="BB283" s="66"/>
      <c r="BC283" s="66"/>
      <c r="BD283" s="66"/>
      <c r="BE283" s="66"/>
      <c r="BF283" s="66"/>
      <c r="BG283" s="66"/>
      <c r="BH283" s="66"/>
      <c r="BI283" s="66"/>
      <c r="BJ283" s="66"/>
      <c r="BK283" s="66"/>
      <c r="BL283" s="66"/>
      <c r="BM283" s="117"/>
      <c r="BN283" s="66"/>
      <c r="BO283" s="66"/>
      <c r="BP283" s="66"/>
      <c r="BQ283" s="66"/>
      <c r="BR283" s="66"/>
      <c r="BS283" s="66"/>
      <c r="BT283" s="66"/>
      <c r="BU283" s="117"/>
      <c r="BV283" s="66"/>
      <c r="BW283" s="117"/>
      <c r="BX283" s="117"/>
      <c r="BY283" s="117"/>
      <c r="BZ283" s="66"/>
      <c r="CA283" s="66"/>
      <c r="CB283" s="66"/>
      <c r="CC283" s="66"/>
      <c r="CD283" s="66"/>
      <c r="CE283" s="66"/>
      <c r="CF283" s="66"/>
      <c r="CG283" s="66"/>
      <c r="CH283" s="66"/>
      <c r="CI283" s="66"/>
      <c r="CJ283" s="66"/>
      <c r="CK283" s="66"/>
      <c r="CL283" s="66"/>
      <c r="CM283" s="66"/>
      <c r="CN283" s="66"/>
      <c r="CR283" s="66"/>
      <c r="CS283" s="66"/>
      <c r="CT283" s="66"/>
      <c r="CU283" s="66"/>
      <c r="CV283" s="66"/>
      <c r="CW283" s="66"/>
    </row>
    <row r="284" spans="1:101" ht="12.75" hidden="1" customHeight="1" outlineLevel="1">
      <c r="A284" s="577"/>
      <c r="B284" s="41"/>
      <c r="V284" s="121"/>
      <c r="W284" s="88"/>
      <c r="X284" s="88"/>
      <c r="Y284" s="88"/>
      <c r="Z284" s="88"/>
      <c r="AA284" s="121"/>
      <c r="AB284" s="88"/>
      <c r="AC284" s="88"/>
      <c r="AD284" s="93"/>
      <c r="AE284" s="93"/>
      <c r="AF284" s="121"/>
      <c r="AG284" s="88"/>
      <c r="AH284" s="88"/>
      <c r="AI284" s="93"/>
      <c r="AJ284" s="93"/>
      <c r="AK284" s="121"/>
      <c r="AL284" s="93"/>
      <c r="AM284" s="93"/>
      <c r="AN284" s="93"/>
      <c r="AO284" s="93"/>
      <c r="AP284" s="121"/>
      <c r="AQ284" s="93"/>
      <c r="AR284" s="93"/>
      <c r="AS284" s="93"/>
      <c r="AT284" s="93"/>
      <c r="AU284" s="121"/>
      <c r="AV284" s="66"/>
      <c r="AW284" s="66"/>
      <c r="AX284" s="66"/>
      <c r="AY284" s="66"/>
      <c r="AZ284" s="66"/>
      <c r="BA284" s="66"/>
      <c r="BB284" s="66"/>
      <c r="BC284" s="66"/>
      <c r="BD284" s="66"/>
      <c r="BE284" s="66"/>
      <c r="BF284" s="66"/>
      <c r="BG284" s="66"/>
      <c r="BH284" s="66"/>
      <c r="BI284" s="66"/>
      <c r="BJ284" s="66"/>
      <c r="BK284" s="66"/>
      <c r="BL284" s="66"/>
      <c r="BM284" s="117"/>
      <c r="BN284" s="66"/>
      <c r="BO284" s="66"/>
      <c r="BP284" s="66"/>
      <c r="BQ284" s="66"/>
      <c r="BR284" s="66"/>
      <c r="BS284" s="66"/>
      <c r="BT284" s="66"/>
      <c r="BU284" s="117"/>
      <c r="BV284" s="66"/>
      <c r="BW284" s="117"/>
      <c r="BX284" s="117"/>
      <c r="BY284" s="117"/>
      <c r="BZ284" s="66"/>
      <c r="CA284" s="66"/>
      <c r="CB284" s="66"/>
      <c r="CC284" s="66"/>
      <c r="CD284" s="66"/>
      <c r="CE284" s="66"/>
      <c r="CF284" s="66"/>
      <c r="CG284" s="66"/>
      <c r="CH284" s="66"/>
      <c r="CI284" s="66"/>
      <c r="CJ284" s="66"/>
      <c r="CK284" s="66"/>
      <c r="CL284" s="66"/>
      <c r="CM284" s="66"/>
      <c r="CN284" s="66"/>
      <c r="CR284" s="66"/>
      <c r="CS284" s="66"/>
      <c r="CT284" s="66"/>
      <c r="CU284" s="66"/>
      <c r="CV284" s="66"/>
      <c r="CW284" s="66"/>
    </row>
    <row r="285" spans="1:101" ht="15" hidden="1" customHeight="1" outlineLevel="1">
      <c r="A285" s="577"/>
      <c r="B285" s="41"/>
      <c r="V285" s="103"/>
      <c r="W285" s="102"/>
      <c r="X285" s="102"/>
      <c r="Y285" s="102"/>
      <c r="Z285" s="102"/>
      <c r="AA285" s="103"/>
      <c r="AB285" s="102"/>
      <c r="AC285" s="102"/>
      <c r="AD285" s="106"/>
      <c r="AE285" s="106"/>
      <c r="AF285" s="103"/>
      <c r="AG285" s="102"/>
      <c r="AH285" s="102"/>
      <c r="AI285" s="106"/>
      <c r="AJ285" s="106"/>
      <c r="AK285" s="103"/>
      <c r="AL285" s="106"/>
      <c r="AM285" s="106"/>
      <c r="AN285" s="106"/>
      <c r="AO285" s="106"/>
      <c r="AP285" s="103"/>
      <c r="AQ285" s="106"/>
      <c r="AR285" s="106"/>
      <c r="AS285" s="106"/>
      <c r="AT285" s="106"/>
      <c r="AU285" s="103"/>
      <c r="AV285" s="66"/>
      <c r="AW285" s="66"/>
      <c r="AX285" s="66"/>
      <c r="AY285" s="66"/>
      <c r="AZ285" s="66"/>
      <c r="BA285" s="66"/>
      <c r="BB285" s="66"/>
      <c r="BC285" s="66"/>
      <c r="BD285" s="66"/>
      <c r="BE285" s="66"/>
      <c r="BF285" s="66"/>
      <c r="BG285" s="66"/>
      <c r="BH285" s="66"/>
      <c r="BI285" s="66"/>
      <c r="BJ285" s="66"/>
      <c r="BK285" s="66"/>
      <c r="BL285" s="66"/>
      <c r="BM285" s="117"/>
      <c r="BN285" s="66"/>
      <c r="BO285" s="66"/>
      <c r="BP285" s="66"/>
      <c r="BQ285" s="66"/>
      <c r="BR285" s="66"/>
      <c r="BS285" s="66"/>
      <c r="BT285" s="66"/>
      <c r="BU285" s="117"/>
      <c r="BV285" s="66"/>
      <c r="BW285" s="117"/>
      <c r="BX285" s="117"/>
      <c r="BY285" s="117"/>
      <c r="BZ285" s="66"/>
      <c r="CA285" s="66"/>
      <c r="CB285" s="66"/>
      <c r="CC285" s="66"/>
      <c r="CD285" s="66"/>
      <c r="CE285" s="66"/>
      <c r="CF285" s="66"/>
      <c r="CG285" s="66"/>
      <c r="CH285" s="66"/>
      <c r="CI285" s="66"/>
      <c r="CJ285" s="66"/>
      <c r="CK285" s="66"/>
      <c r="CL285" s="66"/>
      <c r="CM285" s="66"/>
      <c r="CN285" s="66"/>
      <c r="CR285" s="66"/>
      <c r="CS285" s="66"/>
      <c r="CT285" s="66"/>
      <c r="CU285" s="66"/>
      <c r="CV285" s="66"/>
      <c r="CW285" s="66"/>
    </row>
    <row r="286" spans="1:101" ht="15" hidden="1" customHeight="1" outlineLevel="1">
      <c r="A286" s="578"/>
      <c r="B286" s="41"/>
      <c r="V286" s="111"/>
      <c r="W286" s="394"/>
      <c r="X286" s="394"/>
      <c r="Y286" s="394"/>
      <c r="Z286" s="394"/>
      <c r="AA286" s="111"/>
      <c r="AB286" s="110"/>
      <c r="AC286" s="110"/>
      <c r="AD286" s="398"/>
      <c r="AE286" s="398"/>
      <c r="AF286" s="111"/>
      <c r="AG286" s="110"/>
      <c r="AH286" s="110"/>
      <c r="AI286" s="115"/>
      <c r="AJ286" s="115"/>
      <c r="AK286" s="111"/>
      <c r="AL286" s="115"/>
      <c r="AM286" s="115"/>
      <c r="AN286" s="115"/>
      <c r="AO286" s="115"/>
      <c r="AP286" s="111"/>
      <c r="AQ286" s="115"/>
      <c r="AR286" s="115"/>
      <c r="AS286" s="115"/>
      <c r="AT286" s="115"/>
      <c r="AU286" s="111"/>
      <c r="AV286" s="66"/>
      <c r="AW286" s="66"/>
      <c r="AX286" s="66"/>
      <c r="AY286" s="66"/>
      <c r="AZ286" s="66"/>
      <c r="BA286" s="66"/>
      <c r="BB286" s="66"/>
      <c r="BC286" s="66"/>
      <c r="BD286" s="66"/>
      <c r="BE286" s="66"/>
      <c r="BF286" s="66"/>
      <c r="BG286" s="66"/>
      <c r="BH286" s="66"/>
      <c r="BI286" s="66"/>
      <c r="BJ286" s="66"/>
      <c r="BK286" s="66"/>
      <c r="BL286" s="66"/>
      <c r="BM286" s="117"/>
      <c r="BN286" s="66"/>
      <c r="BO286" s="66"/>
      <c r="BP286" s="66"/>
      <c r="BQ286" s="66"/>
      <c r="BR286" s="66"/>
      <c r="BS286" s="66"/>
      <c r="BT286" s="66"/>
      <c r="BU286" s="117"/>
      <c r="BV286" s="66"/>
      <c r="BW286" s="117"/>
      <c r="BX286" s="117"/>
      <c r="BY286" s="117"/>
      <c r="BZ286" s="66"/>
      <c r="CA286" s="66"/>
      <c r="CB286" s="66"/>
      <c r="CC286" s="66"/>
      <c r="CD286" s="66"/>
      <c r="CE286" s="66"/>
      <c r="CF286" s="66"/>
      <c r="CG286" s="66"/>
      <c r="CH286" s="66"/>
      <c r="CI286" s="66"/>
      <c r="CJ286" s="66"/>
      <c r="CK286" s="66"/>
      <c r="CL286" s="66"/>
      <c r="CM286" s="66"/>
      <c r="CN286" s="66"/>
      <c r="CR286" s="66"/>
      <c r="CS286" s="66"/>
      <c r="CT286" s="66"/>
      <c r="CU286" s="66"/>
      <c r="CV286" s="66"/>
      <c r="CW286" s="66"/>
    </row>
    <row r="287" spans="1:101" ht="12.75" hidden="1" customHeight="1" outlineLevel="1">
      <c r="A287" s="578"/>
      <c r="B287" s="41"/>
      <c r="V287" s="236"/>
      <c r="W287" s="110"/>
      <c r="X287" s="110"/>
      <c r="Y287" s="110"/>
      <c r="Z287" s="110"/>
      <c r="AA287" s="236"/>
      <c r="AB287" s="110"/>
      <c r="AC287" s="110"/>
      <c r="AD287" s="115"/>
      <c r="AE287" s="115"/>
      <c r="AF287" s="236"/>
      <c r="AG287" s="110"/>
      <c r="AH287" s="110"/>
      <c r="AI287" s="115"/>
      <c r="AJ287" s="115"/>
      <c r="AK287" s="236"/>
      <c r="AL287" s="115"/>
      <c r="AM287" s="115"/>
      <c r="AN287" s="115"/>
      <c r="AO287" s="115"/>
      <c r="AP287" s="236"/>
      <c r="AQ287" s="115"/>
      <c r="AR287" s="115"/>
      <c r="AS287" s="115"/>
      <c r="AT287" s="115"/>
      <c r="AU287" s="236"/>
      <c r="AV287" s="66"/>
      <c r="AW287" s="66"/>
      <c r="AX287" s="66"/>
      <c r="AY287" s="66"/>
      <c r="AZ287" s="66"/>
      <c r="BA287" s="66"/>
      <c r="BB287" s="66"/>
      <c r="BC287" s="66"/>
      <c r="BD287" s="66"/>
      <c r="BE287" s="66"/>
      <c r="BF287" s="66"/>
      <c r="BG287" s="66"/>
      <c r="BH287" s="66"/>
      <c r="BI287" s="66"/>
      <c r="BJ287" s="66"/>
      <c r="BK287" s="66"/>
      <c r="BL287" s="66"/>
      <c r="BM287" s="117"/>
      <c r="BN287" s="66"/>
      <c r="BO287" s="66"/>
      <c r="BP287" s="66"/>
      <c r="BQ287" s="66"/>
      <c r="BR287" s="66"/>
      <c r="BS287" s="66"/>
      <c r="BT287" s="66"/>
      <c r="BU287" s="117"/>
      <c r="BV287" s="66"/>
      <c r="BW287" s="117"/>
      <c r="BX287" s="117"/>
      <c r="BY287" s="117"/>
      <c r="BZ287" s="66"/>
      <c r="CA287" s="66"/>
      <c r="CB287" s="66"/>
      <c r="CC287" s="66"/>
      <c r="CD287" s="66"/>
      <c r="CE287" s="66"/>
      <c r="CF287" s="66"/>
      <c r="CG287" s="66"/>
      <c r="CH287" s="66"/>
      <c r="CI287" s="66"/>
      <c r="CJ287" s="66"/>
      <c r="CK287" s="66"/>
      <c r="CL287" s="66"/>
      <c r="CM287" s="66"/>
      <c r="CN287" s="66"/>
      <c r="CR287" s="66"/>
      <c r="CS287" s="66"/>
      <c r="CT287" s="66"/>
      <c r="CU287" s="66"/>
      <c r="CV287" s="66"/>
      <c r="CW287" s="66"/>
    </row>
    <row r="288" spans="1:101" ht="12.75" hidden="1" customHeight="1" outlineLevel="1">
      <c r="A288" s="578"/>
      <c r="B288" s="41"/>
      <c r="V288" s="236"/>
      <c r="W288" s="110"/>
      <c r="X288" s="110"/>
      <c r="Y288" s="110"/>
      <c r="Z288" s="110"/>
      <c r="AA288" s="236"/>
      <c r="AB288" s="110"/>
      <c r="AC288" s="110"/>
      <c r="AD288" s="115"/>
      <c r="AE288" s="115"/>
      <c r="AF288" s="236"/>
      <c r="AG288" s="110"/>
      <c r="AH288" s="110"/>
      <c r="AI288" s="115"/>
      <c r="AJ288" s="115"/>
      <c r="AK288" s="236"/>
      <c r="AL288" s="115"/>
      <c r="AM288" s="115"/>
      <c r="AN288" s="115"/>
      <c r="AO288" s="115"/>
      <c r="AP288" s="236"/>
      <c r="AQ288" s="115"/>
      <c r="AR288" s="115"/>
      <c r="AS288" s="115"/>
      <c r="AT288" s="115"/>
      <c r="AU288" s="236"/>
      <c r="AV288" s="66"/>
      <c r="AW288" s="66"/>
      <c r="AX288" s="66"/>
      <c r="AY288" s="66"/>
      <c r="AZ288" s="66"/>
      <c r="BA288" s="66"/>
      <c r="BB288" s="66"/>
      <c r="BC288" s="66"/>
      <c r="BD288" s="66"/>
      <c r="BE288" s="66"/>
      <c r="BF288" s="66"/>
      <c r="BG288" s="66"/>
      <c r="BH288" s="66"/>
      <c r="BI288" s="66"/>
      <c r="BJ288" s="66"/>
      <c r="BK288" s="66"/>
      <c r="BL288" s="66"/>
      <c r="BM288" s="117"/>
      <c r="BN288" s="66"/>
      <c r="BO288" s="66"/>
      <c r="BP288" s="66"/>
      <c r="BQ288" s="66"/>
      <c r="BR288" s="66"/>
      <c r="BS288" s="66"/>
      <c r="BT288" s="66"/>
      <c r="BU288" s="117"/>
      <c r="BV288" s="66"/>
      <c r="BW288" s="117"/>
      <c r="BX288" s="117"/>
      <c r="BY288" s="117"/>
      <c r="BZ288" s="66"/>
      <c r="CA288" s="66"/>
      <c r="CB288" s="66"/>
      <c r="CC288" s="66"/>
      <c r="CD288" s="66"/>
      <c r="CE288" s="66"/>
      <c r="CF288" s="66"/>
      <c r="CG288" s="66"/>
      <c r="CH288" s="66"/>
      <c r="CI288" s="66"/>
      <c r="CJ288" s="66"/>
      <c r="CK288" s="66"/>
      <c r="CL288" s="66"/>
      <c r="CM288" s="66"/>
      <c r="CN288" s="66"/>
      <c r="CR288" s="66"/>
      <c r="CS288" s="66"/>
      <c r="CT288" s="66"/>
      <c r="CU288" s="66"/>
      <c r="CV288" s="66"/>
      <c r="CW288" s="66"/>
    </row>
    <row r="289" spans="1:101" ht="12.75" hidden="1" customHeight="1" outlineLevel="1">
      <c r="A289" s="578"/>
      <c r="B289" s="41"/>
      <c r="V289" s="99"/>
      <c r="W289" s="88"/>
      <c r="X289" s="88"/>
      <c r="Y289" s="88"/>
      <c r="Z289" s="88"/>
      <c r="AA289" s="99"/>
      <c r="AB289" s="88"/>
      <c r="AC289" s="93"/>
      <c r="AD289" s="93"/>
      <c r="AE289" s="93"/>
      <c r="AF289" s="99"/>
      <c r="AG289" s="88"/>
      <c r="AH289" s="88"/>
      <c r="AI289" s="93"/>
      <c r="AJ289" s="93"/>
      <c r="AK289" s="99"/>
      <c r="AL289" s="93"/>
      <c r="AM289" s="93"/>
      <c r="AN289" s="93"/>
      <c r="AO289" s="93"/>
      <c r="AP289" s="99"/>
      <c r="AQ289" s="93"/>
      <c r="AR289" s="93"/>
      <c r="AS289" s="93"/>
      <c r="AT289" s="93"/>
      <c r="AU289" s="99"/>
      <c r="AV289" s="66"/>
      <c r="AW289" s="66"/>
      <c r="AX289" s="66"/>
      <c r="AY289" s="66"/>
      <c r="AZ289" s="66"/>
      <c r="BA289" s="66"/>
      <c r="BB289" s="66"/>
      <c r="BC289" s="66"/>
      <c r="BD289" s="66"/>
      <c r="BE289" s="66"/>
      <c r="BF289" s="66"/>
      <c r="BG289" s="66"/>
      <c r="BH289" s="66"/>
      <c r="BI289" s="66"/>
      <c r="BJ289" s="66"/>
      <c r="BK289" s="66"/>
      <c r="BL289" s="66"/>
      <c r="BM289" s="117"/>
      <c r="BN289" s="66"/>
      <c r="BO289" s="66"/>
      <c r="BP289" s="66"/>
      <c r="BQ289" s="66"/>
      <c r="BR289" s="66"/>
      <c r="BS289" s="66"/>
      <c r="BT289" s="66"/>
      <c r="BU289" s="117"/>
      <c r="BV289" s="66"/>
      <c r="BW289" s="117"/>
      <c r="BX289" s="117"/>
      <c r="BY289" s="117"/>
      <c r="BZ289" s="66"/>
      <c r="CA289" s="66"/>
      <c r="CB289" s="66"/>
      <c r="CC289" s="66"/>
      <c r="CD289" s="66"/>
      <c r="CE289" s="66"/>
      <c r="CF289" s="66"/>
      <c r="CG289" s="66"/>
      <c r="CH289" s="66"/>
      <c r="CI289" s="66"/>
      <c r="CJ289" s="66"/>
      <c r="CK289" s="66"/>
      <c r="CL289" s="66"/>
      <c r="CM289" s="66"/>
      <c r="CN289" s="66"/>
      <c r="CR289" s="66"/>
      <c r="CS289" s="66"/>
      <c r="CT289" s="66"/>
      <c r="CU289" s="66"/>
      <c r="CV289" s="66"/>
      <c r="CW289" s="66"/>
    </row>
    <row r="290" spans="1:101" ht="12.75" hidden="1" customHeight="1" outlineLevel="1">
      <c r="A290" s="577"/>
      <c r="B290" s="41"/>
      <c r="V290" s="99"/>
      <c r="W290" s="88"/>
      <c r="X290" s="88"/>
      <c r="Y290" s="88"/>
      <c r="Z290" s="88"/>
      <c r="AA290" s="99"/>
      <c r="AB290" s="88"/>
      <c r="AC290" s="93"/>
      <c r="AD290" s="93"/>
      <c r="AE290" s="93"/>
      <c r="AF290" s="99"/>
      <c r="AG290" s="88"/>
      <c r="AH290" s="88"/>
      <c r="AI290" s="93"/>
      <c r="AJ290" s="93"/>
      <c r="AK290" s="99"/>
      <c r="AL290" s="93"/>
      <c r="AM290" s="93"/>
      <c r="AN290" s="93"/>
      <c r="AO290" s="93"/>
      <c r="AP290" s="99"/>
      <c r="AQ290" s="93"/>
      <c r="AR290" s="93"/>
      <c r="AS290" s="93"/>
      <c r="AT290" s="93"/>
      <c r="AU290" s="99"/>
      <c r="AV290" s="66"/>
      <c r="AW290" s="66"/>
      <c r="AX290" s="66"/>
      <c r="AY290" s="66"/>
      <c r="AZ290" s="66"/>
      <c r="BA290" s="66"/>
      <c r="BB290" s="66"/>
      <c r="BC290" s="66"/>
      <c r="BD290" s="66"/>
      <c r="BE290" s="66"/>
      <c r="BF290" s="66"/>
      <c r="BG290" s="66"/>
      <c r="BH290" s="66"/>
      <c r="BI290" s="66"/>
      <c r="BJ290" s="66"/>
      <c r="BK290" s="66"/>
      <c r="BL290" s="66"/>
      <c r="BM290" s="117"/>
      <c r="BN290" s="66"/>
      <c r="BO290" s="66"/>
      <c r="BP290" s="66"/>
      <c r="BQ290" s="66"/>
      <c r="BR290" s="66"/>
      <c r="BS290" s="66"/>
      <c r="BT290" s="66"/>
      <c r="BU290" s="117"/>
      <c r="BV290" s="66"/>
      <c r="BW290" s="117"/>
      <c r="BX290" s="117"/>
      <c r="BY290" s="117"/>
      <c r="BZ290" s="66"/>
      <c r="CA290" s="66"/>
      <c r="CB290" s="66"/>
      <c r="CC290" s="66"/>
      <c r="CD290" s="66"/>
      <c r="CE290" s="66"/>
      <c r="CF290" s="66"/>
      <c r="CG290" s="66"/>
      <c r="CH290" s="66"/>
      <c r="CI290" s="66"/>
      <c r="CJ290" s="66"/>
      <c r="CK290" s="66"/>
      <c r="CL290" s="66"/>
      <c r="CM290" s="66"/>
      <c r="CN290" s="66"/>
      <c r="CR290" s="66"/>
      <c r="CS290" s="66"/>
      <c r="CT290" s="66"/>
      <c r="CU290" s="66"/>
      <c r="CV290" s="66"/>
      <c r="CW290" s="66"/>
    </row>
    <row r="291" spans="1:101" ht="11.25" hidden="1" customHeight="1" outlineLevel="1"/>
    <row r="292" spans="1:101" ht="12.75" hidden="1" customHeight="1" outlineLevel="1">
      <c r="A292" s="577"/>
      <c r="B292" s="41"/>
      <c r="V292" s="121"/>
      <c r="W292" s="88"/>
      <c r="X292" s="88"/>
      <c r="Y292" s="88"/>
      <c r="Z292" s="88"/>
      <c r="AA292" s="121"/>
      <c r="AB292" s="88"/>
      <c r="AC292" s="93"/>
      <c r="AD292" s="93"/>
      <c r="AE292" s="93"/>
      <c r="AF292" s="121"/>
      <c r="AG292" s="88"/>
      <c r="AH292" s="88"/>
      <c r="AI292" s="93"/>
      <c r="AJ292" s="93"/>
      <c r="AK292" s="121"/>
      <c r="AL292" s="93"/>
      <c r="AM292" s="93"/>
      <c r="AN292" s="93"/>
      <c r="AO292" s="93"/>
      <c r="AP292" s="121"/>
      <c r="AQ292" s="93"/>
      <c r="AR292" s="93"/>
      <c r="AS292" s="93"/>
      <c r="AT292" s="93"/>
      <c r="AU292" s="121"/>
      <c r="AV292" s="66"/>
      <c r="AW292" s="66"/>
      <c r="AX292" s="66"/>
      <c r="AY292" s="66"/>
      <c r="AZ292" s="66"/>
      <c r="BA292" s="66"/>
      <c r="BB292" s="66"/>
      <c r="BC292" s="66"/>
      <c r="BD292" s="66"/>
      <c r="BE292" s="66"/>
      <c r="BF292" s="66"/>
      <c r="BG292" s="66"/>
      <c r="BH292" s="66"/>
      <c r="BI292" s="66"/>
      <c r="BJ292" s="66"/>
      <c r="BK292" s="66"/>
      <c r="BL292" s="66"/>
      <c r="BM292" s="117"/>
      <c r="BN292" s="66"/>
      <c r="BO292" s="66"/>
      <c r="BP292" s="66"/>
      <c r="BQ292" s="66"/>
      <c r="BR292" s="66"/>
      <c r="BS292" s="66"/>
      <c r="BT292" s="66"/>
      <c r="BU292" s="117"/>
      <c r="BV292" s="66"/>
      <c r="BW292" s="117"/>
      <c r="BX292" s="117"/>
      <c r="BY292" s="117"/>
      <c r="BZ292" s="66"/>
      <c r="CA292" s="66"/>
      <c r="CB292" s="66"/>
      <c r="CC292" s="66"/>
      <c r="CD292" s="66"/>
      <c r="CE292" s="66"/>
      <c r="CF292" s="66"/>
      <c r="CG292" s="66"/>
      <c r="CH292" s="66"/>
      <c r="CI292" s="66"/>
      <c r="CJ292" s="66"/>
      <c r="CK292" s="66"/>
      <c r="CL292" s="66"/>
      <c r="CM292" s="66"/>
      <c r="CN292" s="66"/>
      <c r="CR292" s="66"/>
      <c r="CS292" s="66"/>
      <c r="CT292" s="66"/>
      <c r="CU292" s="66"/>
      <c r="CV292" s="66"/>
      <c r="CW292" s="66"/>
    </row>
    <row r="293" spans="1:101" ht="12.75" hidden="1" customHeight="1" outlineLevel="1">
      <c r="A293" s="577"/>
      <c r="B293" s="41"/>
      <c r="V293" s="99"/>
      <c r="W293" s="88"/>
      <c r="X293" s="391"/>
      <c r="Y293" s="391"/>
      <c r="Z293" s="391"/>
      <c r="AA293" s="99"/>
      <c r="AB293" s="88"/>
      <c r="AC293" s="93"/>
      <c r="AD293" s="93"/>
      <c r="AE293" s="93"/>
      <c r="AF293" s="99"/>
      <c r="AG293" s="88"/>
      <c r="AH293" s="88"/>
      <c r="AI293" s="93"/>
      <c r="AJ293" s="93"/>
      <c r="AK293" s="99"/>
      <c r="AL293" s="93"/>
      <c r="AM293" s="93"/>
      <c r="AN293" s="93"/>
      <c r="AO293" s="93"/>
      <c r="AP293" s="99"/>
      <c r="AQ293" s="93"/>
      <c r="AR293" s="93"/>
      <c r="AS293" s="93"/>
      <c r="AT293" s="93"/>
      <c r="AU293" s="99"/>
      <c r="AV293" s="66"/>
      <c r="AW293" s="66"/>
      <c r="AX293" s="66"/>
      <c r="AY293" s="66"/>
      <c r="AZ293" s="66"/>
      <c r="BA293" s="66"/>
      <c r="BB293" s="66"/>
      <c r="BC293" s="66"/>
      <c r="BD293" s="66"/>
      <c r="BE293" s="66"/>
      <c r="BF293" s="66"/>
      <c r="BG293" s="66"/>
      <c r="BH293" s="66"/>
      <c r="BI293" s="66"/>
      <c r="BJ293" s="66"/>
      <c r="BK293" s="66"/>
      <c r="BL293" s="66"/>
      <c r="BM293" s="117"/>
      <c r="BN293" s="66"/>
      <c r="BO293" s="66"/>
      <c r="BP293" s="66"/>
      <c r="BQ293" s="66"/>
      <c r="BR293" s="66"/>
      <c r="BS293" s="66"/>
      <c r="BT293" s="66"/>
      <c r="BU293" s="117"/>
      <c r="BV293" s="66"/>
      <c r="BW293" s="117"/>
      <c r="BX293" s="117"/>
      <c r="BY293" s="117"/>
      <c r="BZ293" s="66"/>
      <c r="CA293" s="66"/>
      <c r="CB293" s="66"/>
      <c r="CC293" s="66"/>
      <c r="CD293" s="66"/>
      <c r="CE293" s="66"/>
      <c r="CF293" s="66"/>
      <c r="CG293" s="66"/>
      <c r="CH293" s="66"/>
      <c r="CI293" s="66"/>
      <c r="CJ293" s="66"/>
      <c r="CK293" s="66"/>
      <c r="CL293" s="66"/>
      <c r="CM293" s="66"/>
      <c r="CN293" s="66"/>
      <c r="CR293" s="66"/>
      <c r="CS293" s="66"/>
      <c r="CT293" s="66"/>
      <c r="CU293" s="66"/>
      <c r="CV293" s="66"/>
      <c r="CW293" s="66"/>
    </row>
    <row r="294" spans="1:101" ht="12.75" hidden="1" customHeight="1" outlineLevel="1">
      <c r="A294" s="596"/>
      <c r="B294" s="41"/>
      <c r="V294" s="133"/>
      <c r="W294" s="132"/>
      <c r="X294" s="677"/>
      <c r="Y294" s="677"/>
      <c r="Z294" s="677"/>
      <c r="AA294" s="133"/>
      <c r="AB294" s="132"/>
      <c r="AC294" s="136"/>
      <c r="AD294" s="136"/>
      <c r="AE294" s="136"/>
      <c r="AF294" s="133"/>
      <c r="AG294" s="132"/>
      <c r="AH294" s="132"/>
      <c r="AI294" s="136"/>
      <c r="AJ294" s="136"/>
      <c r="AK294" s="548"/>
      <c r="AL294" s="136"/>
      <c r="AM294" s="136"/>
      <c r="AN294" s="136"/>
      <c r="AO294" s="136"/>
      <c r="AP294" s="548"/>
      <c r="AQ294" s="136"/>
      <c r="AR294" s="136"/>
      <c r="AS294" s="136"/>
      <c r="AT294" s="136"/>
      <c r="AU294" s="133"/>
      <c r="AV294" s="66"/>
      <c r="AW294" s="66"/>
      <c r="AX294" s="66"/>
      <c r="AY294" s="66"/>
      <c r="AZ294" s="66"/>
      <c r="BA294" s="66"/>
      <c r="BB294" s="66"/>
      <c r="BC294" s="66"/>
      <c r="BD294" s="66"/>
      <c r="BE294" s="66"/>
      <c r="BF294" s="66"/>
      <c r="BG294" s="66"/>
      <c r="BH294" s="66"/>
      <c r="BI294" s="66"/>
      <c r="BJ294" s="66"/>
      <c r="BK294" s="66"/>
      <c r="BL294" s="66"/>
      <c r="BM294" s="117"/>
      <c r="BN294" s="66"/>
      <c r="BO294" s="66"/>
      <c r="BP294" s="66"/>
      <c r="BQ294" s="66"/>
      <c r="BR294" s="66"/>
      <c r="BS294" s="66"/>
      <c r="BT294" s="66"/>
      <c r="BU294" s="117"/>
      <c r="BV294" s="66"/>
      <c r="BW294" s="117"/>
      <c r="BX294" s="117"/>
      <c r="BY294" s="117"/>
      <c r="BZ294" s="66"/>
      <c r="CA294" s="66"/>
      <c r="CB294" s="66"/>
      <c r="CC294" s="66"/>
      <c r="CD294" s="66"/>
      <c r="CE294" s="66"/>
      <c r="CF294" s="66"/>
      <c r="CG294" s="66"/>
      <c r="CH294" s="66"/>
      <c r="CI294" s="66"/>
      <c r="CJ294" s="66"/>
      <c r="CK294" s="66"/>
      <c r="CL294" s="66"/>
      <c r="CM294" s="66"/>
      <c r="CN294" s="66"/>
      <c r="CR294" s="66"/>
      <c r="CS294" s="66"/>
      <c r="CT294" s="66"/>
      <c r="CU294" s="66"/>
      <c r="CV294" s="66"/>
      <c r="CW294" s="66"/>
    </row>
    <row r="295" spans="1:101" ht="12.75" hidden="1" customHeight="1" outlineLevel="1">
      <c r="A295" s="598"/>
      <c r="B295" s="41"/>
      <c r="V295" s="147"/>
      <c r="W295" s="146"/>
      <c r="X295" s="146"/>
      <c r="Y295" s="146"/>
      <c r="Z295" s="146"/>
      <c r="AA295" s="147"/>
      <c r="AB295" s="146"/>
      <c r="AC295" s="150"/>
      <c r="AD295" s="150"/>
      <c r="AE295" s="150"/>
      <c r="AF295" s="147"/>
      <c r="AG295" s="146"/>
      <c r="AH295" s="146"/>
      <c r="AI295" s="150"/>
      <c r="AJ295" s="150"/>
      <c r="AK295" s="549"/>
      <c r="AL295" s="150"/>
      <c r="AM295" s="150"/>
      <c r="AN295" s="150"/>
      <c r="AO295" s="150"/>
      <c r="AP295" s="549"/>
      <c r="AQ295" s="150"/>
      <c r="AR295" s="150"/>
      <c r="AS295" s="150"/>
      <c r="AT295" s="150"/>
      <c r="AU295" s="147"/>
      <c r="AV295" s="66"/>
      <c r="AW295" s="66"/>
      <c r="AX295" s="66"/>
      <c r="AY295" s="66"/>
      <c r="AZ295" s="66"/>
      <c r="BA295" s="66"/>
      <c r="BB295" s="66"/>
      <c r="BC295" s="66"/>
      <c r="BD295" s="66"/>
      <c r="BE295" s="66"/>
      <c r="BF295" s="66"/>
      <c r="BG295" s="66"/>
      <c r="BH295" s="66"/>
      <c r="BI295" s="66"/>
      <c r="BJ295" s="66"/>
      <c r="BK295" s="66"/>
      <c r="BL295" s="66"/>
      <c r="BM295" s="117"/>
      <c r="BN295" s="66"/>
      <c r="BO295" s="66"/>
      <c r="BP295" s="66"/>
      <c r="BQ295" s="66"/>
      <c r="BR295" s="66"/>
      <c r="BS295" s="66"/>
      <c r="BT295" s="66"/>
      <c r="BU295" s="117"/>
      <c r="BV295" s="66"/>
      <c r="BW295" s="117"/>
      <c r="BX295" s="117"/>
      <c r="BY295" s="117"/>
      <c r="BZ295" s="66"/>
      <c r="CA295" s="66"/>
      <c r="CB295" s="66"/>
      <c r="CC295" s="66"/>
      <c r="CD295" s="66"/>
      <c r="CE295" s="66"/>
      <c r="CF295" s="66"/>
      <c r="CG295" s="66"/>
      <c r="CH295" s="66"/>
      <c r="CI295" s="66"/>
      <c r="CJ295" s="66"/>
      <c r="CK295" s="66"/>
      <c r="CL295" s="66"/>
      <c r="CM295" s="66"/>
      <c r="CN295" s="66"/>
      <c r="CR295" s="66"/>
      <c r="CS295" s="66"/>
      <c r="CT295" s="66"/>
      <c r="CU295" s="66"/>
      <c r="CV295" s="66"/>
      <c r="CW295" s="66"/>
    </row>
    <row r="296" spans="1:101" ht="12.75" hidden="1" customHeight="1" outlineLevel="1">
      <c r="A296" s="596"/>
      <c r="B296" s="41"/>
      <c r="V296" s="133"/>
      <c r="W296" s="132"/>
      <c r="X296" s="132"/>
      <c r="Y296" s="132"/>
      <c r="Z296" s="132"/>
      <c r="AA296" s="133"/>
      <c r="AB296" s="132"/>
      <c r="AC296" s="136"/>
      <c r="AD296" s="136"/>
      <c r="AE296" s="136"/>
      <c r="AF296" s="133"/>
      <c r="AG296" s="132"/>
      <c r="AH296" s="132"/>
      <c r="AI296" s="136"/>
      <c r="AJ296" s="136"/>
      <c r="AK296" s="548"/>
      <c r="AL296" s="136"/>
      <c r="AM296" s="136"/>
      <c r="AN296" s="136"/>
      <c r="AO296" s="136"/>
      <c r="AP296" s="548"/>
      <c r="AQ296" s="136"/>
      <c r="AR296" s="136"/>
      <c r="AS296" s="136"/>
      <c r="AT296" s="136"/>
      <c r="AU296" s="133"/>
      <c r="AV296" s="66"/>
      <c r="AW296" s="66"/>
      <c r="AX296" s="66"/>
      <c r="AY296" s="66"/>
      <c r="AZ296" s="66"/>
      <c r="BA296" s="66"/>
      <c r="BB296" s="66"/>
      <c r="BC296" s="66"/>
      <c r="BD296" s="66"/>
      <c r="BE296" s="66"/>
      <c r="BF296" s="66"/>
      <c r="BG296" s="66"/>
      <c r="BH296" s="66"/>
      <c r="BI296" s="66"/>
      <c r="BJ296" s="66"/>
      <c r="BK296" s="66"/>
      <c r="BL296" s="66"/>
      <c r="BM296" s="117"/>
      <c r="BN296" s="66"/>
      <c r="BO296" s="66"/>
      <c r="BP296" s="66"/>
      <c r="BQ296" s="66"/>
      <c r="BR296" s="66"/>
      <c r="BS296" s="66"/>
      <c r="BT296" s="66"/>
      <c r="BU296" s="117"/>
      <c r="BV296" s="66"/>
      <c r="BW296" s="117"/>
      <c r="BX296" s="117"/>
      <c r="BY296" s="117"/>
      <c r="BZ296" s="66"/>
      <c r="CA296" s="66"/>
      <c r="CB296" s="66"/>
      <c r="CC296" s="66"/>
      <c r="CD296" s="66"/>
      <c r="CE296" s="66"/>
      <c r="CF296" s="66"/>
      <c r="CG296" s="66"/>
      <c r="CH296" s="66"/>
      <c r="CI296" s="66"/>
      <c r="CJ296" s="66"/>
      <c r="CK296" s="66"/>
      <c r="CL296" s="66"/>
      <c r="CM296" s="66"/>
      <c r="CN296" s="66"/>
      <c r="CR296" s="66"/>
      <c r="CS296" s="66"/>
      <c r="CT296" s="66"/>
      <c r="CU296" s="66"/>
      <c r="CV296" s="66"/>
      <c r="CW296" s="66"/>
    </row>
    <row r="297" spans="1:101" ht="12.75" hidden="1" customHeight="1" outlineLevel="1">
      <c r="A297" s="599"/>
      <c r="B297" s="41"/>
      <c r="V297" s="554"/>
      <c r="W297" s="392"/>
      <c r="X297" s="392"/>
      <c r="Y297" s="392"/>
      <c r="Z297" s="392"/>
      <c r="AA297" s="554"/>
      <c r="AB297" s="392"/>
      <c r="AC297" s="387"/>
      <c r="AD297" s="387"/>
      <c r="AE297" s="387"/>
      <c r="AF297" s="554"/>
      <c r="AG297" s="392"/>
      <c r="AH297" s="392"/>
      <c r="AI297" s="387"/>
      <c r="AJ297" s="387"/>
      <c r="AK297" s="554"/>
      <c r="AL297" s="387"/>
      <c r="AM297" s="387"/>
      <c r="AN297" s="387"/>
      <c r="AO297" s="387"/>
      <c r="AP297" s="554"/>
      <c r="AQ297" s="387"/>
      <c r="AR297" s="387"/>
      <c r="AS297" s="387"/>
      <c r="AT297" s="387"/>
      <c r="AU297" s="554"/>
      <c r="AV297" s="66"/>
      <c r="AW297" s="66"/>
      <c r="AX297" s="66"/>
      <c r="AY297" s="66"/>
      <c r="AZ297" s="66"/>
      <c r="BA297" s="66"/>
      <c r="BB297" s="66"/>
      <c r="BC297" s="66"/>
      <c r="BD297" s="66"/>
      <c r="BE297" s="66"/>
      <c r="BF297" s="66"/>
      <c r="BG297" s="66"/>
      <c r="BH297" s="66"/>
      <c r="BI297" s="66"/>
      <c r="BJ297" s="66"/>
      <c r="BK297" s="66"/>
      <c r="BL297" s="66"/>
      <c r="BM297" s="117"/>
      <c r="BN297" s="66"/>
      <c r="BO297" s="66"/>
      <c r="BP297" s="66"/>
      <c r="BQ297" s="66"/>
      <c r="BR297" s="66"/>
      <c r="BS297" s="66"/>
      <c r="BT297" s="66"/>
      <c r="BU297" s="117"/>
      <c r="BV297" s="66"/>
      <c r="BW297" s="117"/>
      <c r="BX297" s="117"/>
      <c r="BY297" s="117"/>
      <c r="BZ297" s="66"/>
      <c r="CA297" s="66"/>
      <c r="CB297" s="66"/>
      <c r="CC297" s="66"/>
      <c r="CD297" s="66"/>
      <c r="CE297" s="66"/>
      <c r="CF297" s="66"/>
      <c r="CG297" s="66"/>
      <c r="CH297" s="66"/>
      <c r="CI297" s="66"/>
      <c r="CJ297" s="66"/>
      <c r="CK297" s="66"/>
      <c r="CL297" s="66"/>
      <c r="CM297" s="66"/>
      <c r="CN297" s="66"/>
      <c r="CR297" s="66"/>
      <c r="CS297" s="66"/>
      <c r="CT297" s="66"/>
      <c r="CU297" s="66"/>
      <c r="CV297" s="66"/>
      <c r="CW297" s="66"/>
    </row>
    <row r="298" spans="1:101" ht="12.75" hidden="1" customHeight="1" outlineLevel="1">
      <c r="A298" s="599"/>
      <c r="B298" s="41"/>
      <c r="V298" s="554"/>
      <c r="W298" s="550"/>
      <c r="X298" s="551"/>
      <c r="Y298" s="551"/>
      <c r="Z298" s="551"/>
      <c r="AA298" s="554"/>
      <c r="AB298" s="551"/>
      <c r="AC298" s="555"/>
      <c r="AD298" s="555"/>
      <c r="AE298" s="555"/>
      <c r="AF298" s="554"/>
      <c r="AG298" s="551"/>
      <c r="AH298" s="551"/>
      <c r="AI298" s="555"/>
      <c r="AJ298" s="555"/>
      <c r="AK298" s="554"/>
      <c r="AL298" s="555"/>
      <c r="AM298" s="555"/>
      <c r="AN298" s="555"/>
      <c r="AO298" s="555"/>
      <c r="AP298" s="554"/>
      <c r="AQ298" s="555"/>
      <c r="AR298" s="555"/>
      <c r="AS298" s="555"/>
      <c r="AT298" s="555"/>
      <c r="AU298" s="554"/>
      <c r="AV298" s="66"/>
      <c r="AW298" s="66"/>
      <c r="AX298" s="66"/>
      <c r="AY298" s="66"/>
      <c r="AZ298" s="66"/>
      <c r="BA298" s="66"/>
      <c r="BB298" s="66"/>
      <c r="BC298" s="66"/>
      <c r="BD298" s="66"/>
      <c r="BE298" s="66"/>
      <c r="BF298" s="66"/>
      <c r="BG298" s="66"/>
      <c r="BH298" s="66"/>
      <c r="BI298" s="66"/>
      <c r="BJ298" s="66"/>
      <c r="BK298" s="66"/>
      <c r="BL298" s="66"/>
      <c r="BM298" s="117"/>
      <c r="BN298" s="66"/>
      <c r="BO298" s="66"/>
      <c r="BP298" s="66"/>
      <c r="BQ298" s="66"/>
      <c r="BR298" s="66"/>
      <c r="BS298" s="66"/>
      <c r="BT298" s="66"/>
      <c r="BU298" s="117"/>
      <c r="BV298" s="66"/>
      <c r="BW298" s="117"/>
      <c r="BX298" s="117"/>
      <c r="BY298" s="117"/>
      <c r="BZ298" s="66"/>
      <c r="CA298" s="66"/>
      <c r="CB298" s="66"/>
      <c r="CC298" s="66"/>
      <c r="CD298" s="66"/>
      <c r="CE298" s="66"/>
      <c r="CF298" s="66"/>
      <c r="CG298" s="66"/>
      <c r="CH298" s="66"/>
      <c r="CI298" s="66"/>
      <c r="CJ298" s="66"/>
      <c r="CK298" s="66"/>
      <c r="CL298" s="66"/>
      <c r="CM298" s="66"/>
      <c r="CN298" s="66"/>
      <c r="CR298" s="66"/>
      <c r="CS298" s="66"/>
      <c r="CT298" s="66"/>
      <c r="CU298" s="66"/>
      <c r="CV298" s="66"/>
      <c r="CW298" s="66"/>
    </row>
    <row r="299" spans="1:101" ht="12.75" hidden="1" customHeight="1" outlineLevel="1">
      <c r="A299" s="659"/>
      <c r="B299" s="41"/>
      <c r="V299" s="664"/>
      <c r="W299" s="660"/>
      <c r="X299" s="662"/>
      <c r="Y299" s="660"/>
      <c r="Z299" s="660"/>
      <c r="AA299" s="664"/>
      <c r="AB299" s="660"/>
      <c r="AC299" s="662"/>
      <c r="AD299" s="662"/>
      <c r="AE299" s="662"/>
      <c r="AF299" s="665"/>
      <c r="AG299" s="660"/>
      <c r="AH299" s="660"/>
      <c r="AI299" s="662"/>
      <c r="AJ299" s="662"/>
      <c r="AK299" s="665"/>
      <c r="AL299" s="662"/>
      <c r="AM299" s="662"/>
      <c r="AN299" s="662"/>
      <c r="AO299" s="662"/>
      <c r="AP299" s="664"/>
      <c r="AQ299" s="662"/>
      <c r="AR299" s="662"/>
      <c r="AS299" s="662"/>
      <c r="AT299" s="662"/>
      <c r="AU299" s="665"/>
      <c r="AV299" s="66"/>
      <c r="AW299" s="66"/>
      <c r="AX299" s="66"/>
      <c r="AY299" s="66"/>
      <c r="AZ299" s="66"/>
      <c r="BA299" s="66"/>
      <c r="BB299" s="66"/>
      <c r="BC299" s="66"/>
      <c r="BD299" s="66"/>
      <c r="BE299" s="66"/>
      <c r="BF299" s="66"/>
      <c r="BG299" s="66"/>
      <c r="BH299" s="66"/>
      <c r="BI299" s="66"/>
      <c r="BJ299" s="66"/>
      <c r="BK299" s="66"/>
      <c r="BL299" s="66"/>
      <c r="BM299" s="117"/>
      <c r="BN299" s="66"/>
      <c r="BO299" s="66"/>
      <c r="BP299" s="66"/>
      <c r="BQ299" s="66"/>
      <c r="BR299" s="66"/>
      <c r="BS299" s="66"/>
      <c r="BT299" s="66"/>
      <c r="BU299" s="117"/>
      <c r="BV299" s="66"/>
      <c r="BW299" s="117"/>
      <c r="BX299" s="117"/>
      <c r="BY299" s="117"/>
      <c r="BZ299" s="66"/>
      <c r="CA299" s="66"/>
      <c r="CB299" s="66"/>
      <c r="CC299" s="66"/>
      <c r="CD299" s="66"/>
      <c r="CE299" s="66"/>
      <c r="CF299" s="66"/>
      <c r="CG299" s="66"/>
      <c r="CH299" s="66"/>
      <c r="CI299" s="66"/>
      <c r="CJ299" s="66"/>
      <c r="CK299" s="66"/>
      <c r="CL299" s="66"/>
      <c r="CM299" s="66"/>
      <c r="CN299" s="66"/>
      <c r="CR299" s="66"/>
      <c r="CS299" s="66"/>
      <c r="CT299" s="66"/>
      <c r="CU299" s="66"/>
      <c r="CV299" s="66"/>
      <c r="CW299" s="66"/>
    </row>
    <row r="300" spans="1:101" ht="12.75" hidden="1" customHeight="1" outlineLevel="1">
      <c r="A300" s="598"/>
      <c r="B300" s="41"/>
      <c r="V300" s="388"/>
      <c r="W300" s="46"/>
      <c r="X300" s="46"/>
      <c r="Y300" s="46"/>
      <c r="Z300" s="46"/>
      <c r="AA300" s="388"/>
      <c r="AB300" s="46"/>
      <c r="AC300" s="46"/>
      <c r="AD300" s="46"/>
      <c r="AE300" s="46"/>
      <c r="AF300" s="605"/>
      <c r="AG300" s="46"/>
      <c r="AH300" s="46"/>
      <c r="AI300" s="46"/>
      <c r="AJ300" s="46"/>
      <c r="AK300" s="605"/>
      <c r="AL300" s="46"/>
      <c r="AM300" s="46"/>
      <c r="AN300" s="46"/>
      <c r="AO300" s="46"/>
      <c r="AP300" s="388"/>
      <c r="AQ300" s="46"/>
      <c r="AR300" s="46"/>
      <c r="AS300" s="46"/>
      <c r="AT300" s="46"/>
      <c r="AU300" s="605"/>
      <c r="AV300" s="66"/>
      <c r="AW300" s="66"/>
      <c r="AX300" s="66"/>
      <c r="AY300" s="66"/>
      <c r="AZ300" s="66"/>
      <c r="BA300" s="66"/>
      <c r="BB300" s="66"/>
      <c r="BC300" s="66"/>
      <c r="BD300" s="66"/>
      <c r="BE300" s="66"/>
      <c r="BF300" s="66"/>
      <c r="BG300" s="66"/>
      <c r="BH300" s="66"/>
      <c r="BI300" s="66"/>
      <c r="BJ300" s="66"/>
      <c r="BK300" s="66"/>
      <c r="BL300" s="66"/>
      <c r="BM300" s="117"/>
      <c r="BN300" s="66"/>
      <c r="BO300" s="66"/>
      <c r="BP300" s="66"/>
      <c r="BQ300" s="66"/>
      <c r="BR300" s="66"/>
      <c r="BS300" s="66"/>
      <c r="BT300" s="66"/>
      <c r="BU300" s="117"/>
      <c r="BV300" s="66"/>
      <c r="BW300" s="117"/>
      <c r="BX300" s="117"/>
      <c r="BY300" s="117"/>
      <c r="BZ300" s="66"/>
      <c r="CA300" s="66"/>
      <c r="CB300" s="66"/>
      <c r="CC300" s="66"/>
      <c r="CD300" s="66"/>
      <c r="CE300" s="66"/>
      <c r="CF300" s="66"/>
      <c r="CG300" s="66"/>
      <c r="CH300" s="66"/>
      <c r="CI300" s="66"/>
      <c r="CJ300" s="66"/>
      <c r="CK300" s="66"/>
      <c r="CL300" s="66"/>
      <c r="CM300" s="66"/>
      <c r="CN300" s="66"/>
      <c r="CR300" s="66"/>
      <c r="CS300" s="66"/>
      <c r="CT300" s="66"/>
      <c r="CU300" s="66"/>
      <c r="CV300" s="66"/>
      <c r="CW300" s="66"/>
    </row>
    <row r="301" spans="1:101" ht="12.75" hidden="1" customHeight="1" outlineLevel="1">
      <c r="A301" s="598"/>
      <c r="B301" s="41"/>
      <c r="V301" s="153"/>
      <c r="W301" s="46"/>
      <c r="X301" s="46"/>
      <c r="Y301" s="46"/>
      <c r="Z301" s="46"/>
      <c r="AA301" s="153"/>
      <c r="AB301" s="46"/>
      <c r="AC301" s="169"/>
      <c r="AD301" s="169"/>
      <c r="AE301" s="169"/>
      <c r="AF301" s="644"/>
      <c r="AG301" s="46"/>
      <c r="AH301" s="46"/>
      <c r="AI301" s="169"/>
      <c r="AJ301" s="169"/>
      <c r="AK301" s="644"/>
      <c r="AL301" s="169"/>
      <c r="AM301" s="169"/>
      <c r="AN301" s="169"/>
      <c r="AO301" s="169"/>
      <c r="AP301" s="198"/>
      <c r="AQ301" s="169"/>
      <c r="AR301" s="169"/>
      <c r="AS301" s="169"/>
      <c r="AT301" s="169"/>
      <c r="AU301" s="644"/>
      <c r="AV301" s="66"/>
      <c r="AW301" s="66"/>
      <c r="AX301" s="66"/>
      <c r="AY301" s="66"/>
      <c r="AZ301" s="66"/>
      <c r="BA301" s="66"/>
      <c r="BB301" s="66"/>
      <c r="BC301" s="66"/>
      <c r="BD301" s="66"/>
      <c r="BE301" s="66"/>
      <c r="BF301" s="66"/>
      <c r="BG301" s="66"/>
      <c r="BH301" s="66"/>
      <c r="BI301" s="66"/>
      <c r="BJ301" s="66"/>
      <c r="BK301" s="66"/>
      <c r="BL301" s="66"/>
      <c r="BM301" s="117"/>
      <c r="BN301" s="66"/>
      <c r="BO301" s="66"/>
      <c r="BP301" s="66"/>
      <c r="BQ301" s="66"/>
      <c r="BR301" s="66"/>
      <c r="BS301" s="66"/>
      <c r="BT301" s="66"/>
      <c r="BU301" s="117"/>
      <c r="BV301" s="66"/>
      <c r="BW301" s="117"/>
      <c r="BX301" s="117"/>
      <c r="BY301" s="117"/>
      <c r="BZ301" s="66"/>
      <c r="CA301" s="66"/>
      <c r="CB301" s="66"/>
      <c r="CC301" s="66"/>
      <c r="CD301" s="66"/>
      <c r="CE301" s="66"/>
      <c r="CF301" s="66"/>
      <c r="CG301" s="66"/>
      <c r="CH301" s="66"/>
      <c r="CI301" s="66"/>
      <c r="CJ301" s="66"/>
      <c r="CK301" s="66"/>
      <c r="CL301" s="66"/>
      <c r="CM301" s="66"/>
      <c r="CN301" s="66"/>
      <c r="CR301" s="66"/>
      <c r="CS301" s="66"/>
      <c r="CT301" s="66"/>
      <c r="CU301" s="66"/>
      <c r="CV301" s="66"/>
      <c r="CW301" s="66"/>
    </row>
    <row r="302" spans="1:101" ht="12.75" hidden="1" customHeight="1" outlineLevel="1">
      <c r="A302" s="597"/>
      <c r="B302" s="41"/>
      <c r="V302" s="167"/>
      <c r="W302" s="165"/>
      <c r="X302" s="165"/>
      <c r="Y302" s="165"/>
      <c r="Z302" s="165"/>
      <c r="AA302" s="167"/>
      <c r="AB302" s="165"/>
      <c r="AC302" s="165"/>
      <c r="AD302" s="165"/>
      <c r="AE302" s="165"/>
      <c r="AF302" s="167"/>
      <c r="AG302" s="165"/>
      <c r="AH302" s="165"/>
      <c r="AI302" s="165"/>
      <c r="AJ302" s="165"/>
      <c r="AK302" s="167"/>
      <c r="AL302" s="165"/>
      <c r="AM302" s="165"/>
      <c r="AN302" s="165"/>
      <c r="AO302" s="165"/>
      <c r="AP302" s="167"/>
      <c r="AQ302" s="165"/>
      <c r="AR302" s="165"/>
      <c r="AS302" s="165"/>
      <c r="AT302" s="165"/>
      <c r="AU302" s="167"/>
      <c r="AV302" s="66"/>
      <c r="AW302" s="66"/>
      <c r="AX302" s="66"/>
      <c r="AY302" s="66"/>
      <c r="AZ302" s="66"/>
      <c r="BA302" s="66"/>
      <c r="BB302" s="66"/>
      <c r="BC302" s="66"/>
      <c r="BD302" s="66"/>
      <c r="BE302" s="66"/>
      <c r="BF302" s="66"/>
      <c r="BG302" s="66"/>
      <c r="BH302" s="66"/>
      <c r="BI302" s="66"/>
      <c r="BJ302" s="66"/>
      <c r="BK302" s="66"/>
      <c r="BL302" s="66"/>
      <c r="BM302" s="117"/>
      <c r="BN302" s="66"/>
      <c r="BO302" s="66"/>
      <c r="BP302" s="66"/>
      <c r="BQ302" s="66"/>
      <c r="BR302" s="66"/>
      <c r="BS302" s="66"/>
      <c r="BT302" s="66"/>
      <c r="BU302" s="117"/>
      <c r="BV302" s="66"/>
      <c r="BW302" s="117"/>
      <c r="BX302" s="117"/>
      <c r="BY302" s="117"/>
      <c r="BZ302" s="66"/>
      <c r="CA302" s="66"/>
      <c r="CB302" s="66"/>
      <c r="CC302" s="66"/>
      <c r="CD302" s="66"/>
      <c r="CE302" s="66"/>
      <c r="CF302" s="66"/>
      <c r="CG302" s="66"/>
      <c r="CH302" s="66"/>
      <c r="CI302" s="66"/>
      <c r="CJ302" s="66"/>
      <c r="CK302" s="66"/>
      <c r="CL302" s="66"/>
      <c r="CM302" s="66"/>
      <c r="CN302" s="66"/>
      <c r="CR302" s="66"/>
      <c r="CS302" s="66"/>
      <c r="CT302" s="66"/>
      <c r="CU302" s="66"/>
      <c r="CV302" s="66"/>
      <c r="CW302" s="66"/>
    </row>
    <row r="303" spans="1:101" ht="12.75" hidden="1" customHeight="1" outlineLevel="1">
      <c r="A303" s="600"/>
      <c r="B303" s="41"/>
      <c r="V303" s="157"/>
      <c r="W303" s="156"/>
      <c r="X303" s="76"/>
      <c r="Y303" s="76"/>
      <c r="Z303" s="76"/>
      <c r="AA303" s="157"/>
      <c r="AB303" s="156"/>
      <c r="AC303" s="400"/>
      <c r="AD303" s="400"/>
      <c r="AE303" s="400"/>
      <c r="AF303" s="608"/>
      <c r="AG303" s="156"/>
      <c r="AH303" s="76"/>
      <c r="AI303" s="400"/>
      <c r="AJ303" s="400"/>
      <c r="AK303" s="608"/>
      <c r="AL303" s="399"/>
      <c r="AM303" s="400"/>
      <c r="AN303" s="400"/>
      <c r="AO303" s="400"/>
      <c r="AP303" s="157"/>
      <c r="AQ303" s="399"/>
      <c r="AR303" s="400"/>
      <c r="AS303" s="400"/>
      <c r="AT303" s="400"/>
      <c r="AU303" s="608"/>
      <c r="AV303" s="66"/>
      <c r="AW303" s="66"/>
      <c r="AX303" s="66"/>
      <c r="AY303" s="66"/>
      <c r="AZ303" s="66"/>
      <c r="BA303" s="66"/>
      <c r="BB303" s="66"/>
      <c r="BC303" s="66"/>
      <c r="BD303" s="66"/>
      <c r="BE303" s="66"/>
      <c r="BF303" s="66"/>
      <c r="BG303" s="66"/>
      <c r="BH303" s="66"/>
      <c r="BI303" s="66"/>
      <c r="BJ303" s="66"/>
      <c r="BK303" s="66"/>
      <c r="BL303" s="66"/>
      <c r="BM303" s="117"/>
      <c r="BN303" s="66"/>
      <c r="BO303" s="66"/>
      <c r="BP303" s="66"/>
      <c r="BQ303" s="66"/>
      <c r="BR303" s="66"/>
      <c r="BS303" s="66"/>
      <c r="BT303" s="66"/>
      <c r="BU303" s="117"/>
      <c r="BV303" s="66"/>
      <c r="BW303" s="117"/>
      <c r="BX303" s="117"/>
      <c r="BY303" s="117"/>
      <c r="BZ303" s="66"/>
      <c r="CA303" s="66"/>
      <c r="CB303" s="66"/>
      <c r="CC303" s="66"/>
      <c r="CD303" s="66"/>
      <c r="CE303" s="66"/>
      <c r="CF303" s="66"/>
      <c r="CG303" s="66"/>
      <c r="CH303" s="66"/>
      <c r="CI303" s="66"/>
      <c r="CJ303" s="66"/>
      <c r="CK303" s="66"/>
      <c r="CL303" s="66"/>
      <c r="CM303" s="66"/>
      <c r="CN303" s="66"/>
      <c r="CR303" s="66"/>
      <c r="CS303" s="66"/>
      <c r="CT303" s="66"/>
      <c r="CU303" s="66"/>
      <c r="CV303" s="66"/>
      <c r="CW303" s="66"/>
    </row>
    <row r="304" spans="1:101" ht="12.75" hidden="1" customHeight="1" outlineLevel="1">
      <c r="A304" s="601"/>
      <c r="B304" s="41"/>
      <c r="V304" s="161"/>
      <c r="W304" s="155"/>
      <c r="X304" s="155"/>
      <c r="Y304" s="155"/>
      <c r="Z304" s="155"/>
      <c r="AA304" s="161"/>
      <c r="AB304" s="155"/>
      <c r="AC304" s="162"/>
      <c r="AD304" s="162"/>
      <c r="AE304" s="162"/>
      <c r="AF304" s="609"/>
      <c r="AG304" s="155"/>
      <c r="AH304" s="155"/>
      <c r="AI304" s="162"/>
      <c r="AJ304" s="162"/>
      <c r="AK304" s="609"/>
      <c r="AL304" s="162"/>
      <c r="AM304" s="162"/>
      <c r="AN304" s="162"/>
      <c r="AO304" s="162"/>
      <c r="AP304" s="161"/>
      <c r="AQ304" s="162"/>
      <c r="AR304" s="162"/>
      <c r="AS304" s="162"/>
      <c r="AT304" s="162"/>
      <c r="AU304" s="609"/>
      <c r="AV304" s="66"/>
      <c r="AW304" s="66"/>
      <c r="AX304" s="66"/>
      <c r="AY304" s="66"/>
      <c r="AZ304" s="66"/>
      <c r="BA304" s="66"/>
      <c r="BB304" s="66"/>
      <c r="BC304" s="66"/>
      <c r="BD304" s="66"/>
      <c r="BE304" s="66"/>
      <c r="BF304" s="66"/>
      <c r="BG304" s="66"/>
      <c r="BH304" s="66"/>
      <c r="BI304" s="66"/>
      <c r="BJ304" s="66"/>
      <c r="BK304" s="66"/>
      <c r="BL304" s="66"/>
      <c r="BM304" s="117"/>
      <c r="BN304" s="66"/>
      <c r="BO304" s="66"/>
      <c r="BP304" s="66"/>
      <c r="BQ304" s="66"/>
      <c r="BR304" s="66"/>
      <c r="BS304" s="66"/>
      <c r="BT304" s="66"/>
      <c r="BU304" s="117"/>
      <c r="BV304" s="66"/>
      <c r="BW304" s="117"/>
      <c r="BX304" s="117"/>
      <c r="BY304" s="117"/>
      <c r="BZ304" s="66"/>
      <c r="CA304" s="66"/>
      <c r="CB304" s="66"/>
      <c r="CC304" s="66"/>
      <c r="CD304" s="66"/>
      <c r="CE304" s="66"/>
      <c r="CF304" s="66"/>
      <c r="CG304" s="66"/>
      <c r="CH304" s="66"/>
      <c r="CI304" s="66"/>
      <c r="CJ304" s="66"/>
      <c r="CK304" s="66"/>
      <c r="CL304" s="66"/>
      <c r="CM304" s="66"/>
      <c r="CN304" s="66"/>
      <c r="CR304" s="66"/>
      <c r="CS304" s="66"/>
      <c r="CT304" s="66"/>
      <c r="CU304" s="66"/>
      <c r="CV304" s="66"/>
      <c r="CW304" s="66"/>
    </row>
    <row r="305" spans="1:101" ht="12.75" hidden="1" customHeight="1" outlineLevel="1">
      <c r="A305" s="595"/>
      <c r="B305" s="41"/>
      <c r="V305" s="161"/>
      <c r="W305" s="155"/>
      <c r="X305" s="155"/>
      <c r="Y305" s="155"/>
      <c r="Z305" s="155"/>
      <c r="AA305" s="161"/>
      <c r="AB305" s="155"/>
      <c r="AC305" s="162"/>
      <c r="AD305" s="162"/>
      <c r="AE305" s="162"/>
      <c r="AF305" s="609"/>
      <c r="AG305" s="155"/>
      <c r="AH305" s="155"/>
      <c r="AI305" s="162"/>
      <c r="AJ305" s="162"/>
      <c r="AK305" s="609"/>
      <c r="AL305" s="162"/>
      <c r="AM305" s="162"/>
      <c r="AN305" s="162"/>
      <c r="AO305" s="162"/>
      <c r="AP305" s="161"/>
      <c r="AQ305" s="162"/>
      <c r="AR305" s="162"/>
      <c r="AS305" s="162"/>
      <c r="AT305" s="162"/>
      <c r="AU305" s="609"/>
      <c r="AV305" s="66"/>
      <c r="AW305" s="66"/>
      <c r="AX305" s="66"/>
      <c r="AY305" s="66"/>
      <c r="AZ305" s="66"/>
      <c r="BA305" s="66"/>
      <c r="BB305" s="66"/>
      <c r="BC305" s="66"/>
      <c r="BD305" s="66"/>
      <c r="BE305" s="66"/>
      <c r="BF305" s="66"/>
      <c r="BG305" s="66"/>
      <c r="BH305" s="66"/>
      <c r="BI305" s="66"/>
      <c r="BJ305" s="66"/>
      <c r="BK305" s="66"/>
      <c r="BL305" s="66"/>
      <c r="BM305" s="117"/>
      <c r="BN305" s="66"/>
      <c r="BO305" s="66"/>
      <c r="BP305" s="66"/>
      <c r="BQ305" s="66"/>
      <c r="BR305" s="66"/>
      <c r="BS305" s="66"/>
      <c r="BT305" s="66"/>
      <c r="BU305" s="117"/>
      <c r="BV305" s="66"/>
      <c r="BW305" s="117"/>
      <c r="BX305" s="117"/>
      <c r="BY305" s="117"/>
      <c r="BZ305" s="66"/>
      <c r="CA305" s="66"/>
      <c r="CB305" s="66"/>
      <c r="CC305" s="66"/>
      <c r="CD305" s="66"/>
      <c r="CE305" s="66"/>
      <c r="CF305" s="66"/>
      <c r="CG305" s="66"/>
      <c r="CH305" s="66"/>
      <c r="CI305" s="66"/>
      <c r="CJ305" s="66"/>
      <c r="CK305" s="66"/>
      <c r="CL305" s="66"/>
      <c r="CM305" s="66"/>
      <c r="CN305" s="66"/>
      <c r="CR305" s="66"/>
      <c r="CS305" s="66"/>
      <c r="CT305" s="66"/>
      <c r="CU305" s="66"/>
      <c r="CV305" s="66"/>
      <c r="CW305" s="66"/>
    </row>
    <row r="306" spans="1:101" ht="12.75" hidden="1" customHeight="1" outlineLevel="1">
      <c r="A306" s="595"/>
      <c r="B306" s="41"/>
      <c r="V306" s="161"/>
      <c r="W306" s="155"/>
      <c r="X306" s="155"/>
      <c r="Y306" s="155"/>
      <c r="Z306" s="155"/>
      <c r="AA306" s="161"/>
      <c r="AB306" s="155"/>
      <c r="AC306" s="162"/>
      <c r="AD306" s="162"/>
      <c r="AE306" s="162"/>
      <c r="AF306" s="609"/>
      <c r="AG306" s="155"/>
      <c r="AH306" s="155"/>
      <c r="AI306" s="162"/>
      <c r="AJ306" s="162"/>
      <c r="AK306" s="609"/>
      <c r="AL306" s="162"/>
      <c r="AM306" s="162"/>
      <c r="AN306" s="162"/>
      <c r="AO306" s="162"/>
      <c r="AP306" s="161"/>
      <c r="AQ306" s="162"/>
      <c r="AR306" s="162"/>
      <c r="AS306" s="162"/>
      <c r="AT306" s="162"/>
      <c r="AU306" s="609"/>
      <c r="AV306" s="66"/>
      <c r="AW306" s="66"/>
      <c r="AX306" s="66"/>
      <c r="AY306" s="66"/>
      <c r="AZ306" s="66"/>
      <c r="BA306" s="66"/>
      <c r="BB306" s="66"/>
      <c r="BC306" s="66"/>
      <c r="BD306" s="66"/>
      <c r="BE306" s="66"/>
      <c r="BF306" s="66"/>
      <c r="BG306" s="66"/>
      <c r="BH306" s="66"/>
      <c r="BI306" s="66"/>
      <c r="BJ306" s="66"/>
      <c r="BK306" s="66"/>
      <c r="BL306" s="66"/>
      <c r="BM306" s="117"/>
      <c r="BN306" s="66"/>
      <c r="BO306" s="66"/>
      <c r="BP306" s="66"/>
      <c r="BQ306" s="66"/>
      <c r="BR306" s="66"/>
      <c r="BS306" s="66"/>
      <c r="BT306" s="66"/>
      <c r="BU306" s="117"/>
      <c r="BV306" s="66"/>
      <c r="BW306" s="117"/>
      <c r="BX306" s="117"/>
      <c r="BY306" s="117"/>
      <c r="BZ306" s="66"/>
      <c r="CA306" s="66"/>
      <c r="CB306" s="66"/>
      <c r="CC306" s="66"/>
      <c r="CD306" s="66"/>
      <c r="CE306" s="66"/>
      <c r="CF306" s="66"/>
      <c r="CG306" s="66"/>
      <c r="CH306" s="66"/>
      <c r="CI306" s="66"/>
      <c r="CJ306" s="66"/>
      <c r="CK306" s="66"/>
      <c r="CL306" s="66"/>
      <c r="CM306" s="66"/>
      <c r="CN306" s="66"/>
      <c r="CR306" s="66"/>
      <c r="CS306" s="66"/>
      <c r="CT306" s="66"/>
      <c r="CU306" s="66"/>
      <c r="CV306" s="66"/>
      <c r="CW306" s="66"/>
    </row>
    <row r="307" spans="1:101" ht="12.75" hidden="1" customHeight="1" outlineLevel="1">
      <c r="A307" s="595"/>
      <c r="B307" s="41"/>
      <c r="V307" s="161"/>
      <c r="W307" s="155"/>
      <c r="X307" s="155"/>
      <c r="Y307" s="155"/>
      <c r="Z307" s="155"/>
      <c r="AA307" s="161"/>
      <c r="AB307" s="155"/>
      <c r="AC307" s="162"/>
      <c r="AD307" s="162"/>
      <c r="AE307" s="162"/>
      <c r="AF307" s="609"/>
      <c r="AG307" s="155"/>
      <c r="AH307" s="155"/>
      <c r="AI307" s="162"/>
      <c r="AJ307" s="162"/>
      <c r="AK307" s="609"/>
      <c r="AL307" s="162"/>
      <c r="AM307" s="162"/>
      <c r="AN307" s="162"/>
      <c r="AO307" s="162"/>
      <c r="AP307" s="161"/>
      <c r="AQ307" s="162"/>
      <c r="AR307" s="162"/>
      <c r="AS307" s="162"/>
      <c r="AT307" s="162"/>
      <c r="AU307" s="609"/>
      <c r="AV307" s="66"/>
      <c r="AW307" s="66"/>
      <c r="AX307" s="66"/>
      <c r="AY307" s="66"/>
      <c r="AZ307" s="66"/>
      <c r="BA307" s="66"/>
      <c r="BB307" s="66"/>
      <c r="BC307" s="66"/>
      <c r="BD307" s="66"/>
      <c r="BE307" s="66"/>
      <c r="BF307" s="66"/>
      <c r="BG307" s="66"/>
      <c r="BH307" s="66"/>
      <c r="BI307" s="66"/>
      <c r="BJ307" s="66"/>
      <c r="BK307" s="66"/>
      <c r="BL307" s="66"/>
      <c r="BM307" s="117"/>
      <c r="BN307" s="66"/>
      <c r="BO307" s="66"/>
      <c r="BP307" s="66"/>
      <c r="BQ307" s="66"/>
      <c r="BR307" s="66"/>
      <c r="BS307" s="66"/>
      <c r="BT307" s="66"/>
      <c r="BU307" s="117"/>
      <c r="BV307" s="66"/>
      <c r="BW307" s="117"/>
      <c r="BX307" s="117"/>
      <c r="BY307" s="117"/>
      <c r="BZ307" s="66"/>
      <c r="CA307" s="66"/>
      <c r="CB307" s="66"/>
      <c r="CC307" s="66"/>
      <c r="CD307" s="66"/>
      <c r="CE307" s="66"/>
      <c r="CF307" s="66"/>
      <c r="CG307" s="66"/>
      <c r="CH307" s="66"/>
      <c r="CI307" s="66"/>
      <c r="CJ307" s="66"/>
      <c r="CK307" s="66"/>
      <c r="CL307" s="66"/>
      <c r="CM307" s="66"/>
      <c r="CN307" s="66"/>
      <c r="CR307" s="66"/>
      <c r="CS307" s="66"/>
      <c r="CT307" s="66"/>
      <c r="CU307" s="66"/>
      <c r="CV307" s="66"/>
      <c r="CW307" s="66"/>
    </row>
    <row r="308" spans="1:101" ht="12.75" hidden="1" customHeight="1" outlineLevel="1">
      <c r="A308" s="624"/>
      <c r="B308" s="41"/>
      <c r="V308" s="161"/>
      <c r="W308" s="155"/>
      <c r="X308" s="155"/>
      <c r="Y308" s="155"/>
      <c r="Z308" s="155"/>
      <c r="AA308" s="161"/>
      <c r="AB308" s="155"/>
      <c r="AC308" s="162"/>
      <c r="AD308" s="162"/>
      <c r="AE308" s="162"/>
      <c r="AF308" s="645"/>
      <c r="AG308" s="155"/>
      <c r="AH308" s="155"/>
      <c r="AI308" s="162"/>
      <c r="AJ308" s="162"/>
      <c r="AK308" s="645"/>
      <c r="AL308" s="162"/>
      <c r="AM308" s="162"/>
      <c r="AN308" s="162"/>
      <c r="AO308" s="162"/>
      <c r="AP308" s="207"/>
      <c r="AQ308" s="162"/>
      <c r="AR308" s="162"/>
      <c r="AS308" s="162"/>
      <c r="AT308" s="162"/>
      <c r="AU308" s="645"/>
      <c r="AV308" s="66"/>
      <c r="AW308" s="66"/>
      <c r="AX308" s="66"/>
      <c r="AY308" s="66"/>
      <c r="AZ308" s="66"/>
      <c r="BA308" s="66"/>
      <c r="BB308" s="66"/>
      <c r="BC308" s="66"/>
      <c r="BD308" s="66"/>
      <c r="BE308" s="66"/>
      <c r="BF308" s="66"/>
      <c r="BG308" s="66"/>
      <c r="BH308" s="66"/>
      <c r="BI308" s="66"/>
      <c r="BJ308" s="66"/>
      <c r="BK308" s="66"/>
      <c r="BL308" s="66"/>
      <c r="BM308" s="117"/>
      <c r="BN308" s="66"/>
      <c r="BO308" s="66"/>
      <c r="BP308" s="66"/>
      <c r="BQ308" s="66"/>
      <c r="BR308" s="66"/>
      <c r="BS308" s="66"/>
      <c r="BT308" s="66"/>
      <c r="BU308" s="117"/>
      <c r="BV308" s="66"/>
      <c r="BW308" s="117"/>
      <c r="BX308" s="117"/>
      <c r="BY308" s="117"/>
      <c r="BZ308" s="66"/>
      <c r="CA308" s="66"/>
      <c r="CB308" s="66"/>
      <c r="CC308" s="66"/>
      <c r="CD308" s="66"/>
      <c r="CE308" s="66"/>
      <c r="CF308" s="66"/>
      <c r="CG308" s="66"/>
      <c r="CH308" s="66"/>
      <c r="CI308" s="66"/>
      <c r="CJ308" s="66"/>
      <c r="CK308" s="66"/>
      <c r="CL308" s="66"/>
      <c r="CM308" s="66"/>
      <c r="CN308" s="66"/>
      <c r="CR308" s="66"/>
      <c r="CS308" s="66"/>
      <c r="CT308" s="66"/>
      <c r="CU308" s="66"/>
      <c r="CV308" s="66"/>
      <c r="CW308" s="66"/>
    </row>
    <row r="309" spans="1:101" ht="12.75" hidden="1" customHeight="1" outlineLevel="1">
      <c r="A309" s="601"/>
      <c r="B309" s="41"/>
      <c r="V309" s="153"/>
      <c r="W309" s="46"/>
      <c r="X309" s="46"/>
      <c r="Y309" s="46"/>
      <c r="Z309" s="46"/>
      <c r="AA309" s="153"/>
      <c r="AB309" s="46"/>
      <c r="AC309" s="154"/>
      <c r="AD309" s="154"/>
      <c r="AE309" s="154"/>
      <c r="AF309" s="606"/>
      <c r="AG309" s="46"/>
      <c r="AH309" s="46"/>
      <c r="AI309" s="154"/>
      <c r="AJ309" s="154"/>
      <c r="AK309" s="606"/>
      <c r="AL309" s="154"/>
      <c r="AM309" s="154"/>
      <c r="AN309" s="154"/>
      <c r="AO309" s="154"/>
      <c r="AP309" s="153"/>
      <c r="AQ309" s="154"/>
      <c r="AR309" s="154"/>
      <c r="AS309" s="154"/>
      <c r="AT309" s="154"/>
      <c r="AU309" s="606"/>
      <c r="AV309" s="66"/>
      <c r="AW309" s="66"/>
      <c r="AX309" s="66"/>
      <c r="AY309" s="66"/>
      <c r="AZ309" s="66"/>
      <c r="BA309" s="66"/>
      <c r="BB309" s="66"/>
      <c r="BC309" s="66"/>
      <c r="BD309" s="66"/>
      <c r="BE309" s="66"/>
      <c r="BF309" s="66"/>
      <c r="BG309" s="66"/>
      <c r="BH309" s="66"/>
      <c r="BI309" s="66"/>
      <c r="BJ309" s="66"/>
      <c r="BK309" s="66"/>
      <c r="BL309" s="66"/>
      <c r="BM309" s="117"/>
      <c r="BN309" s="66"/>
      <c r="BO309" s="66"/>
      <c r="BP309" s="66"/>
      <c r="BQ309" s="66"/>
      <c r="BR309" s="66"/>
      <c r="BS309" s="66"/>
      <c r="BT309" s="66"/>
      <c r="BU309" s="117"/>
      <c r="BV309" s="66"/>
      <c r="BW309" s="117"/>
      <c r="BX309" s="117"/>
      <c r="BY309" s="117"/>
      <c r="BZ309" s="66"/>
      <c r="CA309" s="66"/>
      <c r="CB309" s="66"/>
      <c r="CC309" s="66"/>
      <c r="CD309" s="66"/>
      <c r="CE309" s="66"/>
      <c r="CF309" s="66"/>
      <c r="CG309" s="66"/>
      <c r="CH309" s="66"/>
      <c r="CI309" s="66"/>
      <c r="CJ309" s="66"/>
      <c r="CK309" s="66"/>
      <c r="CL309" s="66"/>
      <c r="CM309" s="66"/>
      <c r="CN309" s="66"/>
      <c r="CR309" s="66"/>
      <c r="CS309" s="66"/>
      <c r="CT309" s="66"/>
      <c r="CU309" s="66"/>
      <c r="CV309" s="66"/>
      <c r="CW309" s="66"/>
    </row>
    <row r="310" spans="1:101" ht="12.75" hidden="1" customHeight="1" outlineLevel="1">
      <c r="A310" s="602"/>
      <c r="B310" s="41"/>
      <c r="V310" s="167"/>
      <c r="W310" s="165"/>
      <c r="X310" s="165"/>
      <c r="Y310" s="165"/>
      <c r="Z310" s="165"/>
      <c r="AA310" s="167"/>
      <c r="AB310" s="165"/>
      <c r="AC310" s="163"/>
      <c r="AD310" s="163"/>
      <c r="AE310" s="163"/>
      <c r="AF310" s="167"/>
      <c r="AG310" s="165"/>
      <c r="AH310" s="165"/>
      <c r="AI310" s="163"/>
      <c r="AJ310" s="163"/>
      <c r="AK310" s="167"/>
      <c r="AL310" s="163"/>
      <c r="AM310" s="163"/>
      <c r="AN310" s="163"/>
      <c r="AO310" s="163"/>
      <c r="AP310" s="167"/>
      <c r="AQ310" s="163"/>
      <c r="AR310" s="163"/>
      <c r="AS310" s="163"/>
      <c r="AT310" s="163"/>
      <c r="AU310" s="167"/>
      <c r="AV310" s="66"/>
      <c r="AW310" s="66"/>
      <c r="AX310" s="66"/>
      <c r="AY310" s="66"/>
      <c r="AZ310" s="66"/>
      <c r="BA310" s="66"/>
      <c r="BB310" s="66"/>
      <c r="BC310" s="66"/>
      <c r="BD310" s="66"/>
      <c r="BE310" s="66"/>
      <c r="BF310" s="66"/>
      <c r="BG310" s="66"/>
      <c r="BH310" s="66"/>
      <c r="BI310" s="66"/>
      <c r="BJ310" s="66"/>
      <c r="BK310" s="66"/>
      <c r="BL310" s="66"/>
      <c r="BM310" s="117"/>
      <c r="BN310" s="66"/>
      <c r="BO310" s="66"/>
      <c r="BP310" s="66"/>
      <c r="BQ310" s="66"/>
      <c r="BR310" s="66"/>
      <c r="BS310" s="66"/>
      <c r="BT310" s="66"/>
      <c r="BU310" s="117"/>
      <c r="BV310" s="66"/>
      <c r="BW310" s="117"/>
      <c r="BX310" s="117"/>
      <c r="BY310" s="117"/>
      <c r="BZ310" s="66"/>
      <c r="CA310" s="66"/>
      <c r="CB310" s="66"/>
      <c r="CC310" s="66"/>
      <c r="CD310" s="66"/>
      <c r="CE310" s="66"/>
      <c r="CF310" s="66"/>
      <c r="CG310" s="66"/>
      <c r="CH310" s="66"/>
      <c r="CI310" s="66"/>
      <c r="CJ310" s="66"/>
      <c r="CK310" s="66"/>
      <c r="CL310" s="66"/>
      <c r="CM310" s="66"/>
      <c r="CN310" s="66"/>
      <c r="CR310" s="66"/>
      <c r="CS310" s="66"/>
      <c r="CT310" s="66"/>
      <c r="CU310" s="66"/>
      <c r="CV310" s="66"/>
      <c r="CW310" s="66"/>
    </row>
    <row r="311" spans="1:101" ht="12.75" hidden="1" customHeight="1" outlineLevel="1">
      <c r="A311" s="601"/>
      <c r="B311" s="41"/>
      <c r="V311" s="153"/>
      <c r="W311" s="46"/>
      <c r="X311" s="46"/>
      <c r="Y311" s="46"/>
      <c r="Z311" s="46"/>
      <c r="AA311" s="153"/>
      <c r="AB311" s="46"/>
      <c r="AC311" s="154"/>
      <c r="AD311" s="154"/>
      <c r="AE311" s="154"/>
      <c r="AF311" s="153"/>
      <c r="AG311" s="46"/>
      <c r="AH311" s="46"/>
      <c r="AI311" s="154"/>
      <c r="AJ311" s="154"/>
      <c r="AK311" s="153"/>
      <c r="AL311" s="154"/>
      <c r="AM311" s="154"/>
      <c r="AN311" s="154"/>
      <c r="AO311" s="154"/>
      <c r="AP311" s="153"/>
      <c r="AQ311" s="154"/>
      <c r="AR311" s="154"/>
      <c r="AS311" s="154"/>
      <c r="AT311" s="154"/>
      <c r="AU311" s="153"/>
      <c r="AV311" s="66"/>
      <c r="AW311" s="66"/>
      <c r="AX311" s="66"/>
      <c r="AY311" s="66"/>
      <c r="AZ311" s="66"/>
      <c r="BA311" s="66"/>
      <c r="BB311" s="66"/>
      <c r="BC311" s="66"/>
      <c r="BD311" s="66"/>
      <c r="BE311" s="66"/>
      <c r="BF311" s="66"/>
      <c r="BG311" s="66"/>
      <c r="BH311" s="66"/>
      <c r="BI311" s="66"/>
      <c r="BJ311" s="66"/>
      <c r="BK311" s="66"/>
      <c r="BL311" s="66"/>
      <c r="BM311" s="117"/>
      <c r="BN311" s="66"/>
      <c r="BO311" s="66"/>
      <c r="BP311" s="66"/>
      <c r="BQ311" s="66"/>
      <c r="BR311" s="66"/>
      <c r="BS311" s="66"/>
      <c r="BT311" s="66"/>
      <c r="BU311" s="117"/>
      <c r="BV311" s="66"/>
      <c r="BW311" s="117"/>
      <c r="BX311" s="117"/>
      <c r="BY311" s="117"/>
      <c r="BZ311" s="66"/>
      <c r="CA311" s="66"/>
      <c r="CB311" s="66"/>
      <c r="CC311" s="66"/>
      <c r="CD311" s="66"/>
      <c r="CE311" s="66"/>
      <c r="CF311" s="66"/>
      <c r="CG311" s="66"/>
      <c r="CH311" s="66"/>
      <c r="CI311" s="66"/>
      <c r="CJ311" s="66"/>
      <c r="CK311" s="66"/>
      <c r="CL311" s="66"/>
      <c r="CM311" s="66"/>
      <c r="CN311" s="66"/>
      <c r="CR311" s="66"/>
      <c r="CS311" s="66"/>
      <c r="CT311" s="66"/>
      <c r="CU311" s="66"/>
      <c r="CV311" s="66"/>
      <c r="CW311" s="66"/>
    </row>
    <row r="312" spans="1:101" ht="12.75" hidden="1" customHeight="1" outlineLevel="1">
      <c r="A312" s="602"/>
      <c r="B312" s="41"/>
      <c r="V312" s="167"/>
      <c r="W312" s="165"/>
      <c r="X312" s="165"/>
      <c r="Y312" s="165"/>
      <c r="Z312" s="165"/>
      <c r="AA312" s="167"/>
      <c r="AB312" s="165"/>
      <c r="AC312" s="163"/>
      <c r="AD312" s="163"/>
      <c r="AE312" s="163"/>
      <c r="AF312" s="167"/>
      <c r="AG312" s="165"/>
      <c r="AH312" s="165"/>
      <c r="AI312" s="163"/>
      <c r="AJ312" s="163"/>
      <c r="AK312" s="167"/>
      <c r="AL312" s="163"/>
      <c r="AM312" s="163"/>
      <c r="AN312" s="163"/>
      <c r="AO312" s="163"/>
      <c r="AP312" s="167"/>
      <c r="AQ312" s="163"/>
      <c r="AR312" s="163"/>
      <c r="AS312" s="163"/>
      <c r="AT312" s="163"/>
      <c r="AU312" s="167"/>
      <c r="AV312" s="66"/>
      <c r="AW312" s="66"/>
      <c r="AX312" s="66"/>
      <c r="AY312" s="66"/>
      <c r="AZ312" s="66"/>
      <c r="BA312" s="66"/>
      <c r="BB312" s="66"/>
      <c r="BC312" s="66"/>
      <c r="BD312" s="66"/>
      <c r="BE312" s="66"/>
      <c r="BF312" s="66"/>
      <c r="BG312" s="66"/>
      <c r="BH312" s="66"/>
      <c r="BI312" s="66"/>
      <c r="BJ312" s="66"/>
      <c r="BK312" s="66"/>
      <c r="BL312" s="66"/>
      <c r="BM312" s="117"/>
      <c r="BN312" s="66"/>
      <c r="BO312" s="66"/>
      <c r="BP312" s="66"/>
      <c r="BQ312" s="66"/>
      <c r="BR312" s="66"/>
      <c r="BS312" s="66"/>
      <c r="BT312" s="66"/>
      <c r="BU312" s="117"/>
      <c r="BV312" s="66"/>
      <c r="BW312" s="117"/>
      <c r="BX312" s="117"/>
      <c r="BY312" s="117"/>
      <c r="BZ312" s="66"/>
      <c r="CA312" s="66"/>
      <c r="CB312" s="66"/>
      <c r="CC312" s="66"/>
      <c r="CD312" s="66"/>
      <c r="CE312" s="66"/>
      <c r="CF312" s="66"/>
      <c r="CG312" s="66"/>
      <c r="CH312" s="66"/>
      <c r="CI312" s="66"/>
      <c r="CJ312" s="66"/>
      <c r="CK312" s="66"/>
      <c r="CL312" s="66"/>
      <c r="CM312" s="66"/>
      <c r="CN312" s="66"/>
      <c r="CR312" s="66"/>
      <c r="CS312" s="66"/>
      <c r="CT312" s="66"/>
      <c r="CU312" s="66"/>
      <c r="CV312" s="66"/>
      <c r="CW312" s="66"/>
    </row>
    <row r="313" spans="1:101" ht="12.75" hidden="1" customHeight="1" outlineLevel="1">
      <c r="A313" s="603"/>
      <c r="B313" s="41"/>
      <c r="V313" s="153"/>
      <c r="W313" s="46"/>
      <c r="X313" s="46"/>
      <c r="Y313" s="46"/>
      <c r="Z313" s="46"/>
      <c r="AA313" s="153"/>
      <c r="AB313" s="46"/>
      <c r="AC313" s="169"/>
      <c r="AD313" s="169"/>
      <c r="AE313" s="169"/>
      <c r="AF313" s="153"/>
      <c r="AG313" s="46"/>
      <c r="AH313" s="46"/>
      <c r="AI313" s="169"/>
      <c r="AJ313" s="169"/>
      <c r="AK313" s="153"/>
      <c r="AL313" s="169"/>
      <c r="AM313" s="169"/>
      <c r="AN313" s="169"/>
      <c r="AO313" s="169"/>
      <c r="AP313" s="153"/>
      <c r="AQ313" s="169"/>
      <c r="AR313" s="169"/>
      <c r="AS313" s="169"/>
      <c r="AT313" s="169"/>
      <c r="AU313" s="153"/>
      <c r="AV313" s="66"/>
      <c r="AW313" s="66"/>
      <c r="AX313" s="66"/>
      <c r="AY313" s="66"/>
      <c r="AZ313" s="66"/>
      <c r="BA313" s="66"/>
      <c r="BB313" s="66"/>
      <c r="BC313" s="66"/>
      <c r="BD313" s="66"/>
      <c r="BE313" s="66"/>
      <c r="BF313" s="66"/>
      <c r="BG313" s="66"/>
      <c r="BH313" s="66"/>
      <c r="BI313" s="66"/>
      <c r="BJ313" s="66"/>
      <c r="BK313" s="66"/>
      <c r="BL313" s="66"/>
      <c r="BM313" s="117"/>
      <c r="BN313" s="66"/>
      <c r="BO313" s="66"/>
      <c r="BP313" s="66"/>
      <c r="BQ313" s="66"/>
      <c r="BR313" s="66"/>
      <c r="BS313" s="66"/>
      <c r="BT313" s="66"/>
      <c r="BU313" s="117"/>
      <c r="BV313" s="66"/>
      <c r="BW313" s="117"/>
      <c r="BX313" s="117"/>
      <c r="BY313" s="117"/>
      <c r="BZ313" s="66"/>
      <c r="CA313" s="66"/>
      <c r="CB313" s="66"/>
      <c r="CC313" s="66"/>
      <c r="CD313" s="66"/>
      <c r="CE313" s="66"/>
      <c r="CF313" s="66"/>
      <c r="CG313" s="66"/>
      <c r="CH313" s="66"/>
      <c r="CI313" s="66"/>
      <c r="CJ313" s="66"/>
      <c r="CK313" s="66"/>
      <c r="CL313" s="66"/>
      <c r="CM313" s="66"/>
      <c r="CN313" s="66"/>
      <c r="CR313" s="66"/>
      <c r="CS313" s="66"/>
      <c r="CT313" s="66"/>
      <c r="CU313" s="66"/>
      <c r="CV313" s="66"/>
      <c r="CW313" s="66"/>
    </row>
    <row r="314" spans="1:101" ht="12.75" hidden="1" customHeight="1" outlineLevel="1">
      <c r="A314" s="603"/>
      <c r="B314" s="41"/>
      <c r="V314" s="153"/>
      <c r="W314" s="46"/>
      <c r="X314" s="46"/>
      <c r="Y314" s="46"/>
      <c r="Z314" s="46"/>
      <c r="AA314" s="153"/>
      <c r="AB314" s="46"/>
      <c r="AC314" s="169"/>
      <c r="AD314" s="169"/>
      <c r="AE314" s="169"/>
      <c r="AF314" s="644"/>
      <c r="AG314" s="46"/>
      <c r="AH314" s="46"/>
      <c r="AI314" s="169"/>
      <c r="AJ314" s="169"/>
      <c r="AK314" s="644"/>
      <c r="AL314" s="169"/>
      <c r="AM314" s="169"/>
      <c r="AN314" s="169"/>
      <c r="AO314" s="169"/>
      <c r="AP314" s="198"/>
      <c r="AQ314" s="169"/>
      <c r="AR314" s="169"/>
      <c r="AS314" s="169"/>
      <c r="AT314" s="169"/>
      <c r="AU314" s="644"/>
      <c r="AV314" s="66"/>
      <c r="AW314" s="66"/>
      <c r="AX314" s="66"/>
      <c r="AY314" s="66"/>
      <c r="AZ314" s="66"/>
      <c r="BA314" s="66"/>
      <c r="BB314" s="66"/>
      <c r="BC314" s="66"/>
      <c r="BD314" s="66"/>
      <c r="BE314" s="66"/>
      <c r="BF314" s="66"/>
      <c r="BG314" s="66"/>
      <c r="BH314" s="66"/>
      <c r="BI314" s="66"/>
      <c r="BJ314" s="66"/>
      <c r="BK314" s="66"/>
      <c r="BL314" s="66"/>
      <c r="BM314" s="117"/>
      <c r="BN314" s="66"/>
      <c r="BO314" s="66"/>
      <c r="BP314" s="66"/>
      <c r="BQ314" s="66"/>
      <c r="BR314" s="66"/>
      <c r="BS314" s="66"/>
      <c r="BT314" s="66"/>
      <c r="BU314" s="117"/>
      <c r="BV314" s="66"/>
      <c r="BW314" s="117"/>
      <c r="BX314" s="117"/>
      <c r="BY314" s="117"/>
      <c r="BZ314" s="66"/>
      <c r="CA314" s="66"/>
      <c r="CB314" s="66"/>
      <c r="CC314" s="66"/>
      <c r="CD314" s="66"/>
      <c r="CE314" s="66"/>
      <c r="CF314" s="66"/>
      <c r="CG314" s="66"/>
      <c r="CH314" s="66"/>
      <c r="CI314" s="66"/>
      <c r="CJ314" s="66"/>
      <c r="CK314" s="66"/>
      <c r="CL314" s="66"/>
      <c r="CM314" s="66"/>
      <c r="CN314" s="66"/>
      <c r="CR314" s="66"/>
      <c r="CS314" s="66"/>
      <c r="CT314" s="66"/>
      <c r="CU314" s="66"/>
      <c r="CV314" s="66"/>
      <c r="CW314" s="66"/>
    </row>
    <row r="315" spans="1:101" ht="12.75" hidden="1" customHeight="1" outlineLevel="1">
      <c r="A315" s="808"/>
      <c r="B315" s="41"/>
      <c r="V315" s="620"/>
      <c r="W315" s="619"/>
      <c r="X315" s="619"/>
      <c r="Y315" s="619"/>
      <c r="Z315" s="619"/>
      <c r="AA315" s="620"/>
      <c r="AB315" s="619"/>
      <c r="AC315" s="809"/>
      <c r="AD315" s="809"/>
      <c r="AE315" s="809"/>
      <c r="AF315" s="620"/>
      <c r="AG315" s="619"/>
      <c r="AH315" s="619"/>
      <c r="AI315" s="809"/>
      <c r="AJ315" s="809"/>
      <c r="AK315" s="620"/>
      <c r="AL315" s="809"/>
      <c r="AM315" s="809"/>
      <c r="AN315" s="809"/>
      <c r="AO315" s="809"/>
      <c r="AP315" s="620"/>
      <c r="AQ315" s="809"/>
      <c r="AR315" s="809"/>
      <c r="AS315" s="809"/>
      <c r="AT315" s="809"/>
      <c r="AU315" s="620"/>
      <c r="AV315" s="66"/>
      <c r="AW315" s="66"/>
      <c r="AX315" s="66"/>
      <c r="AY315" s="66"/>
      <c r="AZ315" s="66"/>
      <c r="BA315" s="66"/>
      <c r="BB315" s="66"/>
      <c r="BC315" s="66"/>
      <c r="BD315" s="66"/>
      <c r="BE315" s="66"/>
      <c r="BF315" s="66"/>
      <c r="BG315" s="66"/>
      <c r="BH315" s="66"/>
      <c r="BI315" s="66"/>
      <c r="BJ315" s="66"/>
      <c r="BK315" s="66"/>
      <c r="BL315" s="66"/>
      <c r="BM315" s="117"/>
      <c r="BN315" s="66"/>
      <c r="BO315" s="66"/>
      <c r="BP315" s="66"/>
      <c r="BQ315" s="66"/>
      <c r="BR315" s="66"/>
      <c r="BS315" s="66"/>
      <c r="BT315" s="66"/>
      <c r="BU315" s="117"/>
      <c r="BV315" s="66"/>
      <c r="BW315" s="117"/>
      <c r="BX315" s="117"/>
      <c r="BY315" s="117"/>
      <c r="BZ315" s="66"/>
      <c r="CA315" s="66"/>
      <c r="CB315" s="66"/>
      <c r="CC315" s="66"/>
      <c r="CD315" s="66"/>
      <c r="CE315" s="66"/>
      <c r="CF315" s="66"/>
      <c r="CG315" s="66"/>
      <c r="CH315" s="66"/>
      <c r="CI315" s="66"/>
      <c r="CJ315" s="66"/>
      <c r="CK315" s="66"/>
      <c r="CL315" s="66"/>
      <c r="CM315" s="66"/>
      <c r="CN315" s="66"/>
      <c r="CR315" s="66"/>
      <c r="CS315" s="66"/>
      <c r="CT315" s="66"/>
      <c r="CU315" s="66"/>
      <c r="CV315" s="66"/>
      <c r="CW315" s="66"/>
    </row>
    <row r="316" spans="1:101" ht="12.75" hidden="1" customHeight="1" outlineLevel="1">
      <c r="A316" s="174"/>
      <c r="B316" s="41"/>
      <c r="V316" s="169"/>
      <c r="W316" s="46"/>
      <c r="X316" s="169"/>
      <c r="Y316" s="46"/>
      <c r="Z316" s="46"/>
      <c r="AA316" s="46"/>
      <c r="AB316" s="169"/>
      <c r="AC316" s="169"/>
      <c r="AD316" s="169"/>
      <c r="AE316" s="169"/>
      <c r="AF316" s="46"/>
      <c r="AG316" s="169"/>
      <c r="AH316" s="169"/>
      <c r="AI316" s="169"/>
      <c r="AJ316" s="169"/>
      <c r="AK316" s="46"/>
      <c r="AL316" s="169"/>
      <c r="AM316" s="169"/>
      <c r="AN316" s="169"/>
      <c r="AO316" s="169"/>
      <c r="AP316" s="46"/>
      <c r="AQ316" s="169"/>
      <c r="AR316" s="169"/>
      <c r="AS316" s="169"/>
      <c r="AT316" s="169"/>
      <c r="AU316" s="46"/>
      <c r="AZ316" s="46"/>
      <c r="BE316" s="46"/>
      <c r="BJ316" s="46"/>
      <c r="BO316" s="46"/>
      <c r="BT316" s="46"/>
      <c r="BY316" s="46"/>
      <c r="CD316" s="46"/>
      <c r="CI316" s="46"/>
      <c r="CN316" s="46"/>
      <c r="CR316" s="66"/>
      <c r="CS316" s="66"/>
      <c r="CT316" s="66"/>
      <c r="CU316" s="66"/>
      <c r="CV316" s="66"/>
      <c r="CW316" s="66"/>
    </row>
    <row r="317" spans="1:101" ht="12.75" hidden="1" customHeight="1" outlineLevel="1">
      <c r="A317" s="174" t="s">
        <v>410</v>
      </c>
      <c r="B317" s="41"/>
      <c r="V317" s="180"/>
      <c r="W317" s="180"/>
      <c r="X317" s="180"/>
      <c r="Y317" s="180"/>
      <c r="Z317" s="180"/>
      <c r="AA317" s="180"/>
      <c r="AB317" s="180"/>
      <c r="AC317" s="180"/>
      <c r="AD317" s="180"/>
      <c r="AE317" s="180"/>
      <c r="AF317" s="180"/>
      <c r="AG317" s="180"/>
      <c r="AH317" s="180"/>
      <c r="AI317" s="180"/>
      <c r="AJ317" s="180"/>
      <c r="AK317" s="180"/>
      <c r="AL317" s="180"/>
      <c r="AM317" s="180"/>
      <c r="AN317" s="180"/>
      <c r="AO317" s="180"/>
      <c r="AP317" s="180"/>
      <c r="AQ317" s="180"/>
      <c r="AR317" s="180"/>
      <c r="AS317" s="180"/>
      <c r="AT317" s="180"/>
      <c r="AU317" s="180"/>
      <c r="AZ317" s="180"/>
      <c r="BE317" s="180"/>
      <c r="BJ317" s="180"/>
      <c r="BO317" s="180"/>
      <c r="BT317" s="180"/>
      <c r="BY317" s="180"/>
      <c r="CD317" s="180"/>
      <c r="CI317" s="180"/>
      <c r="CN317" s="180"/>
      <c r="CR317" s="66"/>
      <c r="CS317" s="66"/>
      <c r="CT317" s="66"/>
      <c r="CU317" s="66"/>
      <c r="CV317" s="66"/>
      <c r="CW317" s="66"/>
    </row>
    <row r="318" spans="1:101" ht="12.75" hidden="1" customHeight="1" outlineLevel="1">
      <c r="A318" s="155" t="s">
        <v>46</v>
      </c>
      <c r="B318" s="41"/>
      <c r="V318" s="180"/>
      <c r="W318" s="180"/>
      <c r="X318" s="180"/>
      <c r="Y318" s="180"/>
      <c r="Z318" s="180"/>
      <c r="AA318" s="180"/>
      <c r="AB318" s="180"/>
      <c r="AC318" s="180"/>
      <c r="AD318" s="180"/>
      <c r="AE318" s="180"/>
      <c r="AF318" s="180"/>
      <c r="AG318" s="180"/>
      <c r="AH318" s="180"/>
      <c r="AI318" s="180"/>
      <c r="AJ318" s="180"/>
      <c r="AK318" s="180"/>
      <c r="AL318" s="180"/>
      <c r="AM318" s="180"/>
      <c r="AN318" s="180"/>
      <c r="AO318" s="180"/>
      <c r="AP318" s="180"/>
      <c r="AQ318" s="180"/>
      <c r="AR318" s="180"/>
      <c r="AS318" s="180"/>
      <c r="AT318" s="180"/>
      <c r="AU318" s="180"/>
      <c r="AZ318" s="180"/>
      <c r="BE318" s="180"/>
      <c r="BJ318" s="180"/>
      <c r="BO318" s="180"/>
      <c r="BT318" s="180"/>
      <c r="BY318" s="180"/>
      <c r="CD318" s="180"/>
      <c r="CI318" s="180"/>
      <c r="CN318" s="180"/>
      <c r="CR318" s="66"/>
      <c r="CS318" s="66"/>
      <c r="CT318" s="66"/>
      <c r="CU318" s="66"/>
      <c r="CV318" s="66"/>
      <c r="CW318" s="66"/>
    </row>
    <row r="319" spans="1:101" ht="12.75" hidden="1" customHeight="1" outlineLevel="1">
      <c r="A319" s="763" t="s">
        <v>370</v>
      </c>
      <c r="B319" s="41"/>
      <c r="V319" s="812">
        <v>27.300999999999998</v>
      </c>
      <c r="W319" s="812"/>
      <c r="X319" s="812"/>
      <c r="Y319" s="812"/>
      <c r="Z319" s="812"/>
      <c r="AA319" s="812">
        <v>28.835999999999999</v>
      </c>
      <c r="AB319" s="812"/>
      <c r="AC319" s="812"/>
      <c r="AD319" s="812"/>
      <c r="AE319" s="812">
        <v>470.80200000000002</v>
      </c>
      <c r="AF319" s="812">
        <v>137.66900000000001</v>
      </c>
      <c r="AG319" s="812">
        <f>AG298</f>
        <v>0</v>
      </c>
      <c r="AH319" s="812">
        <f t="shared" ref="AH319:AU319" si="387">AH298</f>
        <v>0</v>
      </c>
      <c r="AI319" s="812">
        <f t="shared" si="387"/>
        <v>0</v>
      </c>
      <c r="AJ319" s="812">
        <f t="shared" si="387"/>
        <v>0</v>
      </c>
      <c r="AK319" s="812">
        <f>AK298</f>
        <v>0</v>
      </c>
      <c r="AL319" s="812">
        <f t="shared" si="387"/>
        <v>0</v>
      </c>
      <c r="AM319" s="812">
        <f t="shared" si="387"/>
        <v>0</v>
      </c>
      <c r="AN319" s="812">
        <f t="shared" si="387"/>
        <v>0</v>
      </c>
      <c r="AO319" s="812">
        <f t="shared" si="387"/>
        <v>0</v>
      </c>
      <c r="AP319" s="812">
        <f t="shared" si="387"/>
        <v>0</v>
      </c>
      <c r="AQ319" s="812">
        <f t="shared" si="387"/>
        <v>0</v>
      </c>
      <c r="AR319" s="812">
        <f t="shared" si="387"/>
        <v>0</v>
      </c>
      <c r="AS319" s="812">
        <f t="shared" si="387"/>
        <v>0</v>
      </c>
      <c r="AT319" s="812">
        <f t="shared" si="387"/>
        <v>0</v>
      </c>
      <c r="AU319" s="812">
        <f t="shared" si="387"/>
        <v>0</v>
      </c>
      <c r="AV319" s="71">
        <f t="shared" ref="AV319:CN319" si="388">AV67</f>
        <v>392.27499999999998</v>
      </c>
      <c r="AW319" s="71">
        <f t="shared" si="388"/>
        <v>389.97800000000001</v>
      </c>
      <c r="AX319" s="71">
        <f t="shared" si="388"/>
        <v>390.40600000000001</v>
      </c>
      <c r="AY319" s="71">
        <f t="shared" si="388"/>
        <v>392.64</v>
      </c>
      <c r="AZ319" s="812">
        <f t="shared" si="388"/>
        <v>392.14</v>
      </c>
      <c r="BA319" s="71">
        <f t="shared" si="388"/>
        <v>395.69400000000002</v>
      </c>
      <c r="BB319" s="71">
        <f t="shared" si="388"/>
        <v>397.88400000000001</v>
      </c>
      <c r="BC319" s="71">
        <f t="shared" si="388"/>
        <v>400.72600000000011</v>
      </c>
      <c r="BD319" s="71">
        <f t="shared" si="388"/>
        <v>400.416</v>
      </c>
      <c r="BE319" s="812">
        <f t="shared" si="388"/>
        <v>398.68</v>
      </c>
      <c r="BF319" s="71">
        <f t="shared" si="388"/>
        <v>389.35199999999998</v>
      </c>
      <c r="BG319" s="71">
        <f t="shared" si="388"/>
        <v>372.17200000000003</v>
      </c>
      <c r="BH319" s="71">
        <f t="shared" si="388"/>
        <v>372.15199999999999</v>
      </c>
      <c r="BI319" s="71">
        <f t="shared" si="388"/>
        <v>371.05</v>
      </c>
      <c r="BJ319" s="812">
        <f t="shared" si="388"/>
        <v>376.18149999999997</v>
      </c>
      <c r="BK319" s="71">
        <f t="shared" si="388"/>
        <v>373.20800000000003</v>
      </c>
      <c r="BL319" s="71">
        <f t="shared" si="388"/>
        <v>370.54199999999997</v>
      </c>
      <c r="BM319" s="71">
        <f t="shared" si="388"/>
        <v>296.95100000000002</v>
      </c>
      <c r="BN319" s="71">
        <f t="shared" si="388"/>
        <v>278.024</v>
      </c>
      <c r="BO319" s="812">
        <f t="shared" si="388"/>
        <v>328.72500000000002</v>
      </c>
      <c r="BP319" s="71">
        <f t="shared" si="388"/>
        <v>274.75</v>
      </c>
      <c r="BQ319" s="71">
        <f t="shared" si="388"/>
        <v>270.26499999999999</v>
      </c>
      <c r="BR319" s="71">
        <f t="shared" si="388"/>
        <v>264.80799999999999</v>
      </c>
      <c r="BS319" s="71">
        <f t="shared" si="388"/>
        <v>257.02600000000001</v>
      </c>
      <c r="BT319" s="812">
        <f t="shared" si="388"/>
        <v>266.71199999999999</v>
      </c>
      <c r="BU319" s="71">
        <f t="shared" si="388"/>
        <v>254.239</v>
      </c>
      <c r="BV319" s="71">
        <f t="shared" si="388"/>
        <v>253.553</v>
      </c>
      <c r="BW319" s="71">
        <f t="shared" si="388"/>
        <v>251.73699999999999</v>
      </c>
      <c r="BX319" s="71">
        <f t="shared" si="388"/>
        <v>249.626</v>
      </c>
      <c r="BY319" s="812">
        <f t="shared" si="388"/>
        <v>252.28874999999999</v>
      </c>
      <c r="BZ319" s="71">
        <f t="shared" si="388"/>
        <v>248.42126559749408</v>
      </c>
      <c r="CA319" s="71">
        <f t="shared" si="388"/>
        <v>246.88916712452232</v>
      </c>
      <c r="CB319" s="71">
        <f t="shared" si="388"/>
        <v>245.46812095978726</v>
      </c>
      <c r="CC319" s="71">
        <f t="shared" si="388"/>
        <v>244.15283889813486</v>
      </c>
      <c r="CD319" s="812">
        <f t="shared" si="388"/>
        <v>246.23284814498464</v>
      </c>
      <c r="CE319" s="71">
        <f t="shared" si="388"/>
        <v>242.90938133498906</v>
      </c>
      <c r="CF319" s="71">
        <f t="shared" si="388"/>
        <v>241.70599156719908</v>
      </c>
      <c r="CG319" s="71">
        <f t="shared" si="388"/>
        <v>240.54188395171872</v>
      </c>
      <c r="CH319" s="71">
        <f t="shared" si="388"/>
        <v>239.41628825026737</v>
      </c>
      <c r="CI319" s="812">
        <f t="shared" si="388"/>
        <v>241.14338627604354</v>
      </c>
      <c r="CJ319" s="71">
        <f t="shared" si="388"/>
        <v>238.79573618940248</v>
      </c>
      <c r="CK319" s="71">
        <f t="shared" si="388"/>
        <v>238.67032495264192</v>
      </c>
      <c r="CL319" s="71">
        <f t="shared" si="388"/>
        <v>238.56305903424925</v>
      </c>
      <c r="CM319" s="71">
        <f t="shared" si="388"/>
        <v>238.47358264366818</v>
      </c>
      <c r="CN319" s="812">
        <f t="shared" si="388"/>
        <v>238.62567570499044</v>
      </c>
      <c r="CR319" s="66"/>
      <c r="CS319" s="66"/>
      <c r="CT319" s="66"/>
      <c r="CU319" s="66"/>
      <c r="CV319" s="66"/>
      <c r="CW319" s="66"/>
    </row>
    <row r="320" spans="1:101" ht="12.75" hidden="1" customHeight="1" outlineLevel="1">
      <c r="A320" s="763" t="s">
        <v>371</v>
      </c>
      <c r="B320" s="41"/>
      <c r="V320" s="812">
        <v>27.300999999999998</v>
      </c>
      <c r="W320" s="812"/>
      <c r="X320" s="812"/>
      <c r="Y320" s="812"/>
      <c r="Z320" s="812"/>
      <c r="AA320" s="812">
        <v>28.965</v>
      </c>
      <c r="AB320" s="812"/>
      <c r="AC320" s="812"/>
      <c r="AD320" s="812"/>
      <c r="AE320" s="812">
        <v>470.80200000000002</v>
      </c>
      <c r="AF320" s="812">
        <v>137.66900000000001</v>
      </c>
      <c r="AG320" s="812">
        <f>AG142</f>
        <v>469.23700000000002</v>
      </c>
      <c r="AH320" s="812">
        <f>AH142</f>
        <v>471.15300000000002</v>
      </c>
      <c r="AI320" s="812">
        <f>AI142</f>
        <v>471.39299999999997</v>
      </c>
      <c r="AJ320" s="812">
        <f>AJ142</f>
        <v>459.39</v>
      </c>
      <c r="AK320" s="812">
        <f t="shared" ref="AK320:AZ320" si="389">AK319</f>
        <v>0</v>
      </c>
      <c r="AL320" s="812">
        <f>AL142</f>
        <v>443.32600000000002</v>
      </c>
      <c r="AM320" s="812">
        <f>AM142</f>
        <v>426.56700000000001</v>
      </c>
      <c r="AN320" s="812">
        <f>AN142</f>
        <v>417.98500000000001</v>
      </c>
      <c r="AO320" s="812">
        <f>AO142</f>
        <v>418.084</v>
      </c>
      <c r="AP320" s="812">
        <f t="shared" si="389"/>
        <v>0</v>
      </c>
      <c r="AQ320" s="812">
        <f t="shared" si="389"/>
        <v>0</v>
      </c>
      <c r="AR320" s="812">
        <f t="shared" si="389"/>
        <v>0</v>
      </c>
      <c r="AS320" s="812">
        <f t="shared" si="389"/>
        <v>0</v>
      </c>
      <c r="AT320" s="812">
        <f t="shared" si="389"/>
        <v>0</v>
      </c>
      <c r="AU320" s="812">
        <f t="shared" si="389"/>
        <v>0</v>
      </c>
      <c r="AV320" s="71">
        <f t="shared" si="389"/>
        <v>392.27499999999998</v>
      </c>
      <c r="AW320" s="71">
        <f t="shared" si="389"/>
        <v>389.97800000000001</v>
      </c>
      <c r="AX320" s="71">
        <f t="shared" si="389"/>
        <v>390.40600000000001</v>
      </c>
      <c r="AY320" s="71">
        <f t="shared" si="389"/>
        <v>392.64</v>
      </c>
      <c r="AZ320" s="812">
        <f t="shared" si="389"/>
        <v>392.14</v>
      </c>
      <c r="BA320" s="71">
        <f t="shared" ref="BA320:BJ320" si="390">BA319</f>
        <v>395.69400000000002</v>
      </c>
      <c r="BB320" s="71">
        <f t="shared" si="390"/>
        <v>397.88400000000001</v>
      </c>
      <c r="BC320" s="71">
        <f t="shared" si="390"/>
        <v>400.72600000000011</v>
      </c>
      <c r="BD320" s="71">
        <f t="shared" si="390"/>
        <v>400.416</v>
      </c>
      <c r="BE320" s="812">
        <f t="shared" si="390"/>
        <v>398.68</v>
      </c>
      <c r="BF320" s="71">
        <f t="shared" si="390"/>
        <v>389.35199999999998</v>
      </c>
      <c r="BG320" s="71">
        <f t="shared" si="390"/>
        <v>372.17200000000003</v>
      </c>
      <c r="BH320" s="71">
        <f t="shared" si="390"/>
        <v>372.15199999999999</v>
      </c>
      <c r="BI320" s="71">
        <f t="shared" si="390"/>
        <v>371.05</v>
      </c>
      <c r="BJ320" s="812">
        <f t="shared" si="390"/>
        <v>376.18149999999997</v>
      </c>
      <c r="BK320" s="71">
        <f t="shared" ref="BK320:BT320" si="391">BK319</f>
        <v>373.20800000000003</v>
      </c>
      <c r="BL320" s="71">
        <f t="shared" si="391"/>
        <v>370.54199999999997</v>
      </c>
      <c r="BM320" s="71">
        <f t="shared" si="391"/>
        <v>296.95100000000002</v>
      </c>
      <c r="BN320" s="71">
        <f t="shared" si="391"/>
        <v>278.024</v>
      </c>
      <c r="BO320" s="812">
        <f t="shared" si="391"/>
        <v>328.72500000000002</v>
      </c>
      <c r="BP320" s="71">
        <f t="shared" si="391"/>
        <v>274.75</v>
      </c>
      <c r="BQ320" s="71">
        <f t="shared" si="391"/>
        <v>270.26499999999999</v>
      </c>
      <c r="BR320" s="71">
        <f t="shared" si="391"/>
        <v>264.80799999999999</v>
      </c>
      <c r="BS320" s="71">
        <f t="shared" si="391"/>
        <v>257.02600000000001</v>
      </c>
      <c r="BT320" s="812">
        <f t="shared" si="391"/>
        <v>266.71199999999999</v>
      </c>
      <c r="BU320" s="71">
        <f t="shared" ref="BU320:CN320" si="392">BU319</f>
        <v>254.239</v>
      </c>
      <c r="BV320" s="71">
        <f t="shared" si="392"/>
        <v>253.553</v>
      </c>
      <c r="BW320" s="71">
        <f t="shared" si="392"/>
        <v>251.73699999999999</v>
      </c>
      <c r="BX320" s="71">
        <f t="shared" si="392"/>
        <v>249.626</v>
      </c>
      <c r="BY320" s="812">
        <f t="shared" si="392"/>
        <v>252.28874999999999</v>
      </c>
      <c r="BZ320" s="71">
        <f t="shared" si="392"/>
        <v>248.42126559749408</v>
      </c>
      <c r="CA320" s="71">
        <f t="shared" si="392"/>
        <v>246.88916712452232</v>
      </c>
      <c r="CB320" s="71">
        <f t="shared" si="392"/>
        <v>245.46812095978726</v>
      </c>
      <c r="CC320" s="71">
        <f t="shared" si="392"/>
        <v>244.15283889813486</v>
      </c>
      <c r="CD320" s="812">
        <f t="shared" si="392"/>
        <v>246.23284814498464</v>
      </c>
      <c r="CE320" s="71">
        <f t="shared" si="392"/>
        <v>242.90938133498906</v>
      </c>
      <c r="CF320" s="71">
        <f t="shared" si="392"/>
        <v>241.70599156719908</v>
      </c>
      <c r="CG320" s="71">
        <f t="shared" si="392"/>
        <v>240.54188395171872</v>
      </c>
      <c r="CH320" s="71">
        <f t="shared" si="392"/>
        <v>239.41628825026737</v>
      </c>
      <c r="CI320" s="812">
        <f t="shared" si="392"/>
        <v>241.14338627604354</v>
      </c>
      <c r="CJ320" s="71">
        <f t="shared" si="392"/>
        <v>238.79573618940248</v>
      </c>
      <c r="CK320" s="71">
        <f t="shared" si="392"/>
        <v>238.67032495264192</v>
      </c>
      <c r="CL320" s="71">
        <f t="shared" si="392"/>
        <v>238.56305903424925</v>
      </c>
      <c r="CM320" s="71">
        <f t="shared" si="392"/>
        <v>238.47358264366818</v>
      </c>
      <c r="CN320" s="812">
        <f t="shared" si="392"/>
        <v>238.62567570499044</v>
      </c>
      <c r="CR320" s="66"/>
      <c r="CS320" s="66"/>
      <c r="CT320" s="66"/>
      <c r="CU320" s="66"/>
      <c r="CV320" s="66"/>
      <c r="CW320" s="66"/>
    </row>
    <row r="321" spans="1:101" ht="12.75" hidden="1" customHeight="1" outlineLevel="1">
      <c r="A321" s="144" t="s">
        <v>372</v>
      </c>
      <c r="B321" s="41"/>
      <c r="V321" s="812"/>
      <c r="W321" s="812"/>
      <c r="X321" s="812"/>
      <c r="Y321" s="812"/>
      <c r="Z321" s="812"/>
      <c r="AA321" s="812"/>
      <c r="AB321" s="812"/>
      <c r="AC321" s="812"/>
      <c r="AD321" s="812"/>
      <c r="AE321" s="812"/>
      <c r="AF321" s="812"/>
      <c r="AG321" s="812"/>
      <c r="AH321" s="812"/>
      <c r="AI321" s="812"/>
      <c r="AJ321" s="812"/>
      <c r="AK321" s="812"/>
      <c r="AL321" s="812"/>
      <c r="AM321" s="812"/>
      <c r="AN321" s="812"/>
      <c r="AO321" s="812"/>
      <c r="AP321" s="812"/>
      <c r="AQ321" s="812"/>
      <c r="AR321" s="812"/>
      <c r="AS321" s="812"/>
      <c r="AT321" s="812"/>
      <c r="AU321" s="812"/>
      <c r="AV321" s="71"/>
      <c r="AW321" s="71"/>
      <c r="AX321" s="71"/>
      <c r="AY321" s="71"/>
      <c r="AZ321" s="812"/>
      <c r="BA321" s="71"/>
      <c r="BB321" s="71"/>
      <c r="BC321" s="71"/>
      <c r="BD321" s="71"/>
      <c r="BE321" s="812"/>
      <c r="BF321" s="71"/>
      <c r="BG321" s="71"/>
      <c r="BH321" s="71"/>
      <c r="BI321" s="71"/>
      <c r="BJ321" s="812"/>
      <c r="BK321" s="71"/>
      <c r="BL321" s="71"/>
      <c r="BM321" s="71"/>
      <c r="BN321" s="71"/>
      <c r="BO321" s="812"/>
      <c r="BP321" s="71"/>
      <c r="BQ321" s="71"/>
      <c r="BR321" s="71"/>
      <c r="BS321" s="71"/>
      <c r="BT321" s="812"/>
      <c r="BU321" s="71"/>
      <c r="BV321" s="71"/>
      <c r="BW321" s="71"/>
      <c r="BX321" s="71"/>
      <c r="BY321" s="812"/>
      <c r="BZ321" s="71"/>
      <c r="CA321" s="71"/>
      <c r="CB321" s="71"/>
      <c r="CC321" s="71"/>
      <c r="CD321" s="812"/>
      <c r="CE321" s="71"/>
      <c r="CF321" s="71"/>
      <c r="CG321" s="71"/>
      <c r="CH321" s="71"/>
      <c r="CI321" s="812"/>
      <c r="CJ321" s="71"/>
      <c r="CK321" s="71"/>
      <c r="CL321" s="71"/>
      <c r="CM321" s="71"/>
      <c r="CN321" s="812"/>
      <c r="CR321" s="66"/>
      <c r="CS321" s="66"/>
      <c r="CT321" s="66"/>
      <c r="CU321" s="66"/>
      <c r="CV321" s="66"/>
      <c r="CW321" s="66"/>
    </row>
    <row r="322" spans="1:101" ht="12.75" hidden="1" customHeight="1" outlineLevel="1">
      <c r="A322" s="763" t="s">
        <v>370</v>
      </c>
      <c r="B322" s="41"/>
      <c r="V322" s="812">
        <v>59.343000000000004</v>
      </c>
      <c r="W322" s="812"/>
      <c r="X322" s="812"/>
      <c r="Y322" s="812"/>
      <c r="Z322" s="812"/>
      <c r="AA322" s="812">
        <v>63.523000000000003</v>
      </c>
      <c r="AB322" s="812"/>
      <c r="AC322" s="812"/>
      <c r="AD322" s="812"/>
      <c r="AE322" s="812"/>
      <c r="AF322" s="812">
        <v>47.965000000000003</v>
      </c>
      <c r="AG322" s="812">
        <v>0</v>
      </c>
      <c r="AH322" s="812">
        <v>0</v>
      </c>
      <c r="AI322" s="812">
        <v>0</v>
      </c>
      <c r="AJ322" s="812">
        <v>0</v>
      </c>
      <c r="AK322" s="812">
        <v>0</v>
      </c>
      <c r="AL322" s="812">
        <v>0</v>
      </c>
      <c r="AM322" s="812">
        <v>0</v>
      </c>
      <c r="AN322" s="812">
        <v>0</v>
      </c>
      <c r="AO322" s="812">
        <v>0</v>
      </c>
      <c r="AP322" s="812">
        <v>0</v>
      </c>
      <c r="AQ322" s="812">
        <v>0</v>
      </c>
      <c r="AR322" s="812">
        <v>0</v>
      </c>
      <c r="AS322" s="812">
        <v>0</v>
      </c>
      <c r="AT322" s="812">
        <v>0</v>
      </c>
      <c r="AU322" s="812">
        <v>0</v>
      </c>
      <c r="AV322" s="71">
        <v>0</v>
      </c>
      <c r="AW322" s="71">
        <v>0</v>
      </c>
      <c r="AX322" s="71">
        <v>0</v>
      </c>
      <c r="AY322" s="71">
        <v>0</v>
      </c>
      <c r="AZ322" s="812">
        <v>0</v>
      </c>
      <c r="BA322" s="71">
        <v>0</v>
      </c>
      <c r="BB322" s="71">
        <v>0</v>
      </c>
      <c r="BC322" s="71">
        <v>0</v>
      </c>
      <c r="BD322" s="71">
        <v>0</v>
      </c>
      <c r="BE322" s="812">
        <v>0</v>
      </c>
      <c r="BF322" s="71">
        <v>0</v>
      </c>
      <c r="BG322" s="71">
        <v>0</v>
      </c>
      <c r="BH322" s="71">
        <v>0</v>
      </c>
      <c r="BI322" s="71">
        <v>0</v>
      </c>
      <c r="BJ322" s="812">
        <v>0</v>
      </c>
      <c r="BK322" s="71">
        <v>0</v>
      </c>
      <c r="BL322" s="71">
        <v>0</v>
      </c>
      <c r="BM322" s="71">
        <v>0</v>
      </c>
      <c r="BN322" s="71">
        <v>0</v>
      </c>
      <c r="BO322" s="812">
        <v>0</v>
      </c>
      <c r="BP322" s="71">
        <v>0</v>
      </c>
      <c r="BQ322" s="71">
        <v>0</v>
      </c>
      <c r="BR322" s="71">
        <v>0</v>
      </c>
      <c r="BS322" s="71">
        <v>0</v>
      </c>
      <c r="BT322" s="812">
        <v>0</v>
      </c>
      <c r="BU322" s="71">
        <v>0</v>
      </c>
      <c r="BV322" s="71">
        <v>0</v>
      </c>
      <c r="BW322" s="71">
        <v>0</v>
      </c>
      <c r="BX322" s="71">
        <v>0</v>
      </c>
      <c r="BY322" s="812">
        <v>0</v>
      </c>
      <c r="BZ322" s="71">
        <v>0</v>
      </c>
      <c r="CA322" s="71">
        <v>0</v>
      </c>
      <c r="CB322" s="71">
        <v>0</v>
      </c>
      <c r="CC322" s="71">
        <v>0</v>
      </c>
      <c r="CD322" s="812">
        <v>0</v>
      </c>
      <c r="CE322" s="71">
        <v>0</v>
      </c>
      <c r="CF322" s="71">
        <v>0</v>
      </c>
      <c r="CG322" s="71">
        <v>0</v>
      </c>
      <c r="CH322" s="71">
        <v>0</v>
      </c>
      <c r="CI322" s="812">
        <v>0</v>
      </c>
      <c r="CJ322" s="71">
        <v>0</v>
      </c>
      <c r="CK322" s="71">
        <v>0</v>
      </c>
      <c r="CL322" s="71">
        <v>0</v>
      </c>
      <c r="CM322" s="71">
        <v>0</v>
      </c>
      <c r="CN322" s="812">
        <v>0</v>
      </c>
      <c r="CR322" s="66"/>
      <c r="CS322" s="66"/>
      <c r="CT322" s="66"/>
      <c r="CU322" s="66"/>
      <c r="CV322" s="66"/>
      <c r="CW322" s="66"/>
    </row>
    <row r="323" spans="1:101" ht="12.75" hidden="1" customHeight="1" outlineLevel="1">
      <c r="A323" s="763" t="s">
        <v>371</v>
      </c>
      <c r="B323" s="41"/>
      <c r="V323" s="812">
        <f>V322</f>
        <v>59.343000000000004</v>
      </c>
      <c r="W323" s="812"/>
      <c r="X323" s="812"/>
      <c r="Y323" s="812"/>
      <c r="Z323" s="812"/>
      <c r="AA323" s="812">
        <v>64.281999999999996</v>
      </c>
      <c r="AB323" s="812"/>
      <c r="AC323" s="812"/>
      <c r="AD323" s="812"/>
      <c r="AE323" s="812"/>
      <c r="AF323" s="812">
        <v>47.965000000000003</v>
      </c>
      <c r="AG323" s="812">
        <v>0</v>
      </c>
      <c r="AH323" s="812">
        <v>0</v>
      </c>
      <c r="AI323" s="812">
        <v>0</v>
      </c>
      <c r="AJ323" s="812">
        <v>0</v>
      </c>
      <c r="AK323" s="812">
        <v>0</v>
      </c>
      <c r="AL323" s="812">
        <v>0</v>
      </c>
      <c r="AM323" s="812">
        <v>0</v>
      </c>
      <c r="AN323" s="812">
        <v>0</v>
      </c>
      <c r="AO323" s="812">
        <v>0</v>
      </c>
      <c r="AP323" s="812">
        <v>0</v>
      </c>
      <c r="AQ323" s="812">
        <v>0</v>
      </c>
      <c r="AR323" s="812">
        <v>0</v>
      </c>
      <c r="AS323" s="812">
        <v>0</v>
      </c>
      <c r="AT323" s="812">
        <v>0</v>
      </c>
      <c r="AU323" s="812">
        <v>0</v>
      </c>
      <c r="AV323" s="71">
        <v>0</v>
      </c>
      <c r="AW323" s="71">
        <v>0</v>
      </c>
      <c r="AX323" s="71">
        <v>0</v>
      </c>
      <c r="AY323" s="71">
        <v>0</v>
      </c>
      <c r="AZ323" s="812">
        <v>0</v>
      </c>
      <c r="BA323" s="71">
        <v>0</v>
      </c>
      <c r="BB323" s="71">
        <v>0</v>
      </c>
      <c r="BC323" s="71">
        <v>0</v>
      </c>
      <c r="BD323" s="71">
        <v>0</v>
      </c>
      <c r="BE323" s="812">
        <v>0</v>
      </c>
      <c r="BF323" s="71">
        <v>0</v>
      </c>
      <c r="BG323" s="71">
        <v>0</v>
      </c>
      <c r="BH323" s="71">
        <v>0</v>
      </c>
      <c r="BI323" s="71">
        <v>0</v>
      </c>
      <c r="BJ323" s="812">
        <v>0</v>
      </c>
      <c r="BK323" s="71">
        <v>0</v>
      </c>
      <c r="BL323" s="71">
        <v>0</v>
      </c>
      <c r="BM323" s="71">
        <v>0</v>
      </c>
      <c r="BN323" s="71">
        <v>0</v>
      </c>
      <c r="BO323" s="812">
        <v>0</v>
      </c>
      <c r="BP323" s="71">
        <v>0</v>
      </c>
      <c r="BQ323" s="71">
        <v>0</v>
      </c>
      <c r="BR323" s="71">
        <v>0</v>
      </c>
      <c r="BS323" s="71">
        <v>0</v>
      </c>
      <c r="BT323" s="812">
        <v>0</v>
      </c>
      <c r="BU323" s="71">
        <v>0</v>
      </c>
      <c r="BV323" s="71">
        <v>0</v>
      </c>
      <c r="BW323" s="71">
        <v>0</v>
      </c>
      <c r="BX323" s="71">
        <v>0</v>
      </c>
      <c r="BY323" s="812">
        <v>0</v>
      </c>
      <c r="BZ323" s="71">
        <v>0</v>
      </c>
      <c r="CA323" s="71">
        <v>0</v>
      </c>
      <c r="CB323" s="71">
        <v>0</v>
      </c>
      <c r="CC323" s="71">
        <v>0</v>
      </c>
      <c r="CD323" s="812">
        <v>0</v>
      </c>
      <c r="CE323" s="71">
        <v>0</v>
      </c>
      <c r="CF323" s="71">
        <v>0</v>
      </c>
      <c r="CG323" s="71">
        <v>0</v>
      </c>
      <c r="CH323" s="71">
        <v>0</v>
      </c>
      <c r="CI323" s="812">
        <v>0</v>
      </c>
      <c r="CJ323" s="71">
        <v>0</v>
      </c>
      <c r="CK323" s="71">
        <v>0</v>
      </c>
      <c r="CL323" s="71">
        <v>0</v>
      </c>
      <c r="CM323" s="71">
        <v>0</v>
      </c>
      <c r="CN323" s="812">
        <v>0</v>
      </c>
      <c r="CR323" s="66"/>
      <c r="CS323" s="66"/>
      <c r="CT323" s="66"/>
      <c r="CU323" s="66"/>
      <c r="CV323" s="66"/>
      <c r="CW323" s="66"/>
    </row>
    <row r="324" spans="1:101" ht="12.75" hidden="1" customHeight="1" outlineLevel="1">
      <c r="A324" s="41"/>
      <c r="B324" s="41"/>
      <c r="CR324" s="66"/>
      <c r="CS324" s="66"/>
      <c r="CT324" s="66"/>
      <c r="CU324" s="66"/>
      <c r="CV324" s="66"/>
      <c r="CW324" s="66"/>
    </row>
    <row r="325" spans="1:101" ht="12.75" hidden="1" customHeight="1" outlineLevel="1">
      <c r="A325" s="41" t="s">
        <v>150</v>
      </c>
      <c r="B325" s="41"/>
      <c r="CR325" s="66"/>
      <c r="CS325" s="66"/>
      <c r="CT325" s="66"/>
      <c r="CU325" s="66"/>
      <c r="CV325" s="66"/>
      <c r="CW325" s="66"/>
    </row>
    <row r="326" spans="1:101" ht="12.75" hidden="1" customHeight="1" outlineLevel="1">
      <c r="A326" s="763" t="s">
        <v>370</v>
      </c>
      <c r="B326" s="41"/>
      <c r="V326" s="71">
        <f>V319</f>
        <v>27.300999999999998</v>
      </c>
      <c r="AA326" s="71">
        <f>AA319</f>
        <v>28.835999999999999</v>
      </c>
      <c r="AE326" s="45">
        <f>AE319</f>
        <v>470.80200000000002</v>
      </c>
      <c r="AF326" s="45">
        <f>AE326</f>
        <v>470.80200000000002</v>
      </c>
      <c r="AG326" s="71">
        <f t="shared" ref="AG326:AJ327" si="393">AG319</f>
        <v>0</v>
      </c>
      <c r="AH326" s="45">
        <f t="shared" si="393"/>
        <v>0</v>
      </c>
      <c r="AI326" s="45">
        <f t="shared" si="393"/>
        <v>0</v>
      </c>
      <c r="AJ326" s="45">
        <f t="shared" si="393"/>
        <v>0</v>
      </c>
      <c r="AK326" s="45">
        <f>AJ326</f>
        <v>0</v>
      </c>
      <c r="AL326" s="71">
        <f t="shared" ref="AL326:AO327" si="394">AL319</f>
        <v>0</v>
      </c>
      <c r="AM326" s="45">
        <f t="shared" si="394"/>
        <v>0</v>
      </c>
      <c r="AN326" s="45">
        <f t="shared" si="394"/>
        <v>0</v>
      </c>
      <c r="AO326" s="45">
        <f t="shared" si="394"/>
        <v>0</v>
      </c>
      <c r="AP326" s="45">
        <f>AO326</f>
        <v>0</v>
      </c>
      <c r="AQ326" s="71">
        <f t="shared" ref="AQ326:AT327" si="395">AQ319</f>
        <v>0</v>
      </c>
      <c r="AR326" s="45">
        <f t="shared" si="395"/>
        <v>0</v>
      </c>
      <c r="AS326" s="45">
        <f t="shared" si="395"/>
        <v>0</v>
      </c>
      <c r="AT326" s="45">
        <f t="shared" si="395"/>
        <v>0</v>
      </c>
      <c r="AU326" s="45">
        <f>AT326</f>
        <v>0</v>
      </c>
      <c r="AV326" s="71">
        <f t="shared" ref="AV326:AY327" si="396">AV319</f>
        <v>392.27499999999998</v>
      </c>
      <c r="AW326" s="45">
        <f t="shared" si="396"/>
        <v>389.97800000000001</v>
      </c>
      <c r="AX326" s="45">
        <f t="shared" si="396"/>
        <v>390.40600000000001</v>
      </c>
      <c r="AY326" s="45">
        <f t="shared" si="396"/>
        <v>392.64</v>
      </c>
      <c r="AZ326" s="45">
        <f>AY326</f>
        <v>392.64</v>
      </c>
      <c r="BA326" s="71">
        <f t="shared" ref="BA326:BD327" si="397">BA319</f>
        <v>395.69400000000002</v>
      </c>
      <c r="BB326" s="45">
        <f t="shared" si="397"/>
        <v>397.88400000000001</v>
      </c>
      <c r="BC326" s="45">
        <f t="shared" si="397"/>
        <v>400.72600000000011</v>
      </c>
      <c r="BD326" s="45">
        <f t="shared" si="397"/>
        <v>400.416</v>
      </c>
      <c r="BE326" s="45">
        <f>BD326</f>
        <v>400.416</v>
      </c>
      <c r="BF326" s="71">
        <f t="shared" ref="BF326:BI327" si="398">BF319</f>
        <v>389.35199999999998</v>
      </c>
      <c r="BG326" s="45">
        <f t="shared" si="398"/>
        <v>372.17200000000003</v>
      </c>
      <c r="BH326" s="45">
        <f t="shared" si="398"/>
        <v>372.15199999999999</v>
      </c>
      <c r="BI326" s="45">
        <f t="shared" si="398"/>
        <v>371.05</v>
      </c>
      <c r="BJ326" s="45">
        <f>BI326</f>
        <v>371.05</v>
      </c>
      <c r="BK326" s="71">
        <f t="shared" ref="BK326:BN327" si="399">BK319</f>
        <v>373.20800000000003</v>
      </c>
      <c r="BL326" s="45">
        <f t="shared" si="399"/>
        <v>370.54199999999997</v>
      </c>
      <c r="BM326" s="45">
        <f t="shared" si="399"/>
        <v>296.95100000000002</v>
      </c>
      <c r="BN326" s="45">
        <f t="shared" si="399"/>
        <v>278.024</v>
      </c>
      <c r="BO326" s="45">
        <f>BN326</f>
        <v>278.024</v>
      </c>
      <c r="BP326" s="71">
        <f t="shared" ref="BP326:BS327" si="400">BP319</f>
        <v>274.75</v>
      </c>
      <c r="BQ326" s="45">
        <f t="shared" si="400"/>
        <v>270.26499999999999</v>
      </c>
      <c r="BR326" s="45">
        <f t="shared" si="400"/>
        <v>264.80799999999999</v>
      </c>
      <c r="BS326" s="45">
        <f t="shared" si="400"/>
        <v>257.02600000000001</v>
      </c>
      <c r="BT326" s="45">
        <f>BS326</f>
        <v>257.02600000000001</v>
      </c>
      <c r="BU326" s="71">
        <f t="shared" ref="BU326:BX327" si="401">BU319</f>
        <v>254.239</v>
      </c>
      <c r="BV326" s="45">
        <f t="shared" si="401"/>
        <v>253.553</v>
      </c>
      <c r="BW326" s="45">
        <f t="shared" si="401"/>
        <v>251.73699999999999</v>
      </c>
      <c r="BX326" s="45">
        <f t="shared" si="401"/>
        <v>249.626</v>
      </c>
      <c r="BY326" s="45">
        <f>BX326</f>
        <v>249.626</v>
      </c>
      <c r="BZ326" s="71">
        <f t="shared" ref="BZ326:CC327" si="402">BZ319</f>
        <v>248.42126559749408</v>
      </c>
      <c r="CA326" s="45">
        <f t="shared" si="402"/>
        <v>246.88916712452232</v>
      </c>
      <c r="CB326" s="45">
        <f t="shared" si="402"/>
        <v>245.46812095978726</v>
      </c>
      <c r="CC326" s="45">
        <f t="shared" si="402"/>
        <v>244.15283889813486</v>
      </c>
      <c r="CD326" s="45">
        <f>CC326</f>
        <v>244.15283889813486</v>
      </c>
      <c r="CE326" s="71">
        <f t="shared" ref="CE326:CH327" si="403">CE319</f>
        <v>242.90938133498906</v>
      </c>
      <c r="CF326" s="45">
        <f t="shared" si="403"/>
        <v>241.70599156719908</v>
      </c>
      <c r="CG326" s="45">
        <f t="shared" si="403"/>
        <v>240.54188395171872</v>
      </c>
      <c r="CH326" s="45">
        <f t="shared" si="403"/>
        <v>239.41628825026737</v>
      </c>
      <c r="CI326" s="45">
        <f>CH326</f>
        <v>239.41628825026737</v>
      </c>
      <c r="CJ326" s="71">
        <f t="shared" ref="CJ326:CM327" si="404">CJ319</f>
        <v>238.79573618940248</v>
      </c>
      <c r="CK326" s="45">
        <f t="shared" si="404"/>
        <v>238.67032495264192</v>
      </c>
      <c r="CL326" s="45">
        <f t="shared" si="404"/>
        <v>238.56305903424925</v>
      </c>
      <c r="CM326" s="45">
        <f t="shared" si="404"/>
        <v>238.47358264366818</v>
      </c>
      <c r="CN326" s="45">
        <f>CM326</f>
        <v>238.47358264366818</v>
      </c>
      <c r="CR326" s="66"/>
      <c r="CS326" s="66"/>
      <c r="CT326" s="66"/>
      <c r="CU326" s="66"/>
      <c r="CV326" s="66"/>
      <c r="CW326" s="66"/>
    </row>
    <row r="327" spans="1:101" ht="12.75" hidden="1" customHeight="1" outlineLevel="1">
      <c r="A327" s="763" t="s">
        <v>371</v>
      </c>
      <c r="B327" s="41"/>
      <c r="V327" s="71">
        <f>V320</f>
        <v>27.300999999999998</v>
      </c>
      <c r="AA327" s="71">
        <f>AA320</f>
        <v>28.965</v>
      </c>
      <c r="AE327" s="45">
        <f>AE320</f>
        <v>470.80200000000002</v>
      </c>
      <c r="AF327" s="45">
        <f>AE327</f>
        <v>470.80200000000002</v>
      </c>
      <c r="AG327" s="45">
        <f t="shared" si="393"/>
        <v>469.23700000000002</v>
      </c>
      <c r="AH327" s="45">
        <f t="shared" si="393"/>
        <v>471.15300000000002</v>
      </c>
      <c r="AI327" s="45">
        <f t="shared" si="393"/>
        <v>471.39299999999997</v>
      </c>
      <c r="AJ327" s="45">
        <f t="shared" si="393"/>
        <v>459.39</v>
      </c>
      <c r="AK327" s="45">
        <f>AJ327</f>
        <v>459.39</v>
      </c>
      <c r="AL327" s="45">
        <f t="shared" si="394"/>
        <v>443.32600000000002</v>
      </c>
      <c r="AM327" s="45">
        <f t="shared" si="394"/>
        <v>426.56700000000001</v>
      </c>
      <c r="AN327" s="45">
        <f t="shared" si="394"/>
        <v>417.98500000000001</v>
      </c>
      <c r="AO327" s="45">
        <f t="shared" si="394"/>
        <v>418.084</v>
      </c>
      <c r="AP327" s="45">
        <f>AO327</f>
        <v>418.084</v>
      </c>
      <c r="AQ327" s="45">
        <f t="shared" si="395"/>
        <v>0</v>
      </c>
      <c r="AR327" s="45">
        <f t="shared" si="395"/>
        <v>0</v>
      </c>
      <c r="AS327" s="45">
        <f t="shared" si="395"/>
        <v>0</v>
      </c>
      <c r="AT327" s="45">
        <f t="shared" si="395"/>
        <v>0</v>
      </c>
      <c r="AU327" s="45">
        <f>AT327</f>
        <v>0</v>
      </c>
      <c r="AV327" s="45">
        <f t="shared" si="396"/>
        <v>392.27499999999998</v>
      </c>
      <c r="AW327" s="45">
        <f t="shared" si="396"/>
        <v>389.97800000000001</v>
      </c>
      <c r="AX327" s="45">
        <f t="shared" si="396"/>
        <v>390.40600000000001</v>
      </c>
      <c r="AY327" s="45">
        <f t="shared" si="396"/>
        <v>392.64</v>
      </c>
      <c r="AZ327" s="45">
        <f>AY327</f>
        <v>392.64</v>
      </c>
      <c r="BA327" s="45">
        <f t="shared" si="397"/>
        <v>395.69400000000002</v>
      </c>
      <c r="BB327" s="45">
        <f t="shared" si="397"/>
        <v>397.88400000000001</v>
      </c>
      <c r="BC327" s="45">
        <f t="shared" si="397"/>
        <v>400.72600000000011</v>
      </c>
      <c r="BD327" s="45">
        <f t="shared" si="397"/>
        <v>400.416</v>
      </c>
      <c r="BE327" s="45">
        <f>BD327</f>
        <v>400.416</v>
      </c>
      <c r="BF327" s="45">
        <f t="shared" si="398"/>
        <v>389.35199999999998</v>
      </c>
      <c r="BG327" s="45">
        <f t="shared" si="398"/>
        <v>372.17200000000003</v>
      </c>
      <c r="BH327" s="45">
        <f t="shared" si="398"/>
        <v>372.15199999999999</v>
      </c>
      <c r="BI327" s="45">
        <f t="shared" si="398"/>
        <v>371.05</v>
      </c>
      <c r="BJ327" s="45">
        <f>BI327</f>
        <v>371.05</v>
      </c>
      <c r="BK327" s="45">
        <f t="shared" si="399"/>
        <v>373.20800000000003</v>
      </c>
      <c r="BL327" s="45">
        <f t="shared" si="399"/>
        <v>370.54199999999997</v>
      </c>
      <c r="BM327" s="45">
        <f t="shared" si="399"/>
        <v>296.95100000000002</v>
      </c>
      <c r="BN327" s="45">
        <f t="shared" si="399"/>
        <v>278.024</v>
      </c>
      <c r="BO327" s="45">
        <f>BN327</f>
        <v>278.024</v>
      </c>
      <c r="BP327" s="45">
        <f t="shared" si="400"/>
        <v>274.75</v>
      </c>
      <c r="BQ327" s="45">
        <f t="shared" si="400"/>
        <v>270.26499999999999</v>
      </c>
      <c r="BR327" s="45">
        <f t="shared" si="400"/>
        <v>264.80799999999999</v>
      </c>
      <c r="BS327" s="45">
        <f t="shared" si="400"/>
        <v>257.02600000000001</v>
      </c>
      <c r="BT327" s="45">
        <f>BS327</f>
        <v>257.02600000000001</v>
      </c>
      <c r="BU327" s="45">
        <f t="shared" si="401"/>
        <v>254.239</v>
      </c>
      <c r="BV327" s="45">
        <f t="shared" si="401"/>
        <v>253.553</v>
      </c>
      <c r="BW327" s="45">
        <f t="shared" si="401"/>
        <v>251.73699999999999</v>
      </c>
      <c r="BX327" s="45">
        <f t="shared" si="401"/>
        <v>249.626</v>
      </c>
      <c r="BY327" s="45">
        <f>BX327</f>
        <v>249.626</v>
      </c>
      <c r="BZ327" s="45">
        <f t="shared" si="402"/>
        <v>248.42126559749408</v>
      </c>
      <c r="CA327" s="45">
        <f t="shared" si="402"/>
        <v>246.88916712452232</v>
      </c>
      <c r="CB327" s="45">
        <f t="shared" si="402"/>
        <v>245.46812095978726</v>
      </c>
      <c r="CC327" s="45">
        <f t="shared" si="402"/>
        <v>244.15283889813486</v>
      </c>
      <c r="CD327" s="45">
        <f>CC327</f>
        <v>244.15283889813486</v>
      </c>
      <c r="CE327" s="45">
        <f t="shared" si="403"/>
        <v>242.90938133498906</v>
      </c>
      <c r="CF327" s="45">
        <f t="shared" si="403"/>
        <v>241.70599156719908</v>
      </c>
      <c r="CG327" s="45">
        <f t="shared" si="403"/>
        <v>240.54188395171872</v>
      </c>
      <c r="CH327" s="45">
        <f t="shared" si="403"/>
        <v>239.41628825026737</v>
      </c>
      <c r="CI327" s="45">
        <f>CH327</f>
        <v>239.41628825026737</v>
      </c>
      <c r="CJ327" s="45">
        <f t="shared" si="404"/>
        <v>238.79573618940248</v>
      </c>
      <c r="CK327" s="45">
        <f t="shared" si="404"/>
        <v>238.67032495264192</v>
      </c>
      <c r="CL327" s="45">
        <f t="shared" si="404"/>
        <v>238.56305903424925</v>
      </c>
      <c r="CM327" s="45">
        <f t="shared" si="404"/>
        <v>238.47358264366818</v>
      </c>
      <c r="CN327" s="45">
        <f>CM327</f>
        <v>238.47358264366818</v>
      </c>
      <c r="CR327" s="66"/>
      <c r="CS327" s="66"/>
      <c r="CT327" s="66"/>
      <c r="CU327" s="66"/>
      <c r="CV327" s="66"/>
      <c r="CW327" s="66"/>
    </row>
    <row r="328" spans="1:101" ht="12.75" hidden="1" customHeight="1" outlineLevel="1">
      <c r="A328" s="41"/>
      <c r="B328" s="41"/>
      <c r="CR328" s="66"/>
      <c r="CS328" s="66"/>
      <c r="CT328" s="66"/>
      <c r="CU328" s="66"/>
      <c r="CV328" s="66"/>
      <c r="CW328" s="66"/>
    </row>
    <row r="329" spans="1:101" ht="12.75" hidden="1" customHeight="1" outlineLevel="1">
      <c r="A329" s="41"/>
      <c r="B329" s="41"/>
      <c r="CR329" s="66"/>
      <c r="CS329" s="66"/>
      <c r="CT329" s="66"/>
      <c r="CU329" s="66"/>
      <c r="CV329" s="66"/>
      <c r="CW329" s="66"/>
    </row>
    <row r="330" spans="1:101" ht="12.75" hidden="1" customHeight="1" outlineLevel="1">
      <c r="A330" s="41"/>
      <c r="B330" s="41"/>
      <c r="CR330" s="66"/>
      <c r="CS330" s="66"/>
      <c r="CT330" s="66"/>
      <c r="CU330" s="66"/>
      <c r="CV330" s="66"/>
      <c r="CW330" s="66"/>
    </row>
    <row r="331" spans="1:101" ht="12.75" hidden="1" customHeight="1" outlineLevel="1">
      <c r="A331" s="41"/>
      <c r="B331" s="41"/>
      <c r="CR331" s="66"/>
      <c r="CS331" s="66"/>
      <c r="CT331" s="66"/>
      <c r="CU331" s="66"/>
      <c r="CV331" s="66"/>
      <c r="CW331" s="66"/>
    </row>
    <row r="332" spans="1:101" collapsed="1">
      <c r="A332" s="41"/>
      <c r="B332" s="41"/>
      <c r="BA332" s="46">
        <f t="shared" ref="BA332:BI332" si="405">BA246/BA245-1</f>
        <v>2.43808634564936</v>
      </c>
      <c r="BB332" s="46">
        <f t="shared" si="405"/>
        <v>0.79126895002807451</v>
      </c>
      <c r="BC332" s="46">
        <f t="shared" si="405"/>
        <v>2.6828422230511055</v>
      </c>
      <c r="BD332" s="46">
        <f t="shared" si="405"/>
        <v>2.0823117944456122</v>
      </c>
      <c r="BE332" s="46">
        <f t="shared" si="405"/>
        <v>1.7165064778436205</v>
      </c>
      <c r="BF332" s="46">
        <f t="shared" si="405"/>
        <v>0.5303660098411489</v>
      </c>
      <c r="BG332" s="46">
        <f t="shared" si="405"/>
        <v>0.55200927114980969</v>
      </c>
      <c r="BH332" s="46">
        <f t="shared" si="405"/>
        <v>1.0059459113867399</v>
      </c>
      <c r="BI332" s="46">
        <f t="shared" si="405"/>
        <v>1.0700156621613774</v>
      </c>
      <c r="BJ332" s="46">
        <f>BJ246/BJ245-1</f>
        <v>0.51354144720366102</v>
      </c>
      <c r="CR332" s="66"/>
      <c r="CS332" s="66"/>
      <c r="CT332" s="66"/>
      <c r="CU332" s="66"/>
      <c r="CV332" s="66"/>
      <c r="CW332" s="66"/>
    </row>
    <row r="333" spans="1:101">
      <c r="A333" s="41"/>
      <c r="B333" s="41"/>
      <c r="CR333" s="66"/>
      <c r="CS333" s="66"/>
      <c r="CT333" s="66"/>
      <c r="CU333" s="66"/>
      <c r="CV333" s="66"/>
      <c r="CW333" s="66"/>
    </row>
    <row r="334" spans="1:101">
      <c r="A334" s="1184" t="s">
        <v>562</v>
      </c>
      <c r="B334" s="1185"/>
      <c r="C334" s="1185"/>
      <c r="D334" s="1185"/>
      <c r="E334" s="1185"/>
      <c r="F334" s="1185"/>
      <c r="G334" s="1185"/>
      <c r="H334" s="1185"/>
      <c r="I334" s="1185"/>
      <c r="J334" s="1185"/>
      <c r="K334" s="1185"/>
      <c r="L334" s="1185"/>
      <c r="M334" s="1185"/>
      <c r="N334" s="1185"/>
      <c r="O334" s="1185"/>
      <c r="P334" s="1185"/>
      <c r="Q334" s="1185"/>
      <c r="R334" s="1185"/>
      <c r="S334" s="1185"/>
      <c r="T334" s="1185"/>
      <c r="U334" s="1185"/>
      <c r="V334" s="1185"/>
      <c r="W334" s="1185"/>
      <c r="X334" s="1185"/>
      <c r="Y334" s="1185"/>
      <c r="Z334" s="1185"/>
      <c r="AA334" s="1185"/>
      <c r="AB334" s="1185"/>
      <c r="AC334" s="1185"/>
      <c r="AD334" s="1185"/>
      <c r="AE334" s="1185"/>
      <c r="AF334" s="1185"/>
      <c r="AG334" s="1185"/>
      <c r="AH334" s="1185"/>
      <c r="AI334" s="1185"/>
      <c r="AJ334" s="1185"/>
      <c r="AK334" s="1185"/>
      <c r="AL334" s="1185"/>
      <c r="AM334" s="1185"/>
      <c r="AN334" s="1185"/>
      <c r="AO334" s="1185"/>
      <c r="AP334" s="1185"/>
      <c r="AQ334" s="1185"/>
      <c r="AR334" s="1185"/>
      <c r="AS334" s="1185"/>
      <c r="AT334" s="1185"/>
      <c r="AU334" s="1185"/>
      <c r="AV334" s="1185"/>
      <c r="AW334" s="1185"/>
      <c r="AX334" s="1185"/>
      <c r="AY334" s="1185"/>
      <c r="AZ334" s="1185"/>
      <c r="BA334" s="1185"/>
      <c r="BB334" s="1185"/>
      <c r="BC334" s="1185"/>
      <c r="BD334" s="1185"/>
      <c r="BE334" s="1185"/>
      <c r="BF334" s="1185"/>
      <c r="BG334" s="1185"/>
      <c r="BH334" s="1185"/>
      <c r="BI334" s="1185"/>
      <c r="BJ334" s="1185"/>
      <c r="BK334" s="1185"/>
      <c r="BL334" s="1185"/>
      <c r="BM334" s="1185"/>
      <c r="BN334" s="1185"/>
      <c r="BO334" s="1185"/>
      <c r="BP334" s="1185"/>
      <c r="BQ334" s="1185"/>
      <c r="BR334" s="1185"/>
      <c r="BS334" s="1185"/>
      <c r="BT334" s="1185"/>
      <c r="BU334" s="1185"/>
      <c r="BV334" s="1185"/>
      <c r="BW334" s="1185"/>
      <c r="BX334" s="1185"/>
      <c r="BY334" s="1185"/>
      <c r="BZ334" s="1185"/>
      <c r="CA334" s="1185"/>
      <c r="CB334" s="1185"/>
      <c r="CC334" s="1185"/>
      <c r="CD334" s="1185"/>
      <c r="CE334" s="1185"/>
      <c r="CF334" s="1185"/>
      <c r="CG334" s="1185"/>
      <c r="CH334" s="1185"/>
      <c r="CI334" s="1185"/>
      <c r="CJ334" s="1185"/>
      <c r="CK334" s="1185"/>
      <c r="CL334" s="1185"/>
      <c r="CM334" s="1185"/>
      <c r="CN334" s="1186"/>
      <c r="CR334" s="66"/>
      <c r="CS334" s="66"/>
      <c r="CT334" s="66"/>
      <c r="CU334" s="66"/>
      <c r="CV334" s="66"/>
      <c r="CW334" s="66"/>
    </row>
    <row r="335" spans="1:101">
      <c r="A335" s="41" t="s">
        <v>559</v>
      </c>
      <c r="B335" s="41"/>
      <c r="AZ335" s="45">
        <v>11.6</v>
      </c>
      <c r="BE335" s="45">
        <v>13.6</v>
      </c>
      <c r="BF335" s="45">
        <v>3.3</v>
      </c>
      <c r="BG335" s="45">
        <v>5.8</v>
      </c>
      <c r="BH335" s="45">
        <v>10</v>
      </c>
      <c r="BI335" s="45">
        <f>BJ335-BH335-BG335-BF335</f>
        <v>18.699999999999996</v>
      </c>
      <c r="BJ335" s="45">
        <v>37.799999999999997</v>
      </c>
      <c r="BK335" s="45">
        <v>4.0999999999999996</v>
      </c>
      <c r="BO335" s="45">
        <v>39.765491183879092</v>
      </c>
      <c r="BT335" s="45">
        <v>42.213853904282118</v>
      </c>
      <c r="BY335" s="45">
        <v>42.825944584382874</v>
      </c>
      <c r="CR335" s="66"/>
      <c r="CS335" s="66"/>
      <c r="CT335" s="66"/>
      <c r="CU335" s="66"/>
      <c r="CV335" s="66"/>
      <c r="CW335" s="66"/>
    </row>
    <row r="336" spans="1:101">
      <c r="A336" s="41" t="s">
        <v>560</v>
      </c>
      <c r="B336" s="41"/>
      <c r="AZ336" s="45">
        <v>0</v>
      </c>
      <c r="BE336" s="45">
        <v>-4.7</v>
      </c>
      <c r="BF336" s="45">
        <v>-12.1</v>
      </c>
      <c r="BG336" s="45">
        <v>-1</v>
      </c>
      <c r="BH336" s="45">
        <v>4.2</v>
      </c>
      <c r="BI336" s="45">
        <f>BJ336-BH336-BG336-BF336</f>
        <v>-12.999999999999998</v>
      </c>
      <c r="BJ336" s="45">
        <v>-21.9</v>
      </c>
      <c r="CR336" s="66"/>
      <c r="CS336" s="66"/>
      <c r="CT336" s="66"/>
      <c r="CU336" s="66"/>
      <c r="CV336" s="66"/>
      <c r="CW336" s="66"/>
    </row>
    <row r="337" spans="1:256">
      <c r="A337" s="41" t="s">
        <v>561</v>
      </c>
      <c r="B337" s="41"/>
      <c r="AZ337" s="45">
        <v>-8.6999999999999993</v>
      </c>
      <c r="BE337" s="45">
        <v>-9.6999999999999993</v>
      </c>
      <c r="BI337" s="45">
        <f>BJ337-BH337-BG337-BF337</f>
        <v>-10.199999999999999</v>
      </c>
      <c r="BJ337" s="45">
        <v>-10.199999999999999</v>
      </c>
      <c r="BO337" s="45">
        <v>-11</v>
      </c>
      <c r="BT337" s="45">
        <v>-11</v>
      </c>
      <c r="BY337" s="45">
        <v>-11</v>
      </c>
      <c r="CR337" s="66"/>
      <c r="CS337" s="66"/>
      <c r="CT337" s="66"/>
      <c r="CU337" s="66"/>
      <c r="CV337" s="66"/>
      <c r="CW337" s="66"/>
    </row>
    <row r="338" spans="1:256">
      <c r="A338" s="41" t="s">
        <v>333</v>
      </c>
      <c r="B338" s="41"/>
      <c r="AZ338" s="45">
        <v>1.5</v>
      </c>
      <c r="BE338" s="45">
        <v>1</v>
      </c>
      <c r="BF338" s="45">
        <v>-0.2</v>
      </c>
      <c r="BG338" s="45">
        <v>-0.7</v>
      </c>
      <c r="BH338" s="45">
        <v>-1.8</v>
      </c>
      <c r="BI338" s="45">
        <f>BJ338-BH338-BG338-BF338</f>
        <v>1.2</v>
      </c>
      <c r="BJ338" s="45">
        <v>-1.5</v>
      </c>
      <c r="BK338" s="45">
        <v>-1.3</v>
      </c>
      <c r="CR338" s="66"/>
      <c r="CS338" s="66"/>
      <c r="CT338" s="66"/>
      <c r="CU338" s="66"/>
      <c r="CV338" s="66"/>
      <c r="CW338" s="66"/>
    </row>
    <row r="339" spans="1:256">
      <c r="A339" s="41" t="s">
        <v>84</v>
      </c>
      <c r="B339" s="41"/>
      <c r="AZ339" s="45">
        <f>SUM(AZ335:AZ338)</f>
        <v>4.4000000000000004</v>
      </c>
      <c r="BE339" s="45">
        <f>SUM(BE335:BE338)</f>
        <v>0.19999999999999929</v>
      </c>
      <c r="BF339" s="45">
        <f>SUM(BF335:BF338)</f>
        <v>-9</v>
      </c>
      <c r="BG339" s="45">
        <f>SUM(BG335:BG338)</f>
        <v>4.0999999999999996</v>
      </c>
      <c r="BH339" s="45">
        <f>SUM(BH335:BH338)</f>
        <v>12.399999999999999</v>
      </c>
      <c r="BI339" s="45">
        <f>BJ339-BH339-BG339-BF339</f>
        <v>-3.2999999999999989</v>
      </c>
      <c r="BJ339" s="45">
        <f>SUM(BJ335:BJ338)</f>
        <v>4.1999999999999993</v>
      </c>
      <c r="BO339" s="45">
        <f>SUM(BO335:BO338)</f>
        <v>28.765491183879092</v>
      </c>
      <c r="BT339" s="45">
        <f>SUM(BT335:BT338)</f>
        <v>31.213853904282118</v>
      </c>
      <c r="BY339" s="45">
        <f>SUM(BY335:BY338)</f>
        <v>31.825944584382874</v>
      </c>
      <c r="CR339" s="66"/>
      <c r="CS339" s="66"/>
      <c r="CT339" s="66"/>
      <c r="CU339" s="66"/>
      <c r="CV339" s="66"/>
      <c r="CW339" s="66"/>
    </row>
    <row r="340" spans="1:256">
      <c r="A340" s="41" t="s">
        <v>563</v>
      </c>
      <c r="B340" s="41"/>
      <c r="AZ340" s="45">
        <v>2.2598870056497176E-3</v>
      </c>
      <c r="BE340" s="45">
        <v>2.530703386676591E-3</v>
      </c>
      <c r="BG340" s="45">
        <v>1.0469314079422382E-3</v>
      </c>
      <c r="BH340" s="45">
        <v>1.8060321473722233E-3</v>
      </c>
      <c r="BI340" s="45">
        <v>3.3645196113709962E-3</v>
      </c>
      <c r="BJ340" s="45">
        <v>6.8010075566750624E-3</v>
      </c>
      <c r="BK340" s="45">
        <v>7.3940486925157798E-4</v>
      </c>
      <c r="BO340" s="45">
        <v>6.8010075566750632E-3</v>
      </c>
      <c r="BT340" s="45">
        <v>6.8010075566750632E-3</v>
      </c>
      <c r="BY340" s="45">
        <v>6.8010075566750632E-3</v>
      </c>
      <c r="CR340" s="66"/>
      <c r="CS340" s="66"/>
      <c r="CT340" s="66"/>
      <c r="CU340" s="66"/>
      <c r="CV340" s="66"/>
      <c r="CW340" s="66"/>
    </row>
    <row r="341" spans="1:256">
      <c r="A341" s="41"/>
      <c r="B341" s="41"/>
      <c r="CR341" s="66"/>
      <c r="CS341" s="66"/>
      <c r="CT341" s="66"/>
      <c r="CU341" s="66"/>
      <c r="CV341" s="66"/>
      <c r="CW341" s="66"/>
    </row>
    <row r="342" spans="1:256">
      <c r="A342" s="41"/>
      <c r="B342" s="41"/>
      <c r="CR342" s="66"/>
      <c r="CS342" s="66"/>
      <c r="CT342" s="66"/>
      <c r="CU342" s="66"/>
      <c r="CV342" s="66"/>
      <c r="CW342" s="66"/>
    </row>
    <row r="343" spans="1:256">
      <c r="A343" s="41"/>
      <c r="B343" s="41"/>
      <c r="CR343" s="66"/>
      <c r="CS343" s="66"/>
      <c r="CT343" s="66"/>
      <c r="CU343" s="66"/>
      <c r="CV343" s="66"/>
      <c r="CW343" s="66"/>
    </row>
    <row r="344" spans="1:256" s="1198" customFormat="1">
      <c r="A344" s="1329" t="s">
        <v>567</v>
      </c>
      <c r="B344" s="1191"/>
      <c r="C344" s="1192"/>
      <c r="D344" s="1193"/>
      <c r="E344" s="1193"/>
      <c r="F344" s="1193"/>
      <c r="G344" s="1191"/>
      <c r="H344" s="1192"/>
      <c r="I344" s="1193"/>
      <c r="J344" s="1193"/>
      <c r="K344" s="1194"/>
      <c r="L344" s="1192"/>
      <c r="M344" s="1192"/>
      <c r="N344" s="1193"/>
      <c r="O344" s="1193"/>
      <c r="P344" s="1193"/>
      <c r="Q344" s="1191"/>
      <c r="R344" s="1193"/>
      <c r="S344" s="1193"/>
      <c r="T344" s="1193"/>
      <c r="U344" s="1194"/>
      <c r="V344" s="1194"/>
      <c r="W344" s="1193"/>
      <c r="X344" s="1193"/>
      <c r="Y344" s="1193"/>
      <c r="Z344" s="1193"/>
      <c r="AA344" s="1191"/>
      <c r="AB344" s="1193"/>
      <c r="AC344" s="1195"/>
      <c r="AD344" s="1195"/>
      <c r="AE344" s="1195"/>
      <c r="AF344" s="1191"/>
      <c r="AG344" s="1193"/>
      <c r="AH344" s="1193"/>
      <c r="AI344" s="1193"/>
      <c r="AJ344" s="1193"/>
      <c r="AK344" s="1196"/>
      <c r="AL344" s="1193"/>
      <c r="AM344" s="1193"/>
      <c r="AN344" s="1193"/>
      <c r="AO344" s="1193"/>
      <c r="AP344" s="1196"/>
      <c r="AQ344" s="1193"/>
      <c r="AR344" s="1193"/>
      <c r="AS344" s="1193"/>
      <c r="AT344" s="1193"/>
      <c r="AU344" s="1196"/>
      <c r="AV344" s="1193"/>
      <c r="AW344" s="1193"/>
      <c r="AX344" s="1193"/>
      <c r="AY344" s="1193"/>
      <c r="AZ344" s="1196"/>
      <c r="BA344" s="1193" t="e">
        <f>(BA338+BA341)/BA348</f>
        <v>#DIV/0!</v>
      </c>
      <c r="BB344" s="1193" t="e">
        <f>(BB338+BB341)/BB348</f>
        <v>#DIV/0!</v>
      </c>
      <c r="BC344" s="1193" t="e">
        <f>(BC338+BC341)/BC348</f>
        <v>#DIV/0!</v>
      </c>
      <c r="BD344" s="1193" t="e">
        <f>(BD338+BD341)/BD348</f>
        <v>#DIV/0!</v>
      </c>
      <c r="BE344" s="1196"/>
      <c r="BF344" s="1193"/>
      <c r="BG344" s="1193"/>
      <c r="BH344" s="1193"/>
      <c r="BI344" s="1193"/>
      <c r="BJ344" s="1191"/>
      <c r="BK344" s="1193"/>
      <c r="BL344" s="1193"/>
      <c r="BM344" s="1193"/>
      <c r="BN344" s="1193"/>
      <c r="BO344" s="1191"/>
      <c r="BP344" s="1193"/>
      <c r="BQ344" s="1193"/>
      <c r="BR344" s="1193"/>
      <c r="BS344" s="1193"/>
      <c r="BT344" s="1191"/>
      <c r="BU344" s="1193"/>
      <c r="BV344" s="1193"/>
      <c r="BW344" s="1193"/>
      <c r="BX344" s="1193"/>
      <c r="BY344" s="1191"/>
      <c r="BZ344" s="1193"/>
      <c r="CA344" s="1193"/>
      <c r="CB344" s="1193"/>
      <c r="CC344" s="1193"/>
      <c r="CD344" s="1191"/>
      <c r="CE344" s="1193"/>
      <c r="CF344" s="1193"/>
      <c r="CG344" s="1193"/>
      <c r="CH344" s="1193"/>
      <c r="CI344" s="1191"/>
      <c r="CJ344" s="1193"/>
      <c r="CK344" s="1193"/>
      <c r="CL344" s="1193"/>
      <c r="CM344" s="1193"/>
      <c r="CN344" s="1191"/>
      <c r="CO344" s="1197"/>
      <c r="CR344" s="1190"/>
      <c r="CS344" s="1193"/>
      <c r="CT344" s="1195"/>
      <c r="CU344" s="1191"/>
      <c r="CV344" s="1193"/>
      <c r="CW344" s="1199"/>
      <c r="DB344"/>
      <c r="DC344"/>
      <c r="DD344"/>
      <c r="DE344"/>
      <c r="DF344"/>
      <c r="DG344"/>
      <c r="HQ344" s="1200"/>
      <c r="HR344" s="1200"/>
      <c r="HS344" s="1200"/>
      <c r="HT344" s="1200"/>
      <c r="HU344" s="1200"/>
      <c r="HV344" s="1200"/>
      <c r="HW344" s="1200"/>
      <c r="HX344" s="1200"/>
      <c r="HY344" s="1200"/>
      <c r="HZ344" s="1200"/>
      <c r="IA344" s="1200"/>
      <c r="IB344" s="1200"/>
      <c r="IC344" s="1200"/>
      <c r="ID344" s="1200"/>
      <c r="IE344" s="1200"/>
      <c r="IF344" s="1200"/>
      <c r="IG344" s="1200"/>
      <c r="IH344" s="1200"/>
      <c r="II344" s="1200"/>
      <c r="IJ344" s="1200"/>
      <c r="IK344" s="1200"/>
      <c r="IL344" s="1200"/>
      <c r="IM344" s="1200"/>
      <c r="IN344" s="1200"/>
      <c r="IO344" s="1200"/>
      <c r="IP344" s="1200"/>
      <c r="IQ344" s="1200"/>
      <c r="IR344" s="1200"/>
      <c r="IS344" s="1200"/>
      <c r="IT344" s="1200"/>
      <c r="IU344" s="1200"/>
      <c r="IV344" s="1200"/>
    </row>
    <row r="345" spans="1:256">
      <c r="A345" s="44" t="s">
        <v>566</v>
      </c>
      <c r="B345" s="45"/>
      <c r="BJ345" s="98"/>
      <c r="BK345" s="48"/>
      <c r="BL345" s="48">
        <f t="shared" ref="BL345:BQ345" si="406">BL38</f>
        <v>64.307999999999993</v>
      </c>
      <c r="BM345" s="48">
        <f t="shared" si="406"/>
        <v>55.939000000000021</v>
      </c>
      <c r="BN345" s="48">
        <f t="shared" si="406"/>
        <v>116.31200000000001</v>
      </c>
      <c r="BO345" s="98">
        <f t="shared" si="406"/>
        <v>274.44300000000021</v>
      </c>
      <c r="BP345" s="48">
        <f t="shared" si="406"/>
        <v>63.829000000000008</v>
      </c>
      <c r="BQ345" s="48">
        <f t="shared" si="406"/>
        <v>65.647999999999968</v>
      </c>
      <c r="BR345" s="48">
        <f t="shared" ref="BR345:BX345" si="407">BR38</f>
        <v>106.08799999999997</v>
      </c>
      <c r="BS345" s="48">
        <f t="shared" si="407"/>
        <v>79.215000000000003</v>
      </c>
      <c r="BT345" s="98">
        <f t="shared" si="407"/>
        <v>314.77999999999975</v>
      </c>
      <c r="BU345" s="48">
        <f t="shared" si="407"/>
        <v>60.719999999999942</v>
      </c>
      <c r="BV345" s="48">
        <f t="shared" si="407"/>
        <v>25.79400000000004</v>
      </c>
      <c r="BW345" s="48">
        <f t="shared" si="407"/>
        <v>61.656999999999982</v>
      </c>
      <c r="BX345" s="48">
        <f t="shared" si="407"/>
        <v>66.586999999999989</v>
      </c>
      <c r="BY345" s="98">
        <f t="shared" ref="BY345" si="408">BY38</f>
        <v>214.80199999999991</v>
      </c>
      <c r="BZ345" s="48"/>
      <c r="CA345" s="48"/>
      <c r="CB345" s="48"/>
      <c r="CC345" s="48"/>
      <c r="CD345" s="98"/>
      <c r="CE345" s="48"/>
      <c r="CF345" s="48"/>
      <c r="CG345" s="48"/>
      <c r="CH345" s="48"/>
      <c r="CI345" s="98"/>
      <c r="CJ345" s="48"/>
      <c r="CK345" s="48"/>
      <c r="CL345" s="48"/>
      <c r="CM345" s="48"/>
      <c r="CN345" s="98"/>
      <c r="CR345" s="66"/>
      <c r="CS345" s="66"/>
      <c r="CT345" s="66"/>
      <c r="CU345" s="66"/>
      <c r="CV345" s="66"/>
      <c r="CW345" s="66"/>
    </row>
    <row r="346" spans="1:256">
      <c r="A346" s="44" t="s">
        <v>568</v>
      </c>
      <c r="B346" s="45"/>
      <c r="BJ346" s="98"/>
      <c r="BK346" s="48"/>
      <c r="BL346" s="48">
        <f t="shared" ref="BL346:BT346" si="409">BL29</f>
        <v>39.335000000000001</v>
      </c>
      <c r="BM346" s="48">
        <f t="shared" si="409"/>
        <v>36.42</v>
      </c>
      <c r="BN346" s="48">
        <f t="shared" si="409"/>
        <v>33.750999999999998</v>
      </c>
      <c r="BO346" s="98">
        <f t="shared" si="409"/>
        <v>145.05099999999999</v>
      </c>
      <c r="BP346" s="48">
        <f t="shared" si="409"/>
        <v>32.344999999999999</v>
      </c>
      <c r="BQ346" s="48">
        <f t="shared" si="409"/>
        <v>30.748999999999999</v>
      </c>
      <c r="BR346" s="48">
        <f t="shared" si="409"/>
        <v>29.361999999999998</v>
      </c>
      <c r="BS346" s="48">
        <f t="shared" si="409"/>
        <v>30.248000000000001</v>
      </c>
      <c r="BT346" s="98">
        <f t="shared" si="409"/>
        <v>122.70399999999999</v>
      </c>
      <c r="BU346" s="48">
        <f t="shared" ref="BU346:BX346" si="410">BU29</f>
        <v>29.164999999999999</v>
      </c>
      <c r="BV346" s="48">
        <f t="shared" si="410"/>
        <v>31.309000000000001</v>
      </c>
      <c r="BW346" s="48">
        <f t="shared" si="410"/>
        <v>31.216000000000001</v>
      </c>
      <c r="BX346" s="48">
        <f t="shared" si="410"/>
        <v>33.997</v>
      </c>
      <c r="BY346" s="98">
        <f t="shared" ref="BY346" si="411">BY29</f>
        <v>125.687</v>
      </c>
      <c r="BZ346" s="48"/>
      <c r="CA346" s="48"/>
      <c r="CB346" s="48"/>
      <c r="CC346" s="48"/>
      <c r="CD346" s="98"/>
      <c r="CE346" s="48"/>
      <c r="CF346" s="48"/>
      <c r="CG346" s="48"/>
      <c r="CH346" s="48"/>
      <c r="CI346" s="98"/>
      <c r="CJ346" s="48"/>
      <c r="CK346" s="48"/>
      <c r="CL346" s="48"/>
      <c r="CM346" s="48"/>
      <c r="CN346" s="98"/>
      <c r="CR346" s="66"/>
      <c r="CS346" s="66"/>
      <c r="CT346" s="66"/>
      <c r="CU346" s="66"/>
      <c r="CV346" s="66"/>
      <c r="CW346" s="66"/>
    </row>
    <row r="347" spans="1:256">
      <c r="A347" s="44" t="s">
        <v>569</v>
      </c>
      <c r="B347" s="45"/>
      <c r="BJ347" s="98"/>
      <c r="BK347" s="48"/>
      <c r="BL347" s="48">
        <f t="shared" ref="BL347:BT347" si="412">BL30</f>
        <v>-15.654</v>
      </c>
      <c r="BM347" s="48">
        <f t="shared" si="412"/>
        <v>9.8000000000000004E-2</v>
      </c>
      <c r="BN347" s="48">
        <f t="shared" si="412"/>
        <v>-59.258000000000003</v>
      </c>
      <c r="BO347" s="98">
        <f t="shared" si="412"/>
        <v>-74.009</v>
      </c>
      <c r="BP347" s="48">
        <f t="shared" si="412"/>
        <v>-8.4260000000000002</v>
      </c>
      <c r="BQ347" s="48">
        <f t="shared" si="412"/>
        <v>-1.9239999999999999</v>
      </c>
      <c r="BR347" s="48">
        <f t="shared" si="412"/>
        <v>-37.756</v>
      </c>
      <c r="BS347" s="48">
        <f t="shared" si="412"/>
        <v>-23.824999999999999</v>
      </c>
      <c r="BT347" s="98">
        <f t="shared" si="412"/>
        <v>-71.930999999999997</v>
      </c>
      <c r="BU347" s="48">
        <f t="shared" ref="BU347:BX347" si="413">BU30</f>
        <v>-1.407</v>
      </c>
      <c r="BV347" s="48">
        <f t="shared" si="413"/>
        <v>41.05</v>
      </c>
      <c r="BW347" s="48">
        <f t="shared" si="413"/>
        <v>0.106</v>
      </c>
      <c r="BX347" s="48">
        <f t="shared" si="413"/>
        <v>-0.67300000000000004</v>
      </c>
      <c r="BY347" s="98">
        <f t="shared" ref="BY347" si="414">BY30</f>
        <v>39.076000000000001</v>
      </c>
      <c r="BZ347" s="48"/>
      <c r="CA347" s="48"/>
      <c r="CB347" s="48"/>
      <c r="CC347" s="48"/>
      <c r="CD347" s="98"/>
      <c r="CE347" s="48"/>
      <c r="CF347" s="48"/>
      <c r="CG347" s="48"/>
      <c r="CH347" s="48"/>
      <c r="CI347" s="98"/>
      <c r="CJ347" s="48"/>
      <c r="CK347" s="48"/>
      <c r="CL347" s="48"/>
      <c r="CM347" s="48"/>
      <c r="CN347" s="98"/>
      <c r="CR347" s="66"/>
      <c r="CS347" s="66"/>
      <c r="CT347" s="66"/>
      <c r="CU347" s="66"/>
      <c r="CV347" s="66"/>
      <c r="CW347" s="66"/>
    </row>
    <row r="348" spans="1:256">
      <c r="A348" s="44" t="s">
        <v>570</v>
      </c>
      <c r="B348" s="45"/>
      <c r="BJ348" s="98"/>
      <c r="BK348" s="48"/>
      <c r="BL348" s="48">
        <f t="shared" ref="BL348:BT348" si="415">BL31</f>
        <v>6.2789999999999999</v>
      </c>
      <c r="BM348" s="48">
        <f t="shared" si="415"/>
        <v>5.7539999999999996</v>
      </c>
      <c r="BN348" s="48">
        <f t="shared" si="415"/>
        <v>5.2640000000000002</v>
      </c>
      <c r="BO348" s="98">
        <f t="shared" si="415"/>
        <v>21.91</v>
      </c>
      <c r="BP348" s="48">
        <f t="shared" si="415"/>
        <v>3.25</v>
      </c>
      <c r="BQ348" s="48">
        <f t="shared" si="415"/>
        <v>2.4870000000000001</v>
      </c>
      <c r="BR348" s="48">
        <f t="shared" si="415"/>
        <v>2.129</v>
      </c>
      <c r="BS348" s="48">
        <f t="shared" si="415"/>
        <v>2.2170000000000001</v>
      </c>
      <c r="BT348" s="98">
        <f t="shared" si="415"/>
        <v>10.083</v>
      </c>
      <c r="BU348" s="48">
        <f t="shared" ref="BU348:BX348" si="416">BU31</f>
        <v>0.18099999999999999</v>
      </c>
      <c r="BV348" s="48">
        <f t="shared" si="416"/>
        <v>17.699000000000002</v>
      </c>
      <c r="BW348" s="48">
        <f t="shared" si="416"/>
        <v>2.8879999999999999</v>
      </c>
      <c r="BX348" s="48">
        <f t="shared" si="416"/>
        <v>1.806</v>
      </c>
      <c r="BY348" s="98">
        <f t="shared" ref="BY348" si="417">BY31</f>
        <v>22.574000000000002</v>
      </c>
      <c r="BZ348" s="48"/>
      <c r="CA348" s="48"/>
      <c r="CB348" s="48"/>
      <c r="CC348" s="48"/>
      <c r="CD348" s="98"/>
      <c r="CE348" s="48"/>
      <c r="CF348" s="48"/>
      <c r="CG348" s="48"/>
      <c r="CH348" s="48"/>
      <c r="CI348" s="98"/>
      <c r="CJ348" s="48"/>
      <c r="CK348" s="48"/>
      <c r="CL348" s="48"/>
      <c r="CM348" s="48"/>
      <c r="CN348" s="98"/>
      <c r="CR348" s="66"/>
      <c r="CS348" s="66"/>
      <c r="CT348" s="66"/>
      <c r="CU348" s="66"/>
      <c r="CV348" s="66"/>
      <c r="CW348" s="66"/>
    </row>
    <row r="349" spans="1:256">
      <c r="A349" s="44" t="s">
        <v>571</v>
      </c>
      <c r="B349" s="45"/>
      <c r="BJ349" s="98"/>
      <c r="BK349" s="48"/>
      <c r="BL349" s="48">
        <f t="shared" ref="BL349:BT349" si="418">BL33</f>
        <v>10.018000000000001</v>
      </c>
      <c r="BM349" s="48">
        <f t="shared" si="418"/>
        <v>1.5129999999999999</v>
      </c>
      <c r="BN349" s="48">
        <f t="shared" si="418"/>
        <v>11.532999999999999</v>
      </c>
      <c r="BO349" s="98">
        <f t="shared" si="418"/>
        <v>25.000999999999998</v>
      </c>
      <c r="BP349" s="48">
        <f t="shared" si="418"/>
        <v>7.1050000000000004</v>
      </c>
      <c r="BQ349" s="48">
        <f t="shared" si="418"/>
        <v>5.5250000000000004</v>
      </c>
      <c r="BR349" s="48">
        <f t="shared" si="418"/>
        <v>0.36099999999999999</v>
      </c>
      <c r="BS349" s="48">
        <f t="shared" si="418"/>
        <v>3.25</v>
      </c>
      <c r="BT349" s="98">
        <f t="shared" si="418"/>
        <v>16.241</v>
      </c>
      <c r="BU349" s="48">
        <f t="shared" ref="BU349:BX349" si="419">BU33</f>
        <v>0.51</v>
      </c>
      <c r="BV349" s="48">
        <f t="shared" si="419"/>
        <v>0.253</v>
      </c>
      <c r="BW349" s="48">
        <f t="shared" si="419"/>
        <v>1.0409999999999999</v>
      </c>
      <c r="BX349" s="48">
        <f t="shared" si="419"/>
        <v>2.2930000000000001</v>
      </c>
      <c r="BY349" s="98">
        <f t="shared" ref="BY349" si="420">BY33</f>
        <v>4.0969999999999995</v>
      </c>
      <c r="BZ349" s="48"/>
      <c r="CA349" s="48"/>
      <c r="CB349" s="48"/>
      <c r="CC349" s="48"/>
      <c r="CD349" s="98"/>
      <c r="CE349" s="48"/>
      <c r="CF349" s="48"/>
      <c r="CG349" s="48"/>
      <c r="CH349" s="48"/>
      <c r="CI349" s="98"/>
      <c r="CJ349" s="48"/>
      <c r="CK349" s="48"/>
      <c r="CL349" s="48"/>
      <c r="CM349" s="48"/>
      <c r="CN349" s="98"/>
      <c r="CR349" s="66"/>
      <c r="CS349" s="66"/>
      <c r="CT349" s="66"/>
      <c r="CU349" s="66"/>
      <c r="CV349" s="66"/>
      <c r="CW349" s="66"/>
    </row>
    <row r="350" spans="1:256" s="2" customFormat="1">
      <c r="A350" s="56" t="s">
        <v>54</v>
      </c>
      <c r="B350" s="80"/>
      <c r="C350" s="80"/>
      <c r="D350" s="80"/>
      <c r="E350" s="80"/>
      <c r="F350" s="80"/>
      <c r="G350" s="80"/>
      <c r="H350" s="80"/>
      <c r="I350" s="80"/>
      <c r="J350" s="80"/>
      <c r="K350" s="80"/>
      <c r="L350" s="80"/>
      <c r="M350" s="80"/>
      <c r="N350" s="80"/>
      <c r="O350" s="80"/>
      <c r="P350" s="80"/>
      <c r="Q350" s="80"/>
      <c r="R350" s="80"/>
      <c r="S350" s="80"/>
      <c r="T350" s="80"/>
      <c r="U350" s="80"/>
      <c r="V350" s="80"/>
      <c r="W350" s="80"/>
      <c r="X350" s="80"/>
      <c r="Y350" s="80"/>
      <c r="Z350" s="80"/>
      <c r="AA350" s="80"/>
      <c r="AB350" s="80"/>
      <c r="AC350" s="80"/>
      <c r="AD350" s="80"/>
      <c r="AE350" s="80"/>
      <c r="AF350" s="80"/>
      <c r="AG350" s="80"/>
      <c r="AH350" s="80"/>
      <c r="AI350" s="80"/>
      <c r="AJ350" s="80"/>
      <c r="AK350" s="80"/>
      <c r="AL350" s="80"/>
      <c r="AM350" s="80"/>
      <c r="AN350" s="80"/>
      <c r="AO350" s="80"/>
      <c r="AP350" s="80"/>
      <c r="AQ350" s="80"/>
      <c r="AR350" s="80"/>
      <c r="AS350" s="80"/>
      <c r="AT350" s="80"/>
      <c r="AU350" s="80"/>
      <c r="AV350" s="80"/>
      <c r="AW350" s="80"/>
      <c r="AX350" s="80"/>
      <c r="AY350" s="80"/>
      <c r="AZ350" s="80"/>
      <c r="BA350" s="80"/>
      <c r="BB350" s="80"/>
      <c r="BC350" s="80"/>
      <c r="BD350" s="80"/>
      <c r="BE350" s="80"/>
      <c r="BF350" s="80"/>
      <c r="BG350" s="80"/>
      <c r="BH350" s="80"/>
      <c r="BI350" s="80"/>
      <c r="BJ350" s="85"/>
      <c r="BK350" s="86"/>
      <c r="BL350" s="86">
        <f t="shared" ref="BL350:BQ350" si="421">SUM(BL345:BL349)</f>
        <v>104.286</v>
      </c>
      <c r="BM350" s="86">
        <f t="shared" si="421"/>
        <v>99.724000000000032</v>
      </c>
      <c r="BN350" s="86">
        <f t="shared" si="421"/>
        <v>107.602</v>
      </c>
      <c r="BO350" s="85">
        <f t="shared" si="421"/>
        <v>392.39600000000019</v>
      </c>
      <c r="BP350" s="86">
        <f t="shared" si="421"/>
        <v>98.103000000000009</v>
      </c>
      <c r="BQ350" s="86">
        <f t="shared" si="421"/>
        <v>102.48499999999996</v>
      </c>
      <c r="BR350" s="86">
        <f t="shared" ref="BR350:BX350" si="422">SUM(BR345:BR349)</f>
        <v>100.18399999999997</v>
      </c>
      <c r="BS350" s="86">
        <f t="shared" si="422"/>
        <v>91.105000000000004</v>
      </c>
      <c r="BT350" s="85">
        <f t="shared" si="422"/>
        <v>391.87699999999978</v>
      </c>
      <c r="BU350" s="86">
        <f t="shared" si="422"/>
        <v>89.16899999999994</v>
      </c>
      <c r="BV350" s="86">
        <f t="shared" si="422"/>
        <v>116.10500000000003</v>
      </c>
      <c r="BW350" s="86">
        <f t="shared" si="422"/>
        <v>96.907999999999987</v>
      </c>
      <c r="BX350" s="86">
        <f t="shared" si="422"/>
        <v>104.00999999999999</v>
      </c>
      <c r="BY350" s="85">
        <f t="shared" ref="BY350" si="423">SUM(BY345:BY349)</f>
        <v>406.23599999999993</v>
      </c>
      <c r="BZ350" s="86"/>
      <c r="CA350" s="86"/>
      <c r="CB350" s="86"/>
      <c r="CC350" s="86"/>
      <c r="CD350" s="85"/>
      <c r="CE350" s="86"/>
      <c r="CF350" s="86"/>
      <c r="CG350" s="86"/>
      <c r="CH350" s="86"/>
      <c r="CI350" s="85"/>
      <c r="CJ350" s="86"/>
      <c r="CK350" s="86"/>
      <c r="CL350" s="86"/>
      <c r="CM350" s="86"/>
      <c r="CN350" s="85"/>
      <c r="CO350" s="80"/>
      <c r="CP350" s="80"/>
      <c r="CQ350" s="80"/>
      <c r="CR350" s="59"/>
      <c r="CS350" s="59"/>
      <c r="CT350" s="59"/>
      <c r="CU350" s="59"/>
      <c r="CV350" s="59"/>
      <c r="CW350" s="59"/>
      <c r="CX350" s="80"/>
      <c r="CY350" s="80"/>
      <c r="CZ350" s="80"/>
      <c r="DA350" s="80"/>
      <c r="DB350"/>
      <c r="DC350"/>
      <c r="DD350"/>
      <c r="DE350"/>
      <c r="DF350"/>
      <c r="DG350"/>
      <c r="DH350" s="80"/>
      <c r="DI350" s="80"/>
      <c r="DJ350" s="80"/>
      <c r="DK350" s="80"/>
      <c r="DL350" s="80"/>
      <c r="DM350" s="80"/>
      <c r="DN350" s="80"/>
      <c r="DO350" s="80"/>
      <c r="DP350" s="80"/>
      <c r="DQ350" s="80"/>
      <c r="DR350" s="80"/>
      <c r="DS350" s="80"/>
      <c r="DT350" s="80"/>
      <c r="DU350" s="80"/>
      <c r="DV350" s="80"/>
      <c r="DW350" s="80"/>
      <c r="DX350" s="80"/>
      <c r="DY350" s="80"/>
      <c r="DZ350" s="80"/>
      <c r="EA350" s="80"/>
      <c r="EB350" s="80"/>
      <c r="EC350" s="80"/>
      <c r="ED350" s="80"/>
      <c r="EE350" s="80"/>
      <c r="EF350" s="80"/>
      <c r="EG350" s="80"/>
      <c r="EH350" s="80"/>
      <c r="EI350" s="80"/>
      <c r="EJ350" s="80"/>
      <c r="EK350" s="80"/>
      <c r="EL350" s="80"/>
      <c r="EM350" s="80"/>
      <c r="EN350" s="80"/>
      <c r="EO350" s="80"/>
      <c r="EP350" s="80"/>
      <c r="EQ350" s="80"/>
      <c r="ER350" s="80"/>
      <c r="ES350" s="80"/>
      <c r="ET350" s="80"/>
      <c r="EU350" s="80"/>
      <c r="EV350" s="80"/>
      <c r="EW350" s="80"/>
      <c r="EX350" s="80"/>
      <c r="EY350" s="80"/>
      <c r="EZ350" s="80"/>
      <c r="FA350" s="80"/>
      <c r="FB350" s="80"/>
      <c r="FC350" s="80"/>
      <c r="FD350" s="80"/>
      <c r="FE350" s="80"/>
      <c r="FF350" s="80"/>
      <c r="FG350" s="80"/>
      <c r="FH350" s="80"/>
      <c r="FI350" s="80"/>
      <c r="FJ350" s="80"/>
      <c r="FK350" s="80"/>
      <c r="FL350" s="80"/>
      <c r="FM350" s="80"/>
      <c r="FN350" s="80"/>
      <c r="FO350" s="80"/>
      <c r="FP350" s="80"/>
      <c r="FQ350" s="80"/>
      <c r="FR350" s="80"/>
      <c r="FS350" s="80"/>
      <c r="FT350" s="80"/>
      <c r="FU350" s="80"/>
      <c r="FV350" s="80"/>
      <c r="FW350" s="80"/>
      <c r="FX350" s="80"/>
      <c r="FY350" s="80"/>
      <c r="FZ350" s="80"/>
      <c r="GA350" s="80"/>
      <c r="GB350" s="80"/>
      <c r="GC350" s="80"/>
      <c r="GD350" s="80"/>
      <c r="GE350" s="80"/>
      <c r="GF350" s="80"/>
      <c r="GG350" s="80"/>
      <c r="GH350" s="80"/>
      <c r="GI350" s="80"/>
      <c r="GJ350" s="80"/>
      <c r="GK350" s="80"/>
      <c r="GL350" s="80"/>
      <c r="GM350" s="80"/>
      <c r="GN350" s="80"/>
      <c r="GO350" s="80"/>
      <c r="GP350" s="80"/>
      <c r="GQ350" s="80"/>
      <c r="GR350" s="80"/>
      <c r="GS350" s="80"/>
      <c r="GT350" s="80"/>
      <c r="GU350" s="80"/>
      <c r="GV350" s="80"/>
      <c r="GW350" s="80"/>
      <c r="GX350" s="80"/>
      <c r="GY350" s="80"/>
      <c r="GZ350" s="80"/>
      <c r="HA350" s="80"/>
      <c r="HB350" s="80"/>
      <c r="HC350" s="80"/>
      <c r="HD350" s="80"/>
      <c r="HE350" s="80"/>
      <c r="HF350" s="80"/>
      <c r="HG350" s="80"/>
      <c r="HH350" s="80"/>
      <c r="HI350" s="80"/>
      <c r="HJ350" s="80"/>
      <c r="HK350" s="80"/>
      <c r="HL350" s="80"/>
      <c r="HM350" s="80"/>
      <c r="HN350" s="80"/>
      <c r="HO350" s="80"/>
      <c r="HP350" s="80"/>
    </row>
    <row r="351" spans="1:256">
      <c r="A351" s="44"/>
      <c r="B351" s="45"/>
      <c r="BJ351" s="98"/>
      <c r="BK351" s="48"/>
      <c r="BL351" s="48"/>
      <c r="BM351" s="48"/>
      <c r="BN351" s="48"/>
      <c r="BO351" s="98"/>
      <c r="BP351" s="48"/>
      <c r="BQ351" s="48"/>
      <c r="BR351" s="48"/>
      <c r="BS351" s="48"/>
      <c r="BT351" s="98"/>
      <c r="BU351" s="48"/>
      <c r="BV351" s="48"/>
      <c r="BW351" s="48"/>
      <c r="BX351" s="48"/>
      <c r="BY351" s="98"/>
      <c r="BZ351" s="48"/>
      <c r="CA351" s="48"/>
      <c r="CB351" s="48"/>
      <c r="CC351" s="48"/>
      <c r="CD351" s="98"/>
      <c r="CE351" s="48"/>
      <c r="CF351" s="48"/>
      <c r="CG351" s="48"/>
      <c r="CH351" s="48"/>
      <c r="CI351" s="98"/>
      <c r="CJ351" s="48"/>
      <c r="CK351" s="48"/>
      <c r="CL351" s="48"/>
      <c r="CM351" s="48"/>
      <c r="CN351" s="98"/>
      <c r="CR351" s="66"/>
      <c r="CS351" s="66"/>
      <c r="CT351" s="66"/>
      <c r="CU351" s="66"/>
      <c r="CV351" s="66"/>
      <c r="CW351" s="66"/>
    </row>
    <row r="352" spans="1:256">
      <c r="A352" s="44" t="s">
        <v>572</v>
      </c>
      <c r="B352" s="45"/>
      <c r="BJ352" s="98"/>
      <c r="BK352" s="48"/>
      <c r="BL352" s="48">
        <f t="shared" ref="BL352:BS353" si="424">BL50</f>
        <v>40.083999999999996</v>
      </c>
      <c r="BM352" s="48">
        <f t="shared" si="424"/>
        <v>28.215000000000021</v>
      </c>
      <c r="BN352" s="48">
        <f t="shared" si="424"/>
        <v>140.42200000000003</v>
      </c>
      <c r="BO352" s="98">
        <f t="shared" si="424"/>
        <v>234.10100000000023</v>
      </c>
      <c r="BP352" s="48">
        <f t="shared" si="424"/>
        <v>35.982000000000006</v>
      </c>
      <c r="BQ352" s="48">
        <f t="shared" si="424"/>
        <v>37.280999999999963</v>
      </c>
      <c r="BR352" s="48">
        <f t="shared" si="424"/>
        <v>77.854999999999961</v>
      </c>
      <c r="BS352" s="48">
        <f t="shared" si="424"/>
        <v>50.570999999999998</v>
      </c>
      <c r="BT352" s="98">
        <f t="shared" ref="BT352:BU352" si="425">BT50</f>
        <v>201.68899999999974</v>
      </c>
      <c r="BU352" s="48">
        <f t="shared" si="425"/>
        <v>32.133999999999943</v>
      </c>
      <c r="BV352" s="48">
        <f t="shared" ref="BV352:BX352" si="426">BV50</f>
        <v>-0.29699999999995796</v>
      </c>
      <c r="BW352" s="48">
        <f t="shared" si="426"/>
        <v>31.554999999999982</v>
      </c>
      <c r="BX352" s="48">
        <f t="shared" si="426"/>
        <v>37.626999999999988</v>
      </c>
      <c r="BY352" s="98">
        <f t="shared" ref="BY352" si="427">BY50</f>
        <v>100.44599999999991</v>
      </c>
      <c r="BZ352" s="48"/>
      <c r="CA352" s="48"/>
      <c r="CB352" s="48"/>
      <c r="CC352" s="48"/>
      <c r="CD352" s="98"/>
      <c r="CE352" s="48"/>
      <c r="CF352" s="48"/>
      <c r="CG352" s="48"/>
      <c r="CH352" s="48"/>
      <c r="CI352" s="98"/>
      <c r="CJ352" s="48"/>
      <c r="CK352" s="48"/>
      <c r="CL352" s="48"/>
      <c r="CM352" s="48"/>
      <c r="CN352" s="98"/>
      <c r="CR352" s="66"/>
      <c r="CS352" s="66"/>
      <c r="CT352" s="66"/>
      <c r="CU352" s="66"/>
      <c r="CV352" s="66"/>
      <c r="CW352" s="66"/>
    </row>
    <row r="353" spans="1:224">
      <c r="A353" s="44" t="s">
        <v>574</v>
      </c>
      <c r="B353" s="45"/>
      <c r="BJ353" s="98"/>
      <c r="BK353" s="48"/>
      <c r="BL353" s="48">
        <f t="shared" si="424"/>
        <v>-15.259</v>
      </c>
      <c r="BM353" s="48">
        <f t="shared" si="424"/>
        <v>-19.891999999999999</v>
      </c>
      <c r="BN353" s="48">
        <f t="shared" si="424"/>
        <v>-51.741</v>
      </c>
      <c r="BO353" s="98">
        <f t="shared" si="424"/>
        <v>-94.149000000000001</v>
      </c>
      <c r="BP353" s="48">
        <f t="shared" si="424"/>
        <v>-10.619</v>
      </c>
      <c r="BQ353" s="48">
        <f t="shared" si="424"/>
        <v>-10.801</v>
      </c>
      <c r="BR353" s="48">
        <f t="shared" si="424"/>
        <v>-28.965</v>
      </c>
      <c r="BS353" s="48">
        <f t="shared" si="424"/>
        <v>-21.681000000000001</v>
      </c>
      <c r="BT353" s="98">
        <f t="shared" ref="BT353:BU353" si="428">BT51</f>
        <v>-72.066000000000003</v>
      </c>
      <c r="BU353" s="48">
        <f t="shared" si="428"/>
        <v>-9.7929999999999993</v>
      </c>
      <c r="BV353" s="48">
        <f t="shared" ref="BV353:BX353" si="429">BV51</f>
        <v>-1.548</v>
      </c>
      <c r="BW353" s="48">
        <f t="shared" si="429"/>
        <v>-17.297999999999998</v>
      </c>
      <c r="BX353" s="48">
        <f t="shared" si="429"/>
        <v>121.649</v>
      </c>
      <c r="BY353" s="98">
        <f t="shared" ref="BY353" si="430">BY51</f>
        <v>93.01</v>
      </c>
      <c r="BZ353" s="48"/>
      <c r="CA353" s="48"/>
      <c r="CB353" s="48"/>
      <c r="CC353" s="48"/>
      <c r="CD353" s="98"/>
      <c r="CE353" s="48"/>
      <c r="CF353" s="48"/>
      <c r="CG353" s="48"/>
      <c r="CH353" s="48"/>
      <c r="CI353" s="98"/>
      <c r="CJ353" s="48"/>
      <c r="CK353" s="48"/>
      <c r="CL353" s="48"/>
      <c r="CM353" s="48"/>
      <c r="CN353" s="98"/>
      <c r="CR353" s="66"/>
      <c r="CS353" s="66"/>
      <c r="CT353" s="66"/>
      <c r="CU353" s="66"/>
      <c r="CV353" s="66"/>
      <c r="CW353" s="66"/>
    </row>
    <row r="354" spans="1:224" s="2" customFormat="1">
      <c r="A354" s="56" t="s">
        <v>573</v>
      </c>
      <c r="B354" s="80"/>
      <c r="C354" s="80"/>
      <c r="D354" s="80"/>
      <c r="E354" s="80"/>
      <c r="F354" s="80"/>
      <c r="G354" s="80"/>
      <c r="H354" s="80"/>
      <c r="I354" s="80"/>
      <c r="J354" s="80"/>
      <c r="K354" s="80"/>
      <c r="L354" s="80"/>
      <c r="M354" s="80"/>
      <c r="N354" s="80"/>
      <c r="O354" s="80"/>
      <c r="P354" s="80"/>
      <c r="Q354" s="80"/>
      <c r="R354" s="80"/>
      <c r="S354" s="80"/>
      <c r="T354" s="80"/>
      <c r="U354" s="80"/>
      <c r="V354" s="80"/>
      <c r="W354" s="80"/>
      <c r="X354" s="80"/>
      <c r="Y354" s="80"/>
      <c r="Z354" s="80"/>
      <c r="AA354" s="80"/>
      <c r="AB354" s="80"/>
      <c r="AC354" s="80"/>
      <c r="AD354" s="80"/>
      <c r="AE354" s="80"/>
      <c r="AF354" s="80"/>
      <c r="AG354" s="80"/>
      <c r="AH354" s="80"/>
      <c r="AI354" s="80"/>
      <c r="AJ354" s="80"/>
      <c r="AK354" s="80"/>
      <c r="AL354" s="80"/>
      <c r="AM354" s="80"/>
      <c r="AN354" s="80"/>
      <c r="AO354" s="80"/>
      <c r="AP354" s="80"/>
      <c r="AQ354" s="80"/>
      <c r="AR354" s="80"/>
      <c r="AS354" s="80"/>
      <c r="AT354" s="80"/>
      <c r="AU354" s="80"/>
      <c r="AV354" s="80"/>
      <c r="AW354" s="80"/>
      <c r="AX354" s="80"/>
      <c r="AY354" s="80"/>
      <c r="AZ354" s="80"/>
      <c r="BA354" s="80"/>
      <c r="BB354" s="80"/>
      <c r="BC354" s="80"/>
      <c r="BD354" s="80"/>
      <c r="BE354" s="80"/>
      <c r="BF354" s="80"/>
      <c r="BG354" s="80"/>
      <c r="BH354" s="80"/>
      <c r="BI354" s="80"/>
      <c r="BJ354" s="85"/>
      <c r="BK354" s="86"/>
      <c r="BL354" s="86">
        <f t="shared" ref="BL354:BQ354" si="431">SUM(BL352:BL353)</f>
        <v>24.824999999999996</v>
      </c>
      <c r="BM354" s="86">
        <f t="shared" si="431"/>
        <v>8.3230000000000217</v>
      </c>
      <c r="BN354" s="86">
        <f t="shared" si="431"/>
        <v>88.681000000000026</v>
      </c>
      <c r="BO354" s="85">
        <f t="shared" si="431"/>
        <v>139.95200000000023</v>
      </c>
      <c r="BP354" s="86">
        <f t="shared" si="431"/>
        <v>25.363000000000007</v>
      </c>
      <c r="BQ354" s="86">
        <f t="shared" si="431"/>
        <v>26.479999999999961</v>
      </c>
      <c r="BR354" s="86">
        <f t="shared" ref="BR354:BX354" si="432">SUM(BR352:BR353)</f>
        <v>48.889999999999958</v>
      </c>
      <c r="BS354" s="86">
        <f t="shared" si="432"/>
        <v>28.889999999999997</v>
      </c>
      <c r="BT354" s="85">
        <f t="shared" si="432"/>
        <v>129.62299999999973</v>
      </c>
      <c r="BU354" s="86">
        <f t="shared" si="432"/>
        <v>22.340999999999944</v>
      </c>
      <c r="BV354" s="86">
        <f t="shared" si="432"/>
        <v>-1.844999999999958</v>
      </c>
      <c r="BW354" s="86">
        <f t="shared" si="432"/>
        <v>14.256999999999984</v>
      </c>
      <c r="BX354" s="86">
        <f t="shared" si="432"/>
        <v>159.27599999999998</v>
      </c>
      <c r="BY354" s="85">
        <f t="shared" ref="BY354" si="433">SUM(BY352:BY353)</f>
        <v>193.4559999999999</v>
      </c>
      <c r="BZ354" s="86"/>
      <c r="CA354" s="86"/>
      <c r="CB354" s="86"/>
      <c r="CC354" s="86"/>
      <c r="CD354" s="85"/>
      <c r="CE354" s="86"/>
      <c r="CF354" s="86"/>
      <c r="CG354" s="86"/>
      <c r="CH354" s="86"/>
      <c r="CI354" s="85"/>
      <c r="CJ354" s="86"/>
      <c r="CK354" s="86"/>
      <c r="CL354" s="86"/>
      <c r="CM354" s="86"/>
      <c r="CN354" s="85"/>
      <c r="CO354" s="80"/>
      <c r="CP354" s="80"/>
      <c r="CQ354" s="80"/>
      <c r="CR354" s="59"/>
      <c r="CS354" s="59"/>
      <c r="CT354" s="59"/>
      <c r="CU354" s="59"/>
      <c r="CV354" s="59"/>
      <c r="CW354" s="59"/>
      <c r="CX354" s="80"/>
      <c r="CY354" s="80"/>
      <c r="CZ354" s="80"/>
      <c r="DA354" s="80"/>
      <c r="DB354"/>
      <c r="DC354"/>
      <c r="DD354"/>
      <c r="DE354"/>
      <c r="DF354"/>
      <c r="DG354"/>
      <c r="DH354" s="80"/>
      <c r="DI354" s="80"/>
      <c r="DJ354" s="80"/>
      <c r="DK354" s="80"/>
      <c r="DL354" s="80"/>
      <c r="DM354" s="80"/>
      <c r="DN354" s="80"/>
      <c r="DO354" s="80"/>
      <c r="DP354" s="80"/>
      <c r="DQ354" s="80"/>
      <c r="DR354" s="80"/>
      <c r="DS354" s="80"/>
      <c r="DT354" s="80"/>
      <c r="DU354" s="80"/>
      <c r="DV354" s="80"/>
      <c r="DW354" s="80"/>
      <c r="DX354" s="80"/>
      <c r="DY354" s="80"/>
      <c r="DZ354" s="80"/>
      <c r="EA354" s="80"/>
      <c r="EB354" s="80"/>
      <c r="EC354" s="80"/>
      <c r="ED354" s="80"/>
      <c r="EE354" s="80"/>
      <c r="EF354" s="80"/>
      <c r="EG354" s="80"/>
      <c r="EH354" s="80"/>
      <c r="EI354" s="80"/>
      <c r="EJ354" s="80"/>
      <c r="EK354" s="80"/>
      <c r="EL354" s="80"/>
      <c r="EM354" s="80"/>
      <c r="EN354" s="80"/>
      <c r="EO354" s="80"/>
      <c r="EP354" s="80"/>
      <c r="EQ354" s="80"/>
      <c r="ER354" s="80"/>
      <c r="ES354" s="80"/>
      <c r="ET354" s="80"/>
      <c r="EU354" s="80"/>
      <c r="EV354" s="80"/>
      <c r="EW354" s="80"/>
      <c r="EX354" s="80"/>
      <c r="EY354" s="80"/>
      <c r="EZ354" s="80"/>
      <c r="FA354" s="80"/>
      <c r="FB354" s="80"/>
      <c r="FC354" s="80"/>
      <c r="FD354" s="80"/>
      <c r="FE354" s="80"/>
      <c r="FF354" s="80"/>
      <c r="FG354" s="80"/>
      <c r="FH354" s="80"/>
      <c r="FI354" s="80"/>
      <c r="FJ354" s="80"/>
      <c r="FK354" s="80"/>
      <c r="FL354" s="80"/>
      <c r="FM354" s="80"/>
      <c r="FN354" s="80"/>
      <c r="FO354" s="80"/>
      <c r="FP354" s="80"/>
      <c r="FQ354" s="80"/>
      <c r="FR354" s="80"/>
      <c r="FS354" s="80"/>
      <c r="FT354" s="80"/>
      <c r="FU354" s="80"/>
      <c r="FV354" s="80"/>
      <c r="FW354" s="80"/>
      <c r="FX354" s="80"/>
      <c r="FY354" s="80"/>
      <c r="FZ354" s="80"/>
      <c r="GA354" s="80"/>
      <c r="GB354" s="80"/>
      <c r="GC354" s="80"/>
      <c r="GD354" s="80"/>
      <c r="GE354" s="80"/>
      <c r="GF354" s="80"/>
      <c r="GG354" s="80"/>
      <c r="GH354" s="80"/>
      <c r="GI354" s="80"/>
      <c r="GJ354" s="80"/>
      <c r="GK354" s="80"/>
      <c r="GL354" s="80"/>
      <c r="GM354" s="80"/>
      <c r="GN354" s="80"/>
      <c r="GO354" s="80"/>
      <c r="GP354" s="80"/>
      <c r="GQ354" s="80"/>
      <c r="GR354" s="80"/>
      <c r="GS354" s="80"/>
      <c r="GT354" s="80"/>
      <c r="GU354" s="80"/>
      <c r="GV354" s="80"/>
      <c r="GW354" s="80"/>
      <c r="GX354" s="80"/>
      <c r="GY354" s="80"/>
      <c r="GZ354" s="80"/>
      <c r="HA354" s="80"/>
      <c r="HB354" s="80"/>
      <c r="HC354" s="80"/>
      <c r="HD354" s="80"/>
      <c r="HE354" s="80"/>
      <c r="HF354" s="80"/>
      <c r="HG354" s="80"/>
      <c r="HH354" s="80"/>
      <c r="HI354" s="80"/>
      <c r="HJ354" s="80"/>
      <c r="HK354" s="80"/>
      <c r="HL354" s="80"/>
      <c r="HM354" s="80"/>
      <c r="HN354" s="80"/>
      <c r="HO354" s="80"/>
      <c r="HP354" s="80"/>
    </row>
    <row r="355" spans="1:224">
      <c r="A355" s="44"/>
      <c r="B355" s="45"/>
      <c r="BJ355" s="98"/>
      <c r="BK355" s="48"/>
      <c r="BL355" s="48"/>
      <c r="BM355" s="48"/>
      <c r="BN355" s="48"/>
      <c r="BO355" s="98"/>
      <c r="BP355" s="48"/>
      <c r="BQ355" s="48"/>
      <c r="BR355" s="48"/>
      <c r="BS355" s="48"/>
      <c r="BT355" s="98"/>
      <c r="BU355" s="48"/>
      <c r="BV355" s="48"/>
      <c r="BW355" s="48"/>
      <c r="BX355" s="48"/>
      <c r="BY355" s="98"/>
      <c r="BZ355" s="48"/>
      <c r="CA355" s="48"/>
      <c r="CB355" s="48"/>
      <c r="CC355" s="48"/>
      <c r="CD355" s="98"/>
      <c r="CE355" s="48"/>
      <c r="CF355" s="48"/>
      <c r="CG355" s="48"/>
      <c r="CH355" s="48"/>
      <c r="CI355" s="98"/>
      <c r="CJ355" s="48"/>
      <c r="CK355" s="48"/>
      <c r="CL355" s="48"/>
      <c r="CM355" s="48"/>
      <c r="CN355" s="98"/>
    </row>
    <row r="356" spans="1:224">
      <c r="A356" s="44" t="s">
        <v>575</v>
      </c>
      <c r="B356" s="45"/>
      <c r="BJ356" s="98"/>
      <c r="BK356" s="48"/>
      <c r="BL356" s="48"/>
      <c r="BM356" s="48"/>
      <c r="BN356" s="48"/>
      <c r="BO356" s="98"/>
      <c r="BP356" s="48"/>
      <c r="BQ356" s="48"/>
      <c r="BR356" s="48"/>
      <c r="BS356" s="48"/>
      <c r="BT356" s="98"/>
      <c r="BU356" s="48"/>
      <c r="BV356" s="48"/>
      <c r="BW356" s="48"/>
      <c r="BX356" s="48"/>
      <c r="BY356" s="98"/>
      <c r="BZ356" s="48"/>
      <c r="CA356" s="48"/>
      <c r="CB356" s="48"/>
      <c r="CC356" s="48"/>
      <c r="CD356" s="98"/>
      <c r="CE356" s="48"/>
      <c r="CF356" s="48"/>
      <c r="CG356" s="48"/>
      <c r="CH356" s="48"/>
      <c r="CI356" s="98"/>
      <c r="CJ356" s="48"/>
      <c r="CK356" s="48"/>
      <c r="CL356" s="48"/>
      <c r="CM356" s="48"/>
      <c r="CN356" s="98"/>
    </row>
    <row r="357" spans="1:224">
      <c r="A357" s="44" t="s">
        <v>576</v>
      </c>
      <c r="B357" s="45"/>
      <c r="BJ357" s="98"/>
      <c r="BK357" s="48"/>
      <c r="BL357" s="48">
        <v>0.23100000000000001</v>
      </c>
      <c r="BM357" s="48">
        <v>-0.41699999999999998</v>
      </c>
      <c r="BN357" s="48">
        <v>1.323</v>
      </c>
      <c r="BO357" s="98"/>
      <c r="BP357" s="48"/>
      <c r="BQ357" s="48"/>
      <c r="BR357" s="48"/>
      <c r="BS357" s="48"/>
      <c r="BT357" s="98"/>
      <c r="BU357" s="48"/>
      <c r="BV357" s="48"/>
      <c r="BW357" s="48"/>
      <c r="BX357" s="48"/>
      <c r="BY357" s="98"/>
      <c r="BZ357" s="48"/>
      <c r="CA357" s="48"/>
      <c r="CB357" s="48"/>
      <c r="CC357" s="48"/>
      <c r="CD357" s="98"/>
      <c r="CE357" s="48"/>
      <c r="CF357" s="48"/>
      <c r="CG357" s="48"/>
      <c r="CH357" s="48"/>
      <c r="CI357" s="98"/>
      <c r="CJ357" s="48"/>
      <c r="CK357" s="48"/>
      <c r="CL357" s="48"/>
      <c r="CM357" s="48"/>
      <c r="CN357" s="98"/>
    </row>
    <row r="358" spans="1:224">
      <c r="A358" s="44" t="s">
        <v>577</v>
      </c>
      <c r="B358" s="45"/>
      <c r="BJ358" s="98"/>
      <c r="BK358" s="48"/>
      <c r="BL358" s="48">
        <v>15.138999999999999</v>
      </c>
      <c r="BM358" s="48">
        <v>-0.32200000000000001</v>
      </c>
      <c r="BN358" s="48">
        <v>-4.1479999999999997</v>
      </c>
      <c r="BO358" s="98"/>
      <c r="BP358" s="48"/>
      <c r="BQ358" s="48"/>
      <c r="BR358" s="48"/>
      <c r="BS358" s="48"/>
      <c r="BT358" s="98"/>
      <c r="BU358" s="48"/>
      <c r="BV358" s="48"/>
      <c r="BW358" s="48"/>
      <c r="BX358" s="48"/>
      <c r="BY358" s="98"/>
      <c r="BZ358" s="48"/>
      <c r="CA358" s="48"/>
      <c r="CB358" s="48"/>
      <c r="CC358" s="48"/>
      <c r="CD358" s="98"/>
      <c r="CE358" s="48"/>
      <c r="CF358" s="48"/>
      <c r="CG358" s="48"/>
      <c r="CH358" s="48"/>
      <c r="CI358" s="98"/>
      <c r="CJ358" s="48"/>
      <c r="CK358" s="48"/>
      <c r="CL358" s="48"/>
      <c r="CM358" s="48"/>
      <c r="CN358" s="98"/>
    </row>
    <row r="359" spans="1:224">
      <c r="A359" s="44" t="s">
        <v>578</v>
      </c>
      <c r="B359" s="45"/>
      <c r="BJ359" s="98"/>
      <c r="BK359" s="48"/>
      <c r="BL359" s="48">
        <f>SUM(BL357:BL358)</f>
        <v>15.37</v>
      </c>
      <c r="BM359" s="48">
        <f>SUM(BM357:BM358)</f>
        <v>-0.73899999999999999</v>
      </c>
      <c r="BN359" s="48">
        <f>SUM(BN357:BN358)</f>
        <v>-2.8249999999999997</v>
      </c>
      <c r="BO359" s="98"/>
      <c r="BP359" s="48"/>
      <c r="BQ359" s="48"/>
      <c r="BR359" s="48"/>
      <c r="BS359" s="48"/>
      <c r="BT359" s="98"/>
      <c r="BU359" s="48"/>
      <c r="BV359" s="48"/>
      <c r="BW359" s="48"/>
      <c r="BX359" s="48"/>
      <c r="BY359" s="98"/>
      <c r="BZ359" s="48"/>
      <c r="CA359" s="48"/>
      <c r="CB359" s="48"/>
      <c r="CC359" s="48"/>
      <c r="CD359" s="98"/>
      <c r="CE359" s="48"/>
      <c r="CF359" s="48"/>
      <c r="CG359" s="48"/>
      <c r="CH359" s="48"/>
      <c r="CI359" s="98"/>
      <c r="CJ359" s="48"/>
      <c r="CK359" s="48"/>
      <c r="CL359" s="48"/>
      <c r="CM359" s="48"/>
      <c r="CN359" s="98"/>
    </row>
    <row r="360" spans="1:224" s="2" customFormat="1">
      <c r="A360" s="56" t="s">
        <v>579</v>
      </c>
      <c r="B360" s="80"/>
      <c r="C360" s="80"/>
      <c r="D360" s="80"/>
      <c r="E360" s="80"/>
      <c r="F360" s="80"/>
      <c r="G360" s="80"/>
      <c r="H360" s="80"/>
      <c r="I360" s="80"/>
      <c r="J360" s="80"/>
      <c r="K360" s="80"/>
      <c r="L360" s="80"/>
      <c r="M360" s="80"/>
      <c r="N360" s="80"/>
      <c r="O360" s="80"/>
      <c r="P360" s="80"/>
      <c r="Q360" s="80"/>
      <c r="R360" s="80"/>
      <c r="S360" s="80"/>
      <c r="T360" s="80"/>
      <c r="U360" s="80"/>
      <c r="V360" s="80"/>
      <c r="W360" s="80"/>
      <c r="X360" s="80"/>
      <c r="Y360" s="80"/>
      <c r="Z360" s="80"/>
      <c r="AA360" s="80"/>
      <c r="AB360" s="80"/>
      <c r="AC360" s="80"/>
      <c r="AD360" s="80"/>
      <c r="AE360" s="80"/>
      <c r="AF360" s="80"/>
      <c r="AG360" s="80"/>
      <c r="AH360" s="80"/>
      <c r="AI360" s="80"/>
      <c r="AJ360" s="80"/>
      <c r="AK360" s="80"/>
      <c r="AL360" s="80"/>
      <c r="AM360" s="80"/>
      <c r="AN360" s="80"/>
      <c r="AO360" s="80"/>
      <c r="AP360" s="80"/>
      <c r="AQ360" s="80"/>
      <c r="AR360" s="80"/>
      <c r="AS360" s="80"/>
      <c r="AT360" s="80"/>
      <c r="AU360" s="80"/>
      <c r="AV360" s="80"/>
      <c r="AW360" s="80"/>
      <c r="AX360" s="80"/>
      <c r="AY360" s="80"/>
      <c r="AZ360" s="80"/>
      <c r="BA360" s="80"/>
      <c r="BB360" s="80"/>
      <c r="BC360" s="80"/>
      <c r="BD360" s="80"/>
      <c r="BE360" s="80"/>
      <c r="BF360" s="80"/>
      <c r="BG360" s="80"/>
      <c r="BH360" s="80"/>
      <c r="BI360" s="80"/>
      <c r="BJ360" s="85"/>
      <c r="BK360" s="86"/>
      <c r="BL360" s="86">
        <f>BL359+BL354</f>
        <v>40.194999999999993</v>
      </c>
      <c r="BM360" s="86">
        <f>BM359+BM354</f>
        <v>7.5840000000000218</v>
      </c>
      <c r="BN360" s="86">
        <f>BN359+BN354</f>
        <v>85.856000000000023</v>
      </c>
      <c r="BO360" s="85"/>
      <c r="BP360" s="86"/>
      <c r="BQ360" s="86"/>
      <c r="BR360" s="86"/>
      <c r="BS360" s="86"/>
      <c r="BT360" s="85"/>
      <c r="BU360" s="86"/>
      <c r="BV360" s="86"/>
      <c r="BW360" s="86"/>
      <c r="BX360" s="86"/>
      <c r="BY360" s="85"/>
      <c r="BZ360" s="86"/>
      <c r="CA360" s="86"/>
      <c r="CB360" s="86"/>
      <c r="CC360" s="86"/>
      <c r="CD360" s="85"/>
      <c r="CE360" s="86"/>
      <c r="CF360" s="86"/>
      <c r="CG360" s="86"/>
      <c r="CH360" s="86"/>
      <c r="CI360" s="85"/>
      <c r="CJ360" s="86"/>
      <c r="CK360" s="86"/>
      <c r="CL360" s="86"/>
      <c r="CM360" s="86"/>
      <c r="CN360" s="85"/>
      <c r="CO360" s="80"/>
      <c r="CP360" s="80"/>
      <c r="CQ360" s="80"/>
      <c r="CR360" s="80"/>
      <c r="CS360" s="80"/>
      <c r="CT360" s="80"/>
      <c r="CU360" s="80"/>
      <c r="CV360" s="80"/>
      <c r="CW360" s="80"/>
      <c r="CX360" s="80"/>
      <c r="CY360" s="80"/>
      <c r="CZ360" s="80"/>
      <c r="DA360" s="80"/>
      <c r="DB360"/>
      <c r="DC360"/>
      <c r="DD360"/>
      <c r="DE360"/>
      <c r="DF360"/>
      <c r="DG360"/>
      <c r="DH360" s="80"/>
      <c r="DI360" s="80"/>
      <c r="DJ360" s="80"/>
      <c r="DK360" s="80"/>
      <c r="DL360" s="80"/>
      <c r="DM360" s="80"/>
      <c r="DN360" s="80"/>
      <c r="DO360" s="80"/>
      <c r="DP360" s="80"/>
      <c r="DQ360" s="80"/>
      <c r="DR360" s="80"/>
      <c r="DS360" s="80"/>
      <c r="DT360" s="80"/>
      <c r="DU360" s="80"/>
      <c r="DV360" s="80"/>
      <c r="DW360" s="80"/>
      <c r="DX360" s="80"/>
      <c r="DY360" s="80"/>
      <c r="DZ360" s="80"/>
      <c r="EA360" s="80"/>
      <c r="EB360" s="80"/>
      <c r="EC360" s="80"/>
      <c r="ED360" s="80"/>
      <c r="EE360" s="80"/>
      <c r="EF360" s="80"/>
      <c r="EG360" s="80"/>
      <c r="EH360" s="80"/>
      <c r="EI360" s="80"/>
      <c r="EJ360" s="80"/>
      <c r="EK360" s="80"/>
      <c r="EL360" s="80"/>
      <c r="EM360" s="80"/>
      <c r="EN360" s="80"/>
      <c r="EO360" s="80"/>
      <c r="EP360" s="80"/>
      <c r="EQ360" s="80"/>
      <c r="ER360" s="80"/>
      <c r="ES360" s="80"/>
      <c r="ET360" s="80"/>
      <c r="EU360" s="80"/>
      <c r="EV360" s="80"/>
      <c r="EW360" s="80"/>
      <c r="EX360" s="80"/>
      <c r="EY360" s="80"/>
      <c r="EZ360" s="80"/>
      <c r="FA360" s="80"/>
      <c r="FB360" s="80"/>
      <c r="FC360" s="80"/>
      <c r="FD360" s="80"/>
      <c r="FE360" s="80"/>
      <c r="FF360" s="80"/>
      <c r="FG360" s="80"/>
      <c r="FH360" s="80"/>
      <c r="FI360" s="80"/>
      <c r="FJ360" s="80"/>
      <c r="FK360" s="80"/>
      <c r="FL360" s="80"/>
      <c r="FM360" s="80"/>
      <c r="FN360" s="80"/>
      <c r="FO360" s="80"/>
      <c r="FP360" s="80"/>
      <c r="FQ360" s="80"/>
      <c r="FR360" s="80"/>
      <c r="FS360" s="80"/>
      <c r="FT360" s="80"/>
      <c r="FU360" s="80"/>
      <c r="FV360" s="80"/>
      <c r="FW360" s="80"/>
      <c r="FX360" s="80"/>
      <c r="FY360" s="80"/>
      <c r="FZ360" s="80"/>
      <c r="GA360" s="80"/>
      <c r="GB360" s="80"/>
      <c r="GC360" s="80"/>
      <c r="GD360" s="80"/>
      <c r="GE360" s="80"/>
      <c r="GF360" s="80"/>
      <c r="GG360" s="80"/>
      <c r="GH360" s="80"/>
      <c r="GI360" s="80"/>
      <c r="GJ360" s="80"/>
      <c r="GK360" s="80"/>
      <c r="GL360" s="80"/>
      <c r="GM360" s="80"/>
      <c r="GN360" s="80"/>
      <c r="GO360" s="80"/>
      <c r="GP360" s="80"/>
      <c r="GQ360" s="80"/>
      <c r="GR360" s="80"/>
      <c r="GS360" s="80"/>
      <c r="GT360" s="80"/>
      <c r="GU360" s="80"/>
      <c r="GV360" s="80"/>
      <c r="GW360" s="80"/>
      <c r="GX360" s="80"/>
      <c r="GY360" s="80"/>
      <c r="GZ360" s="80"/>
      <c r="HA360" s="80"/>
      <c r="HB360" s="80"/>
      <c r="HC360" s="80"/>
      <c r="HD360" s="80"/>
      <c r="HE360" s="80"/>
      <c r="HF360" s="80"/>
      <c r="HG360" s="80"/>
      <c r="HH360" s="80"/>
      <c r="HI360" s="80"/>
      <c r="HJ360" s="80"/>
      <c r="HK360" s="80"/>
      <c r="HL360" s="80"/>
      <c r="HM360" s="80"/>
      <c r="HN360" s="80"/>
      <c r="HO360" s="80"/>
      <c r="HP360" s="80"/>
    </row>
    <row r="361" spans="1:224">
      <c r="A361" s="44"/>
      <c r="B361" s="45"/>
      <c r="BJ361" s="98"/>
      <c r="BK361" s="48"/>
      <c r="BL361" s="48"/>
      <c r="BM361" s="48"/>
      <c r="BN361" s="48"/>
      <c r="BO361" s="98"/>
      <c r="BP361" s="48"/>
      <c r="BQ361" s="48"/>
      <c r="BR361" s="48"/>
      <c r="BS361" s="48"/>
      <c r="BT361" s="98"/>
      <c r="BU361" s="48"/>
      <c r="BV361" s="48"/>
      <c r="BW361" s="48"/>
      <c r="BX361" s="48"/>
      <c r="BY361" s="98"/>
      <c r="BZ361" s="48"/>
      <c r="CA361" s="48"/>
      <c r="CB361" s="48"/>
      <c r="CC361" s="48"/>
      <c r="CD361" s="98"/>
      <c r="CE361" s="48"/>
      <c r="CF361" s="48"/>
      <c r="CG361" s="48"/>
      <c r="CH361" s="48"/>
      <c r="CI361" s="98"/>
      <c r="CJ361" s="48"/>
      <c r="CK361" s="48"/>
      <c r="CL361" s="48"/>
      <c r="CM361" s="48"/>
      <c r="CN361" s="98"/>
    </row>
    <row r="362" spans="1:224" s="2" customFormat="1">
      <c r="A362" s="56" t="s">
        <v>573</v>
      </c>
      <c r="B362" s="80"/>
      <c r="C362" s="80"/>
      <c r="D362" s="80"/>
      <c r="E362" s="80"/>
      <c r="F362" s="80"/>
      <c r="G362" s="80"/>
      <c r="H362" s="80"/>
      <c r="I362" s="80"/>
      <c r="J362" s="80"/>
      <c r="K362" s="80"/>
      <c r="L362" s="80"/>
      <c r="M362" s="80"/>
      <c r="N362" s="80"/>
      <c r="O362" s="80"/>
      <c r="P362" s="80"/>
      <c r="Q362" s="80"/>
      <c r="R362" s="80"/>
      <c r="S362" s="80"/>
      <c r="T362" s="80"/>
      <c r="U362" s="80"/>
      <c r="V362" s="80"/>
      <c r="W362" s="80"/>
      <c r="X362" s="80"/>
      <c r="Y362" s="80"/>
      <c r="Z362" s="80"/>
      <c r="AA362" s="80"/>
      <c r="AB362" s="80"/>
      <c r="AC362" s="80"/>
      <c r="AD362" s="80"/>
      <c r="AE362" s="80"/>
      <c r="AF362" s="80"/>
      <c r="AG362" s="80"/>
      <c r="AH362" s="80"/>
      <c r="AI362" s="80"/>
      <c r="AJ362" s="80"/>
      <c r="AK362" s="80"/>
      <c r="AL362" s="80"/>
      <c r="AM362" s="80"/>
      <c r="AN362" s="80"/>
      <c r="AO362" s="80"/>
      <c r="AP362" s="80"/>
      <c r="AQ362" s="80"/>
      <c r="AR362" s="80"/>
      <c r="AS362" s="80"/>
      <c r="AT362" s="80"/>
      <c r="AU362" s="80"/>
      <c r="AV362" s="80"/>
      <c r="AW362" s="80"/>
      <c r="AX362" s="80"/>
      <c r="AY362" s="80"/>
      <c r="AZ362" s="80"/>
      <c r="BA362" s="80"/>
      <c r="BB362" s="80"/>
      <c r="BC362" s="80"/>
      <c r="BD362" s="80"/>
      <c r="BE362" s="80"/>
      <c r="BF362" s="80"/>
      <c r="BG362" s="80"/>
      <c r="BH362" s="80"/>
      <c r="BI362" s="80"/>
      <c r="BJ362" s="85"/>
      <c r="BK362" s="86"/>
      <c r="BL362" s="86">
        <f>BL53</f>
        <v>24.824999999999996</v>
      </c>
      <c r="BM362" s="86">
        <f>BM53</f>
        <v>8.3230000000000217</v>
      </c>
      <c r="BN362" s="86">
        <f>BN53</f>
        <v>88.681000000000026</v>
      </c>
      <c r="BO362" s="85"/>
      <c r="BP362" s="86">
        <f t="shared" ref="BP362:BX362" si="434">BP53</f>
        <v>25.363000000000007</v>
      </c>
      <c r="BQ362" s="86">
        <f t="shared" si="434"/>
        <v>26.479999999999961</v>
      </c>
      <c r="BR362" s="86">
        <f t="shared" si="434"/>
        <v>48.889999999999958</v>
      </c>
      <c r="BS362" s="86">
        <f t="shared" si="434"/>
        <v>28.889999999999997</v>
      </c>
      <c r="BT362" s="85">
        <f t="shared" si="434"/>
        <v>129.62299999999973</v>
      </c>
      <c r="BU362" s="86">
        <f t="shared" si="434"/>
        <v>22.340999999999944</v>
      </c>
      <c r="BV362" s="86">
        <f t="shared" si="434"/>
        <v>-1.844999999999958</v>
      </c>
      <c r="BW362" s="86">
        <f t="shared" si="434"/>
        <v>14.256999999999984</v>
      </c>
      <c r="BX362" s="86">
        <f t="shared" si="434"/>
        <v>159.27599999999998</v>
      </c>
      <c r="BY362" s="85">
        <f t="shared" ref="BY362" si="435">BY53</f>
        <v>193.4559999999999</v>
      </c>
      <c r="BZ362" s="86"/>
      <c r="CA362" s="86"/>
      <c r="CB362" s="86"/>
      <c r="CC362" s="86"/>
      <c r="CD362" s="85"/>
      <c r="CE362" s="86"/>
      <c r="CF362" s="86"/>
      <c r="CG362" s="86"/>
      <c r="CH362" s="86"/>
      <c r="CI362" s="85"/>
      <c r="CJ362" s="86"/>
      <c r="CK362" s="86"/>
      <c r="CL362" s="86"/>
      <c r="CM362" s="86"/>
      <c r="CN362" s="85"/>
      <c r="CO362" s="80"/>
      <c r="CP362" s="80"/>
      <c r="CQ362" s="80"/>
      <c r="CR362" s="80"/>
      <c r="CS362" s="80"/>
      <c r="CT362" s="80"/>
      <c r="CU362" s="80"/>
      <c r="CV362" s="80"/>
      <c r="CW362" s="80"/>
      <c r="CX362" s="80"/>
      <c r="CY362" s="80"/>
      <c r="CZ362" s="80"/>
      <c r="DA362" s="80"/>
      <c r="DB362"/>
      <c r="DC362"/>
      <c r="DD362"/>
      <c r="DE362"/>
      <c r="DF362"/>
      <c r="DG362"/>
      <c r="DH362" s="80"/>
      <c r="DI362" s="80"/>
      <c r="DJ362" s="80"/>
      <c r="DK362" s="80"/>
      <c r="DL362" s="80"/>
      <c r="DM362" s="80"/>
      <c r="DN362" s="80"/>
      <c r="DO362" s="80"/>
      <c r="DP362" s="80"/>
      <c r="DQ362" s="80"/>
      <c r="DR362" s="80"/>
      <c r="DS362" s="80"/>
      <c r="DT362" s="80"/>
      <c r="DU362" s="80"/>
      <c r="DV362" s="80"/>
      <c r="DW362" s="80"/>
      <c r="DX362" s="80"/>
      <c r="DY362" s="80"/>
      <c r="DZ362" s="80"/>
      <c r="EA362" s="80"/>
      <c r="EB362" s="80"/>
      <c r="EC362" s="80"/>
      <c r="ED362" s="80"/>
      <c r="EE362" s="80"/>
      <c r="EF362" s="80"/>
      <c r="EG362" s="80"/>
      <c r="EH362" s="80"/>
      <c r="EI362" s="80"/>
      <c r="EJ362" s="80"/>
      <c r="EK362" s="80"/>
      <c r="EL362" s="80"/>
      <c r="EM362" s="80"/>
      <c r="EN362" s="80"/>
      <c r="EO362" s="80"/>
      <c r="EP362" s="80"/>
      <c r="EQ362" s="80"/>
      <c r="ER362" s="80"/>
      <c r="ES362" s="80"/>
      <c r="ET362" s="80"/>
      <c r="EU362" s="80"/>
      <c r="EV362" s="80"/>
      <c r="EW362" s="80"/>
      <c r="EX362" s="80"/>
      <c r="EY362" s="80"/>
      <c r="EZ362" s="80"/>
      <c r="FA362" s="80"/>
      <c r="FB362" s="80"/>
      <c r="FC362" s="80"/>
      <c r="FD362" s="80"/>
      <c r="FE362" s="80"/>
      <c r="FF362" s="80"/>
      <c r="FG362" s="80"/>
      <c r="FH362" s="80"/>
      <c r="FI362" s="80"/>
      <c r="FJ362" s="80"/>
      <c r="FK362" s="80"/>
      <c r="FL362" s="80"/>
      <c r="FM362" s="80"/>
      <c r="FN362" s="80"/>
      <c r="FO362" s="80"/>
      <c r="FP362" s="80"/>
      <c r="FQ362" s="80"/>
      <c r="FR362" s="80"/>
      <c r="FS362" s="80"/>
      <c r="FT362" s="80"/>
      <c r="FU362" s="80"/>
      <c r="FV362" s="80"/>
      <c r="FW362" s="80"/>
      <c r="FX362" s="80"/>
      <c r="FY362" s="80"/>
      <c r="FZ362" s="80"/>
      <c r="GA362" s="80"/>
      <c r="GB362" s="80"/>
      <c r="GC362" s="80"/>
      <c r="GD362" s="80"/>
      <c r="GE362" s="80"/>
      <c r="GF362" s="80"/>
      <c r="GG362" s="80"/>
      <c r="GH362" s="80"/>
      <c r="GI362" s="80"/>
      <c r="GJ362" s="80"/>
      <c r="GK362" s="80"/>
      <c r="GL362" s="80"/>
      <c r="GM362" s="80"/>
      <c r="GN362" s="80"/>
      <c r="GO362" s="80"/>
      <c r="GP362" s="80"/>
      <c r="GQ362" s="80"/>
      <c r="GR362" s="80"/>
      <c r="GS362" s="80"/>
      <c r="GT362" s="80"/>
      <c r="GU362" s="80"/>
      <c r="GV362" s="80"/>
      <c r="GW362" s="80"/>
      <c r="GX362" s="80"/>
      <c r="GY362" s="80"/>
      <c r="GZ362" s="80"/>
      <c r="HA362" s="80"/>
      <c r="HB362" s="80"/>
      <c r="HC362" s="80"/>
      <c r="HD362" s="80"/>
      <c r="HE362" s="80"/>
      <c r="HF362" s="80"/>
      <c r="HG362" s="80"/>
      <c r="HH362" s="80"/>
      <c r="HI362" s="80"/>
      <c r="HJ362" s="80"/>
      <c r="HK362" s="80"/>
      <c r="HL362" s="80"/>
      <c r="HM362" s="80"/>
      <c r="HN362" s="80"/>
      <c r="HO362" s="80"/>
      <c r="HP362" s="80"/>
    </row>
    <row r="363" spans="1:224">
      <c r="A363" s="44" t="s">
        <v>580</v>
      </c>
      <c r="B363" s="45"/>
      <c r="BJ363" s="98"/>
      <c r="BK363" s="48"/>
      <c r="BL363" s="1334">
        <v>6.1449999999999996</v>
      </c>
      <c r="BM363" s="1334">
        <v>0.92900000000000005</v>
      </c>
      <c r="BN363" s="1334">
        <v>7.1269999999999998</v>
      </c>
      <c r="BO363" s="98"/>
      <c r="BP363" s="48"/>
      <c r="BQ363" s="48">
        <v>5.5250000000000004</v>
      </c>
      <c r="BR363" s="48">
        <v>0.36099999999999999</v>
      </c>
      <c r="BS363" s="48">
        <f t="shared" ref="BS363:BY363" si="436">BS349</f>
        <v>3.25</v>
      </c>
      <c r="BT363" s="98">
        <f t="shared" si="436"/>
        <v>16.241</v>
      </c>
      <c r="BU363" s="48">
        <f t="shared" si="436"/>
        <v>0.51</v>
      </c>
      <c r="BV363" s="48">
        <f t="shared" si="436"/>
        <v>0.253</v>
      </c>
      <c r="BW363" s="48">
        <f t="shared" si="436"/>
        <v>1.0409999999999999</v>
      </c>
      <c r="BX363" s="48">
        <f t="shared" si="436"/>
        <v>2.2930000000000001</v>
      </c>
      <c r="BY363" s="98">
        <f t="shared" si="436"/>
        <v>4.0969999999999995</v>
      </c>
      <c r="BZ363" s="48"/>
      <c r="CA363" s="48"/>
      <c r="CB363" s="48"/>
      <c r="CC363" s="48"/>
      <c r="CD363" s="98"/>
      <c r="CE363" s="48"/>
      <c r="CF363" s="48"/>
      <c r="CG363" s="48"/>
      <c r="CH363" s="48"/>
      <c r="CI363" s="98"/>
      <c r="CJ363" s="48"/>
      <c r="CK363" s="48"/>
      <c r="CL363" s="48"/>
      <c r="CM363" s="48"/>
      <c r="CN363" s="98"/>
    </row>
    <row r="364" spans="1:224">
      <c r="A364" s="44" t="s">
        <v>581</v>
      </c>
      <c r="B364" s="45"/>
      <c r="BJ364" s="98"/>
      <c r="BK364" s="48"/>
      <c r="BL364" s="48">
        <v>4.4790000000000001</v>
      </c>
      <c r="BM364" s="48"/>
      <c r="BN364" s="48">
        <v>1.2999999999999999E-2</v>
      </c>
      <c r="BO364" s="98"/>
      <c r="BP364" s="48"/>
      <c r="BQ364" s="48">
        <v>0</v>
      </c>
      <c r="BR364" s="48"/>
      <c r="BS364" s="48"/>
      <c r="BT364" s="98"/>
      <c r="BU364" s="48"/>
      <c r="BV364" s="48"/>
      <c r="BW364" s="48"/>
      <c r="BX364" s="48"/>
      <c r="BY364" s="98"/>
      <c r="BZ364" s="48"/>
      <c r="CA364" s="48"/>
      <c r="CB364" s="48"/>
      <c r="CC364" s="48"/>
      <c r="CD364" s="98"/>
      <c r="CE364" s="48"/>
      <c r="CF364" s="48"/>
      <c r="CG364" s="48"/>
      <c r="CH364" s="48"/>
      <c r="CI364" s="98"/>
      <c r="CJ364" s="48"/>
      <c r="CK364" s="48"/>
      <c r="CL364" s="48"/>
      <c r="CM364" s="48"/>
      <c r="CN364" s="98"/>
    </row>
    <row r="365" spans="1:224">
      <c r="A365" s="44" t="s">
        <v>582</v>
      </c>
      <c r="B365" s="45"/>
      <c r="BJ365" s="98"/>
      <c r="BK365" s="48"/>
      <c r="BL365" s="48">
        <v>3.8420000000000001</v>
      </c>
      <c r="BM365" s="48">
        <v>3.5329999999999999</v>
      </c>
      <c r="BN365" s="48">
        <v>3.2709999999999999</v>
      </c>
      <c r="BO365" s="98"/>
      <c r="BP365" s="48"/>
      <c r="BQ365" s="48">
        <v>2.4870000000000001</v>
      </c>
      <c r="BR365" s="48">
        <v>2.129</v>
      </c>
      <c r="BS365" s="48">
        <f t="shared" ref="BS365:BY365" si="437">BS348</f>
        <v>2.2170000000000001</v>
      </c>
      <c r="BT365" s="98">
        <f t="shared" si="437"/>
        <v>10.083</v>
      </c>
      <c r="BU365" s="48">
        <f t="shared" si="437"/>
        <v>0.18099999999999999</v>
      </c>
      <c r="BV365" s="48">
        <f t="shared" si="437"/>
        <v>17.699000000000002</v>
      </c>
      <c r="BW365" s="48">
        <f t="shared" si="437"/>
        <v>2.8879999999999999</v>
      </c>
      <c r="BX365" s="48">
        <f t="shared" si="437"/>
        <v>1.806</v>
      </c>
      <c r="BY365" s="98">
        <f t="shared" si="437"/>
        <v>22.574000000000002</v>
      </c>
      <c r="BZ365" s="48"/>
      <c r="CA365" s="48"/>
      <c r="CB365" s="48"/>
      <c r="CC365" s="48"/>
      <c r="CD365" s="98"/>
      <c r="CE365" s="48"/>
      <c r="CF365" s="48"/>
      <c r="CG365" s="48"/>
      <c r="CH365" s="48"/>
      <c r="CI365" s="98"/>
      <c r="CJ365" s="48"/>
      <c r="CK365" s="48"/>
      <c r="CL365" s="48"/>
      <c r="CM365" s="48"/>
      <c r="CN365" s="98"/>
    </row>
    <row r="366" spans="1:224">
      <c r="A366" s="89" t="s">
        <v>583</v>
      </c>
      <c r="BJ366" s="98"/>
      <c r="BK366" s="48"/>
      <c r="BL366" s="48">
        <v>2.629</v>
      </c>
      <c r="BM366" s="48">
        <v>1.5189999999999999</v>
      </c>
      <c r="BN366" s="48">
        <v>1.2609999999999999</v>
      </c>
      <c r="BO366" s="98"/>
      <c r="BP366" s="48"/>
      <c r="BQ366" s="48">
        <v>1.393</v>
      </c>
      <c r="BR366" s="48">
        <v>-0.28499999999999998</v>
      </c>
      <c r="BS366" s="48">
        <v>-0.33200000000000002</v>
      </c>
      <c r="BT366" s="98">
        <v>2.5979999999999999</v>
      </c>
      <c r="BU366" s="48">
        <v>0.44900000000000001</v>
      </c>
      <c r="BV366" s="48">
        <v>-2E-3</v>
      </c>
      <c r="BW366" s="48">
        <v>-0.26100000000000001</v>
      </c>
      <c r="BX366" s="48">
        <v>0.44400000000000001</v>
      </c>
      <c r="BY366" s="98"/>
      <c r="BZ366" s="48"/>
      <c r="CA366" s="48"/>
      <c r="CB366" s="48"/>
      <c r="CC366" s="48"/>
      <c r="CD366" s="98"/>
      <c r="CE366" s="48"/>
      <c r="CF366" s="48"/>
      <c r="CG366" s="48"/>
      <c r="CH366" s="48"/>
      <c r="CI366" s="98"/>
      <c r="CJ366" s="48"/>
      <c r="CK366" s="48"/>
      <c r="CL366" s="48"/>
      <c r="CM366" s="48"/>
      <c r="CN366" s="98"/>
    </row>
    <row r="367" spans="1:224">
      <c r="A367" s="89" t="s">
        <v>584</v>
      </c>
      <c r="BJ367" s="98"/>
      <c r="BK367" s="48"/>
      <c r="BL367" s="48">
        <v>-13.218999999999999</v>
      </c>
      <c r="BM367" s="48">
        <v>11.34</v>
      </c>
      <c r="BN367" s="48">
        <v>-30.594000000000001</v>
      </c>
      <c r="BO367" s="98"/>
      <c r="BP367" s="48"/>
      <c r="BQ367" s="48">
        <v>-1.9239999999999999</v>
      </c>
      <c r="BR367" s="48">
        <v>-37.756</v>
      </c>
      <c r="BS367" s="48">
        <f t="shared" ref="BS367:BY367" si="438">BS347</f>
        <v>-23.824999999999999</v>
      </c>
      <c r="BT367" s="98">
        <f t="shared" si="438"/>
        <v>-71.930999999999997</v>
      </c>
      <c r="BU367" s="48">
        <f t="shared" si="438"/>
        <v>-1.407</v>
      </c>
      <c r="BV367" s="48">
        <f t="shared" si="438"/>
        <v>41.05</v>
      </c>
      <c r="BW367" s="48">
        <f t="shared" si="438"/>
        <v>0.106</v>
      </c>
      <c r="BX367" s="48">
        <f t="shared" si="438"/>
        <v>-0.67300000000000004</v>
      </c>
      <c r="BY367" s="98">
        <f t="shared" si="438"/>
        <v>39.076000000000001</v>
      </c>
      <c r="BZ367" s="48"/>
      <c r="CA367" s="48"/>
      <c r="CB367" s="48"/>
      <c r="CC367" s="48"/>
      <c r="CD367" s="98"/>
      <c r="CE367" s="48"/>
      <c r="CF367" s="48"/>
      <c r="CG367" s="48"/>
      <c r="CH367" s="48"/>
      <c r="CI367" s="98"/>
      <c r="CJ367" s="48"/>
      <c r="CK367" s="48"/>
      <c r="CL367" s="48"/>
      <c r="CM367" s="48"/>
      <c r="CN367" s="98"/>
    </row>
    <row r="368" spans="1:224">
      <c r="A368" s="89" t="s">
        <v>641</v>
      </c>
      <c r="BJ368" s="98"/>
      <c r="BK368" s="48"/>
      <c r="BL368" s="48"/>
      <c r="BM368" s="48"/>
      <c r="BN368" s="48">
        <v>-38.591000000000001</v>
      </c>
      <c r="BO368" s="98"/>
      <c r="BP368" s="48"/>
      <c r="BQ368" s="48"/>
      <c r="BR368" s="48"/>
      <c r="BS368" s="48"/>
      <c r="BT368" s="98"/>
      <c r="BU368" s="48"/>
      <c r="BV368" s="48"/>
      <c r="BW368" s="48"/>
      <c r="BX368" s="48"/>
      <c r="BY368" s="98"/>
      <c r="BZ368" s="48"/>
      <c r="CA368" s="48"/>
      <c r="CB368" s="48"/>
      <c r="CC368" s="48"/>
      <c r="CD368" s="98"/>
      <c r="CE368" s="48"/>
      <c r="CF368" s="48"/>
      <c r="CG368" s="48"/>
      <c r="CH368" s="48"/>
      <c r="CI368" s="98"/>
      <c r="CJ368" s="48"/>
      <c r="CK368" s="48"/>
      <c r="CL368" s="48"/>
      <c r="CM368" s="48"/>
      <c r="CN368" s="98"/>
    </row>
    <row r="369" spans="1:224">
      <c r="A369" s="89" t="s">
        <v>595</v>
      </c>
      <c r="BJ369" s="98"/>
      <c r="BK369" s="48"/>
      <c r="BL369" s="48"/>
      <c r="BM369" s="48"/>
      <c r="BN369" s="48">
        <v>1.94</v>
      </c>
      <c r="BO369" s="98"/>
      <c r="BP369" s="48"/>
      <c r="BQ369" s="48"/>
      <c r="BR369" s="48"/>
      <c r="BS369" s="48"/>
      <c r="BT369" s="98"/>
      <c r="BU369" s="48"/>
      <c r="BV369" s="48"/>
      <c r="BW369" s="48"/>
      <c r="BX369" s="48"/>
      <c r="BY369" s="98"/>
      <c r="BZ369" s="48"/>
      <c r="CA369" s="48"/>
      <c r="CB369" s="48"/>
      <c r="CC369" s="48"/>
      <c r="CD369" s="98"/>
      <c r="CE369" s="48"/>
      <c r="CF369" s="48"/>
      <c r="CG369" s="48"/>
      <c r="CH369" s="48"/>
      <c r="CI369" s="98"/>
      <c r="CJ369" s="48"/>
      <c r="CK369" s="48"/>
      <c r="CL369" s="48"/>
      <c r="CM369" s="48"/>
      <c r="CN369" s="98"/>
    </row>
    <row r="370" spans="1:224" s="2" customFormat="1">
      <c r="A370" s="175" t="s">
        <v>585</v>
      </c>
      <c r="B370" s="574"/>
      <c r="C370" s="80"/>
      <c r="D370" s="80"/>
      <c r="E370" s="80"/>
      <c r="F370" s="80"/>
      <c r="G370" s="80"/>
      <c r="H370" s="80"/>
      <c r="I370" s="80"/>
      <c r="J370" s="80"/>
      <c r="K370" s="80"/>
      <c r="L370" s="80"/>
      <c r="M370" s="80"/>
      <c r="N370" s="80"/>
      <c r="O370" s="80"/>
      <c r="P370" s="80"/>
      <c r="Q370" s="80"/>
      <c r="R370" s="80"/>
      <c r="S370" s="80"/>
      <c r="T370" s="80"/>
      <c r="U370" s="80"/>
      <c r="V370" s="80"/>
      <c r="W370" s="80"/>
      <c r="X370" s="80"/>
      <c r="Y370" s="80"/>
      <c r="Z370" s="80"/>
      <c r="AA370" s="80"/>
      <c r="AB370" s="80"/>
      <c r="AC370" s="80"/>
      <c r="AD370" s="80"/>
      <c r="AE370" s="80"/>
      <c r="AF370" s="80"/>
      <c r="AG370" s="80"/>
      <c r="AH370" s="80"/>
      <c r="AI370" s="80"/>
      <c r="AJ370" s="80"/>
      <c r="AK370" s="80"/>
      <c r="AL370" s="80"/>
      <c r="AM370" s="80"/>
      <c r="AN370" s="80"/>
      <c r="AO370" s="80"/>
      <c r="AP370" s="80"/>
      <c r="AQ370" s="80"/>
      <c r="AR370" s="80"/>
      <c r="AS370" s="80"/>
      <c r="AT370" s="80"/>
      <c r="AU370" s="80"/>
      <c r="AV370" s="80"/>
      <c r="AW370" s="80"/>
      <c r="AX370" s="80"/>
      <c r="AY370" s="80"/>
      <c r="AZ370" s="80"/>
      <c r="BA370" s="80"/>
      <c r="BB370" s="80"/>
      <c r="BC370" s="80"/>
      <c r="BD370" s="80"/>
      <c r="BE370" s="80"/>
      <c r="BF370" s="80"/>
      <c r="BG370" s="80"/>
      <c r="BH370" s="80"/>
      <c r="BI370" s="80"/>
      <c r="BJ370" s="85"/>
      <c r="BK370" s="86"/>
      <c r="BL370" s="86">
        <f>SUM(BL363:BL367)</f>
        <v>3.8759999999999994</v>
      </c>
      <c r="BM370" s="86">
        <f>SUM(BM363:BM367)</f>
        <v>17.320999999999998</v>
      </c>
      <c r="BN370" s="86">
        <f>SUM(BN363:BN369)</f>
        <v>-55.573000000000008</v>
      </c>
      <c r="BO370" s="85"/>
      <c r="BP370" s="86"/>
      <c r="BQ370" s="86">
        <f t="shared" ref="BQ370:BX370" si="439">SUM(BQ363:BQ367)</f>
        <v>7.4810000000000016</v>
      </c>
      <c r="BR370" s="86">
        <f t="shared" si="439"/>
        <v>-35.551000000000002</v>
      </c>
      <c r="BS370" s="86">
        <f t="shared" si="439"/>
        <v>-18.689999999999998</v>
      </c>
      <c r="BT370" s="85">
        <f t="shared" si="439"/>
        <v>-43.009</v>
      </c>
      <c r="BU370" s="86">
        <f t="shared" si="439"/>
        <v>-0.2669999999999999</v>
      </c>
      <c r="BV370" s="86">
        <f t="shared" si="439"/>
        <v>59</v>
      </c>
      <c r="BW370" s="86">
        <f t="shared" si="439"/>
        <v>3.7739999999999996</v>
      </c>
      <c r="BX370" s="86">
        <f t="shared" si="439"/>
        <v>3.87</v>
      </c>
      <c r="BY370" s="85">
        <f t="shared" ref="BY370" si="440">SUM(BY363:BY367)</f>
        <v>65.747</v>
      </c>
      <c r="BZ370" s="86"/>
      <c r="CA370" s="86"/>
      <c r="CB370" s="86"/>
      <c r="CC370" s="86"/>
      <c r="CD370" s="85"/>
      <c r="CE370" s="86"/>
      <c r="CF370" s="86"/>
      <c r="CG370" s="86"/>
      <c r="CH370" s="86"/>
      <c r="CI370" s="85"/>
      <c r="CJ370" s="86"/>
      <c r="CK370" s="86"/>
      <c r="CL370" s="86"/>
      <c r="CM370" s="86"/>
      <c r="CN370" s="85"/>
      <c r="CO370" s="80"/>
      <c r="CP370" s="80"/>
      <c r="CQ370" s="80"/>
      <c r="CR370" s="80"/>
      <c r="CS370" s="80"/>
      <c r="CT370" s="80"/>
      <c r="CU370" s="80"/>
      <c r="CV370" s="80"/>
      <c r="CW370" s="80"/>
      <c r="CX370" s="80"/>
      <c r="CY370" s="80"/>
      <c r="CZ370" s="80"/>
      <c r="DA370" s="80"/>
      <c r="DB370"/>
      <c r="DC370"/>
      <c r="DD370"/>
      <c r="DE370"/>
      <c r="DF370"/>
      <c r="DG370"/>
      <c r="DH370" s="80"/>
      <c r="DI370" s="80"/>
      <c r="DJ370" s="80"/>
      <c r="DK370" s="80"/>
      <c r="DL370" s="80"/>
      <c r="DM370" s="80"/>
      <c r="DN370" s="80"/>
      <c r="DO370" s="80"/>
      <c r="DP370" s="80"/>
      <c r="DQ370" s="80"/>
      <c r="DR370" s="80"/>
      <c r="DS370" s="80"/>
      <c r="DT370" s="80"/>
      <c r="DU370" s="80"/>
      <c r="DV370" s="80"/>
      <c r="DW370" s="80"/>
      <c r="DX370" s="80"/>
      <c r="DY370" s="80"/>
      <c r="DZ370" s="80"/>
      <c r="EA370" s="80"/>
      <c r="EB370" s="80"/>
      <c r="EC370" s="80"/>
      <c r="ED370" s="80"/>
      <c r="EE370" s="80"/>
      <c r="EF370" s="80"/>
      <c r="EG370" s="80"/>
      <c r="EH370" s="80"/>
      <c r="EI370" s="80"/>
      <c r="EJ370" s="80"/>
      <c r="EK370" s="80"/>
      <c r="EL370" s="80"/>
      <c r="EM370" s="80"/>
      <c r="EN370" s="80"/>
      <c r="EO370" s="80"/>
      <c r="EP370" s="80"/>
      <c r="EQ370" s="80"/>
      <c r="ER370" s="80"/>
      <c r="ES370" s="80"/>
      <c r="ET370" s="80"/>
      <c r="EU370" s="80"/>
      <c r="EV370" s="80"/>
      <c r="EW370" s="80"/>
      <c r="EX370" s="80"/>
      <c r="EY370" s="80"/>
      <c r="EZ370" s="80"/>
      <c r="FA370" s="80"/>
      <c r="FB370" s="80"/>
      <c r="FC370" s="80"/>
      <c r="FD370" s="80"/>
      <c r="FE370" s="80"/>
      <c r="FF370" s="80"/>
      <c r="FG370" s="80"/>
      <c r="FH370" s="80"/>
      <c r="FI370" s="80"/>
      <c r="FJ370" s="80"/>
      <c r="FK370" s="80"/>
      <c r="FL370" s="80"/>
      <c r="FM370" s="80"/>
      <c r="FN370" s="80"/>
      <c r="FO370" s="80"/>
      <c r="FP370" s="80"/>
      <c r="FQ370" s="80"/>
      <c r="FR370" s="80"/>
      <c r="FS370" s="80"/>
      <c r="FT370" s="80"/>
      <c r="FU370" s="80"/>
      <c r="FV370" s="80"/>
      <c r="FW370" s="80"/>
      <c r="FX370" s="80"/>
      <c r="FY370" s="80"/>
      <c r="FZ370" s="80"/>
      <c r="GA370" s="80"/>
      <c r="GB370" s="80"/>
      <c r="GC370" s="80"/>
      <c r="GD370" s="80"/>
      <c r="GE370" s="80"/>
      <c r="GF370" s="80"/>
      <c r="GG370" s="80"/>
      <c r="GH370" s="80"/>
      <c r="GI370" s="80"/>
      <c r="GJ370" s="80"/>
      <c r="GK370" s="80"/>
      <c r="GL370" s="80"/>
      <c r="GM370" s="80"/>
      <c r="GN370" s="80"/>
      <c r="GO370" s="80"/>
      <c r="GP370" s="80"/>
      <c r="GQ370" s="80"/>
      <c r="GR370" s="80"/>
      <c r="GS370" s="80"/>
      <c r="GT370" s="80"/>
      <c r="GU370" s="80"/>
      <c r="GV370" s="80"/>
      <c r="GW370" s="80"/>
      <c r="GX370" s="80"/>
      <c r="GY370" s="80"/>
      <c r="GZ370" s="80"/>
      <c r="HA370" s="80"/>
      <c r="HB370" s="80"/>
      <c r="HC370" s="80"/>
      <c r="HD370" s="80"/>
      <c r="HE370" s="80"/>
      <c r="HF370" s="80"/>
      <c r="HG370" s="80"/>
      <c r="HH370" s="80"/>
      <c r="HI370" s="80"/>
      <c r="HJ370" s="80"/>
      <c r="HK370" s="80"/>
      <c r="HL370" s="80"/>
      <c r="HM370" s="80"/>
      <c r="HN370" s="80"/>
      <c r="HO370" s="80"/>
      <c r="HP370" s="80"/>
    </row>
    <row r="371" spans="1:224" s="2" customFormat="1">
      <c r="A371" s="175" t="s">
        <v>612</v>
      </c>
      <c r="B371" s="574"/>
      <c r="C371" s="80"/>
      <c r="D371" s="80"/>
      <c r="E371" s="80"/>
      <c r="F371" s="80"/>
      <c r="G371" s="80"/>
      <c r="H371" s="80"/>
      <c r="I371" s="80"/>
      <c r="J371" s="80"/>
      <c r="K371" s="80"/>
      <c r="L371" s="80"/>
      <c r="M371" s="80"/>
      <c r="N371" s="80"/>
      <c r="O371" s="80"/>
      <c r="P371" s="80"/>
      <c r="Q371" s="80"/>
      <c r="R371" s="80"/>
      <c r="S371" s="80"/>
      <c r="T371" s="80"/>
      <c r="U371" s="80"/>
      <c r="V371" s="80"/>
      <c r="W371" s="80"/>
      <c r="X371" s="80"/>
      <c r="Y371" s="80"/>
      <c r="Z371" s="80"/>
      <c r="AA371" s="80"/>
      <c r="AB371" s="80"/>
      <c r="AC371" s="80"/>
      <c r="AD371" s="80"/>
      <c r="AE371" s="80"/>
      <c r="AF371" s="80"/>
      <c r="AG371" s="80"/>
      <c r="AH371" s="80"/>
      <c r="AI371" s="80"/>
      <c r="AJ371" s="80"/>
      <c r="AK371" s="80"/>
      <c r="AL371" s="80"/>
      <c r="AM371" s="80"/>
      <c r="AN371" s="80"/>
      <c r="AO371" s="80"/>
      <c r="AP371" s="80"/>
      <c r="AQ371" s="80"/>
      <c r="AR371" s="80"/>
      <c r="AS371" s="80"/>
      <c r="AT371" s="80"/>
      <c r="AU371" s="80"/>
      <c r="AV371" s="80"/>
      <c r="AW371" s="80"/>
      <c r="AX371" s="80"/>
      <c r="AY371" s="80"/>
      <c r="AZ371" s="80"/>
      <c r="BA371" s="80"/>
      <c r="BB371" s="80"/>
      <c r="BC371" s="80"/>
      <c r="BD371" s="80"/>
      <c r="BE371" s="80"/>
      <c r="BF371" s="80"/>
      <c r="BG371" s="80"/>
      <c r="BH371" s="80"/>
      <c r="BI371" s="80"/>
      <c r="BJ371" s="85"/>
      <c r="BK371" s="86"/>
      <c r="BL371" s="86"/>
      <c r="BM371" s="86"/>
      <c r="BN371" s="86"/>
      <c r="BO371" s="85"/>
      <c r="BP371" s="86"/>
      <c r="BQ371" s="86">
        <v>-7.0149999999999997</v>
      </c>
      <c r="BR371" s="86">
        <v>16.082999999999998</v>
      </c>
      <c r="BS371" s="86">
        <v>10.236000000000001</v>
      </c>
      <c r="BT371" s="85">
        <v>19.478999999999999</v>
      </c>
      <c r="BU371" s="86">
        <v>-3.4000000000000002E-2</v>
      </c>
      <c r="BV371" s="86">
        <v>-20.001999999999999</v>
      </c>
      <c r="BW371" s="86">
        <v>4.1900000000000004</v>
      </c>
      <c r="BX371" s="86">
        <f>4.571+-140.379</f>
        <v>-135.80799999999999</v>
      </c>
      <c r="BY371" s="85">
        <f>SUM(BU371:BX371)</f>
        <v>-151.654</v>
      </c>
      <c r="BZ371" s="86"/>
      <c r="CA371" s="86"/>
      <c r="CB371" s="86"/>
      <c r="CC371" s="86"/>
      <c r="CD371" s="85"/>
      <c r="CE371" s="86"/>
      <c r="CF371" s="86"/>
      <c r="CG371" s="86"/>
      <c r="CH371" s="86"/>
      <c r="CI371" s="85"/>
      <c r="CJ371" s="86"/>
      <c r="CK371" s="86"/>
      <c r="CL371" s="86"/>
      <c r="CM371" s="86"/>
      <c r="CN371" s="85"/>
      <c r="CO371" s="80"/>
      <c r="CP371" s="80"/>
      <c r="CQ371" s="80"/>
      <c r="CR371" s="80"/>
      <c r="CS371" s="80"/>
      <c r="CT371" s="80"/>
      <c r="CU371" s="80"/>
      <c r="CV371" s="80"/>
      <c r="CW371" s="80"/>
      <c r="CX371" s="80"/>
      <c r="CY371" s="80"/>
      <c r="CZ371" s="80"/>
      <c r="DA371" s="80"/>
      <c r="DB371"/>
      <c r="DC371"/>
      <c r="DD371"/>
      <c r="DE371"/>
      <c r="DF371"/>
      <c r="DG371"/>
      <c r="DH371" s="80"/>
      <c r="DI371" s="80"/>
      <c r="DJ371" s="80"/>
      <c r="DK371" s="80"/>
      <c r="DL371" s="80"/>
      <c r="DM371" s="80"/>
      <c r="DN371" s="80"/>
      <c r="DO371" s="80"/>
      <c r="DP371" s="80"/>
      <c r="DQ371" s="80"/>
      <c r="DR371" s="80"/>
      <c r="DS371" s="80"/>
      <c r="DT371" s="80"/>
      <c r="DU371" s="80"/>
      <c r="DV371" s="80"/>
      <c r="DW371" s="80"/>
      <c r="DX371" s="80"/>
      <c r="DY371" s="80"/>
      <c r="DZ371" s="80"/>
      <c r="EA371" s="80"/>
      <c r="EB371" s="80"/>
      <c r="EC371" s="80"/>
      <c r="ED371" s="80"/>
      <c r="EE371" s="80"/>
      <c r="EF371" s="80"/>
      <c r="EG371" s="80"/>
      <c r="EH371" s="80"/>
      <c r="EI371" s="80"/>
      <c r="EJ371" s="80"/>
      <c r="EK371" s="80"/>
      <c r="EL371" s="80"/>
      <c r="EM371" s="80"/>
      <c r="EN371" s="80"/>
      <c r="EO371" s="80"/>
      <c r="EP371" s="80"/>
      <c r="EQ371" s="80"/>
      <c r="ER371" s="80"/>
      <c r="ES371" s="80"/>
      <c r="ET371" s="80"/>
      <c r="EU371" s="80"/>
      <c r="EV371" s="80"/>
      <c r="EW371" s="80"/>
      <c r="EX371" s="80"/>
      <c r="EY371" s="80"/>
      <c r="EZ371" s="80"/>
      <c r="FA371" s="80"/>
      <c r="FB371" s="80"/>
      <c r="FC371" s="80"/>
      <c r="FD371" s="80"/>
      <c r="FE371" s="80"/>
      <c r="FF371" s="80"/>
      <c r="FG371" s="80"/>
      <c r="FH371" s="80"/>
      <c r="FI371" s="80"/>
      <c r="FJ371" s="80"/>
      <c r="FK371" s="80"/>
      <c r="FL371" s="80"/>
      <c r="FM371" s="80"/>
      <c r="FN371" s="80"/>
      <c r="FO371" s="80"/>
      <c r="FP371" s="80"/>
      <c r="FQ371" s="80"/>
      <c r="FR371" s="80"/>
      <c r="FS371" s="80"/>
      <c r="FT371" s="80"/>
      <c r="FU371" s="80"/>
      <c r="FV371" s="80"/>
      <c r="FW371" s="80"/>
      <c r="FX371" s="80"/>
      <c r="FY371" s="80"/>
      <c r="FZ371" s="80"/>
      <c r="GA371" s="80"/>
      <c r="GB371" s="80"/>
      <c r="GC371" s="80"/>
      <c r="GD371" s="80"/>
      <c r="GE371" s="80"/>
      <c r="GF371" s="80"/>
      <c r="GG371" s="80"/>
      <c r="GH371" s="80"/>
      <c r="GI371" s="80"/>
      <c r="GJ371" s="80"/>
      <c r="GK371" s="80"/>
      <c r="GL371" s="80"/>
      <c r="GM371" s="80"/>
      <c r="GN371" s="80"/>
      <c r="GO371" s="80"/>
      <c r="GP371" s="80"/>
      <c r="GQ371" s="80"/>
      <c r="GR371" s="80"/>
      <c r="GS371" s="80"/>
      <c r="GT371" s="80"/>
      <c r="GU371" s="80"/>
      <c r="GV371" s="80"/>
      <c r="GW371" s="80"/>
      <c r="GX371" s="80"/>
      <c r="GY371" s="80"/>
      <c r="GZ371" s="80"/>
      <c r="HA371" s="80"/>
      <c r="HB371" s="80"/>
      <c r="HC371" s="80"/>
      <c r="HD371" s="80"/>
      <c r="HE371" s="80"/>
      <c r="HF371" s="80"/>
      <c r="HG371" s="80"/>
      <c r="HH371" s="80"/>
      <c r="HI371" s="80"/>
      <c r="HJ371" s="80"/>
      <c r="HK371" s="80"/>
      <c r="HL371" s="80"/>
      <c r="HM371" s="80"/>
      <c r="HN371" s="80"/>
      <c r="HO371" s="80"/>
      <c r="HP371" s="80"/>
    </row>
    <row r="372" spans="1:224" s="2" customFormat="1">
      <c r="A372" s="1330" t="s">
        <v>586</v>
      </c>
      <c r="B372" s="1331"/>
      <c r="C372" s="57"/>
      <c r="D372" s="57"/>
      <c r="E372" s="57"/>
      <c r="F372" s="57"/>
      <c r="G372" s="57"/>
      <c r="H372" s="57"/>
      <c r="I372" s="57"/>
      <c r="J372" s="57"/>
      <c r="K372" s="57"/>
      <c r="L372" s="57"/>
      <c r="M372" s="57"/>
      <c r="N372" s="57"/>
      <c r="O372" s="57"/>
      <c r="P372" s="57"/>
      <c r="Q372" s="57"/>
      <c r="R372" s="57"/>
      <c r="S372" s="57"/>
      <c r="T372" s="57"/>
      <c r="U372" s="57"/>
      <c r="V372" s="57"/>
      <c r="W372" s="57"/>
      <c r="X372" s="57"/>
      <c r="Y372" s="57"/>
      <c r="Z372" s="57"/>
      <c r="AA372" s="57"/>
      <c r="AB372" s="57"/>
      <c r="AC372" s="57"/>
      <c r="AD372" s="57"/>
      <c r="AE372" s="57"/>
      <c r="AF372" s="57"/>
      <c r="AG372" s="57"/>
      <c r="AH372" s="57"/>
      <c r="AI372" s="57"/>
      <c r="AJ372" s="57"/>
      <c r="AK372" s="57"/>
      <c r="AL372" s="57"/>
      <c r="AM372" s="57"/>
      <c r="AN372" s="57"/>
      <c r="AO372" s="57"/>
      <c r="AP372" s="57"/>
      <c r="AQ372" s="57"/>
      <c r="AR372" s="57"/>
      <c r="AS372" s="57"/>
      <c r="AT372" s="57"/>
      <c r="AU372" s="57"/>
      <c r="AV372" s="57"/>
      <c r="AW372" s="57"/>
      <c r="AX372" s="57"/>
      <c r="AY372" s="57"/>
      <c r="AZ372" s="57"/>
      <c r="BA372" s="57"/>
      <c r="BB372" s="57"/>
      <c r="BC372" s="57"/>
      <c r="BD372" s="57"/>
      <c r="BE372" s="57"/>
      <c r="BF372" s="57"/>
      <c r="BG372" s="57"/>
      <c r="BH372" s="57"/>
      <c r="BI372" s="57"/>
      <c r="BJ372" s="1333"/>
      <c r="BK372" s="1332"/>
      <c r="BL372" s="1332">
        <f>BL370+BL362</f>
        <v>28.700999999999993</v>
      </c>
      <c r="BM372" s="1332">
        <f>BM370+BM362</f>
        <v>25.64400000000002</v>
      </c>
      <c r="BN372" s="1332">
        <f>BN370+BN362</f>
        <v>33.108000000000018</v>
      </c>
      <c r="BO372" s="1333"/>
      <c r="BP372" s="1332"/>
      <c r="BQ372" s="1332">
        <f t="shared" ref="BQ372:BW372" si="441">BQ370+BQ362+BQ371</f>
        <v>26.945999999999962</v>
      </c>
      <c r="BR372" s="1332">
        <f t="shared" si="441"/>
        <v>29.421999999999954</v>
      </c>
      <c r="BS372" s="1332">
        <f t="shared" si="441"/>
        <v>20.436</v>
      </c>
      <c r="BT372" s="1333">
        <f t="shared" si="441"/>
        <v>106.09299999999973</v>
      </c>
      <c r="BU372" s="1332">
        <f t="shared" si="441"/>
        <v>22.039999999999946</v>
      </c>
      <c r="BV372" s="1332">
        <f t="shared" si="441"/>
        <v>37.153000000000048</v>
      </c>
      <c r="BW372" s="1332">
        <f t="shared" si="441"/>
        <v>22.220999999999986</v>
      </c>
      <c r="BX372" s="1332">
        <f>BX370+BX362+BX371</f>
        <v>27.337999999999994</v>
      </c>
      <c r="BY372" s="1333">
        <f t="shared" ref="BY372" si="442">BY370+BY362+BY371</f>
        <v>107.54899999999992</v>
      </c>
      <c r="BZ372" s="1332"/>
      <c r="CA372" s="1332"/>
      <c r="CB372" s="1332"/>
      <c r="CC372" s="1332"/>
      <c r="CD372" s="1333"/>
      <c r="CE372" s="1332"/>
      <c r="CF372" s="1332"/>
      <c r="CG372" s="1332"/>
      <c r="CH372" s="1332"/>
      <c r="CI372" s="1333"/>
      <c r="CJ372" s="1332"/>
      <c r="CK372" s="1332"/>
      <c r="CL372" s="1332"/>
      <c r="CM372" s="1332"/>
      <c r="CN372" s="1333"/>
      <c r="CO372" s="80"/>
      <c r="CP372" s="80"/>
      <c r="CQ372" s="80"/>
      <c r="CR372" s="80"/>
      <c r="CS372" s="80"/>
      <c r="CT372" s="80"/>
      <c r="CU372" s="80"/>
      <c r="CV372" s="80"/>
      <c r="CW372" s="80"/>
      <c r="CX372" s="80"/>
      <c r="CY372" s="80"/>
      <c r="CZ372" s="80"/>
      <c r="DA372" s="80"/>
      <c r="DB372"/>
      <c r="DC372"/>
      <c r="DD372"/>
      <c r="DE372"/>
      <c r="DF372"/>
      <c r="DG372"/>
      <c r="DH372" s="80"/>
      <c r="DI372" s="80"/>
      <c r="DJ372" s="80"/>
      <c r="DK372" s="80"/>
      <c r="DL372" s="80"/>
      <c r="DM372" s="80"/>
      <c r="DN372" s="80"/>
      <c r="DO372" s="80"/>
      <c r="DP372" s="80"/>
      <c r="DQ372" s="80"/>
      <c r="DR372" s="80"/>
      <c r="DS372" s="80"/>
      <c r="DT372" s="80"/>
      <c r="DU372" s="80"/>
      <c r="DV372" s="80"/>
      <c r="DW372" s="80"/>
      <c r="DX372" s="80"/>
      <c r="DY372" s="80"/>
      <c r="DZ372" s="80"/>
      <c r="EA372" s="80"/>
      <c r="EB372" s="80"/>
      <c r="EC372" s="80"/>
      <c r="ED372" s="80"/>
      <c r="EE372" s="80"/>
      <c r="EF372" s="80"/>
      <c r="EG372" s="80"/>
      <c r="EH372" s="80"/>
      <c r="EI372" s="80"/>
      <c r="EJ372" s="80"/>
      <c r="EK372" s="80"/>
      <c r="EL372" s="80"/>
      <c r="EM372" s="80"/>
      <c r="EN372" s="80"/>
      <c r="EO372" s="80"/>
      <c r="EP372" s="80"/>
      <c r="EQ372" s="80"/>
      <c r="ER372" s="80"/>
      <c r="ES372" s="80"/>
      <c r="ET372" s="80"/>
      <c r="EU372" s="80"/>
      <c r="EV372" s="80"/>
      <c r="EW372" s="80"/>
      <c r="EX372" s="80"/>
      <c r="EY372" s="80"/>
      <c r="EZ372" s="80"/>
      <c r="FA372" s="80"/>
      <c r="FB372" s="80"/>
      <c r="FC372" s="80"/>
      <c r="FD372" s="80"/>
      <c r="FE372" s="80"/>
      <c r="FF372" s="80"/>
      <c r="FG372" s="80"/>
      <c r="FH372" s="80"/>
      <c r="FI372" s="80"/>
      <c r="FJ372" s="80"/>
      <c r="FK372" s="80"/>
      <c r="FL372" s="80"/>
      <c r="FM372" s="80"/>
      <c r="FN372" s="80"/>
      <c r="FO372" s="80"/>
      <c r="FP372" s="80"/>
      <c r="FQ372" s="80"/>
      <c r="FR372" s="80"/>
      <c r="FS372" s="80"/>
      <c r="FT372" s="80"/>
      <c r="FU372" s="80"/>
      <c r="FV372" s="80"/>
      <c r="FW372" s="80"/>
      <c r="FX372" s="80"/>
      <c r="FY372" s="80"/>
      <c r="FZ372" s="80"/>
      <c r="GA372" s="80"/>
      <c r="GB372" s="80"/>
      <c r="GC372" s="80"/>
      <c r="GD372" s="80"/>
      <c r="GE372" s="80"/>
      <c r="GF372" s="80"/>
      <c r="GG372" s="80"/>
      <c r="GH372" s="80"/>
      <c r="GI372" s="80"/>
      <c r="GJ372" s="80"/>
      <c r="GK372" s="80"/>
      <c r="GL372" s="80"/>
      <c r="GM372" s="80"/>
      <c r="GN372" s="80"/>
      <c r="GO372" s="80"/>
      <c r="GP372" s="80"/>
      <c r="GQ372" s="80"/>
      <c r="GR372" s="80"/>
      <c r="GS372" s="80"/>
      <c r="GT372" s="80"/>
      <c r="GU372" s="80"/>
      <c r="GV372" s="80"/>
      <c r="GW372" s="80"/>
      <c r="GX372" s="80"/>
      <c r="GY372" s="80"/>
      <c r="GZ372" s="80"/>
      <c r="HA372" s="80"/>
      <c r="HB372" s="80"/>
      <c r="HC372" s="80"/>
      <c r="HD372" s="80"/>
      <c r="HE372" s="80"/>
      <c r="HF372" s="80"/>
      <c r="HG372" s="80"/>
      <c r="HH372" s="80"/>
      <c r="HI372" s="80"/>
      <c r="HJ372" s="80"/>
      <c r="HK372" s="80"/>
      <c r="HL372" s="80"/>
      <c r="HM372" s="80"/>
      <c r="HN372" s="80"/>
      <c r="HO372" s="80"/>
      <c r="HP372" s="80"/>
    </row>
    <row r="373" spans="1:224">
      <c r="BX373" s="239"/>
      <c r="BY373" s="239"/>
    </row>
    <row r="374" spans="1:224">
      <c r="BU374" s="72"/>
      <c r="BV374" s="72"/>
      <c r="BW374" s="72"/>
      <c r="BX374" s="72"/>
      <c r="BY374" s="72"/>
    </row>
    <row r="375" spans="1:224">
      <c r="BU375" s="72"/>
      <c r="BV375" s="72"/>
      <c r="BW375" s="72"/>
      <c r="BX375" s="1336"/>
      <c r="BY375" s="72"/>
    </row>
    <row r="376" spans="1:224">
      <c r="BU376" s="74"/>
      <c r="BV376" s="74"/>
      <c r="BW376" s="74"/>
      <c r="BX376" s="74"/>
      <c r="BY376" s="74"/>
    </row>
  </sheetData>
  <phoneticPr fontId="8" type="noConversion"/>
  <printOptions horizontalCentered="1" verticalCentered="1"/>
  <pageMargins left="0" right="0" top="0" bottom="0" header="0" footer="0"/>
  <pageSetup paperSize="5" scale="68" orientation="landscape"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ET1519"/>
  <sheetViews>
    <sheetView workbookViewId="0">
      <pane xSplit="1" ySplit="7" topLeftCell="B8" activePane="bottomRight" state="frozen"/>
      <selection pane="topRight" activeCell="B1" sqref="B1"/>
      <selection pane="bottomLeft" activeCell="A8" sqref="A8"/>
      <selection pane="bottomRight" activeCell="DG39" sqref="DG39"/>
    </sheetView>
  </sheetViews>
  <sheetFormatPr defaultRowHeight="12.75" outlineLevelRow="1" outlineLevelCol="2"/>
  <cols>
    <col min="1" max="1" width="34.85546875" style="47" customWidth="1"/>
    <col min="2" max="2" width="7.28515625" style="45" hidden="1" customWidth="1" outlineLevel="1"/>
    <col min="3" max="3" width="7.28515625" style="45" hidden="1" customWidth="1" outlineLevel="1" collapsed="1"/>
    <col min="4" max="8" width="7.28515625" style="45" hidden="1" customWidth="1" outlineLevel="1"/>
    <col min="9" max="9" width="7.85546875" style="45" hidden="1" customWidth="1" outlineLevel="1"/>
    <col min="10" max="12" width="7.28515625" style="45" hidden="1" customWidth="1" outlineLevel="1"/>
    <col min="13" max="13" width="7.28515625" style="45" hidden="1" customWidth="1" outlineLevel="1" collapsed="1"/>
    <col min="14" max="18" width="7.28515625" style="45" hidden="1" customWidth="1" outlineLevel="1"/>
    <col min="19" max="19" width="7.7109375" style="45" hidden="1" customWidth="1" outlineLevel="1"/>
    <col min="20" max="21" width="7.28515625" style="45" hidden="1" customWidth="1" outlineLevel="1"/>
    <col min="22" max="22" width="7.42578125" style="45" hidden="1" customWidth="1" outlineLevel="1"/>
    <col min="23" max="26" width="7.28515625" style="45" hidden="1" customWidth="1" outlineLevel="1"/>
    <col min="27" max="27" width="7.42578125" style="45" hidden="1" customWidth="1" outlineLevel="1"/>
    <col min="28" max="31" width="7.28515625" style="45" hidden="1" customWidth="1" outlineLevel="1"/>
    <col min="32" max="32" width="7.42578125" style="45" hidden="1" customWidth="1" outlineLevel="1"/>
    <col min="33" max="36" width="7.28515625" style="45" hidden="1" customWidth="1" outlineLevel="1"/>
    <col min="37" max="37" width="7.42578125" style="45" hidden="1" customWidth="1" outlineLevel="1" collapsed="1"/>
    <col min="38" max="38" width="8.140625" style="45" hidden="1" customWidth="1" outlineLevel="1"/>
    <col min="39" max="39" width="7.42578125" style="45" hidden="1" customWidth="1" outlineLevel="1"/>
    <col min="40" max="40" width="7.28515625" style="45" hidden="1" customWidth="1" outlineLevel="1"/>
    <col min="41" max="41" width="7.42578125" style="45" hidden="1" customWidth="1" outlineLevel="1"/>
    <col min="42" max="42" width="7.42578125" style="45" hidden="1" customWidth="1" outlineLevel="1" collapsed="1"/>
    <col min="43" max="43" width="8.140625" style="45" hidden="1" customWidth="1" outlineLevel="1"/>
    <col min="44" max="46" width="7.28515625" style="45" hidden="1" customWidth="1" outlineLevel="1"/>
    <col min="47" max="47" width="7.42578125" style="45" hidden="1" customWidth="1" outlineLevel="1" collapsed="1"/>
    <col min="48" max="48" width="8.140625" style="45" hidden="1" customWidth="1" outlineLevel="1"/>
    <col min="49" max="50" width="7.28515625" style="45" hidden="1" customWidth="1" outlineLevel="1"/>
    <col min="51" max="51" width="7.28515625" style="211" hidden="1" customWidth="1" outlineLevel="1"/>
    <col min="52" max="52" width="7.42578125" style="211" hidden="1" customWidth="1" outlineLevel="1"/>
    <col min="53" max="56" width="9.140625" style="45" hidden="1" customWidth="1" outlineLevel="1"/>
    <col min="57" max="57" width="8.7109375" style="41" hidden="1" customWidth="1" outlineLevel="1" collapsed="1"/>
    <col min="58" max="60" width="7.85546875" style="45" hidden="1" customWidth="1" outlineLevel="1"/>
    <col min="61" max="61" width="7" style="45" hidden="1" customWidth="1" outlineLevel="1"/>
    <col min="62" max="62" width="8.7109375" style="41" hidden="1" customWidth="1" outlineLevel="1" collapsed="1"/>
    <col min="63" max="65" width="7.85546875" style="45" hidden="1" customWidth="1" outlineLevel="1"/>
    <col min="66" max="66" width="8.7109375" style="45" hidden="1" customWidth="1" outlineLevel="1"/>
    <col min="67" max="67" width="8.7109375" style="41" hidden="1" customWidth="1" outlineLevel="1" collapsed="1"/>
    <col min="68" max="71" width="7.85546875" style="45" hidden="1" customWidth="1" outlineLevel="1"/>
    <col min="72" max="72" width="7.85546875" style="41" hidden="1" customWidth="1" outlineLevel="1" collapsed="1"/>
    <col min="73" max="74" width="7.85546875" style="45" hidden="1" customWidth="1" outlineLevel="1"/>
    <col min="75" max="75" width="8.7109375" style="518" hidden="1" customWidth="1" outlineLevel="1"/>
    <col min="76" max="76" width="7.85546875" style="45" hidden="1" customWidth="1" outlineLevel="1"/>
    <col min="77" max="77" width="8.140625" style="41" hidden="1" customWidth="1" outlineLevel="1"/>
    <col min="78" max="81" width="7.85546875" style="45" hidden="1" customWidth="1" outlineLevel="1"/>
    <col min="82" max="82" width="8.140625" style="41" hidden="1" customWidth="1" outlineLevel="1"/>
    <col min="83" max="86" width="7.85546875" style="45" hidden="1" customWidth="1" outlineLevel="1"/>
    <col min="87" max="87" width="8.140625" style="41" bestFit="1" customWidth="1" collapsed="1"/>
    <col min="88" max="91" width="7.85546875" style="45" hidden="1" customWidth="1" outlineLevel="1"/>
    <col min="92" max="92" width="8.140625" style="41" bestFit="1" customWidth="1" collapsed="1"/>
    <col min="93" max="96" width="7.85546875" style="45" hidden="1" customWidth="1" outlineLevel="1"/>
    <col min="97" max="97" width="8.140625" style="41" bestFit="1" customWidth="1" collapsed="1"/>
    <col min="98" max="101" width="7.85546875" style="45" hidden="1" customWidth="1" outlineLevel="2"/>
    <col min="102" max="102" width="7.85546875" style="41" customWidth="1" collapsed="1"/>
    <col min="103" max="106" width="7.85546875" style="45" hidden="1" customWidth="1" outlineLevel="1"/>
    <col min="107" max="107" width="7.85546875" style="41" customWidth="1" collapsed="1"/>
    <col min="108" max="111" width="7.85546875" style="45" customWidth="1" outlineLevel="1"/>
    <col min="112" max="112" width="7.85546875" style="41" customWidth="1"/>
    <col min="113" max="116" width="7.85546875" style="45" customWidth="1" outlineLevel="2"/>
    <col min="117" max="117" width="7.85546875" style="41" customWidth="1" outlineLevel="1"/>
    <col min="118" max="121" width="7.85546875" style="45" hidden="1" customWidth="1" outlineLevel="2"/>
    <col min="122" max="122" width="7.85546875" style="41" customWidth="1" outlineLevel="1" collapsed="1"/>
    <col min="123" max="126" width="7.85546875" style="45" hidden="1" customWidth="1" outlineLevel="2"/>
    <col min="127" max="127" width="7.85546875" style="41" customWidth="1" outlineLevel="1" collapsed="1"/>
    <col min="128" max="131" width="9.140625" style="41"/>
    <col min="138" max="16384" width="9.140625" style="41"/>
  </cols>
  <sheetData>
    <row r="1" spans="1:137" ht="51" customHeight="1">
      <c r="A1" s="68"/>
    </row>
    <row r="2" spans="1:137">
      <c r="A2" s="47" t="s">
        <v>132</v>
      </c>
      <c r="AE2" s="74"/>
      <c r="AF2" s="74"/>
      <c r="AJ2" s="74"/>
      <c r="AK2" s="74"/>
      <c r="AO2" s="74"/>
      <c r="AP2" s="74"/>
      <c r="AT2" s="74"/>
      <c r="AU2" s="74"/>
      <c r="AY2" s="238"/>
      <c r="AZ2" s="238"/>
      <c r="BA2" s="96"/>
      <c r="BB2" s="96"/>
      <c r="BC2" s="96"/>
      <c r="BD2" s="96"/>
      <c r="BP2" s="518"/>
    </row>
    <row r="3" spans="1:137">
      <c r="A3" s="42" t="s">
        <v>540</v>
      </c>
      <c r="AU3" s="274"/>
      <c r="AZ3" s="274"/>
      <c r="BB3" s="96"/>
      <c r="DH3" s="45"/>
      <c r="DM3" s="45"/>
      <c r="DR3" s="45"/>
      <c r="DW3" s="45"/>
    </row>
    <row r="4" spans="1:137" customFormat="1" ht="11.25" hidden="1" customHeight="1" outlineLevel="1"/>
    <row r="5" spans="1:137" s="8" customFormat="1" ht="18" collapsed="1">
      <c r="A5" s="688" t="s">
        <v>216</v>
      </c>
      <c r="B5" s="32"/>
      <c r="C5" s="33"/>
      <c r="D5" s="33"/>
      <c r="E5" s="33"/>
      <c r="F5" s="33"/>
      <c r="G5" s="33"/>
      <c r="H5" s="33"/>
      <c r="I5" s="33"/>
      <c r="J5" s="33"/>
      <c r="K5" s="33"/>
      <c r="L5" s="33"/>
      <c r="M5" s="34"/>
      <c r="N5" s="34"/>
      <c r="O5" s="34"/>
      <c r="P5" s="34"/>
      <c r="Q5" s="34"/>
      <c r="R5" s="34"/>
      <c r="S5" s="34"/>
      <c r="T5" s="34"/>
      <c r="U5" s="34"/>
      <c r="V5" s="34"/>
      <c r="W5" s="34"/>
      <c r="X5" s="34"/>
      <c r="Y5" s="34"/>
      <c r="Z5" s="34"/>
      <c r="AA5" s="34"/>
      <c r="AB5" s="35"/>
      <c r="AC5" s="35"/>
      <c r="AD5" s="35"/>
      <c r="AE5" s="35"/>
      <c r="AF5" s="35"/>
      <c r="AG5" s="35"/>
      <c r="AH5" s="35"/>
      <c r="AI5" s="35"/>
      <c r="AJ5" s="35"/>
      <c r="AK5" s="35"/>
      <c r="AL5" s="35"/>
      <c r="AM5" s="34"/>
      <c r="AN5" s="35"/>
      <c r="AO5" s="35"/>
      <c r="AP5" s="35"/>
      <c r="AQ5" s="35"/>
      <c r="AR5" s="35"/>
      <c r="AS5" s="35"/>
      <c r="AT5" s="35"/>
      <c r="AU5" s="35"/>
      <c r="AV5" s="35"/>
      <c r="AW5" s="36"/>
      <c r="AX5" s="35"/>
      <c r="AY5" s="36"/>
      <c r="AZ5" s="36"/>
      <c r="BA5" s="35"/>
      <c r="BB5" s="36"/>
      <c r="BC5" s="35"/>
      <c r="BD5" s="36"/>
      <c r="BE5" s="36"/>
      <c r="BF5" s="35"/>
      <c r="BG5" s="36"/>
      <c r="BH5" s="35"/>
      <c r="BI5" s="36"/>
      <c r="BJ5" s="36"/>
      <c r="BK5" s="35"/>
      <c r="BL5" s="36"/>
      <c r="BM5" s="35"/>
      <c r="BN5" s="36"/>
      <c r="BO5" s="35"/>
      <c r="BP5" s="35"/>
      <c r="BQ5" s="36"/>
      <c r="BR5" s="35"/>
      <c r="BS5" s="36"/>
      <c r="BT5" s="35"/>
      <c r="BU5" s="35"/>
      <c r="BV5" s="36"/>
      <c r="BW5" s="939"/>
      <c r="BX5" s="36"/>
      <c r="BY5" s="35"/>
      <c r="BZ5" s="35"/>
      <c r="CA5" s="36"/>
      <c r="CB5" s="35"/>
      <c r="CC5" s="36"/>
      <c r="CD5" s="35"/>
      <c r="CE5" s="35"/>
      <c r="CF5" s="36"/>
      <c r="CG5" s="35"/>
      <c r="CH5" s="36"/>
      <c r="CI5" s="35"/>
      <c r="CJ5" s="35"/>
      <c r="CK5" s="36"/>
      <c r="CL5" s="35"/>
      <c r="CM5" s="36"/>
      <c r="CN5" s="35"/>
      <c r="CO5" s="35"/>
      <c r="CP5" s="36"/>
      <c r="CQ5" s="35"/>
      <c r="CR5" s="36"/>
      <c r="CS5" s="35"/>
      <c r="CT5" s="35"/>
      <c r="CU5" s="35"/>
      <c r="CV5" s="35"/>
      <c r="CW5" s="36"/>
      <c r="CX5" s="35"/>
      <c r="CY5" s="35"/>
      <c r="CZ5" s="35"/>
      <c r="DA5" s="35"/>
      <c r="DB5" s="36"/>
      <c r="DC5" s="35"/>
      <c r="DD5" s="35"/>
      <c r="DE5" s="35"/>
      <c r="DF5" s="35"/>
      <c r="DG5" s="35"/>
      <c r="DH5" s="35"/>
      <c r="DI5" s="35"/>
      <c r="DJ5" s="36"/>
      <c r="DK5" s="35"/>
      <c r="DL5" s="36"/>
      <c r="DM5" s="35"/>
      <c r="DN5" s="35"/>
      <c r="DO5" s="36"/>
      <c r="DP5" s="35"/>
      <c r="DQ5" s="36"/>
      <c r="DR5" s="35"/>
      <c r="DS5" s="35"/>
      <c r="DT5" s="36"/>
      <c r="DU5" s="35"/>
      <c r="DV5" s="36"/>
      <c r="DW5" s="511"/>
      <c r="EB5"/>
      <c r="EC5"/>
      <c r="ED5"/>
      <c r="EE5"/>
      <c r="EF5"/>
      <c r="EG5"/>
    </row>
    <row r="6" spans="1:137" s="79" customFormat="1">
      <c r="A6" s="766"/>
      <c r="B6" s="729"/>
      <c r="C6" s="730"/>
      <c r="D6" s="730"/>
      <c r="E6" s="730"/>
      <c r="F6" s="730"/>
      <c r="G6" s="730"/>
      <c r="H6" s="730"/>
      <c r="I6" s="730"/>
      <c r="J6" s="730"/>
      <c r="K6" s="730"/>
      <c r="L6" s="730"/>
      <c r="M6" s="731"/>
      <c r="N6" s="731"/>
      <c r="O6" s="731"/>
      <c r="P6" s="731"/>
      <c r="Q6" s="731"/>
      <c r="R6" s="731"/>
      <c r="S6" s="731"/>
      <c r="T6" s="731"/>
      <c r="U6" s="731"/>
      <c r="V6" s="731"/>
      <c r="W6" s="731"/>
      <c r="X6" s="731"/>
      <c r="Y6" s="731"/>
      <c r="Z6" s="731"/>
      <c r="AA6" s="731"/>
      <c r="AB6" s="732"/>
      <c r="AC6" s="732"/>
      <c r="AD6" s="732"/>
      <c r="AE6" s="732"/>
      <c r="AF6" s="732"/>
      <c r="AG6" s="732"/>
      <c r="AH6" s="732"/>
      <c r="AI6" s="732"/>
      <c r="AJ6" s="732"/>
      <c r="AK6" s="732"/>
      <c r="AL6" s="732"/>
      <c r="AM6" s="733"/>
      <c r="AN6" s="732"/>
      <c r="AO6" s="732"/>
      <c r="AP6" s="732"/>
      <c r="AQ6" s="732"/>
      <c r="AR6" s="732"/>
      <c r="AS6" s="732"/>
      <c r="AT6" s="732"/>
      <c r="AU6" s="732"/>
      <c r="AV6" s="732"/>
      <c r="AW6" s="732"/>
      <c r="AX6" s="732"/>
      <c r="AY6" s="734"/>
      <c r="AZ6" s="734"/>
      <c r="BA6" s="732"/>
      <c r="BB6" s="732"/>
      <c r="BC6" s="732"/>
      <c r="BD6" s="734"/>
      <c r="BE6" s="750">
        <v>39082</v>
      </c>
      <c r="BF6" s="45"/>
      <c r="BG6" s="45"/>
      <c r="BH6" s="45"/>
      <c r="BI6" s="45"/>
      <c r="BJ6" s="750">
        <v>39446</v>
      </c>
      <c r="BK6" s="750">
        <v>39537</v>
      </c>
      <c r="BL6" s="750">
        <v>39628</v>
      </c>
      <c r="BM6" s="750">
        <v>39719</v>
      </c>
      <c r="BN6" s="750">
        <v>39810</v>
      </c>
      <c r="BO6" s="750">
        <v>39810</v>
      </c>
      <c r="BP6" s="909">
        <v>39901</v>
      </c>
      <c r="BQ6" s="909">
        <v>39992</v>
      </c>
      <c r="BR6" s="909">
        <v>40083</v>
      </c>
      <c r="BS6" s="909">
        <v>40181</v>
      </c>
      <c r="BT6" s="909">
        <f>BS6</f>
        <v>40181</v>
      </c>
      <c r="BU6" s="909">
        <v>40272</v>
      </c>
      <c r="BV6" s="736">
        <v>40363</v>
      </c>
      <c r="BW6" s="736">
        <v>40454</v>
      </c>
      <c r="BX6" s="736">
        <v>40545</v>
      </c>
      <c r="BY6" s="736">
        <f>BX6</f>
        <v>40545</v>
      </c>
      <c r="BZ6" s="736">
        <v>40636</v>
      </c>
      <c r="CA6" s="736">
        <v>40727</v>
      </c>
      <c r="CB6" s="736">
        <v>40818</v>
      </c>
      <c r="CC6" s="736">
        <v>40909</v>
      </c>
      <c r="CD6" s="736">
        <f>CC6</f>
        <v>40909</v>
      </c>
      <c r="CE6" s="736"/>
      <c r="CF6" s="736"/>
      <c r="CG6" s="736"/>
      <c r="CH6" s="735"/>
      <c r="CI6" s="903"/>
      <c r="CJ6" s="736"/>
      <c r="CK6" s="736"/>
      <c r="CL6" s="736"/>
      <c r="CM6" s="735"/>
      <c r="CN6" s="903"/>
      <c r="CO6" s="736"/>
      <c r="CP6" s="736"/>
      <c r="CQ6" s="736"/>
      <c r="CR6" s="735"/>
      <c r="CS6" s="769"/>
      <c r="CT6" s="736"/>
      <c r="CU6" s="736"/>
      <c r="CV6" s="736"/>
      <c r="CW6" s="735"/>
      <c r="CX6" s="769"/>
      <c r="CY6" s="736"/>
      <c r="CZ6" s="736"/>
      <c r="DA6" s="736"/>
      <c r="DB6" s="735"/>
      <c r="DC6" s="1136"/>
      <c r="DD6" s="736"/>
      <c r="DE6" s="736"/>
      <c r="DF6" s="736"/>
      <c r="DG6" s="736"/>
      <c r="DH6" s="1136"/>
      <c r="DI6" s="736"/>
      <c r="DJ6" s="736"/>
      <c r="DK6" s="736"/>
      <c r="DL6" s="735"/>
      <c r="DM6" s="1136"/>
      <c r="DN6" s="736"/>
      <c r="DO6" s="736"/>
      <c r="DP6" s="736"/>
      <c r="DQ6" s="735"/>
      <c r="DR6" s="1136"/>
      <c r="DS6" s="736"/>
      <c r="DT6" s="736"/>
      <c r="DU6" s="736"/>
      <c r="DV6" s="735"/>
      <c r="DW6" s="769"/>
      <c r="EB6"/>
      <c r="EC6"/>
      <c r="ED6"/>
      <c r="EE6"/>
      <c r="EF6"/>
      <c r="EG6"/>
    </row>
    <row r="7" spans="1:137" s="45" customFormat="1">
      <c r="A7" s="588" t="s">
        <v>9</v>
      </c>
      <c r="B7" s="530" t="s">
        <v>506</v>
      </c>
      <c r="C7" s="530" t="s">
        <v>342</v>
      </c>
      <c r="D7" s="530" t="s">
        <v>343</v>
      </c>
      <c r="E7" s="530" t="s">
        <v>344</v>
      </c>
      <c r="F7" s="563" t="s">
        <v>345</v>
      </c>
      <c r="G7" s="563"/>
      <c r="H7" s="563" t="s">
        <v>346</v>
      </c>
      <c r="I7" s="563" t="s">
        <v>347</v>
      </c>
      <c r="J7" s="563" t="s">
        <v>348</v>
      </c>
      <c r="K7" s="563" t="s">
        <v>349</v>
      </c>
      <c r="L7" s="563" t="s">
        <v>350</v>
      </c>
      <c r="M7" s="563" t="s">
        <v>351</v>
      </c>
      <c r="N7" s="563" t="s">
        <v>352</v>
      </c>
      <c r="O7" s="563" t="s">
        <v>353</v>
      </c>
      <c r="P7" s="562" t="s">
        <v>354</v>
      </c>
      <c r="Q7" s="562" t="s">
        <v>355</v>
      </c>
      <c r="R7" s="563" t="s">
        <v>356</v>
      </c>
      <c r="S7" s="563" t="s">
        <v>357</v>
      </c>
      <c r="T7" s="563" t="s">
        <v>358</v>
      </c>
      <c r="U7" s="563" t="s">
        <v>359</v>
      </c>
      <c r="V7" s="563" t="s">
        <v>360</v>
      </c>
      <c r="W7" s="563" t="s">
        <v>361</v>
      </c>
      <c r="X7" s="563" t="s">
        <v>362</v>
      </c>
      <c r="Y7" s="563" t="s">
        <v>363</v>
      </c>
      <c r="Z7" s="563" t="s">
        <v>364</v>
      </c>
      <c r="AA7" s="563" t="s">
        <v>365</v>
      </c>
      <c r="AB7" s="563" t="s">
        <v>189</v>
      </c>
      <c r="AC7" s="563" t="s">
        <v>190</v>
      </c>
      <c r="AD7" s="563" t="s">
        <v>325</v>
      </c>
      <c r="AE7" s="563" t="s">
        <v>236</v>
      </c>
      <c r="AF7" s="563" t="s">
        <v>237</v>
      </c>
      <c r="AG7" s="563" t="s">
        <v>238</v>
      </c>
      <c r="AH7" s="563" t="s">
        <v>239</v>
      </c>
      <c r="AI7" s="563" t="s">
        <v>240</v>
      </c>
      <c r="AJ7" s="563" t="s">
        <v>241</v>
      </c>
      <c r="AK7" s="563" t="s">
        <v>242</v>
      </c>
      <c r="AL7" s="563" t="s">
        <v>4</v>
      </c>
      <c r="AM7" s="562" t="s">
        <v>5</v>
      </c>
      <c r="AN7" s="563" t="s">
        <v>6</v>
      </c>
      <c r="AO7" s="563" t="s">
        <v>7</v>
      </c>
      <c r="AP7" s="563" t="s">
        <v>8</v>
      </c>
      <c r="AQ7" s="563" t="s">
        <v>525</v>
      </c>
      <c r="AR7" s="563" t="s">
        <v>511</v>
      </c>
      <c r="AS7" s="563" t="s">
        <v>74</v>
      </c>
      <c r="AT7" s="563" t="s">
        <v>75</v>
      </c>
      <c r="AU7" s="563" t="s">
        <v>76</v>
      </c>
      <c r="AV7" s="563" t="s">
        <v>99</v>
      </c>
      <c r="AW7" s="563" t="s">
        <v>36</v>
      </c>
      <c r="AX7" s="563" t="s">
        <v>244</v>
      </c>
      <c r="AY7" s="563" t="s">
        <v>79</v>
      </c>
      <c r="AZ7" s="563" t="s">
        <v>80</v>
      </c>
      <c r="BA7" s="563" t="s">
        <v>83</v>
      </c>
      <c r="BB7" s="563" t="s">
        <v>73</v>
      </c>
      <c r="BC7" s="563" t="s">
        <v>59</v>
      </c>
      <c r="BD7" s="563" t="s">
        <v>527</v>
      </c>
      <c r="BE7" s="533" t="s">
        <v>287</v>
      </c>
      <c r="BF7" s="534" t="s">
        <v>533</v>
      </c>
      <c r="BG7" s="535" t="s">
        <v>408</v>
      </c>
      <c r="BH7" s="535" t="s">
        <v>77</v>
      </c>
      <c r="BI7" s="536" t="s">
        <v>437</v>
      </c>
      <c r="BJ7" s="536" t="s">
        <v>438</v>
      </c>
      <c r="BK7" s="563" t="s">
        <v>25</v>
      </c>
      <c r="BL7" s="563" t="s">
        <v>326</v>
      </c>
      <c r="BM7" s="563" t="s">
        <v>231</v>
      </c>
      <c r="BN7" s="590" t="s">
        <v>142</v>
      </c>
      <c r="BO7" s="590" t="s">
        <v>50</v>
      </c>
      <c r="BP7" s="590" t="s">
        <v>516</v>
      </c>
      <c r="BQ7" s="590" t="s">
        <v>405</v>
      </c>
      <c r="BR7" s="590" t="s">
        <v>306</v>
      </c>
      <c r="BS7" s="590" t="s">
        <v>285</v>
      </c>
      <c r="BT7" s="590" t="s">
        <v>281</v>
      </c>
      <c r="BU7" s="590" t="s">
        <v>462</v>
      </c>
      <c r="BV7" s="590" t="s">
        <v>429</v>
      </c>
      <c r="BW7" s="940" t="s">
        <v>125</v>
      </c>
      <c r="BX7" s="590" t="s">
        <v>373</v>
      </c>
      <c r="BY7" s="590" t="s">
        <v>374</v>
      </c>
      <c r="BZ7" s="590" t="s">
        <v>427</v>
      </c>
      <c r="CA7" s="590" t="s">
        <v>366</v>
      </c>
      <c r="CB7" s="590" t="s">
        <v>367</v>
      </c>
      <c r="CC7" s="590" t="s">
        <v>490</v>
      </c>
      <c r="CD7" s="590" t="s">
        <v>491</v>
      </c>
      <c r="CE7" s="973" t="s">
        <v>100</v>
      </c>
      <c r="CF7" s="590" t="s">
        <v>411</v>
      </c>
      <c r="CG7" s="590" t="s">
        <v>369</v>
      </c>
      <c r="CH7" s="590" t="s">
        <v>514</v>
      </c>
      <c r="CI7" s="590" t="s">
        <v>515</v>
      </c>
      <c r="CJ7" s="590" t="s">
        <v>86</v>
      </c>
      <c r="CK7" s="590" t="s">
        <v>493</v>
      </c>
      <c r="CL7" s="590" t="s">
        <v>448</v>
      </c>
      <c r="CM7" s="590" t="s">
        <v>191</v>
      </c>
      <c r="CN7" s="590" t="s">
        <v>192</v>
      </c>
      <c r="CO7" s="590" t="s">
        <v>286</v>
      </c>
      <c r="CP7" s="590" t="s">
        <v>57</v>
      </c>
      <c r="CQ7" s="590" t="s">
        <v>535</v>
      </c>
      <c r="CR7" s="590" t="s">
        <v>537</v>
      </c>
      <c r="CS7" s="767" t="s">
        <v>538</v>
      </c>
      <c r="CT7" s="590" t="s">
        <v>541</v>
      </c>
      <c r="CU7" s="590" t="s">
        <v>565</v>
      </c>
      <c r="CV7" s="590" t="s">
        <v>587</v>
      </c>
      <c r="CW7" s="590" t="s">
        <v>593</v>
      </c>
      <c r="CX7" s="767" t="s">
        <v>594</v>
      </c>
      <c r="CY7" s="590" t="s">
        <v>598</v>
      </c>
      <c r="CZ7" s="590" t="s">
        <v>611</v>
      </c>
      <c r="DA7" s="590" t="s">
        <v>613</v>
      </c>
      <c r="DB7" s="590" t="s">
        <v>617</v>
      </c>
      <c r="DC7" s="767" t="s">
        <v>621</v>
      </c>
      <c r="DD7" s="590" t="s">
        <v>626</v>
      </c>
      <c r="DE7" s="590" t="s">
        <v>632</v>
      </c>
      <c r="DF7" s="590" t="s">
        <v>636</v>
      </c>
      <c r="DG7" s="590" t="s">
        <v>642</v>
      </c>
      <c r="DH7" s="767" t="s">
        <v>643</v>
      </c>
      <c r="DI7" s="589" t="s">
        <v>377</v>
      </c>
      <c r="DJ7" s="589" t="s">
        <v>378</v>
      </c>
      <c r="DK7" s="589" t="s">
        <v>379</v>
      </c>
      <c r="DL7" s="589" t="s">
        <v>380</v>
      </c>
      <c r="DM7" s="767" t="s">
        <v>220</v>
      </c>
      <c r="DN7" s="589" t="s">
        <v>381</v>
      </c>
      <c r="DO7" s="589" t="s">
        <v>382</v>
      </c>
      <c r="DP7" s="589" t="s">
        <v>383</v>
      </c>
      <c r="DQ7" s="589" t="s">
        <v>386</v>
      </c>
      <c r="DR7" s="767" t="s">
        <v>385</v>
      </c>
      <c r="DS7" s="589" t="s">
        <v>387</v>
      </c>
      <c r="DT7" s="589" t="s">
        <v>388</v>
      </c>
      <c r="DU7" s="589" t="s">
        <v>389</v>
      </c>
      <c r="DV7" s="589" t="s">
        <v>384</v>
      </c>
      <c r="DW7" s="767" t="s">
        <v>390</v>
      </c>
      <c r="EB7"/>
      <c r="EC7"/>
      <c r="ED7"/>
      <c r="EE7"/>
      <c r="EF7"/>
      <c r="EG7"/>
    </row>
    <row r="8" spans="1:137" s="45" customFormat="1">
      <c r="A8" s="575"/>
      <c r="B8" s="288"/>
      <c r="C8" s="241"/>
      <c r="D8" s="242"/>
      <c r="E8" s="242"/>
      <c r="F8" s="242"/>
      <c r="G8" s="242"/>
      <c r="H8" s="242"/>
      <c r="I8" s="242"/>
      <c r="J8" s="242"/>
      <c r="K8" s="288"/>
      <c r="L8" s="52"/>
      <c r="M8" s="242"/>
      <c r="N8" s="242"/>
      <c r="O8" s="242"/>
      <c r="P8" s="243"/>
      <c r="Q8" s="243"/>
      <c r="R8" s="242"/>
      <c r="S8" s="242"/>
      <c r="T8" s="242"/>
      <c r="U8" s="242"/>
      <c r="V8" s="244"/>
      <c r="W8" s="241"/>
      <c r="X8" s="242"/>
      <c r="Y8" s="242"/>
      <c r="Z8" s="242"/>
      <c r="AA8" s="245"/>
      <c r="AB8" s="241"/>
      <c r="AC8" s="242"/>
      <c r="AD8" s="242"/>
      <c r="AE8" s="246"/>
      <c r="AF8" s="245"/>
      <c r="AG8" s="241"/>
      <c r="AH8" s="242"/>
      <c r="AI8" s="242"/>
      <c r="AJ8" s="242"/>
      <c r="AK8" s="245"/>
      <c r="AL8" s="242"/>
      <c r="AM8" s="243"/>
      <c r="AN8" s="242"/>
      <c r="AO8" s="242"/>
      <c r="AP8" s="245"/>
      <c r="AQ8" s="242"/>
      <c r="AR8" s="242"/>
      <c r="AS8" s="242"/>
      <c r="AT8" s="242"/>
      <c r="AU8" s="245"/>
      <c r="AV8" s="242"/>
      <c r="AW8" s="242"/>
      <c r="AX8" s="242"/>
      <c r="AY8" s="247"/>
      <c r="AZ8" s="248"/>
      <c r="BA8" s="242"/>
      <c r="BB8" s="242"/>
      <c r="BC8" s="242"/>
      <c r="BD8" s="242"/>
      <c r="BE8" s="245"/>
      <c r="BF8" s="242"/>
      <c r="BG8" s="242"/>
      <c r="BH8" s="242"/>
      <c r="BI8" s="242"/>
      <c r="BJ8" s="737"/>
      <c r="BK8" s="641"/>
      <c r="BL8" s="641"/>
      <c r="BM8" s="641"/>
      <c r="BN8" s="508"/>
      <c r="BO8" s="512"/>
      <c r="BP8" s="641"/>
      <c r="BQ8" s="508"/>
      <c r="BR8" s="641"/>
      <c r="BS8" s="508"/>
      <c r="BT8" s="512"/>
      <c r="BU8" s="508"/>
      <c r="BV8" s="641"/>
      <c r="BW8" s="957"/>
      <c r="BX8" s="641"/>
      <c r="BY8" s="512"/>
      <c r="BZ8" s="641"/>
      <c r="CA8" s="641"/>
      <c r="CB8" s="641"/>
      <c r="CC8" s="641"/>
      <c r="CD8" s="512"/>
      <c r="CE8" s="508"/>
      <c r="CF8" s="641"/>
      <c r="CG8" s="641"/>
      <c r="CH8" s="641"/>
      <c r="CI8" s="768"/>
      <c r="CJ8" s="508"/>
      <c r="CK8" s="508"/>
      <c r="CL8" s="508"/>
      <c r="CM8" s="641"/>
      <c r="CN8" s="768"/>
      <c r="CO8" s="641"/>
      <c r="CP8" s="641"/>
      <c r="CQ8" s="508"/>
      <c r="CR8" s="641"/>
      <c r="CS8" s="768"/>
      <c r="CT8" s="641"/>
      <c r="CU8" s="641"/>
      <c r="CV8" s="641"/>
      <c r="CW8" s="508"/>
      <c r="CX8" s="768"/>
      <c r="CY8" s="641"/>
      <c r="CZ8" s="641"/>
      <c r="DA8" s="641"/>
      <c r="DB8" s="508"/>
      <c r="DC8" s="768"/>
      <c r="DD8" s="641"/>
      <c r="DE8" s="641"/>
      <c r="DF8" s="641"/>
      <c r="DG8" s="641"/>
      <c r="DH8" s="768"/>
      <c r="DI8" s="508"/>
      <c r="DJ8" s="508"/>
      <c r="DK8" s="508"/>
      <c r="DL8" s="508"/>
      <c r="DM8" s="768"/>
      <c r="DN8" s="508"/>
      <c r="DO8" s="508"/>
      <c r="DP8" s="508"/>
      <c r="DQ8" s="508"/>
      <c r="DR8" s="768"/>
      <c r="DS8" s="508"/>
      <c r="DT8" s="508"/>
      <c r="DU8" s="508"/>
      <c r="DV8" s="508"/>
      <c r="DW8" s="768"/>
      <c r="EB8"/>
      <c r="EC8"/>
      <c r="ED8"/>
      <c r="EE8"/>
      <c r="EF8"/>
      <c r="EG8"/>
    </row>
    <row r="9" spans="1:137" s="45" customFormat="1">
      <c r="A9" s="576" t="s">
        <v>440</v>
      </c>
      <c r="B9" s="239"/>
      <c r="C9" s="43"/>
      <c r="D9" s="239"/>
      <c r="E9" s="239"/>
      <c r="F9" s="249"/>
      <c r="G9" s="239"/>
      <c r="H9" s="239"/>
      <c r="I9" s="239"/>
      <c r="J9" s="239"/>
      <c r="K9" s="47"/>
      <c r="L9" s="249"/>
      <c r="M9" s="239"/>
      <c r="N9" s="239"/>
      <c r="O9" s="239"/>
      <c r="P9" s="250"/>
      <c r="Q9" s="249"/>
      <c r="R9" s="43"/>
      <c r="S9" s="239"/>
      <c r="T9" s="239"/>
      <c r="U9" s="239"/>
      <c r="V9" s="249"/>
      <c r="W9" s="43"/>
      <c r="X9" s="239"/>
      <c r="Y9" s="239"/>
      <c r="Z9" s="250"/>
      <c r="AA9" s="43"/>
      <c r="AB9" s="43"/>
      <c r="AC9" s="239"/>
      <c r="AD9" s="239"/>
      <c r="AE9" s="250"/>
      <c r="AF9" s="249"/>
      <c r="AG9" s="43"/>
      <c r="AH9" s="239"/>
      <c r="AI9" s="239"/>
      <c r="AJ9" s="250"/>
      <c r="AK9" s="249"/>
      <c r="AL9" s="239"/>
      <c r="AM9" s="251"/>
      <c r="AN9" s="239"/>
      <c r="AO9" s="250"/>
      <c r="AP9" s="249"/>
      <c r="AQ9" s="239"/>
      <c r="AR9" s="239"/>
      <c r="AS9" s="239"/>
      <c r="AT9" s="250"/>
      <c r="AU9" s="249"/>
      <c r="AV9" s="239"/>
      <c r="AW9" s="239"/>
      <c r="AX9" s="239"/>
      <c r="AY9" s="252"/>
      <c r="AZ9" s="253"/>
      <c r="BA9" s="239"/>
      <c r="BB9" s="239"/>
      <c r="BC9" s="239"/>
      <c r="BD9" s="250"/>
      <c r="BE9" s="249"/>
      <c r="BF9" s="239"/>
      <c r="BG9" s="239"/>
      <c r="BH9" s="239"/>
      <c r="BI9" s="250"/>
      <c r="BJ9" s="249"/>
      <c r="BK9" s="642"/>
      <c r="BL9" s="642"/>
      <c r="BM9" s="642"/>
      <c r="BN9" s="510"/>
      <c r="BO9" s="513"/>
      <c r="BP9" s="642"/>
      <c r="BQ9" s="642"/>
      <c r="BR9" s="642"/>
      <c r="BS9" s="510"/>
      <c r="BT9" s="513"/>
      <c r="BU9" s="642"/>
      <c r="BV9" s="642"/>
      <c r="BW9" s="941"/>
      <c r="BX9" s="920"/>
      <c r="BY9" s="513"/>
      <c r="BZ9" s="642"/>
      <c r="CA9" s="642"/>
      <c r="CB9" s="642"/>
      <c r="CC9" s="920"/>
      <c r="CD9" s="513"/>
      <c r="CE9" s="642"/>
      <c r="CF9" s="642"/>
      <c r="CG9" s="642"/>
      <c r="CH9" s="920"/>
      <c r="CI9" s="862"/>
      <c r="CJ9" s="509"/>
      <c r="CK9" s="509"/>
      <c r="CL9" s="509"/>
      <c r="CM9" s="920"/>
      <c r="CN9" s="862"/>
      <c r="CO9" s="642"/>
      <c r="CP9" s="642"/>
      <c r="CQ9" s="509"/>
      <c r="CR9" s="920"/>
      <c r="CS9" s="862"/>
      <c r="CT9" s="642"/>
      <c r="CU9" s="642"/>
      <c r="CV9" s="642"/>
      <c r="CW9" s="510"/>
      <c r="CX9" s="862"/>
      <c r="CY9" s="642"/>
      <c r="CZ9" s="642"/>
      <c r="DA9" s="642"/>
      <c r="DB9" s="510"/>
      <c r="DC9" s="862"/>
      <c r="DD9" s="642"/>
      <c r="DE9" s="642"/>
      <c r="DF9" s="642"/>
      <c r="DG9" s="920"/>
      <c r="DH9" s="862"/>
      <c r="DI9" s="509"/>
      <c r="DJ9" s="509"/>
      <c r="DK9" s="509"/>
      <c r="DL9" s="510"/>
      <c r="DM9" s="862"/>
      <c r="DN9" s="509"/>
      <c r="DO9" s="509"/>
      <c r="DP9" s="509"/>
      <c r="DQ9" s="510"/>
      <c r="DR9" s="862"/>
      <c r="DS9" s="509"/>
      <c r="DT9" s="509"/>
      <c r="DU9" s="509"/>
      <c r="DV9" s="510"/>
      <c r="DW9" s="862"/>
      <c r="EB9"/>
      <c r="EC9"/>
      <c r="ED9"/>
      <c r="EE9"/>
      <c r="EF9"/>
      <c r="EG9"/>
    </row>
    <row r="10" spans="1:137" s="45" customFormat="1">
      <c r="A10" s="575" t="s">
        <v>441</v>
      </c>
      <c r="B10" s="47"/>
      <c r="C10" s="44"/>
      <c r="F10" s="89"/>
      <c r="K10" s="47"/>
      <c r="L10" s="89"/>
      <c r="P10" s="47"/>
      <c r="Q10" s="89"/>
      <c r="R10" s="44"/>
      <c r="V10" s="89"/>
      <c r="W10" s="44"/>
      <c r="Z10" s="47"/>
      <c r="AA10" s="44"/>
      <c r="AB10" s="44"/>
      <c r="AE10" s="47"/>
      <c r="AF10" s="89"/>
      <c r="AG10" s="44"/>
      <c r="AJ10" s="47"/>
      <c r="AK10" s="89"/>
      <c r="AM10" s="68"/>
      <c r="AO10" s="47"/>
      <c r="AP10" s="89"/>
      <c r="AT10" s="47"/>
      <c r="AU10" s="89"/>
      <c r="AY10" s="47"/>
      <c r="AZ10" s="179"/>
      <c r="BD10" s="47"/>
      <c r="BE10" s="179"/>
      <c r="BF10" s="176"/>
      <c r="BG10" s="176"/>
      <c r="BH10" s="176"/>
      <c r="BI10" s="179"/>
      <c r="BJ10" s="739"/>
      <c r="BK10" s="740"/>
      <c r="BL10" s="740"/>
      <c r="BM10" s="740"/>
      <c r="BN10" s="741"/>
      <c r="BO10" s="739"/>
      <c r="BP10" s="740"/>
      <c r="BQ10" s="740"/>
      <c r="BR10" s="740"/>
      <c r="BS10" s="741"/>
      <c r="BT10" s="739"/>
      <c r="BU10" s="740"/>
      <c r="BV10" s="740"/>
      <c r="BW10" s="740"/>
      <c r="BX10" s="741"/>
      <c r="BY10" s="739"/>
      <c r="BZ10" s="740"/>
      <c r="CA10" s="740"/>
      <c r="CB10" s="740"/>
      <c r="CC10" s="741"/>
      <c r="CD10" s="739"/>
      <c r="CE10" s="740"/>
      <c r="CF10" s="740"/>
      <c r="CG10" s="740"/>
      <c r="CH10" s="741"/>
      <c r="CI10" s="742"/>
      <c r="CJ10" s="1004"/>
      <c r="CK10" s="1004"/>
      <c r="CL10" s="1004"/>
      <c r="CM10" s="741"/>
      <c r="CN10" s="742"/>
      <c r="CO10" s="740"/>
      <c r="CP10" s="740"/>
      <c r="CQ10" s="1004"/>
      <c r="CR10" s="741"/>
      <c r="CS10" s="742"/>
      <c r="CT10" s="740"/>
      <c r="CU10" s="740"/>
      <c r="CV10" s="740"/>
      <c r="CW10" s="1005"/>
      <c r="CX10" s="742"/>
      <c r="CY10" s="740"/>
      <c r="CZ10" s="740"/>
      <c r="DA10" s="740"/>
      <c r="DB10" s="1005"/>
      <c r="DC10" s="742"/>
      <c r="DD10" s="740"/>
      <c r="DE10" s="740"/>
      <c r="DF10" s="740"/>
      <c r="DG10" s="741"/>
      <c r="DH10" s="742"/>
      <c r="DI10" s="1004"/>
      <c r="DJ10" s="1004"/>
      <c r="DK10" s="1004"/>
      <c r="DL10" s="1005"/>
      <c r="DM10" s="742"/>
      <c r="DN10" s="1004"/>
      <c r="DO10" s="1004"/>
      <c r="DP10" s="1004"/>
      <c r="DQ10" s="1005"/>
      <c r="DR10" s="742"/>
      <c r="DS10" s="1004"/>
      <c r="DT10" s="1004"/>
      <c r="DU10" s="1004"/>
      <c r="DV10" s="1005"/>
      <c r="DW10" s="742"/>
      <c r="EB10"/>
      <c r="EC10"/>
      <c r="ED10"/>
      <c r="EE10"/>
      <c r="EF10"/>
      <c r="EG10"/>
    </row>
    <row r="11" spans="1:137" s="45" customFormat="1">
      <c r="A11" s="743" t="s">
        <v>120</v>
      </c>
      <c r="B11" s="90"/>
      <c r="C11" s="87"/>
      <c r="D11" s="88"/>
      <c r="E11" s="88"/>
      <c r="F11" s="121"/>
      <c r="G11" s="88"/>
      <c r="H11" s="88"/>
      <c r="I11" s="88"/>
      <c r="J11" s="88"/>
      <c r="K11" s="91"/>
      <c r="L11" s="99"/>
      <c r="M11" s="88"/>
      <c r="N11" s="88"/>
      <c r="O11" s="88"/>
      <c r="P11" s="91"/>
      <c r="Q11" s="91"/>
      <c r="R11" s="87"/>
      <c r="S11" s="88"/>
      <c r="T11" s="88"/>
      <c r="U11" s="88"/>
      <c r="V11" s="121"/>
      <c r="W11" s="87"/>
      <c r="X11" s="88"/>
      <c r="Y11" s="88"/>
      <c r="Z11" s="91"/>
      <c r="AA11" s="121"/>
      <c r="AB11" s="87"/>
      <c r="AC11" s="88"/>
      <c r="AD11" s="88"/>
      <c r="AE11" s="91"/>
      <c r="AF11" s="121"/>
      <c r="AG11" s="87"/>
      <c r="AH11" s="88"/>
      <c r="AI11" s="88"/>
      <c r="AJ11" s="91"/>
      <c r="AK11" s="121"/>
      <c r="AL11" s="88"/>
      <c r="AM11" s="92"/>
      <c r="AN11" s="88"/>
      <c r="AO11" s="91"/>
      <c r="AP11" s="91"/>
      <c r="AQ11" s="88"/>
      <c r="AR11" s="88"/>
      <c r="AS11" s="88"/>
      <c r="AT11" s="91"/>
      <c r="AU11" s="91"/>
      <c r="AV11" s="88"/>
      <c r="AW11" s="88"/>
      <c r="AX11" s="88"/>
      <c r="AY11" s="91"/>
      <c r="AZ11" s="744"/>
      <c r="BA11" s="88"/>
      <c r="BB11" s="88"/>
      <c r="BC11" s="88"/>
      <c r="BD11" s="91"/>
      <c r="BE11" s="744">
        <v>148.15199999999999</v>
      </c>
      <c r="BF11" s="180"/>
      <c r="BG11" s="180"/>
      <c r="BH11" s="180"/>
      <c r="BI11" s="180"/>
      <c r="BJ11" s="744">
        <v>78.116</v>
      </c>
      <c r="BK11" s="745">
        <v>59.026000000000003</v>
      </c>
      <c r="BL11" s="745">
        <v>19.093</v>
      </c>
      <c r="BM11" s="745">
        <v>26.032</v>
      </c>
      <c r="BN11" s="745">
        <v>90.09</v>
      </c>
      <c r="BO11" s="744">
        <v>90.09</v>
      </c>
      <c r="BP11" s="745">
        <v>122.434</v>
      </c>
      <c r="BQ11" s="745">
        <v>616.00099999999998</v>
      </c>
      <c r="BR11" s="745">
        <v>644.64599999999996</v>
      </c>
      <c r="BS11" s="745">
        <v>591.71900000000005</v>
      </c>
      <c r="BT11" s="744">
        <f t="shared" ref="BT11:BT19" si="0">BS11</f>
        <v>591.71900000000005</v>
      </c>
      <c r="BU11" s="745">
        <v>507.28399999999999</v>
      </c>
      <c r="BV11" s="745">
        <v>508.38</v>
      </c>
      <c r="BW11" s="745">
        <v>520.51400000000001</v>
      </c>
      <c r="BX11" s="745">
        <v>512.50800000000004</v>
      </c>
      <c r="BY11" s="744">
        <f t="shared" ref="BY11:BY19" si="1">BX11</f>
        <v>512.50800000000004</v>
      </c>
      <c r="BZ11" s="745">
        <v>500.06099999999998</v>
      </c>
      <c r="CA11" s="745">
        <v>492.44799999999998</v>
      </c>
      <c r="CB11" s="745">
        <v>488.81700000000001</v>
      </c>
      <c r="CC11" s="745">
        <f>CD11</f>
        <v>475.23099999999999</v>
      </c>
      <c r="CD11" s="744">
        <v>475.23099999999999</v>
      </c>
      <c r="CE11" s="971">
        <v>418.41</v>
      </c>
      <c r="CF11" s="745">
        <v>435.1</v>
      </c>
      <c r="CG11" s="745">
        <v>453.59199999999998</v>
      </c>
      <c r="CH11" s="745">
        <v>453.36099999999999</v>
      </c>
      <c r="CI11" s="746">
        <f t="shared" ref="CI11:CI19" si="2">CH11</f>
        <v>453.36099999999999</v>
      </c>
      <c r="CJ11" s="745">
        <v>428.68400000000003</v>
      </c>
      <c r="CK11" s="745">
        <v>489.017</v>
      </c>
      <c r="CL11" s="745">
        <v>513.43100000000004</v>
      </c>
      <c r="CM11" s="745">
        <v>580.15200000000004</v>
      </c>
      <c r="CN11" s="746">
        <f t="shared" ref="CN11:CN19" si="3">CM11</f>
        <v>580.15200000000004</v>
      </c>
      <c r="CO11" s="745">
        <v>384.69499999999999</v>
      </c>
      <c r="CP11" s="745">
        <v>371.66</v>
      </c>
      <c r="CQ11" s="745">
        <v>342.44600000000003</v>
      </c>
      <c r="CR11" s="745">
        <v>267.27600000000001</v>
      </c>
      <c r="CS11" s="746">
        <f t="shared" ref="CS11:CS19" si="4">CR11</f>
        <v>267.27600000000001</v>
      </c>
      <c r="CT11" s="745">
        <v>202.86199999999999</v>
      </c>
      <c r="CU11" s="745">
        <v>1197.567</v>
      </c>
      <c r="CV11" s="745">
        <v>175.7</v>
      </c>
      <c r="CW11" s="745">
        <v>327.21600000000001</v>
      </c>
      <c r="CX11" s="746">
        <f>CW11</f>
        <v>327.21600000000001</v>
      </c>
      <c r="CY11" s="745">
        <v>312.923</v>
      </c>
      <c r="CZ11" s="745">
        <v>266.18</v>
      </c>
      <c r="DA11" s="745">
        <v>308.78399999999999</v>
      </c>
      <c r="DB11" s="745">
        <v>198.24</v>
      </c>
      <c r="DC11" s="746">
        <f>DB11</f>
        <v>198.24</v>
      </c>
      <c r="DD11" s="745">
        <v>193.23500000000001</v>
      </c>
      <c r="DE11" s="745">
        <v>204.54300000000001</v>
      </c>
      <c r="DF11" s="745">
        <v>186.62899999999999</v>
      </c>
      <c r="DG11" s="745">
        <v>171.447</v>
      </c>
      <c r="DH11" s="746">
        <f>DG11</f>
        <v>171.447</v>
      </c>
      <c r="DI11" s="827">
        <f>'CashFlow '!DI61</f>
        <v>199.22987684797283</v>
      </c>
      <c r="DJ11" s="827">
        <f>'CashFlow '!DJ61</f>
        <v>183.97730274839495</v>
      </c>
      <c r="DK11" s="827">
        <f>'CashFlow '!DK61</f>
        <v>170.9337711682104</v>
      </c>
      <c r="DL11" s="827">
        <f>'CashFlow '!DL61</f>
        <v>151.44641770179825</v>
      </c>
      <c r="DM11" s="746">
        <f>DL11</f>
        <v>151.44641770179825</v>
      </c>
      <c r="DN11" s="827">
        <f>'CashFlow '!DN61</f>
        <v>176.21098311790672</v>
      </c>
      <c r="DO11" s="827">
        <f>'CashFlow '!DO61</f>
        <v>171.61647154744622</v>
      </c>
      <c r="DP11" s="827">
        <f>'CashFlow '!DP61</f>
        <v>168.27992660898019</v>
      </c>
      <c r="DQ11" s="827">
        <f>'CashFlow '!DQ61</f>
        <v>156.79526467674771</v>
      </c>
      <c r="DR11" s="746">
        <f>DQ11</f>
        <v>156.79526467674771</v>
      </c>
      <c r="DS11" s="827">
        <f>'CashFlow '!DS61</f>
        <v>211.11823317709411</v>
      </c>
      <c r="DT11" s="827">
        <f>'CashFlow '!DT61</f>
        <v>235.30475685066034</v>
      </c>
      <c r="DU11" s="827">
        <f>'CashFlow '!DU61</f>
        <v>259.73005415044673</v>
      </c>
      <c r="DV11" s="827">
        <f>'CashFlow '!DV61</f>
        <v>275.65854490359624</v>
      </c>
      <c r="DW11" s="746">
        <f>DV11</f>
        <v>275.65854490359624</v>
      </c>
      <c r="DY11" s="518"/>
      <c r="EB11"/>
      <c r="EC11"/>
      <c r="ED11"/>
      <c r="EE11"/>
      <c r="EF11"/>
      <c r="EG11"/>
    </row>
    <row r="12" spans="1:137" s="45" customFormat="1">
      <c r="A12" s="743" t="s">
        <v>499</v>
      </c>
      <c r="B12" s="90"/>
      <c r="C12" s="87"/>
      <c r="D12" s="88"/>
      <c r="E12" s="88"/>
      <c r="F12" s="121"/>
      <c r="G12" s="88"/>
      <c r="H12" s="88"/>
      <c r="I12" s="88"/>
      <c r="J12" s="88"/>
      <c r="K12" s="91"/>
      <c r="L12" s="99"/>
      <c r="M12" s="88"/>
      <c r="N12" s="88"/>
      <c r="O12" s="88"/>
      <c r="P12" s="91"/>
      <c r="Q12" s="91"/>
      <c r="R12" s="87"/>
      <c r="S12" s="88"/>
      <c r="T12" s="88"/>
      <c r="U12" s="88"/>
      <c r="V12" s="121"/>
      <c r="W12" s="87"/>
      <c r="X12" s="88"/>
      <c r="Y12" s="88"/>
      <c r="Z12" s="91"/>
      <c r="AA12" s="121"/>
      <c r="AB12" s="87"/>
      <c r="AC12" s="88"/>
      <c r="AD12" s="88"/>
      <c r="AE12" s="91"/>
      <c r="AF12" s="121"/>
      <c r="AG12" s="87"/>
      <c r="AH12" s="88"/>
      <c r="AI12" s="88"/>
      <c r="AJ12" s="91"/>
      <c r="AK12" s="121"/>
      <c r="AL12" s="88"/>
      <c r="AM12" s="92"/>
      <c r="AN12" s="88"/>
      <c r="AO12" s="91"/>
      <c r="AP12" s="91"/>
      <c r="AQ12" s="88"/>
      <c r="AR12" s="88"/>
      <c r="AS12" s="88"/>
      <c r="AT12" s="91"/>
      <c r="AU12" s="91"/>
      <c r="AV12" s="88"/>
      <c r="AW12" s="88"/>
      <c r="AX12" s="88"/>
      <c r="AY12" s="91"/>
      <c r="AZ12" s="744"/>
      <c r="BA12" s="88"/>
      <c r="BB12" s="88"/>
      <c r="BC12" s="88"/>
      <c r="BD12" s="91"/>
      <c r="BE12" s="744">
        <v>9.0589999999999993</v>
      </c>
      <c r="BF12" s="180"/>
      <c r="BG12" s="180"/>
      <c r="BH12" s="180"/>
      <c r="BI12" s="180"/>
      <c r="BJ12" s="744"/>
      <c r="BK12" s="745"/>
      <c r="BL12" s="745"/>
      <c r="BM12" s="745"/>
      <c r="BN12" s="745">
        <v>20.792000000000002</v>
      </c>
      <c r="BO12" s="744">
        <v>20.792000000000002</v>
      </c>
      <c r="BP12" s="745">
        <v>15.05</v>
      </c>
      <c r="BQ12" s="745">
        <v>2.4809999999999999</v>
      </c>
      <c r="BR12" s="745">
        <v>0.98599999999999999</v>
      </c>
      <c r="BS12" s="745">
        <v>1.1140000000000001</v>
      </c>
      <c r="BT12" s="744">
        <f t="shared" si="0"/>
        <v>1.1140000000000001</v>
      </c>
      <c r="BU12" s="745">
        <v>0</v>
      </c>
      <c r="BV12" s="745">
        <v>0</v>
      </c>
      <c r="BW12" s="745">
        <v>0</v>
      </c>
      <c r="BX12" s="745">
        <v>0</v>
      </c>
      <c r="BY12" s="744">
        <f t="shared" si="1"/>
        <v>0</v>
      </c>
      <c r="BZ12" s="745">
        <v>0</v>
      </c>
      <c r="CA12" s="745">
        <v>0</v>
      </c>
      <c r="CB12" s="745">
        <v>0</v>
      </c>
      <c r="CC12" s="745">
        <f t="shared" ref="CC12:CC19" si="5">CD12</f>
        <v>0</v>
      </c>
      <c r="CD12" s="744">
        <v>0</v>
      </c>
      <c r="CE12" s="971">
        <v>0</v>
      </c>
      <c r="CF12" s="745">
        <v>0</v>
      </c>
      <c r="CG12" s="745">
        <v>0</v>
      </c>
      <c r="CH12" s="745">
        <v>0</v>
      </c>
      <c r="CI12" s="746">
        <f t="shared" si="2"/>
        <v>0</v>
      </c>
      <c r="CJ12" s="745">
        <v>0</v>
      </c>
      <c r="CK12" s="745">
        <v>0</v>
      </c>
      <c r="CL12" s="745">
        <v>0</v>
      </c>
      <c r="CM12" s="745">
        <v>0</v>
      </c>
      <c r="CN12" s="746">
        <f t="shared" si="3"/>
        <v>0</v>
      </c>
      <c r="CO12" s="745">
        <v>0</v>
      </c>
      <c r="CP12" s="745">
        <v>0</v>
      </c>
      <c r="CQ12" s="745">
        <v>0</v>
      </c>
      <c r="CR12" s="745">
        <v>0</v>
      </c>
      <c r="CS12" s="746">
        <f t="shared" si="4"/>
        <v>0</v>
      </c>
      <c r="CT12" s="745">
        <f t="shared" ref="CT12:DC12" si="6">CS12</f>
        <v>0</v>
      </c>
      <c r="CU12" s="745">
        <v>0</v>
      </c>
      <c r="CV12" s="745">
        <f t="shared" si="6"/>
        <v>0</v>
      </c>
      <c r="CW12" s="745">
        <f t="shared" si="6"/>
        <v>0</v>
      </c>
      <c r="CX12" s="746">
        <f t="shared" si="6"/>
        <v>0</v>
      </c>
      <c r="CY12" s="745">
        <v>41.781999999999996</v>
      </c>
      <c r="CZ12" s="745">
        <v>35.694000000000003</v>
      </c>
      <c r="DA12" s="745">
        <v>40.776000000000003</v>
      </c>
      <c r="DB12" s="745">
        <v>57.612000000000002</v>
      </c>
      <c r="DC12" s="746">
        <f t="shared" si="6"/>
        <v>57.612000000000002</v>
      </c>
      <c r="DD12" s="745">
        <v>49.338999999999999</v>
      </c>
      <c r="DE12" s="745">
        <v>39.143999999999998</v>
      </c>
      <c r="DF12" s="745">
        <v>34.042000000000002</v>
      </c>
      <c r="DG12" s="745">
        <v>32.633000000000003</v>
      </c>
      <c r="DH12" s="746">
        <f t="shared" ref="DH12:DW12" si="7">DG12</f>
        <v>32.633000000000003</v>
      </c>
      <c r="DI12" s="827">
        <f t="shared" si="7"/>
        <v>32.633000000000003</v>
      </c>
      <c r="DJ12" s="827">
        <f t="shared" si="7"/>
        <v>32.633000000000003</v>
      </c>
      <c r="DK12" s="827">
        <f t="shared" si="7"/>
        <v>32.633000000000003</v>
      </c>
      <c r="DL12" s="827">
        <f t="shared" si="7"/>
        <v>32.633000000000003</v>
      </c>
      <c r="DM12" s="746">
        <f t="shared" si="7"/>
        <v>32.633000000000003</v>
      </c>
      <c r="DN12" s="827">
        <f t="shared" si="7"/>
        <v>32.633000000000003</v>
      </c>
      <c r="DO12" s="827">
        <f t="shared" si="7"/>
        <v>32.633000000000003</v>
      </c>
      <c r="DP12" s="827">
        <f t="shared" si="7"/>
        <v>32.633000000000003</v>
      </c>
      <c r="DQ12" s="827">
        <f t="shared" si="7"/>
        <v>32.633000000000003</v>
      </c>
      <c r="DR12" s="746">
        <f t="shared" si="7"/>
        <v>32.633000000000003</v>
      </c>
      <c r="DS12" s="827">
        <f t="shared" si="7"/>
        <v>32.633000000000003</v>
      </c>
      <c r="DT12" s="827">
        <f t="shared" si="7"/>
        <v>32.633000000000003</v>
      </c>
      <c r="DU12" s="827">
        <f t="shared" si="7"/>
        <v>32.633000000000003</v>
      </c>
      <c r="DV12" s="827">
        <f t="shared" si="7"/>
        <v>32.633000000000003</v>
      </c>
      <c r="DW12" s="746">
        <f t="shared" si="7"/>
        <v>32.633000000000003</v>
      </c>
      <c r="DY12" s="518"/>
      <c r="EB12"/>
      <c r="EC12"/>
      <c r="ED12"/>
      <c r="EE12"/>
      <c r="EF12"/>
      <c r="EG12"/>
    </row>
    <row r="13" spans="1:137" s="212" customFormat="1">
      <c r="A13" s="743" t="s">
        <v>494</v>
      </c>
      <c r="B13" s="265"/>
      <c r="C13" s="258"/>
      <c r="D13" s="259"/>
      <c r="E13" s="259"/>
      <c r="F13" s="260"/>
      <c r="G13" s="259"/>
      <c r="H13" s="259"/>
      <c r="I13" s="259"/>
      <c r="J13" s="259"/>
      <c r="K13" s="261"/>
      <c r="L13" s="262"/>
      <c r="M13" s="259"/>
      <c r="N13" s="259"/>
      <c r="O13" s="259"/>
      <c r="P13" s="261"/>
      <c r="Q13" s="261"/>
      <c r="R13" s="258"/>
      <c r="S13" s="259"/>
      <c r="T13" s="259"/>
      <c r="U13" s="259"/>
      <c r="V13" s="260"/>
      <c r="W13" s="258"/>
      <c r="X13" s="259"/>
      <c r="Y13" s="259"/>
      <c r="Z13" s="261"/>
      <c r="AA13" s="260"/>
      <c r="AB13" s="254"/>
      <c r="AC13" s="257"/>
      <c r="AD13" s="255"/>
      <c r="AE13" s="256"/>
      <c r="AF13" s="121"/>
      <c r="AG13" s="255"/>
      <c r="AH13" s="257"/>
      <c r="AI13" s="255"/>
      <c r="AJ13" s="256"/>
      <c r="AK13" s="121"/>
      <c r="AL13" s="255"/>
      <c r="AM13" s="257"/>
      <c r="AN13" s="255"/>
      <c r="AO13" s="256"/>
      <c r="AP13" s="91"/>
      <c r="AQ13" s="255"/>
      <c r="AR13" s="255"/>
      <c r="AS13" s="255"/>
      <c r="AT13" s="256"/>
      <c r="AU13" s="91"/>
      <c r="AV13" s="255"/>
      <c r="AW13" s="255"/>
      <c r="AX13" s="255"/>
      <c r="AY13" s="256"/>
      <c r="AZ13" s="744"/>
      <c r="BA13" s="255"/>
      <c r="BB13" s="255"/>
      <c r="BC13" s="255"/>
      <c r="BD13" s="256"/>
      <c r="BE13" s="744">
        <v>122.11799999999999</v>
      </c>
      <c r="BF13" s="180"/>
      <c r="BG13" s="180"/>
      <c r="BH13" s="180"/>
      <c r="BI13" s="183"/>
      <c r="BJ13" s="744">
        <v>2.6080000000000001</v>
      </c>
      <c r="BK13" s="745">
        <v>16.536999999999999</v>
      </c>
      <c r="BL13" s="745">
        <v>2.3490000000000002</v>
      </c>
      <c r="BM13" s="745">
        <v>0</v>
      </c>
      <c r="BN13" s="745">
        <v>0</v>
      </c>
      <c r="BO13" s="744">
        <v>0</v>
      </c>
      <c r="BP13" s="745">
        <v>0</v>
      </c>
      <c r="BQ13" s="745">
        <v>0</v>
      </c>
      <c r="BR13" s="745">
        <v>0</v>
      </c>
      <c r="BS13" s="745">
        <v>0</v>
      </c>
      <c r="BT13" s="744">
        <f t="shared" si="0"/>
        <v>0</v>
      </c>
      <c r="BU13" s="745">
        <v>0</v>
      </c>
      <c r="BV13" s="745">
        <v>0</v>
      </c>
      <c r="BW13" s="745">
        <v>0</v>
      </c>
      <c r="BX13" s="745">
        <v>0</v>
      </c>
      <c r="BY13" s="744">
        <f t="shared" si="1"/>
        <v>0</v>
      </c>
      <c r="BZ13" s="745">
        <v>0</v>
      </c>
      <c r="CA13" s="745">
        <v>66.325000000000003</v>
      </c>
      <c r="CB13" s="745">
        <v>0</v>
      </c>
      <c r="CC13" s="745">
        <f t="shared" si="5"/>
        <v>0</v>
      </c>
      <c r="CD13" s="744">
        <v>0</v>
      </c>
      <c r="CE13" s="971">
        <v>0</v>
      </c>
      <c r="CF13" s="745">
        <v>0</v>
      </c>
      <c r="CG13" s="745">
        <v>0</v>
      </c>
      <c r="CH13" s="745">
        <v>0</v>
      </c>
      <c r="CI13" s="746">
        <f t="shared" si="2"/>
        <v>0</v>
      </c>
      <c r="CJ13" s="745">
        <v>0</v>
      </c>
      <c r="CK13" s="745">
        <v>0</v>
      </c>
      <c r="CL13" s="745">
        <v>0</v>
      </c>
      <c r="CM13" s="745">
        <v>0</v>
      </c>
      <c r="CN13" s="746">
        <f t="shared" si="3"/>
        <v>0</v>
      </c>
      <c r="CO13" s="745">
        <v>0</v>
      </c>
      <c r="CP13" s="745">
        <v>0</v>
      </c>
      <c r="CQ13" s="745">
        <v>0</v>
      </c>
      <c r="CR13" s="745">
        <v>0</v>
      </c>
      <c r="CS13" s="746">
        <f t="shared" si="4"/>
        <v>0</v>
      </c>
      <c r="CT13" s="745">
        <f t="shared" ref="CT13:DC13" si="8">CS13</f>
        <v>0</v>
      </c>
      <c r="CU13" s="745">
        <v>0</v>
      </c>
      <c r="CV13" s="745">
        <f t="shared" si="8"/>
        <v>0</v>
      </c>
      <c r="CW13" s="745">
        <f t="shared" si="8"/>
        <v>0</v>
      </c>
      <c r="CX13" s="746">
        <f t="shared" si="8"/>
        <v>0</v>
      </c>
      <c r="CY13" s="745">
        <v>0</v>
      </c>
      <c r="CZ13" s="745">
        <f t="shared" si="8"/>
        <v>0</v>
      </c>
      <c r="DA13" s="745">
        <f t="shared" si="8"/>
        <v>0</v>
      </c>
      <c r="DB13" s="745">
        <v>0</v>
      </c>
      <c r="DC13" s="746">
        <f t="shared" si="8"/>
        <v>0</v>
      </c>
      <c r="DD13" s="745">
        <v>0</v>
      </c>
      <c r="DE13" s="745">
        <v>0</v>
      </c>
      <c r="DF13" s="745">
        <v>0</v>
      </c>
      <c r="DG13" s="745">
        <v>0</v>
      </c>
      <c r="DH13" s="746">
        <f t="shared" ref="DH13:DW13" si="9">DG13</f>
        <v>0</v>
      </c>
      <c r="DI13" s="827">
        <f t="shared" si="9"/>
        <v>0</v>
      </c>
      <c r="DJ13" s="827">
        <f t="shared" si="9"/>
        <v>0</v>
      </c>
      <c r="DK13" s="827">
        <f t="shared" si="9"/>
        <v>0</v>
      </c>
      <c r="DL13" s="827">
        <f t="shared" si="9"/>
        <v>0</v>
      </c>
      <c r="DM13" s="746">
        <f t="shared" si="9"/>
        <v>0</v>
      </c>
      <c r="DN13" s="827">
        <f t="shared" si="9"/>
        <v>0</v>
      </c>
      <c r="DO13" s="827">
        <f t="shared" si="9"/>
        <v>0</v>
      </c>
      <c r="DP13" s="827">
        <f t="shared" si="9"/>
        <v>0</v>
      </c>
      <c r="DQ13" s="827">
        <f t="shared" si="9"/>
        <v>0</v>
      </c>
      <c r="DR13" s="746">
        <f t="shared" si="9"/>
        <v>0</v>
      </c>
      <c r="DS13" s="827">
        <f t="shared" si="9"/>
        <v>0</v>
      </c>
      <c r="DT13" s="827">
        <f t="shared" si="9"/>
        <v>0</v>
      </c>
      <c r="DU13" s="827">
        <f t="shared" si="9"/>
        <v>0</v>
      </c>
      <c r="DV13" s="827">
        <f t="shared" si="9"/>
        <v>0</v>
      </c>
      <c r="DW13" s="746">
        <f t="shared" si="9"/>
        <v>0</v>
      </c>
      <c r="EB13"/>
      <c r="EC13"/>
      <c r="ED13"/>
      <c r="EE13"/>
      <c r="EF13"/>
      <c r="EG13"/>
    </row>
    <row r="14" spans="1:137" s="45" customFormat="1">
      <c r="A14" s="743" t="s">
        <v>167</v>
      </c>
      <c r="B14" s="90"/>
      <c r="C14" s="87"/>
      <c r="D14" s="88"/>
      <c r="E14" s="88"/>
      <c r="F14" s="121"/>
      <c r="G14" s="88"/>
      <c r="H14" s="88"/>
      <c r="I14" s="88"/>
      <c r="J14" s="88"/>
      <c r="K14" s="91"/>
      <c r="L14" s="99"/>
      <c r="M14" s="88"/>
      <c r="N14" s="88"/>
      <c r="O14" s="88"/>
      <c r="P14" s="91"/>
      <c r="Q14" s="91"/>
      <c r="R14" s="87"/>
      <c r="S14" s="88"/>
      <c r="T14" s="88"/>
      <c r="U14" s="88"/>
      <c r="V14" s="121"/>
      <c r="W14" s="87"/>
      <c r="X14" s="88"/>
      <c r="Y14" s="88"/>
      <c r="Z14" s="91"/>
      <c r="AA14" s="121"/>
      <c r="AB14" s="87"/>
      <c r="AC14" s="88"/>
      <c r="AD14" s="88"/>
      <c r="AE14" s="91"/>
      <c r="AF14" s="121"/>
      <c r="AG14" s="87"/>
      <c r="AH14" s="88"/>
      <c r="AI14" s="88"/>
      <c r="AJ14" s="91"/>
      <c r="AK14" s="121"/>
      <c r="AL14" s="88"/>
      <c r="AM14" s="92"/>
      <c r="AN14" s="88"/>
      <c r="AO14" s="91"/>
      <c r="AP14" s="91"/>
      <c r="AQ14" s="88"/>
      <c r="AR14" s="88"/>
      <c r="AS14" s="88"/>
      <c r="AT14" s="91"/>
      <c r="AU14" s="91"/>
      <c r="AV14" s="88"/>
      <c r="AW14" s="88"/>
      <c r="AX14" s="88"/>
      <c r="AY14" s="91"/>
      <c r="AZ14" s="744"/>
      <c r="BA14" s="88"/>
      <c r="BB14" s="88"/>
      <c r="BC14" s="88"/>
      <c r="BD14" s="91"/>
      <c r="BE14" s="744">
        <v>16.599</v>
      </c>
      <c r="BF14" s="180"/>
      <c r="BG14" s="180"/>
      <c r="BH14" s="180"/>
      <c r="BI14" s="180"/>
      <c r="BJ14" s="744"/>
      <c r="BK14" s="745"/>
      <c r="BL14" s="745"/>
      <c r="BM14" s="745"/>
      <c r="BN14" s="745">
        <v>0</v>
      </c>
      <c r="BO14" s="744">
        <v>0</v>
      </c>
      <c r="BP14" s="745">
        <v>0</v>
      </c>
      <c r="BQ14" s="745">
        <v>0</v>
      </c>
      <c r="BR14" s="745">
        <v>0</v>
      </c>
      <c r="BS14" s="745">
        <v>0</v>
      </c>
      <c r="BT14" s="744">
        <f t="shared" si="0"/>
        <v>0</v>
      </c>
      <c r="BU14" s="745">
        <v>0</v>
      </c>
      <c r="BV14" s="745">
        <v>0</v>
      </c>
      <c r="BW14" s="745">
        <v>0</v>
      </c>
      <c r="BX14" s="745">
        <v>0</v>
      </c>
      <c r="BY14" s="744">
        <f t="shared" si="1"/>
        <v>0</v>
      </c>
      <c r="BZ14" s="745">
        <v>0</v>
      </c>
      <c r="CA14" s="745">
        <v>0</v>
      </c>
      <c r="CB14" s="745">
        <v>0</v>
      </c>
      <c r="CC14" s="745">
        <f t="shared" si="5"/>
        <v>0</v>
      </c>
      <c r="CD14" s="744">
        <v>0</v>
      </c>
      <c r="CE14" s="971">
        <v>0</v>
      </c>
      <c r="CF14" s="745">
        <v>0</v>
      </c>
      <c r="CG14" s="745">
        <v>0</v>
      </c>
      <c r="CH14" s="745">
        <v>0</v>
      </c>
      <c r="CI14" s="746">
        <f t="shared" si="2"/>
        <v>0</v>
      </c>
      <c r="CJ14" s="745">
        <v>0</v>
      </c>
      <c r="CK14" s="745">
        <v>0</v>
      </c>
      <c r="CL14" s="745">
        <v>0</v>
      </c>
      <c r="CM14" s="745">
        <v>0</v>
      </c>
      <c r="CN14" s="746">
        <f t="shared" si="3"/>
        <v>0</v>
      </c>
      <c r="CO14" s="745">
        <v>0</v>
      </c>
      <c r="CP14" s="745">
        <v>0</v>
      </c>
      <c r="CQ14" s="745">
        <v>0</v>
      </c>
      <c r="CR14" s="745">
        <v>0</v>
      </c>
      <c r="CS14" s="746">
        <f t="shared" si="4"/>
        <v>0</v>
      </c>
      <c r="CT14" s="745">
        <f t="shared" ref="CT14:DC14" si="10">CS14</f>
        <v>0</v>
      </c>
      <c r="CU14" s="745">
        <v>0</v>
      </c>
      <c r="CV14" s="745">
        <f t="shared" si="10"/>
        <v>0</v>
      </c>
      <c r="CW14" s="745">
        <f t="shared" si="10"/>
        <v>0</v>
      </c>
      <c r="CX14" s="746">
        <f t="shared" si="10"/>
        <v>0</v>
      </c>
      <c r="CY14" s="745">
        <v>0</v>
      </c>
      <c r="CZ14" s="745">
        <f t="shared" si="10"/>
        <v>0</v>
      </c>
      <c r="DA14" s="745">
        <f t="shared" si="10"/>
        <v>0</v>
      </c>
      <c r="DB14" s="745">
        <v>0</v>
      </c>
      <c r="DC14" s="746">
        <f t="shared" si="10"/>
        <v>0</v>
      </c>
      <c r="DD14" s="745">
        <v>0</v>
      </c>
      <c r="DE14" s="745">
        <v>0</v>
      </c>
      <c r="DF14" s="745">
        <v>0</v>
      </c>
      <c r="DG14" s="745">
        <v>0</v>
      </c>
      <c r="DH14" s="746">
        <f t="shared" ref="DH14:DW14" si="11">DG14</f>
        <v>0</v>
      </c>
      <c r="DI14" s="827">
        <f t="shared" si="11"/>
        <v>0</v>
      </c>
      <c r="DJ14" s="827">
        <f t="shared" si="11"/>
        <v>0</v>
      </c>
      <c r="DK14" s="827">
        <f t="shared" si="11"/>
        <v>0</v>
      </c>
      <c r="DL14" s="827">
        <f t="shared" si="11"/>
        <v>0</v>
      </c>
      <c r="DM14" s="746">
        <f t="shared" si="11"/>
        <v>0</v>
      </c>
      <c r="DN14" s="827">
        <f t="shared" si="11"/>
        <v>0</v>
      </c>
      <c r="DO14" s="827">
        <f t="shared" si="11"/>
        <v>0</v>
      </c>
      <c r="DP14" s="827">
        <f t="shared" si="11"/>
        <v>0</v>
      </c>
      <c r="DQ14" s="827">
        <f t="shared" si="11"/>
        <v>0</v>
      </c>
      <c r="DR14" s="746">
        <f t="shared" si="11"/>
        <v>0</v>
      </c>
      <c r="DS14" s="827">
        <f t="shared" si="11"/>
        <v>0</v>
      </c>
      <c r="DT14" s="827">
        <f t="shared" si="11"/>
        <v>0</v>
      </c>
      <c r="DU14" s="827">
        <f t="shared" si="11"/>
        <v>0</v>
      </c>
      <c r="DV14" s="827">
        <f t="shared" si="11"/>
        <v>0</v>
      </c>
      <c r="DW14" s="746">
        <f t="shared" si="11"/>
        <v>0</v>
      </c>
      <c r="EB14"/>
      <c r="EC14"/>
      <c r="ED14"/>
      <c r="EE14"/>
      <c r="EF14"/>
      <c r="EG14"/>
    </row>
    <row r="15" spans="1:137" s="45" customFormat="1">
      <c r="A15" s="743" t="s">
        <v>121</v>
      </c>
      <c r="B15" s="90"/>
      <c r="C15" s="87"/>
      <c r="D15" s="88"/>
      <c r="E15" s="88"/>
      <c r="F15" s="121"/>
      <c r="G15" s="88"/>
      <c r="H15" s="88"/>
      <c r="I15" s="88"/>
      <c r="J15" s="88"/>
      <c r="K15" s="91"/>
      <c r="L15" s="99"/>
      <c r="M15" s="88"/>
      <c r="N15" s="88"/>
      <c r="O15" s="88"/>
      <c r="P15" s="91"/>
      <c r="Q15" s="91"/>
      <c r="R15" s="87"/>
      <c r="S15" s="88"/>
      <c r="T15" s="88"/>
      <c r="U15" s="88"/>
      <c r="V15" s="121"/>
      <c r="W15" s="87"/>
      <c r="X15" s="88"/>
      <c r="Y15" s="88"/>
      <c r="Z15" s="91"/>
      <c r="AA15" s="121"/>
      <c r="AB15" s="87"/>
      <c r="AC15" s="88"/>
      <c r="AD15" s="88"/>
      <c r="AE15" s="91"/>
      <c r="AF15" s="121"/>
      <c r="AG15" s="87"/>
      <c r="AH15" s="88"/>
      <c r="AI15" s="88"/>
      <c r="AJ15" s="91"/>
      <c r="AK15" s="121"/>
      <c r="AL15" s="88"/>
      <c r="AM15" s="92"/>
      <c r="AN15" s="88"/>
      <c r="AO15" s="91"/>
      <c r="AP15" s="91"/>
      <c r="AQ15" s="88"/>
      <c r="AR15" s="88"/>
      <c r="AS15" s="88"/>
      <c r="AT15" s="91"/>
      <c r="AU15" s="91"/>
      <c r="AV15" s="88"/>
      <c r="AW15" s="88"/>
      <c r="AX15" s="88"/>
      <c r="AY15" s="91"/>
      <c r="AZ15" s="744"/>
      <c r="BA15" s="88"/>
      <c r="BB15" s="88"/>
      <c r="BC15" s="88"/>
      <c r="BD15" s="91"/>
      <c r="BE15" s="744">
        <v>43.421999999999997</v>
      </c>
      <c r="BF15" s="180"/>
      <c r="BG15" s="180"/>
      <c r="BH15" s="180"/>
      <c r="BI15" s="180"/>
      <c r="BJ15" s="744">
        <v>27.61</v>
      </c>
      <c r="BK15" s="745">
        <v>28.196999999999999</v>
      </c>
      <c r="BL15" s="745">
        <v>27.891999999999999</v>
      </c>
      <c r="BM15" s="745">
        <v>21.489000000000001</v>
      </c>
      <c r="BN15" s="745">
        <v>97.257999999999996</v>
      </c>
      <c r="BO15" s="744">
        <v>97.257999999999996</v>
      </c>
      <c r="BP15" s="745">
        <v>93.903999999999996</v>
      </c>
      <c r="BQ15" s="745">
        <v>87.718999999999994</v>
      </c>
      <c r="BR15" s="745">
        <v>86.87</v>
      </c>
      <c r="BS15" s="745">
        <v>88.004000000000005</v>
      </c>
      <c r="BT15" s="744">
        <f t="shared" si="0"/>
        <v>88.004000000000005</v>
      </c>
      <c r="BU15" s="745">
        <v>86.727000000000004</v>
      </c>
      <c r="BV15" s="745">
        <v>96.625</v>
      </c>
      <c r="BW15" s="745">
        <v>88.521000000000001</v>
      </c>
      <c r="BX15" s="745">
        <v>84.257999999999996</v>
      </c>
      <c r="BY15" s="744">
        <f t="shared" si="1"/>
        <v>84.257999999999996</v>
      </c>
      <c r="BZ15" s="745">
        <v>84.623000000000005</v>
      </c>
      <c r="CA15" s="745">
        <v>70.962000000000003</v>
      </c>
      <c r="CB15" s="745">
        <v>71.712000000000003</v>
      </c>
      <c r="CC15" s="745">
        <f t="shared" si="5"/>
        <v>68.349000000000004</v>
      </c>
      <c r="CD15" s="744">
        <v>68.349000000000004</v>
      </c>
      <c r="CE15" s="971">
        <v>72.073999999999998</v>
      </c>
      <c r="CF15" s="745">
        <v>72.975999999999999</v>
      </c>
      <c r="CG15" s="745">
        <v>65.135000000000005</v>
      </c>
      <c r="CH15" s="745">
        <v>61.164000000000001</v>
      </c>
      <c r="CI15" s="746">
        <f>CH15</f>
        <v>61.164000000000001</v>
      </c>
      <c r="CJ15" s="745">
        <v>61.761000000000003</v>
      </c>
      <c r="CK15" s="745">
        <v>65.81</v>
      </c>
      <c r="CL15" s="745">
        <v>62.62</v>
      </c>
      <c r="CM15" s="745">
        <v>62.884999999999998</v>
      </c>
      <c r="CN15" s="746">
        <f t="shared" si="3"/>
        <v>62.884999999999998</v>
      </c>
      <c r="CO15" s="745">
        <v>63.192</v>
      </c>
      <c r="CP15" s="745">
        <v>72.055000000000007</v>
      </c>
      <c r="CQ15" s="745">
        <v>69.084000000000003</v>
      </c>
      <c r="CR15" s="745">
        <v>73.358000000000004</v>
      </c>
      <c r="CS15" s="746">
        <f t="shared" si="4"/>
        <v>73.358000000000004</v>
      </c>
      <c r="CT15" s="745">
        <v>76.387</v>
      </c>
      <c r="CU15" s="745">
        <v>70.515000000000001</v>
      </c>
      <c r="CV15" s="745">
        <v>77.078000000000003</v>
      </c>
      <c r="CW15" s="745">
        <v>104.854</v>
      </c>
      <c r="CX15" s="746">
        <f>CW15</f>
        <v>104.854</v>
      </c>
      <c r="CY15" s="745">
        <v>87.998999999999995</v>
      </c>
      <c r="CZ15" s="745">
        <v>115.304</v>
      </c>
      <c r="DA15" s="745">
        <v>109.83499999999999</v>
      </c>
      <c r="DB15" s="745">
        <v>98.825000000000003</v>
      </c>
      <c r="DC15" s="746">
        <f>DB15</f>
        <v>98.825000000000003</v>
      </c>
      <c r="DD15" s="745">
        <v>90.323999999999998</v>
      </c>
      <c r="DE15" s="745">
        <v>106.649</v>
      </c>
      <c r="DF15" s="745">
        <v>115.39</v>
      </c>
      <c r="DG15" s="745">
        <v>114.39</v>
      </c>
      <c r="DH15" s="746">
        <f>DG15</f>
        <v>114.39</v>
      </c>
      <c r="DI15" s="827">
        <f>DI81*DI76/365</f>
        <v>71.535260344421417</v>
      </c>
      <c r="DJ15" s="827">
        <f>DJ81*DJ76/365</f>
        <v>85.116584815919353</v>
      </c>
      <c r="DK15" s="827">
        <f>DK81*DK76/365</f>
        <v>91.689548350133606</v>
      </c>
      <c r="DL15" s="827">
        <f>DL81*DL76/365</f>
        <v>97.663096766935197</v>
      </c>
      <c r="DM15" s="746">
        <f>DL15</f>
        <v>97.663096766935197</v>
      </c>
      <c r="DN15" s="827">
        <f>DN81*DN76/365</f>
        <v>69.231381665630337</v>
      </c>
      <c r="DO15" s="827">
        <f>DO81*DO76/365</f>
        <v>82.311757848543053</v>
      </c>
      <c r="DP15" s="827">
        <f>DP81*DP76/365</f>
        <v>89.483603170563683</v>
      </c>
      <c r="DQ15" s="827">
        <f>DQ81*DQ76/365</f>
        <v>96.569459663800075</v>
      </c>
      <c r="DR15" s="746">
        <f>DQ15</f>
        <v>96.569459663800075</v>
      </c>
      <c r="DS15" s="827">
        <f>DS81*DS76/365</f>
        <v>64.685104706135036</v>
      </c>
      <c r="DT15" s="827">
        <f>DT81*DT76/365</f>
        <v>77.221630972561556</v>
      </c>
      <c r="DU15" s="827">
        <f>DU81*DU76/365</f>
        <v>85.11999986607519</v>
      </c>
      <c r="DV15" s="827">
        <f>DV81*DV76/365</f>
        <v>93.447673020752831</v>
      </c>
      <c r="DW15" s="746">
        <f>DV15</f>
        <v>93.447673020752831</v>
      </c>
      <c r="EB15"/>
      <c r="EC15"/>
      <c r="ED15"/>
      <c r="EE15"/>
      <c r="EF15"/>
      <c r="EG15"/>
    </row>
    <row r="16" spans="1:137" s="45" customFormat="1">
      <c r="A16" s="743" t="s">
        <v>305</v>
      </c>
      <c r="B16" s="90"/>
      <c r="C16" s="87"/>
      <c r="D16" s="88"/>
      <c r="E16" s="88"/>
      <c r="F16" s="121"/>
      <c r="G16" s="88"/>
      <c r="H16" s="88"/>
      <c r="I16" s="88"/>
      <c r="J16" s="88"/>
      <c r="K16" s="91"/>
      <c r="L16" s="99"/>
      <c r="M16" s="88"/>
      <c r="N16" s="88"/>
      <c r="O16" s="88"/>
      <c r="P16" s="91"/>
      <c r="Q16" s="91"/>
      <c r="R16" s="87"/>
      <c r="S16" s="88"/>
      <c r="T16" s="88"/>
      <c r="U16" s="88"/>
      <c r="V16" s="121"/>
      <c r="W16" s="87"/>
      <c r="X16" s="88"/>
      <c r="Y16" s="88"/>
      <c r="Z16" s="91"/>
      <c r="AA16" s="121"/>
      <c r="AB16" s="87"/>
      <c r="AC16" s="88"/>
      <c r="AD16" s="88"/>
      <c r="AE16" s="91"/>
      <c r="AF16" s="121"/>
      <c r="AG16" s="87"/>
      <c r="AH16" s="88"/>
      <c r="AI16" s="88"/>
      <c r="AJ16" s="91"/>
      <c r="AK16" s="121"/>
      <c r="AL16" s="88"/>
      <c r="AM16" s="92"/>
      <c r="AN16" s="88"/>
      <c r="AO16" s="91"/>
      <c r="AP16" s="91"/>
      <c r="AQ16" s="88"/>
      <c r="AR16" s="88"/>
      <c r="AS16" s="88"/>
      <c r="AT16" s="91"/>
      <c r="AU16" s="91"/>
      <c r="AV16" s="88"/>
      <c r="AW16" s="88"/>
      <c r="AX16" s="88"/>
      <c r="AY16" s="91"/>
      <c r="AZ16" s="744"/>
      <c r="BA16" s="88"/>
      <c r="BB16" s="88"/>
      <c r="BC16" s="88"/>
      <c r="BD16" s="91"/>
      <c r="BE16" s="744">
        <v>10.019</v>
      </c>
      <c r="BF16" s="180"/>
      <c r="BG16" s="180"/>
      <c r="BH16" s="180"/>
      <c r="BI16" s="180"/>
      <c r="BJ16" s="744">
        <v>11.067</v>
      </c>
      <c r="BK16" s="745">
        <v>10.516999999999999</v>
      </c>
      <c r="BL16" s="745">
        <v>10.694000000000001</v>
      </c>
      <c r="BM16" s="745">
        <v>11.417</v>
      </c>
      <c r="BN16" s="745">
        <v>24.646000000000001</v>
      </c>
      <c r="BO16" s="744">
        <v>24.646000000000001</v>
      </c>
      <c r="BP16" s="745">
        <v>24.282</v>
      </c>
      <c r="BQ16" s="745">
        <v>24.385999999999999</v>
      </c>
      <c r="BR16" s="745">
        <v>21.991</v>
      </c>
      <c r="BS16" s="745">
        <v>23.024000000000001</v>
      </c>
      <c r="BT16" s="744">
        <f t="shared" si="0"/>
        <v>23.024000000000001</v>
      </c>
      <c r="BU16" s="745">
        <v>21.777999999999999</v>
      </c>
      <c r="BV16" s="745">
        <v>22.401</v>
      </c>
      <c r="BW16" s="745">
        <v>21.238</v>
      </c>
      <c r="BX16" s="745">
        <v>22.693999999999999</v>
      </c>
      <c r="BY16" s="744">
        <f t="shared" si="1"/>
        <v>22.693999999999999</v>
      </c>
      <c r="BZ16" s="745">
        <v>23.111999999999998</v>
      </c>
      <c r="CA16" s="745">
        <v>13.164</v>
      </c>
      <c r="CB16" s="745">
        <v>12.507999999999999</v>
      </c>
      <c r="CC16" s="745">
        <f t="shared" si="5"/>
        <v>12.903</v>
      </c>
      <c r="CD16" s="744">
        <v>12.903</v>
      </c>
      <c r="CE16" s="971">
        <v>12.004</v>
      </c>
      <c r="CF16" s="745">
        <v>12.321999999999999</v>
      </c>
      <c r="CG16" s="745">
        <v>12.287000000000001</v>
      </c>
      <c r="CH16" s="745">
        <v>13.805</v>
      </c>
      <c r="CI16" s="746">
        <f t="shared" si="2"/>
        <v>13.805</v>
      </c>
      <c r="CJ16" s="745">
        <v>12.423999999999999</v>
      </c>
      <c r="CK16" s="745">
        <v>11.715</v>
      </c>
      <c r="CL16" s="745">
        <v>9.1270000000000007</v>
      </c>
      <c r="CM16" s="745">
        <v>10.226000000000001</v>
      </c>
      <c r="CN16" s="746">
        <f t="shared" si="3"/>
        <v>10.226000000000001</v>
      </c>
      <c r="CO16" s="745">
        <v>9.032</v>
      </c>
      <c r="CP16" s="745">
        <v>9.0489999999999995</v>
      </c>
      <c r="CQ16" s="745">
        <v>8.3049999999999997</v>
      </c>
      <c r="CR16" s="745">
        <v>8.8070000000000004</v>
      </c>
      <c r="CS16" s="746">
        <f t="shared" si="4"/>
        <v>8.8070000000000004</v>
      </c>
      <c r="CT16" s="745">
        <v>7.9409999999999998</v>
      </c>
      <c r="CU16" s="745">
        <v>5.7910000000000004</v>
      </c>
      <c r="CV16" s="745">
        <v>4.2039999999999997</v>
      </c>
      <c r="CW16" s="745">
        <v>4.3120000000000003</v>
      </c>
      <c r="CX16" s="746">
        <f>CW16</f>
        <v>4.3120000000000003</v>
      </c>
      <c r="CY16" s="745">
        <v>3.6070000000000002</v>
      </c>
      <c r="CZ16" s="745">
        <v>2.4319999999999999</v>
      </c>
      <c r="DA16" s="745">
        <v>2.653</v>
      </c>
      <c r="DB16" s="745">
        <v>2.851</v>
      </c>
      <c r="DC16" s="746">
        <f>DB16</f>
        <v>2.851</v>
      </c>
      <c r="DD16" s="745">
        <v>2.7210000000000001</v>
      </c>
      <c r="DE16" s="745">
        <v>2.9220000000000002</v>
      </c>
      <c r="DF16" s="745">
        <v>2.895</v>
      </c>
      <c r="DG16" s="745">
        <v>3.1560000000000001</v>
      </c>
      <c r="DH16" s="746">
        <f>DG16</f>
        <v>3.1560000000000001</v>
      </c>
      <c r="DI16" s="827">
        <f>DI77*DI82/365</f>
        <v>2.9044971404811064</v>
      </c>
      <c r="DJ16" s="827">
        <f>DJ77*DJ82/365</f>
        <v>2.4837524510046962</v>
      </c>
      <c r="DK16" s="827">
        <f>DK77*DK82/365</f>
        <v>2.4710850450737731</v>
      </c>
      <c r="DL16" s="827">
        <f>DL77*DL82/365</f>
        <v>2.8375047961519058</v>
      </c>
      <c r="DM16" s="746">
        <f>DL16</f>
        <v>2.8375047961519058</v>
      </c>
      <c r="DN16" s="827">
        <f>DN77*DN82/365</f>
        <v>3.0903849574718976</v>
      </c>
      <c r="DO16" s="827">
        <f>DO77*DO82/365</f>
        <v>2.6250731960751552</v>
      </c>
      <c r="DP16" s="827">
        <f>DP77*DP82/365</f>
        <v>2.6191317897477067</v>
      </c>
      <c r="DQ16" s="827">
        <f>DQ77*DQ82/365</f>
        <v>3.0450051468837183</v>
      </c>
      <c r="DR16" s="746">
        <f>DQ16</f>
        <v>3.0450051468837183</v>
      </c>
      <c r="DS16" s="827">
        <f>DS77*DS82/365</f>
        <v>3.3176305716170953</v>
      </c>
      <c r="DT16" s="827">
        <f>DT77*DT82/365</f>
        <v>2.7985643093612032</v>
      </c>
      <c r="DU16" s="827">
        <f>DU77*DU82/365</f>
        <v>2.7998805880422521</v>
      </c>
      <c r="DV16" s="827">
        <f>DV77*DV82/365</f>
        <v>3.2950050861134166</v>
      </c>
      <c r="DW16" s="746">
        <f>DV16</f>
        <v>3.2950050861134166</v>
      </c>
      <c r="EB16"/>
      <c r="EC16"/>
      <c r="ED16"/>
      <c r="EE16"/>
      <c r="EF16"/>
      <c r="EG16"/>
    </row>
    <row r="17" spans="1:137" s="45" customFormat="1">
      <c r="A17" s="743" t="s">
        <v>503</v>
      </c>
      <c r="B17" s="90"/>
      <c r="C17" s="87"/>
      <c r="D17" s="88"/>
      <c r="E17" s="88"/>
      <c r="F17" s="121"/>
      <c r="G17" s="88"/>
      <c r="H17" s="88"/>
      <c r="I17" s="88"/>
      <c r="J17" s="88"/>
      <c r="K17" s="91"/>
      <c r="L17" s="99"/>
      <c r="M17" s="88"/>
      <c r="N17" s="88"/>
      <c r="O17" s="88"/>
      <c r="P17" s="91"/>
      <c r="Q17" s="91"/>
      <c r="R17" s="87"/>
      <c r="S17" s="88"/>
      <c r="T17" s="88"/>
      <c r="U17" s="88"/>
      <c r="V17" s="121"/>
      <c r="W17" s="87"/>
      <c r="X17" s="88"/>
      <c r="Y17" s="88"/>
      <c r="Z17" s="91"/>
      <c r="AA17" s="121"/>
      <c r="AB17" s="87"/>
      <c r="AC17" s="88"/>
      <c r="AD17" s="88"/>
      <c r="AE17" s="91"/>
      <c r="AF17" s="121"/>
      <c r="AG17" s="87"/>
      <c r="AH17" s="88"/>
      <c r="AI17" s="88"/>
      <c r="AJ17" s="91"/>
      <c r="AK17" s="121"/>
      <c r="AL17" s="88"/>
      <c r="AM17" s="92"/>
      <c r="AN17" s="88"/>
      <c r="AO17" s="91"/>
      <c r="AP17" s="91"/>
      <c r="AQ17" s="88"/>
      <c r="AR17" s="88"/>
      <c r="AS17" s="88"/>
      <c r="AT17" s="91"/>
      <c r="AU17" s="91"/>
      <c r="AV17" s="88"/>
      <c r="AW17" s="88"/>
      <c r="AX17" s="88"/>
      <c r="AY17" s="91"/>
      <c r="AZ17" s="744"/>
      <c r="BA17" s="88"/>
      <c r="BB17" s="88"/>
      <c r="BC17" s="88"/>
      <c r="BD17" s="91"/>
      <c r="BE17" s="744">
        <v>18.414000000000001</v>
      </c>
      <c r="BF17" s="180"/>
      <c r="BG17" s="180"/>
      <c r="BH17" s="180"/>
      <c r="BI17" s="180"/>
      <c r="BJ17" s="744">
        <v>24.920999999999999</v>
      </c>
      <c r="BK17" s="745">
        <v>20.513999999999999</v>
      </c>
      <c r="BL17" s="745">
        <v>20.486999999999998</v>
      </c>
      <c r="BM17" s="745">
        <v>15.045999999999999</v>
      </c>
      <c r="BN17" s="745">
        <v>37.923000000000002</v>
      </c>
      <c r="BO17" s="744">
        <v>37.923000000000002</v>
      </c>
      <c r="BP17" s="745">
        <v>40.073</v>
      </c>
      <c r="BQ17" s="745">
        <v>57.353000000000002</v>
      </c>
      <c r="BR17" s="745">
        <v>45.332999999999998</v>
      </c>
      <c r="BS17" s="745">
        <v>66.557000000000002</v>
      </c>
      <c r="BT17" s="744">
        <f t="shared" si="0"/>
        <v>66.557000000000002</v>
      </c>
      <c r="BU17" s="745">
        <v>66.564999999999998</v>
      </c>
      <c r="BV17" s="745">
        <v>66.555999999999997</v>
      </c>
      <c r="BW17" s="745">
        <v>78.763999999999996</v>
      </c>
      <c r="BX17" s="745">
        <v>34.389000000000003</v>
      </c>
      <c r="BY17" s="744">
        <f t="shared" si="1"/>
        <v>34.389000000000003</v>
      </c>
      <c r="BZ17" s="745">
        <v>54.996000000000002</v>
      </c>
      <c r="CA17" s="745">
        <v>62.997999999999998</v>
      </c>
      <c r="CB17" s="745">
        <v>58.279000000000003</v>
      </c>
      <c r="CC17" s="745">
        <f t="shared" si="5"/>
        <v>93.384</v>
      </c>
      <c r="CD17" s="744">
        <v>93.384</v>
      </c>
      <c r="CE17" s="971">
        <v>91.688999999999993</v>
      </c>
      <c r="CF17" s="745">
        <v>84.284999999999997</v>
      </c>
      <c r="CG17" s="745">
        <v>95.292000000000002</v>
      </c>
      <c r="CH17" s="745">
        <v>91.489000000000004</v>
      </c>
      <c r="CI17" s="746">
        <f t="shared" si="2"/>
        <v>91.489000000000004</v>
      </c>
      <c r="CJ17" s="745">
        <v>84.659000000000006</v>
      </c>
      <c r="CK17" s="745">
        <v>86.501000000000005</v>
      </c>
      <c r="CL17" s="745">
        <v>86.173000000000002</v>
      </c>
      <c r="CM17" s="745">
        <v>120.206</v>
      </c>
      <c r="CN17" s="746">
        <f t="shared" si="3"/>
        <v>120.206</v>
      </c>
      <c r="CO17" s="745">
        <v>116.319</v>
      </c>
      <c r="CP17" s="745">
        <v>92.822000000000003</v>
      </c>
      <c r="CQ17" s="745">
        <v>100.497</v>
      </c>
      <c r="CR17" s="745">
        <v>73.661000000000001</v>
      </c>
      <c r="CS17" s="746">
        <f t="shared" si="4"/>
        <v>73.661000000000001</v>
      </c>
      <c r="CT17" s="745">
        <v>89.209000000000003</v>
      </c>
      <c r="CU17" s="745">
        <v>115.54300000000001</v>
      </c>
      <c r="CV17" s="745">
        <v>73.132000000000005</v>
      </c>
      <c r="CW17" s="745">
        <v>0</v>
      </c>
      <c r="CX17" s="746">
        <f t="shared" ref="CX17:DC17" si="12">CW17</f>
        <v>0</v>
      </c>
      <c r="CY17" s="745">
        <v>0</v>
      </c>
      <c r="CZ17" s="745">
        <f t="shared" si="12"/>
        <v>0</v>
      </c>
      <c r="DA17" s="745">
        <f t="shared" si="12"/>
        <v>0</v>
      </c>
      <c r="DB17" s="745">
        <v>0</v>
      </c>
      <c r="DC17" s="746">
        <f t="shared" si="12"/>
        <v>0</v>
      </c>
      <c r="DD17" s="745">
        <v>0</v>
      </c>
      <c r="DE17" s="745">
        <v>0</v>
      </c>
      <c r="DF17" s="745">
        <v>0</v>
      </c>
      <c r="DG17" s="745">
        <v>0</v>
      </c>
      <c r="DH17" s="746">
        <f t="shared" ref="DH17:DW17" si="13">DG17</f>
        <v>0</v>
      </c>
      <c r="DI17" s="827">
        <f t="shared" si="13"/>
        <v>0</v>
      </c>
      <c r="DJ17" s="827">
        <f t="shared" si="13"/>
        <v>0</v>
      </c>
      <c r="DK17" s="827">
        <f t="shared" si="13"/>
        <v>0</v>
      </c>
      <c r="DL17" s="827">
        <f t="shared" si="13"/>
        <v>0</v>
      </c>
      <c r="DM17" s="746">
        <f t="shared" si="13"/>
        <v>0</v>
      </c>
      <c r="DN17" s="827">
        <f t="shared" si="13"/>
        <v>0</v>
      </c>
      <c r="DO17" s="827">
        <f t="shared" si="13"/>
        <v>0</v>
      </c>
      <c r="DP17" s="827">
        <f t="shared" si="13"/>
        <v>0</v>
      </c>
      <c r="DQ17" s="827">
        <f t="shared" si="13"/>
        <v>0</v>
      </c>
      <c r="DR17" s="746">
        <f t="shared" si="13"/>
        <v>0</v>
      </c>
      <c r="DS17" s="827">
        <f t="shared" si="13"/>
        <v>0</v>
      </c>
      <c r="DT17" s="827">
        <f t="shared" si="13"/>
        <v>0</v>
      </c>
      <c r="DU17" s="827">
        <f t="shared" si="13"/>
        <v>0</v>
      </c>
      <c r="DV17" s="827">
        <f t="shared" si="13"/>
        <v>0</v>
      </c>
      <c r="DW17" s="746">
        <f t="shared" si="13"/>
        <v>0</v>
      </c>
      <c r="EB17"/>
      <c r="EC17"/>
      <c r="ED17"/>
      <c r="EE17"/>
      <c r="EF17"/>
      <c r="EG17"/>
    </row>
    <row r="18" spans="1:137" s="45" customFormat="1">
      <c r="A18" s="743" t="s">
        <v>122</v>
      </c>
      <c r="B18" s="90"/>
      <c r="C18" s="87"/>
      <c r="D18" s="88"/>
      <c r="E18" s="88"/>
      <c r="F18" s="121"/>
      <c r="G18" s="88"/>
      <c r="H18" s="88"/>
      <c r="I18" s="88"/>
      <c r="J18" s="88"/>
      <c r="K18" s="91"/>
      <c r="L18" s="99"/>
      <c r="M18" s="88"/>
      <c r="N18" s="88"/>
      <c r="O18" s="88"/>
      <c r="P18" s="91"/>
      <c r="Q18" s="91"/>
      <c r="R18" s="87"/>
      <c r="S18" s="88"/>
      <c r="T18" s="88"/>
      <c r="U18" s="88"/>
      <c r="V18" s="121"/>
      <c r="W18" s="87"/>
      <c r="X18" s="88"/>
      <c r="Y18" s="88"/>
      <c r="Z18" s="91"/>
      <c r="AA18" s="121"/>
      <c r="AB18" s="87"/>
      <c r="AC18" s="88"/>
      <c r="AD18" s="88"/>
      <c r="AE18" s="91"/>
      <c r="AF18" s="121"/>
      <c r="AG18" s="87"/>
      <c r="AH18" s="88"/>
      <c r="AI18" s="88"/>
      <c r="AJ18" s="91"/>
      <c r="AK18" s="121"/>
      <c r="AL18" s="88"/>
      <c r="AM18" s="92"/>
      <c r="AN18" s="88"/>
      <c r="AO18" s="91"/>
      <c r="AP18" s="91"/>
      <c r="AQ18" s="88"/>
      <c r="AR18" s="88"/>
      <c r="AS18" s="88"/>
      <c r="AT18" s="91"/>
      <c r="AU18" s="91"/>
      <c r="AV18" s="88"/>
      <c r="AW18" s="88"/>
      <c r="AX18" s="88"/>
      <c r="AY18" s="91"/>
      <c r="AZ18" s="744"/>
      <c r="BA18" s="88"/>
      <c r="BB18" s="88"/>
      <c r="BC18" s="88"/>
      <c r="BD18" s="91"/>
      <c r="BE18" s="744">
        <v>23.986999999999998</v>
      </c>
      <c r="BF18" s="180"/>
      <c r="BG18" s="180"/>
      <c r="BH18" s="180"/>
      <c r="BI18" s="180"/>
      <c r="BJ18" s="744">
        <v>25.931999999999999</v>
      </c>
      <c r="BK18" s="745">
        <v>21.146999999999998</v>
      </c>
      <c r="BL18" s="745">
        <v>17.568999999999999</v>
      </c>
      <c r="BM18" s="745">
        <v>30.626000000000001</v>
      </c>
      <c r="BN18" s="745">
        <v>28.99</v>
      </c>
      <c r="BO18" s="744">
        <v>28.99</v>
      </c>
      <c r="BP18" s="745">
        <v>46.668999999999997</v>
      </c>
      <c r="BQ18" s="745">
        <v>40.542000000000002</v>
      </c>
      <c r="BR18" s="745">
        <v>38.911000000000001</v>
      </c>
      <c r="BS18" s="745">
        <v>28.097999999999999</v>
      </c>
      <c r="BT18" s="744">
        <f t="shared" si="0"/>
        <v>28.097999999999999</v>
      </c>
      <c r="BU18" s="745">
        <v>53.86</v>
      </c>
      <c r="BV18" s="745">
        <v>51.564999999999998</v>
      </c>
      <c r="BW18" s="745">
        <v>42.935000000000002</v>
      </c>
      <c r="BX18" s="745">
        <v>24.385999999999999</v>
      </c>
      <c r="BY18" s="744">
        <f t="shared" si="1"/>
        <v>24.385999999999999</v>
      </c>
      <c r="BZ18" s="745">
        <v>53.783000000000001</v>
      </c>
      <c r="CA18" s="745">
        <v>42.155999999999999</v>
      </c>
      <c r="CB18" s="745">
        <v>32.274000000000001</v>
      </c>
      <c r="CC18" s="745">
        <f t="shared" si="5"/>
        <v>27.396999999999998</v>
      </c>
      <c r="CD18" s="744">
        <v>27.396999999999998</v>
      </c>
      <c r="CE18" s="971">
        <v>42.447000000000003</v>
      </c>
      <c r="CF18" s="745">
        <v>39.424999999999997</v>
      </c>
      <c r="CG18" s="745">
        <v>32.125</v>
      </c>
      <c r="CH18" s="745">
        <v>24.231000000000002</v>
      </c>
      <c r="CI18" s="746">
        <f t="shared" si="2"/>
        <v>24.231000000000002</v>
      </c>
      <c r="CJ18" s="745">
        <v>38.020000000000003</v>
      </c>
      <c r="CK18" s="745">
        <v>51.468000000000004</v>
      </c>
      <c r="CL18" s="745">
        <v>118.68</v>
      </c>
      <c r="CM18" s="745">
        <v>81.759</v>
      </c>
      <c r="CN18" s="746">
        <f t="shared" si="3"/>
        <v>81.759</v>
      </c>
      <c r="CO18" s="745">
        <v>65.846999999999994</v>
      </c>
      <c r="CP18" s="745">
        <v>58.255000000000003</v>
      </c>
      <c r="CQ18" s="745">
        <v>81.887</v>
      </c>
      <c r="CR18" s="745">
        <v>73.691999999999993</v>
      </c>
      <c r="CS18" s="746">
        <f t="shared" si="4"/>
        <v>73.691999999999993</v>
      </c>
      <c r="CT18" s="745">
        <v>83.150999999999996</v>
      </c>
      <c r="CU18" s="745">
        <v>81.72</v>
      </c>
      <c r="CV18" s="745">
        <v>178.48400000000001</v>
      </c>
      <c r="CW18" s="745">
        <v>112.788</v>
      </c>
      <c r="CX18" s="746">
        <f t="shared" ref="CX18:DC18" si="14">CW18</f>
        <v>112.788</v>
      </c>
      <c r="CY18" s="745">
        <v>74.179000000000002</v>
      </c>
      <c r="CZ18" s="745">
        <v>144.80000000000001</v>
      </c>
      <c r="DA18" s="745">
        <v>60.026000000000003</v>
      </c>
      <c r="DB18" s="745">
        <v>19.244</v>
      </c>
      <c r="DC18" s="746">
        <f t="shared" si="14"/>
        <v>19.244</v>
      </c>
      <c r="DD18" s="745">
        <v>27.515000000000001</v>
      </c>
      <c r="DE18" s="745">
        <v>27.437999999999999</v>
      </c>
      <c r="DF18" s="745">
        <v>23.762</v>
      </c>
      <c r="DG18" s="745">
        <v>20.125</v>
      </c>
      <c r="DH18" s="746">
        <f t="shared" ref="DH18:DW18" si="15">DG18</f>
        <v>20.125</v>
      </c>
      <c r="DI18" s="827">
        <f t="shared" si="15"/>
        <v>20.125</v>
      </c>
      <c r="DJ18" s="827">
        <f t="shared" si="15"/>
        <v>20.125</v>
      </c>
      <c r="DK18" s="827">
        <f t="shared" si="15"/>
        <v>20.125</v>
      </c>
      <c r="DL18" s="827">
        <f t="shared" si="15"/>
        <v>20.125</v>
      </c>
      <c r="DM18" s="746">
        <f t="shared" si="15"/>
        <v>20.125</v>
      </c>
      <c r="DN18" s="827">
        <f t="shared" si="15"/>
        <v>20.125</v>
      </c>
      <c r="DO18" s="827">
        <f t="shared" si="15"/>
        <v>20.125</v>
      </c>
      <c r="DP18" s="827">
        <f t="shared" si="15"/>
        <v>20.125</v>
      </c>
      <c r="DQ18" s="827">
        <f t="shared" si="15"/>
        <v>20.125</v>
      </c>
      <c r="DR18" s="746">
        <f t="shared" si="15"/>
        <v>20.125</v>
      </c>
      <c r="DS18" s="827">
        <f t="shared" si="15"/>
        <v>20.125</v>
      </c>
      <c r="DT18" s="827">
        <f t="shared" si="15"/>
        <v>20.125</v>
      </c>
      <c r="DU18" s="827">
        <f t="shared" si="15"/>
        <v>20.125</v>
      </c>
      <c r="DV18" s="827">
        <f t="shared" si="15"/>
        <v>20.125</v>
      </c>
      <c r="DW18" s="746">
        <f t="shared" si="15"/>
        <v>20.125</v>
      </c>
      <c r="EB18"/>
      <c r="EC18"/>
      <c r="ED18"/>
      <c r="EE18"/>
      <c r="EF18"/>
      <c r="EG18"/>
    </row>
    <row r="19" spans="1:137" s="45" customFormat="1">
      <c r="A19" s="743" t="s">
        <v>495</v>
      </c>
      <c r="B19" s="90"/>
      <c r="C19" s="87"/>
      <c r="D19" s="88"/>
      <c r="E19" s="88"/>
      <c r="F19" s="121"/>
      <c r="G19" s="88"/>
      <c r="H19" s="88"/>
      <c r="I19" s="88"/>
      <c r="J19" s="88"/>
      <c r="K19" s="91"/>
      <c r="L19" s="99"/>
      <c r="M19" s="88"/>
      <c r="N19" s="88"/>
      <c r="O19" s="88"/>
      <c r="P19" s="91"/>
      <c r="Q19" s="91"/>
      <c r="R19" s="87"/>
      <c r="S19" s="88"/>
      <c r="T19" s="88"/>
      <c r="U19" s="88"/>
      <c r="V19" s="121"/>
      <c r="W19" s="87"/>
      <c r="X19" s="88"/>
      <c r="Y19" s="88"/>
      <c r="Z19" s="91"/>
      <c r="AA19" s="121"/>
      <c r="AB19" s="87"/>
      <c r="AC19" s="88"/>
      <c r="AD19" s="88"/>
      <c r="AE19" s="91"/>
      <c r="AF19" s="121"/>
      <c r="AG19" s="87"/>
      <c r="AH19" s="88"/>
      <c r="AI19" s="88"/>
      <c r="AJ19" s="91"/>
      <c r="AK19" s="121"/>
      <c r="AL19" s="88"/>
      <c r="AM19" s="92"/>
      <c r="AN19" s="88"/>
      <c r="AO19" s="91"/>
      <c r="AP19" s="91"/>
      <c r="AQ19" s="88"/>
      <c r="AR19" s="88"/>
      <c r="AS19" s="88"/>
      <c r="AT19" s="91"/>
      <c r="AU19" s="91"/>
      <c r="AV19" s="88"/>
      <c r="AW19" s="88"/>
      <c r="AX19" s="88"/>
      <c r="AY19" s="91"/>
      <c r="AZ19" s="744"/>
      <c r="BA19" s="88"/>
      <c r="BB19" s="88"/>
      <c r="BC19" s="88"/>
      <c r="BD19" s="91"/>
      <c r="BE19" s="744"/>
      <c r="BF19" s="180"/>
      <c r="BG19" s="180"/>
      <c r="BH19" s="180"/>
      <c r="BI19" s="180"/>
      <c r="BJ19" s="744"/>
      <c r="BK19" s="745"/>
      <c r="BL19" s="745"/>
      <c r="BM19" s="745"/>
      <c r="BN19" s="745">
        <v>81.138999999999996</v>
      </c>
      <c r="BO19" s="744">
        <v>81.138999999999996</v>
      </c>
      <c r="BP19" s="745">
        <v>82.521000000000001</v>
      </c>
      <c r="BQ19" s="745">
        <v>84.686000000000007</v>
      </c>
      <c r="BR19" s="745">
        <v>81.622</v>
      </c>
      <c r="BS19" s="745">
        <v>80.475999999999999</v>
      </c>
      <c r="BT19" s="744">
        <f t="shared" si="0"/>
        <v>80.475999999999999</v>
      </c>
      <c r="BU19" s="745">
        <v>77.483999999999995</v>
      </c>
      <c r="BV19" s="745">
        <v>83.55</v>
      </c>
      <c r="BW19" s="745">
        <v>102.758</v>
      </c>
      <c r="BX19" s="745">
        <v>76.552999999999997</v>
      </c>
      <c r="BY19" s="744">
        <f t="shared" si="1"/>
        <v>76.552999999999997</v>
      </c>
      <c r="BZ19" s="745">
        <v>85.477999999999994</v>
      </c>
      <c r="CA19" s="745">
        <v>74.471999999999994</v>
      </c>
      <c r="CB19" s="745">
        <v>72.116</v>
      </c>
      <c r="CC19" s="745">
        <f t="shared" si="5"/>
        <v>69.671999999999997</v>
      </c>
      <c r="CD19" s="744">
        <v>69.671999999999997</v>
      </c>
      <c r="CE19" s="971">
        <v>77.289000000000001</v>
      </c>
      <c r="CF19" s="745">
        <v>85.867999999999995</v>
      </c>
      <c r="CG19" s="745">
        <v>75.248999999999995</v>
      </c>
      <c r="CH19" s="745">
        <v>65.777000000000001</v>
      </c>
      <c r="CI19" s="746">
        <f t="shared" si="2"/>
        <v>65.777000000000001</v>
      </c>
      <c r="CJ19" s="745">
        <v>70.117999999999995</v>
      </c>
      <c r="CK19" s="745">
        <v>71.284000000000006</v>
      </c>
      <c r="CL19" s="745">
        <v>68.768000000000001</v>
      </c>
      <c r="CM19" s="745">
        <v>67.183000000000007</v>
      </c>
      <c r="CN19" s="746">
        <f t="shared" si="3"/>
        <v>67.183000000000007</v>
      </c>
      <c r="CO19" s="745">
        <v>71.653000000000006</v>
      </c>
      <c r="CP19" s="745">
        <v>69.093000000000004</v>
      </c>
      <c r="CQ19" s="745">
        <v>68.013999999999996</v>
      </c>
      <c r="CR19" s="745">
        <v>65.308000000000007</v>
      </c>
      <c r="CS19" s="746">
        <f t="shared" si="4"/>
        <v>65.308000000000007</v>
      </c>
      <c r="CT19" s="745">
        <v>78.872</v>
      </c>
      <c r="CU19" s="745">
        <v>82.783000000000001</v>
      </c>
      <c r="CV19" s="745">
        <v>86.444000000000003</v>
      </c>
      <c r="CW19" s="745">
        <v>67.399000000000001</v>
      </c>
      <c r="CX19" s="746">
        <f t="shared" ref="CX19:DC19" si="16">CW19</f>
        <v>67.399000000000001</v>
      </c>
      <c r="CY19" s="745">
        <v>86.864999999999995</v>
      </c>
      <c r="CZ19" s="745">
        <v>91.322000000000003</v>
      </c>
      <c r="DA19" s="745">
        <v>90.763000000000005</v>
      </c>
      <c r="DB19" s="745">
        <v>75.760000000000005</v>
      </c>
      <c r="DC19" s="746">
        <f t="shared" si="16"/>
        <v>75.760000000000005</v>
      </c>
      <c r="DD19" s="745">
        <v>75.396000000000001</v>
      </c>
      <c r="DE19" s="745">
        <v>60.226999999999997</v>
      </c>
      <c r="DF19" s="745">
        <v>58.162999999999997</v>
      </c>
      <c r="DG19" s="745">
        <v>62.601999999999997</v>
      </c>
      <c r="DH19" s="746">
        <f t="shared" ref="DH19:DW19" si="17">DG19</f>
        <v>62.601999999999997</v>
      </c>
      <c r="DI19" s="827">
        <f t="shared" si="17"/>
        <v>62.601999999999997</v>
      </c>
      <c r="DJ19" s="827">
        <f t="shared" si="17"/>
        <v>62.601999999999997</v>
      </c>
      <c r="DK19" s="827">
        <f t="shared" si="17"/>
        <v>62.601999999999997</v>
      </c>
      <c r="DL19" s="827">
        <f t="shared" si="17"/>
        <v>62.601999999999997</v>
      </c>
      <c r="DM19" s="746">
        <f t="shared" si="17"/>
        <v>62.601999999999997</v>
      </c>
      <c r="DN19" s="827">
        <f t="shared" si="17"/>
        <v>62.601999999999997</v>
      </c>
      <c r="DO19" s="827">
        <f t="shared" si="17"/>
        <v>62.601999999999997</v>
      </c>
      <c r="DP19" s="827">
        <f t="shared" si="17"/>
        <v>62.601999999999997</v>
      </c>
      <c r="DQ19" s="827">
        <f t="shared" si="17"/>
        <v>62.601999999999997</v>
      </c>
      <c r="DR19" s="746">
        <f t="shared" si="17"/>
        <v>62.601999999999997</v>
      </c>
      <c r="DS19" s="827">
        <f t="shared" si="17"/>
        <v>62.601999999999997</v>
      </c>
      <c r="DT19" s="827">
        <f t="shared" si="17"/>
        <v>62.601999999999997</v>
      </c>
      <c r="DU19" s="827">
        <f t="shared" si="17"/>
        <v>62.601999999999997</v>
      </c>
      <c r="DV19" s="827">
        <f t="shared" si="17"/>
        <v>62.601999999999997</v>
      </c>
      <c r="DW19" s="746">
        <f t="shared" si="17"/>
        <v>62.601999999999997</v>
      </c>
      <c r="EB19"/>
      <c r="EC19"/>
      <c r="ED19"/>
      <c r="EE19"/>
      <c r="EF19"/>
      <c r="EG19"/>
    </row>
    <row r="20" spans="1:137" s="45" customFormat="1">
      <c r="A20" s="598" t="s">
        <v>123</v>
      </c>
      <c r="B20" s="90"/>
      <c r="C20" s="87"/>
      <c r="D20" s="88"/>
      <c r="E20" s="88"/>
      <c r="F20" s="121"/>
      <c r="G20" s="88"/>
      <c r="H20" s="88"/>
      <c r="I20" s="88"/>
      <c r="J20" s="88"/>
      <c r="K20" s="91"/>
      <c r="L20" s="99"/>
      <c r="M20" s="88"/>
      <c r="N20" s="88"/>
      <c r="O20" s="88"/>
      <c r="P20" s="91"/>
      <c r="Q20" s="91"/>
      <c r="R20" s="87"/>
      <c r="S20" s="88"/>
      <c r="T20" s="88"/>
      <c r="U20" s="88"/>
      <c r="V20" s="121"/>
      <c r="W20" s="87"/>
      <c r="X20" s="88"/>
      <c r="Y20" s="88"/>
      <c r="Z20" s="91"/>
      <c r="AA20" s="121"/>
      <c r="AB20" s="87"/>
      <c r="AC20" s="88"/>
      <c r="AD20" s="88"/>
      <c r="AE20" s="91"/>
      <c r="AF20" s="121"/>
      <c r="AG20" s="87"/>
      <c r="AH20" s="88"/>
      <c r="AI20" s="88"/>
      <c r="AJ20" s="91"/>
      <c r="AK20" s="121"/>
      <c r="AL20" s="88"/>
      <c r="AM20" s="92"/>
      <c r="AN20" s="88"/>
      <c r="AO20" s="91"/>
      <c r="AP20" s="91"/>
      <c r="AQ20" s="88"/>
      <c r="AR20" s="88"/>
      <c r="AS20" s="88"/>
      <c r="AT20" s="91"/>
      <c r="AU20" s="91"/>
      <c r="AV20" s="88"/>
      <c r="AW20" s="88"/>
      <c r="AX20" s="88"/>
      <c r="AY20" s="91"/>
      <c r="AZ20" s="744"/>
      <c r="BA20" s="88"/>
      <c r="BB20" s="88"/>
      <c r="BC20" s="88"/>
      <c r="BD20" s="91"/>
      <c r="BE20" s="744">
        <f>SUM(BE11:BE19)</f>
        <v>391.76999999999992</v>
      </c>
      <c r="BF20" s="180"/>
      <c r="BG20" s="180"/>
      <c r="BH20" s="180"/>
      <c r="BI20" s="180"/>
      <c r="BJ20" s="744">
        <f t="shared" ref="BJ20:CI20" si="18">SUM(BJ11:BJ19)</f>
        <v>170.25399999999999</v>
      </c>
      <c r="BK20" s="745">
        <f t="shared" si="18"/>
        <v>155.93799999999999</v>
      </c>
      <c r="BL20" s="745">
        <f t="shared" si="18"/>
        <v>98.084000000000003</v>
      </c>
      <c r="BM20" s="745">
        <f t="shared" si="18"/>
        <v>104.61000000000001</v>
      </c>
      <c r="BN20" s="745">
        <f t="shared" si="18"/>
        <v>380.83800000000002</v>
      </c>
      <c r="BO20" s="744">
        <f>SUM(BO11:BO19)</f>
        <v>380.83800000000002</v>
      </c>
      <c r="BP20" s="745">
        <f t="shared" si="18"/>
        <v>424.93299999999999</v>
      </c>
      <c r="BQ20" s="745">
        <f t="shared" si="18"/>
        <v>913.16800000000001</v>
      </c>
      <c r="BR20" s="745">
        <f t="shared" si="18"/>
        <v>920.35899999999981</v>
      </c>
      <c r="BS20" s="745">
        <f t="shared" si="18"/>
        <v>878.99200000000008</v>
      </c>
      <c r="BT20" s="744">
        <f t="shared" si="18"/>
        <v>878.99200000000008</v>
      </c>
      <c r="BU20" s="745">
        <f t="shared" si="18"/>
        <v>813.69800000000009</v>
      </c>
      <c r="BV20" s="745">
        <f t="shared" si="18"/>
        <v>829.077</v>
      </c>
      <c r="BW20" s="745">
        <f t="shared" si="18"/>
        <v>854.73</v>
      </c>
      <c r="BX20" s="745">
        <f t="shared" si="18"/>
        <v>754.78800000000001</v>
      </c>
      <c r="BY20" s="744">
        <f t="shared" si="18"/>
        <v>754.78800000000001</v>
      </c>
      <c r="BZ20" s="745">
        <f t="shared" si="18"/>
        <v>802.05299999999988</v>
      </c>
      <c r="CA20" s="745">
        <f t="shared" si="18"/>
        <v>822.52499999999998</v>
      </c>
      <c r="CB20" s="745">
        <f t="shared" si="18"/>
        <v>735.70600000000002</v>
      </c>
      <c r="CC20" s="745">
        <f t="shared" si="18"/>
        <v>746.93600000000015</v>
      </c>
      <c r="CD20" s="744">
        <f t="shared" si="18"/>
        <v>746.93600000000015</v>
      </c>
      <c r="CE20" s="971">
        <f>SUM(CE11:CE19)</f>
        <v>713.91300000000001</v>
      </c>
      <c r="CF20" s="745">
        <f>SUM(CF11:CF19)</f>
        <v>729.97599999999989</v>
      </c>
      <c r="CG20" s="745">
        <f t="shared" si="18"/>
        <v>733.68000000000006</v>
      </c>
      <c r="CH20" s="745">
        <f t="shared" si="18"/>
        <v>709.827</v>
      </c>
      <c r="CI20" s="746">
        <f t="shared" si="18"/>
        <v>709.827</v>
      </c>
      <c r="CJ20" s="745">
        <f t="shared" ref="CJ20:CS20" si="19">SUM(CJ11:CJ19)</f>
        <v>695.66599999999994</v>
      </c>
      <c r="CK20" s="745">
        <f t="shared" si="19"/>
        <v>775.79499999999996</v>
      </c>
      <c r="CL20" s="745">
        <f t="shared" si="19"/>
        <v>858.79899999999998</v>
      </c>
      <c r="CM20" s="745">
        <f t="shared" si="19"/>
        <v>922.41100000000006</v>
      </c>
      <c r="CN20" s="746">
        <f t="shared" si="19"/>
        <v>922.41100000000006</v>
      </c>
      <c r="CO20" s="745">
        <f t="shared" si="19"/>
        <v>710.73799999999994</v>
      </c>
      <c r="CP20" s="745">
        <f t="shared" si="19"/>
        <v>672.93399999999997</v>
      </c>
      <c r="CQ20" s="745">
        <f t="shared" si="19"/>
        <v>670.23300000000006</v>
      </c>
      <c r="CR20" s="745">
        <f t="shared" si="19"/>
        <v>562.10200000000009</v>
      </c>
      <c r="CS20" s="746">
        <f t="shared" si="19"/>
        <v>562.10200000000009</v>
      </c>
      <c r="CT20" s="745">
        <f t="shared" ref="CT20:DC20" si="20">SUM(CT11:CT19)</f>
        <v>538.42200000000003</v>
      </c>
      <c r="CU20" s="745">
        <f t="shared" si="20"/>
        <v>1553.9190000000001</v>
      </c>
      <c r="CV20" s="745">
        <f t="shared" si="20"/>
        <v>595.04199999999992</v>
      </c>
      <c r="CW20" s="745">
        <f>SUM(CW11:CW19)</f>
        <v>616.56899999999996</v>
      </c>
      <c r="CX20" s="746">
        <f t="shared" si="20"/>
        <v>616.56899999999996</v>
      </c>
      <c r="CY20" s="745">
        <f t="shared" si="20"/>
        <v>607.35500000000002</v>
      </c>
      <c r="CZ20" s="745">
        <f t="shared" si="20"/>
        <v>655.73200000000008</v>
      </c>
      <c r="DA20" s="745">
        <f t="shared" si="20"/>
        <v>612.83699999999999</v>
      </c>
      <c r="DB20" s="745">
        <f t="shared" si="20"/>
        <v>452.53200000000004</v>
      </c>
      <c r="DC20" s="746">
        <f t="shared" si="20"/>
        <v>452.53200000000004</v>
      </c>
      <c r="DD20" s="745">
        <f t="shared" ref="DD20:DW20" si="21">SUM(DD11:DD19)</f>
        <v>438.53000000000003</v>
      </c>
      <c r="DE20" s="745">
        <f t="shared" si="21"/>
        <v>440.923</v>
      </c>
      <c r="DF20" s="745">
        <f>SUM(DF11:DF19)</f>
        <v>420.88099999999997</v>
      </c>
      <c r="DG20" s="745">
        <f>SUM(DG11:DG19)</f>
        <v>404.35300000000001</v>
      </c>
      <c r="DH20" s="746">
        <f t="shared" si="21"/>
        <v>404.35300000000001</v>
      </c>
      <c r="DI20" s="827">
        <f t="shared" si="21"/>
        <v>389.02963433287533</v>
      </c>
      <c r="DJ20" s="827">
        <f t="shared" si="21"/>
        <v>386.937640015319</v>
      </c>
      <c r="DK20" s="827">
        <f t="shared" si="21"/>
        <v>380.45440456341777</v>
      </c>
      <c r="DL20" s="827">
        <f t="shared" si="21"/>
        <v>367.30701926488535</v>
      </c>
      <c r="DM20" s="746">
        <f t="shared" si="21"/>
        <v>367.30701926488535</v>
      </c>
      <c r="DN20" s="827">
        <f t="shared" si="21"/>
        <v>363.89274974100891</v>
      </c>
      <c r="DO20" s="827">
        <f t="shared" si="21"/>
        <v>371.91330259206444</v>
      </c>
      <c r="DP20" s="827">
        <f t="shared" si="21"/>
        <v>375.74266156929156</v>
      </c>
      <c r="DQ20" s="827">
        <f t="shared" si="21"/>
        <v>371.7697294874315</v>
      </c>
      <c r="DR20" s="746">
        <f t="shared" si="21"/>
        <v>371.7697294874315</v>
      </c>
      <c r="DS20" s="827">
        <f t="shared" si="21"/>
        <v>394.48096845484622</v>
      </c>
      <c r="DT20" s="827">
        <f t="shared" si="21"/>
        <v>430.68495213258308</v>
      </c>
      <c r="DU20" s="827">
        <f t="shared" si="21"/>
        <v>463.00993460456414</v>
      </c>
      <c r="DV20" s="827">
        <f t="shared" si="21"/>
        <v>487.76122301046246</v>
      </c>
      <c r="DW20" s="746">
        <f t="shared" si="21"/>
        <v>487.76122301046246</v>
      </c>
      <c r="DX20" s="1221"/>
      <c r="EB20"/>
      <c r="EC20"/>
      <c r="ED20"/>
      <c r="EE20"/>
      <c r="EF20"/>
      <c r="EG20"/>
    </row>
    <row r="21" spans="1:137" s="45" customFormat="1" ht="11.25" customHeight="1">
      <c r="A21" s="598" t="s">
        <v>499</v>
      </c>
      <c r="B21" s="91"/>
      <c r="C21" s="87"/>
      <c r="D21" s="88"/>
      <c r="E21" s="88"/>
      <c r="F21" s="121"/>
      <c r="G21" s="88"/>
      <c r="H21" s="88"/>
      <c r="I21" s="88"/>
      <c r="J21" s="88"/>
      <c r="K21" s="91"/>
      <c r="L21" s="99"/>
      <c r="M21" s="88"/>
      <c r="N21" s="88"/>
      <c r="O21" s="88"/>
      <c r="P21" s="90"/>
      <c r="Q21" s="90"/>
      <c r="R21" s="87"/>
      <c r="S21" s="88"/>
      <c r="T21" s="88"/>
      <c r="U21" s="88"/>
      <c r="V21" s="121"/>
      <c r="W21" s="87"/>
      <c r="X21" s="88"/>
      <c r="Y21" s="88"/>
      <c r="Z21" s="91"/>
      <c r="AA21" s="121"/>
      <c r="AB21" s="87"/>
      <c r="AC21" s="88"/>
      <c r="AD21" s="88"/>
      <c r="AE21" s="91"/>
      <c r="AF21" s="121"/>
      <c r="AG21" s="87"/>
      <c r="AH21" s="88"/>
      <c r="AI21" s="88"/>
      <c r="AJ21" s="91"/>
      <c r="AK21" s="121"/>
      <c r="AL21" s="88"/>
      <c r="AM21" s="92"/>
      <c r="AN21" s="88"/>
      <c r="AO21" s="91"/>
      <c r="AP21" s="91"/>
      <c r="AQ21" s="88"/>
      <c r="AR21" s="88"/>
      <c r="AS21" s="88"/>
      <c r="AT21" s="91"/>
      <c r="AU21" s="91"/>
      <c r="AV21" s="88"/>
      <c r="AW21" s="88"/>
      <c r="AX21" s="88"/>
      <c r="AY21" s="91"/>
      <c r="AZ21" s="744"/>
      <c r="BA21" s="88"/>
      <c r="BB21" s="88"/>
      <c r="BC21" s="88"/>
      <c r="BD21" s="91"/>
      <c r="BE21" s="744">
        <v>1.9390000000000001</v>
      </c>
      <c r="BF21" s="180"/>
      <c r="BG21" s="180"/>
      <c r="BH21" s="180"/>
      <c r="BI21" s="183"/>
      <c r="BJ21" s="744">
        <v>45.295000000000002</v>
      </c>
      <c r="BK21" s="745">
        <v>18.077000000000002</v>
      </c>
      <c r="BL21" s="745">
        <v>4.0750000000000002</v>
      </c>
      <c r="BM21" s="745">
        <v>3.9580000000000002</v>
      </c>
      <c r="BN21" s="747">
        <v>34.031999999999996</v>
      </c>
      <c r="BO21" s="744">
        <v>34.031999999999996</v>
      </c>
      <c r="BP21" s="745">
        <v>28.888000000000002</v>
      </c>
      <c r="BQ21" s="745">
        <v>7.5250000000000004</v>
      </c>
      <c r="BR21" s="745">
        <v>6.7320000000000002</v>
      </c>
      <c r="BS21" s="747">
        <v>6.242</v>
      </c>
      <c r="BT21" s="744">
        <f t="shared" ref="BT21:BT28" si="22">BS21</f>
        <v>6.242</v>
      </c>
      <c r="BU21" s="745">
        <v>0</v>
      </c>
      <c r="BV21" s="745">
        <v>0</v>
      </c>
      <c r="BW21" s="745">
        <v>0</v>
      </c>
      <c r="BX21" s="747">
        <v>0</v>
      </c>
      <c r="BY21" s="744">
        <f t="shared" ref="BY21:BY28" si="23">BX21</f>
        <v>0</v>
      </c>
      <c r="BZ21" s="745">
        <v>0</v>
      </c>
      <c r="CA21" s="745">
        <f>BZ21</f>
        <v>0</v>
      </c>
      <c r="CB21" s="745">
        <v>0</v>
      </c>
      <c r="CC21" s="747">
        <f t="shared" ref="CC21:CC28" si="24">CD21</f>
        <v>0</v>
      </c>
      <c r="CD21" s="744">
        <v>0</v>
      </c>
      <c r="CE21" s="971">
        <v>0</v>
      </c>
      <c r="CF21" s="745">
        <v>0</v>
      </c>
      <c r="CG21" s="745">
        <v>0</v>
      </c>
      <c r="CH21" s="747">
        <v>0</v>
      </c>
      <c r="CI21" s="746">
        <f t="shared" ref="CI21:CI28" si="25">CH21</f>
        <v>0</v>
      </c>
      <c r="CJ21" s="745">
        <v>0</v>
      </c>
      <c r="CK21" s="745">
        <v>0</v>
      </c>
      <c r="CL21" s="745">
        <v>0</v>
      </c>
      <c r="CM21" s="747">
        <v>0</v>
      </c>
      <c r="CN21" s="746">
        <f t="shared" ref="CN21:CS21" si="26">CM21</f>
        <v>0</v>
      </c>
      <c r="CO21" s="745">
        <f t="shared" si="26"/>
        <v>0</v>
      </c>
      <c r="CP21" s="745">
        <v>0</v>
      </c>
      <c r="CQ21" s="745">
        <v>0</v>
      </c>
      <c r="CR21" s="747">
        <v>0</v>
      </c>
      <c r="CS21" s="746">
        <f t="shared" si="26"/>
        <v>0</v>
      </c>
      <c r="CT21" s="745">
        <v>0</v>
      </c>
      <c r="CU21" s="745">
        <f t="shared" ref="CU21:DC21" si="27">CT21</f>
        <v>0</v>
      </c>
      <c r="CV21" s="745">
        <f t="shared" si="27"/>
        <v>0</v>
      </c>
      <c r="CW21" s="747">
        <f t="shared" si="27"/>
        <v>0</v>
      </c>
      <c r="CX21" s="746">
        <f t="shared" si="27"/>
        <v>0</v>
      </c>
      <c r="CY21" s="745">
        <v>0</v>
      </c>
      <c r="CZ21" s="745">
        <f t="shared" si="27"/>
        <v>0</v>
      </c>
      <c r="DA21" s="745">
        <f t="shared" si="27"/>
        <v>0</v>
      </c>
      <c r="DB21" s="747">
        <v>0</v>
      </c>
      <c r="DC21" s="746">
        <f t="shared" si="27"/>
        <v>0</v>
      </c>
      <c r="DD21" s="745">
        <v>0</v>
      </c>
      <c r="DE21" s="745">
        <v>0</v>
      </c>
      <c r="DF21" s="745">
        <v>0</v>
      </c>
      <c r="DG21" s="747">
        <v>0</v>
      </c>
      <c r="DH21" s="746">
        <f t="shared" ref="DH21:DW21" si="28">DG21</f>
        <v>0</v>
      </c>
      <c r="DI21" s="827">
        <f t="shared" si="28"/>
        <v>0</v>
      </c>
      <c r="DJ21" s="827">
        <f t="shared" si="28"/>
        <v>0</v>
      </c>
      <c r="DK21" s="827">
        <f t="shared" si="28"/>
        <v>0</v>
      </c>
      <c r="DL21" s="1006">
        <f t="shared" si="28"/>
        <v>0</v>
      </c>
      <c r="DM21" s="746">
        <f t="shared" si="28"/>
        <v>0</v>
      </c>
      <c r="DN21" s="827">
        <f t="shared" si="28"/>
        <v>0</v>
      </c>
      <c r="DO21" s="827">
        <f t="shared" si="28"/>
        <v>0</v>
      </c>
      <c r="DP21" s="827">
        <f t="shared" si="28"/>
        <v>0</v>
      </c>
      <c r="DQ21" s="1006">
        <f t="shared" si="28"/>
        <v>0</v>
      </c>
      <c r="DR21" s="746">
        <f t="shared" si="28"/>
        <v>0</v>
      </c>
      <c r="DS21" s="827">
        <f t="shared" si="28"/>
        <v>0</v>
      </c>
      <c r="DT21" s="827">
        <f t="shared" si="28"/>
        <v>0</v>
      </c>
      <c r="DU21" s="827">
        <f t="shared" si="28"/>
        <v>0</v>
      </c>
      <c r="DV21" s="1006">
        <f t="shared" si="28"/>
        <v>0</v>
      </c>
      <c r="DW21" s="746">
        <f t="shared" si="28"/>
        <v>0</v>
      </c>
      <c r="DY21" s="518"/>
      <c r="EB21"/>
      <c r="EC21"/>
      <c r="ED21"/>
      <c r="EE21"/>
      <c r="EF21"/>
      <c r="EG21"/>
    </row>
    <row r="22" spans="1:137" s="45" customFormat="1" ht="11.25" customHeight="1">
      <c r="A22" s="598" t="s">
        <v>320</v>
      </c>
      <c r="B22" s="91"/>
      <c r="C22" s="87"/>
      <c r="D22" s="88"/>
      <c r="E22" s="88"/>
      <c r="F22" s="121"/>
      <c r="G22" s="88"/>
      <c r="H22" s="88"/>
      <c r="I22" s="88"/>
      <c r="J22" s="88"/>
      <c r="K22" s="91"/>
      <c r="L22" s="99"/>
      <c r="M22" s="88"/>
      <c r="N22" s="88"/>
      <c r="O22" s="88"/>
      <c r="P22" s="90"/>
      <c r="Q22" s="90"/>
      <c r="R22" s="87"/>
      <c r="S22" s="88"/>
      <c r="T22" s="88"/>
      <c r="U22" s="88"/>
      <c r="V22" s="121"/>
      <c r="W22" s="87"/>
      <c r="X22" s="88"/>
      <c r="Y22" s="88"/>
      <c r="Z22" s="91"/>
      <c r="AA22" s="121"/>
      <c r="AB22" s="87"/>
      <c r="AC22" s="88"/>
      <c r="AD22" s="88"/>
      <c r="AE22" s="91"/>
      <c r="AF22" s="121"/>
      <c r="AG22" s="87"/>
      <c r="AH22" s="88"/>
      <c r="AI22" s="88"/>
      <c r="AJ22" s="91"/>
      <c r="AK22" s="121"/>
      <c r="AL22" s="88"/>
      <c r="AM22" s="92"/>
      <c r="AN22" s="88"/>
      <c r="AO22" s="91"/>
      <c r="AP22" s="91"/>
      <c r="AQ22" s="88"/>
      <c r="AR22" s="88"/>
      <c r="AS22" s="88"/>
      <c r="AT22" s="91"/>
      <c r="AU22" s="91"/>
      <c r="AV22" s="88"/>
      <c r="AW22" s="88"/>
      <c r="AX22" s="88"/>
      <c r="AY22" s="91"/>
      <c r="AZ22" s="744"/>
      <c r="BA22" s="88"/>
      <c r="BB22" s="88"/>
      <c r="BC22" s="88"/>
      <c r="BD22" s="91"/>
      <c r="BE22" s="744">
        <v>0</v>
      </c>
      <c r="BF22" s="180"/>
      <c r="BG22" s="180"/>
      <c r="BH22" s="180"/>
      <c r="BI22" s="180"/>
      <c r="BJ22" s="744">
        <v>46.219000000000001</v>
      </c>
      <c r="BK22" s="745">
        <v>46.308</v>
      </c>
      <c r="BL22" s="745">
        <v>46.396999999999998</v>
      </c>
      <c r="BM22" s="745">
        <v>46.485999999999997</v>
      </c>
      <c r="BN22" s="745">
        <v>34.607999999999997</v>
      </c>
      <c r="BO22" s="744">
        <v>34.607999999999997</v>
      </c>
      <c r="BP22" s="745">
        <v>34.307000000000002</v>
      </c>
      <c r="BQ22" s="745">
        <v>34.159999999999997</v>
      </c>
      <c r="BR22" s="745">
        <v>34.08</v>
      </c>
      <c r="BS22" s="745">
        <v>39.295000000000002</v>
      </c>
      <c r="BT22" s="744">
        <f t="shared" si="22"/>
        <v>39.295000000000002</v>
      </c>
      <c r="BU22" s="745">
        <v>33.936</v>
      </c>
      <c r="BV22" s="745">
        <v>7.8710000000000004</v>
      </c>
      <c r="BW22" s="745">
        <v>14.065</v>
      </c>
      <c r="BX22" s="745">
        <v>12.612</v>
      </c>
      <c r="BY22" s="744">
        <f t="shared" si="23"/>
        <v>12.612</v>
      </c>
      <c r="BZ22" s="745">
        <v>0</v>
      </c>
      <c r="CA22" s="745">
        <f>BZ22</f>
        <v>0</v>
      </c>
      <c r="CB22" s="745">
        <v>0</v>
      </c>
      <c r="CC22" s="745">
        <f t="shared" si="24"/>
        <v>0</v>
      </c>
      <c r="CD22" s="744">
        <v>0</v>
      </c>
      <c r="CE22" s="971">
        <v>0</v>
      </c>
      <c r="CF22" s="745">
        <v>0</v>
      </c>
      <c r="CG22" s="745">
        <v>0</v>
      </c>
      <c r="CH22" s="745">
        <v>0</v>
      </c>
      <c r="CI22" s="746">
        <f t="shared" si="25"/>
        <v>0</v>
      </c>
      <c r="CJ22" s="745">
        <v>0</v>
      </c>
      <c r="CK22" s="745">
        <v>0</v>
      </c>
      <c r="CL22" s="745">
        <v>0</v>
      </c>
      <c r="CM22" s="745">
        <v>0</v>
      </c>
      <c r="CN22" s="746">
        <f t="shared" ref="CN22:CS22" si="29">CM22</f>
        <v>0</v>
      </c>
      <c r="CO22" s="745">
        <f t="shared" si="29"/>
        <v>0</v>
      </c>
      <c r="CP22" s="745">
        <v>0</v>
      </c>
      <c r="CQ22" s="745">
        <v>0</v>
      </c>
      <c r="CR22" s="745">
        <v>0</v>
      </c>
      <c r="CS22" s="746">
        <f t="shared" si="29"/>
        <v>0</v>
      </c>
      <c r="CT22" s="745">
        <v>0</v>
      </c>
      <c r="CU22" s="745">
        <f t="shared" ref="CU22:DC22" si="30">CT22</f>
        <v>0</v>
      </c>
      <c r="CV22" s="745">
        <f t="shared" si="30"/>
        <v>0</v>
      </c>
      <c r="CW22" s="745">
        <f t="shared" si="30"/>
        <v>0</v>
      </c>
      <c r="CX22" s="746">
        <f t="shared" si="30"/>
        <v>0</v>
      </c>
      <c r="CY22" s="745">
        <v>0</v>
      </c>
      <c r="CZ22" s="745">
        <f t="shared" si="30"/>
        <v>0</v>
      </c>
      <c r="DA22" s="745">
        <f t="shared" si="30"/>
        <v>0</v>
      </c>
      <c r="DB22" s="745">
        <v>0</v>
      </c>
      <c r="DC22" s="746">
        <f t="shared" si="30"/>
        <v>0</v>
      </c>
      <c r="DD22" s="745">
        <v>0</v>
      </c>
      <c r="DE22" s="745">
        <v>0</v>
      </c>
      <c r="DF22" s="745">
        <v>0</v>
      </c>
      <c r="DG22" s="745">
        <v>0</v>
      </c>
      <c r="DH22" s="746">
        <f t="shared" ref="DH22:DW22" si="31">DG22</f>
        <v>0</v>
      </c>
      <c r="DI22" s="827">
        <f t="shared" si="31"/>
        <v>0</v>
      </c>
      <c r="DJ22" s="827">
        <f t="shared" si="31"/>
        <v>0</v>
      </c>
      <c r="DK22" s="827">
        <f t="shared" si="31"/>
        <v>0</v>
      </c>
      <c r="DL22" s="827">
        <f t="shared" si="31"/>
        <v>0</v>
      </c>
      <c r="DM22" s="746">
        <f t="shared" si="31"/>
        <v>0</v>
      </c>
      <c r="DN22" s="827">
        <f t="shared" si="31"/>
        <v>0</v>
      </c>
      <c r="DO22" s="827">
        <f t="shared" si="31"/>
        <v>0</v>
      </c>
      <c r="DP22" s="827">
        <f t="shared" si="31"/>
        <v>0</v>
      </c>
      <c r="DQ22" s="827">
        <f t="shared" si="31"/>
        <v>0</v>
      </c>
      <c r="DR22" s="746">
        <f t="shared" si="31"/>
        <v>0</v>
      </c>
      <c r="DS22" s="827">
        <f t="shared" si="31"/>
        <v>0</v>
      </c>
      <c r="DT22" s="827">
        <f t="shared" si="31"/>
        <v>0</v>
      </c>
      <c r="DU22" s="827">
        <f t="shared" si="31"/>
        <v>0</v>
      </c>
      <c r="DV22" s="827">
        <f t="shared" si="31"/>
        <v>0</v>
      </c>
      <c r="DW22" s="746">
        <f t="shared" si="31"/>
        <v>0</v>
      </c>
      <c r="DY22" s="518"/>
      <c r="EB22"/>
      <c r="EC22"/>
      <c r="ED22"/>
      <c r="EE22"/>
      <c r="EF22"/>
      <c r="EG22"/>
    </row>
    <row r="23" spans="1:137" s="45" customFormat="1" ht="12.75" customHeight="1">
      <c r="A23" s="598" t="s">
        <v>500</v>
      </c>
      <c r="B23" s="91"/>
      <c r="C23" s="87"/>
      <c r="D23" s="88"/>
      <c r="E23" s="88"/>
      <c r="F23" s="121"/>
      <c r="G23" s="88"/>
      <c r="H23" s="88"/>
      <c r="I23" s="88"/>
      <c r="J23" s="88"/>
      <c r="K23" s="91"/>
      <c r="L23" s="99"/>
      <c r="M23" s="88"/>
      <c r="N23" s="88"/>
      <c r="O23" s="88"/>
      <c r="P23" s="90"/>
      <c r="Q23" s="90"/>
      <c r="R23" s="87"/>
      <c r="S23" s="88"/>
      <c r="T23" s="88"/>
      <c r="U23" s="88"/>
      <c r="V23" s="121"/>
      <c r="W23" s="87"/>
      <c r="X23" s="88"/>
      <c r="Y23" s="88"/>
      <c r="Z23" s="91"/>
      <c r="AA23" s="121"/>
      <c r="AB23" s="87"/>
      <c r="AC23" s="88"/>
      <c r="AD23" s="88"/>
      <c r="AE23" s="91"/>
      <c r="AF23" s="121"/>
      <c r="AG23" s="87"/>
      <c r="AH23" s="88"/>
      <c r="AI23" s="88"/>
      <c r="AJ23" s="91"/>
      <c r="AK23" s="118"/>
      <c r="AL23" s="102"/>
      <c r="AM23" s="105"/>
      <c r="AN23" s="102"/>
      <c r="AO23" s="104"/>
      <c r="AP23" s="104"/>
      <c r="AQ23" s="102"/>
      <c r="AR23" s="102"/>
      <c r="AS23" s="102"/>
      <c r="AT23" s="104"/>
      <c r="AU23" s="104"/>
      <c r="AV23" s="102"/>
      <c r="AW23" s="102"/>
      <c r="AX23" s="102"/>
      <c r="AY23" s="104"/>
      <c r="AZ23" s="744"/>
      <c r="BA23" s="88"/>
      <c r="BB23" s="88"/>
      <c r="BC23" s="88"/>
      <c r="BD23" s="91"/>
      <c r="BE23" s="744">
        <v>60.197000000000003</v>
      </c>
      <c r="BF23" s="180"/>
      <c r="BG23" s="180"/>
      <c r="BH23" s="180"/>
      <c r="BI23" s="183"/>
      <c r="BJ23" s="744">
        <v>141.90899999999999</v>
      </c>
      <c r="BK23" s="745">
        <v>97.453000000000003</v>
      </c>
      <c r="BL23" s="745">
        <v>101.85299999999999</v>
      </c>
      <c r="BM23" s="745">
        <v>70.451999999999998</v>
      </c>
      <c r="BN23" s="747">
        <v>133.05199999999999</v>
      </c>
      <c r="BO23" s="744">
        <v>133.05199999999999</v>
      </c>
      <c r="BP23" s="745">
        <v>116.73099999999999</v>
      </c>
      <c r="BQ23" s="745">
        <v>102.26900000000001</v>
      </c>
      <c r="BR23" s="745">
        <v>110.121</v>
      </c>
      <c r="BS23" s="747">
        <v>107.02</v>
      </c>
      <c r="BT23" s="744">
        <f t="shared" si="22"/>
        <v>107.02</v>
      </c>
      <c r="BU23" s="745">
        <v>110.014</v>
      </c>
      <c r="BV23" s="745">
        <v>104.056</v>
      </c>
      <c r="BW23" s="745">
        <v>106.86499999999999</v>
      </c>
      <c r="BX23" s="747">
        <v>107.223</v>
      </c>
      <c r="BY23" s="744">
        <f t="shared" si="23"/>
        <v>107.223</v>
      </c>
      <c r="BZ23" s="745">
        <v>109.941</v>
      </c>
      <c r="CA23" s="745">
        <v>110.785</v>
      </c>
      <c r="CB23" s="745">
        <v>119.20699999999999</v>
      </c>
      <c r="CC23" s="747">
        <f t="shared" si="24"/>
        <v>119.271</v>
      </c>
      <c r="CD23" s="744">
        <v>119.271</v>
      </c>
      <c r="CE23" s="971">
        <v>118.96899999999999</v>
      </c>
      <c r="CF23" s="745">
        <v>115.863</v>
      </c>
      <c r="CG23" s="745">
        <v>117.577</v>
      </c>
      <c r="CH23" s="747">
        <v>113.283</v>
      </c>
      <c r="CI23" s="746">
        <f t="shared" si="25"/>
        <v>113.283</v>
      </c>
      <c r="CJ23" s="745">
        <v>110.901</v>
      </c>
      <c r="CK23" s="745">
        <v>107.44499999999999</v>
      </c>
      <c r="CL23" s="745">
        <v>106.636</v>
      </c>
      <c r="CM23" s="747">
        <v>83.197000000000003</v>
      </c>
      <c r="CN23" s="746">
        <f t="shared" ref="CN23:CN28" si="32">CM23</f>
        <v>83.197000000000003</v>
      </c>
      <c r="CO23" s="745">
        <v>79.909000000000006</v>
      </c>
      <c r="CP23" s="745">
        <v>82.063000000000002</v>
      </c>
      <c r="CQ23" s="745">
        <v>77.768000000000001</v>
      </c>
      <c r="CR23" s="747">
        <v>74.054000000000002</v>
      </c>
      <c r="CS23" s="746">
        <f t="shared" ref="CS23:CS28" si="33">CR23</f>
        <v>74.054000000000002</v>
      </c>
      <c r="CT23" s="745">
        <v>70.242000000000004</v>
      </c>
      <c r="CU23" s="745">
        <v>70.715000000000003</v>
      </c>
      <c r="CV23" s="745">
        <v>64.89</v>
      </c>
      <c r="CW23" s="747">
        <v>58.369</v>
      </c>
      <c r="CX23" s="746">
        <f t="shared" ref="CX23:DC23" si="34">CW23</f>
        <v>58.369</v>
      </c>
      <c r="CY23" s="745">
        <v>61.253</v>
      </c>
      <c r="CZ23" s="745">
        <v>60.942</v>
      </c>
      <c r="DA23" s="745">
        <v>59.686999999999998</v>
      </c>
      <c r="DB23" s="747">
        <v>56.981000000000002</v>
      </c>
      <c r="DC23" s="746">
        <f t="shared" si="34"/>
        <v>56.981000000000002</v>
      </c>
      <c r="DD23" s="745">
        <v>56.954000000000001</v>
      </c>
      <c r="DE23" s="745">
        <v>56.999000000000002</v>
      </c>
      <c r="DF23" s="745">
        <v>58.170999999999999</v>
      </c>
      <c r="DG23" s="747">
        <v>56.002000000000002</v>
      </c>
      <c r="DH23" s="746">
        <f t="shared" ref="DH23:DW23" si="35">DG23</f>
        <v>56.002000000000002</v>
      </c>
      <c r="DI23" s="827">
        <f t="shared" si="35"/>
        <v>56.002000000000002</v>
      </c>
      <c r="DJ23" s="827">
        <f t="shared" si="35"/>
        <v>56.002000000000002</v>
      </c>
      <c r="DK23" s="827">
        <f t="shared" si="35"/>
        <v>56.002000000000002</v>
      </c>
      <c r="DL23" s="1006">
        <f t="shared" si="35"/>
        <v>56.002000000000002</v>
      </c>
      <c r="DM23" s="746">
        <f t="shared" si="35"/>
        <v>56.002000000000002</v>
      </c>
      <c r="DN23" s="827">
        <f t="shared" si="35"/>
        <v>56.002000000000002</v>
      </c>
      <c r="DO23" s="827">
        <f t="shared" si="35"/>
        <v>56.002000000000002</v>
      </c>
      <c r="DP23" s="827">
        <f t="shared" si="35"/>
        <v>56.002000000000002</v>
      </c>
      <c r="DQ23" s="1006">
        <f t="shared" si="35"/>
        <v>56.002000000000002</v>
      </c>
      <c r="DR23" s="746">
        <f t="shared" si="35"/>
        <v>56.002000000000002</v>
      </c>
      <c r="DS23" s="827">
        <f t="shared" si="35"/>
        <v>56.002000000000002</v>
      </c>
      <c r="DT23" s="827">
        <f t="shared" si="35"/>
        <v>56.002000000000002</v>
      </c>
      <c r="DU23" s="827">
        <f t="shared" si="35"/>
        <v>56.002000000000002</v>
      </c>
      <c r="DV23" s="1006">
        <f t="shared" si="35"/>
        <v>56.002000000000002</v>
      </c>
      <c r="DW23" s="746">
        <f t="shared" si="35"/>
        <v>56.002000000000002</v>
      </c>
      <c r="DY23" s="518"/>
      <c r="EB23"/>
      <c r="EC23"/>
      <c r="ED23"/>
      <c r="EE23"/>
      <c r="EF23"/>
      <c r="EG23"/>
    </row>
    <row r="24" spans="1:137" s="45" customFormat="1" ht="11.25" customHeight="1">
      <c r="A24" s="598" t="s">
        <v>501</v>
      </c>
      <c r="B24" s="91"/>
      <c r="C24" s="87"/>
      <c r="D24" s="88"/>
      <c r="E24" s="88"/>
      <c r="F24" s="121"/>
      <c r="G24" s="88"/>
      <c r="H24" s="88"/>
      <c r="J24" s="88"/>
      <c r="K24" s="47"/>
      <c r="L24" s="99"/>
      <c r="M24" s="88"/>
      <c r="N24" s="88"/>
      <c r="O24" s="88"/>
      <c r="P24" s="90"/>
      <c r="Q24" s="90"/>
      <c r="R24" s="87"/>
      <c r="S24" s="88"/>
      <c r="T24" s="88"/>
      <c r="U24" s="88"/>
      <c r="V24" s="121"/>
      <c r="W24" s="87"/>
      <c r="X24" s="88"/>
      <c r="Y24" s="88"/>
      <c r="Z24" s="91"/>
      <c r="AA24" s="121"/>
      <c r="AB24" s="87"/>
      <c r="AC24" s="88"/>
      <c r="AD24" s="88"/>
      <c r="AE24" s="91"/>
      <c r="AF24" s="121"/>
      <c r="AG24" s="87"/>
      <c r="AH24" s="88"/>
      <c r="AI24" s="88"/>
      <c r="AJ24" s="91"/>
      <c r="AK24" s="121"/>
      <c r="AL24" s="88"/>
      <c r="AM24" s="92"/>
      <c r="AN24" s="88"/>
      <c r="AO24" s="91"/>
      <c r="AP24" s="91"/>
      <c r="AQ24" s="88"/>
      <c r="AR24" s="88"/>
      <c r="AS24" s="88"/>
      <c r="AT24" s="91"/>
      <c r="AU24" s="91"/>
      <c r="AV24" s="88"/>
      <c r="AW24" s="88"/>
      <c r="AX24" s="88"/>
      <c r="AY24" s="91"/>
      <c r="AZ24" s="744"/>
      <c r="BA24" s="88"/>
      <c r="BB24" s="88"/>
      <c r="BC24" s="88"/>
      <c r="BD24" s="91"/>
      <c r="BE24" s="744">
        <v>488.48399999999998</v>
      </c>
      <c r="BF24" s="180"/>
      <c r="BG24" s="180"/>
      <c r="BH24" s="180"/>
      <c r="BI24" s="180"/>
      <c r="BJ24" s="744">
        <v>504.87400000000002</v>
      </c>
      <c r="BK24" s="745">
        <v>519.52599999999995</v>
      </c>
      <c r="BL24" s="745">
        <v>528.19399999999996</v>
      </c>
      <c r="BM24" s="745">
        <v>513.02200000000005</v>
      </c>
      <c r="BN24" s="745">
        <v>1770.3720000000001</v>
      </c>
      <c r="BO24" s="744">
        <v>1770.3720000000001</v>
      </c>
      <c r="BP24" s="745">
        <v>1734.4069999999999</v>
      </c>
      <c r="BQ24" s="745">
        <v>1701.1590000000001</v>
      </c>
      <c r="BR24" s="745">
        <v>1667.384</v>
      </c>
      <c r="BS24" s="745">
        <v>1619.248</v>
      </c>
      <c r="BT24" s="744">
        <f t="shared" si="22"/>
        <v>1619.248</v>
      </c>
      <c r="BU24" s="745">
        <v>1585.979</v>
      </c>
      <c r="BV24" s="745">
        <v>1567.9639999999999</v>
      </c>
      <c r="BW24" s="745">
        <v>1554.74</v>
      </c>
      <c r="BX24" s="745">
        <v>1551.261</v>
      </c>
      <c r="BY24" s="744">
        <f t="shared" si="23"/>
        <v>1551.261</v>
      </c>
      <c r="BZ24" s="745">
        <v>1519.962</v>
      </c>
      <c r="CA24" s="745">
        <v>1141.675</v>
      </c>
      <c r="CB24" s="745">
        <v>1152.6659999999999</v>
      </c>
      <c r="CC24" s="745">
        <f t="shared" si="24"/>
        <v>1192.2</v>
      </c>
      <c r="CD24" s="744">
        <v>1192.2</v>
      </c>
      <c r="CE24" s="971">
        <v>1195.107</v>
      </c>
      <c r="CF24" s="745">
        <v>1205.883</v>
      </c>
      <c r="CG24" s="745">
        <v>1240.8579999999999</v>
      </c>
      <c r="CH24" s="745">
        <v>1250.338</v>
      </c>
      <c r="CI24" s="746">
        <f t="shared" si="25"/>
        <v>1250.338</v>
      </c>
      <c r="CJ24" s="745">
        <v>1233.2829999999999</v>
      </c>
      <c r="CK24" s="745">
        <v>1226.5319999999999</v>
      </c>
      <c r="CL24" s="745">
        <v>1156.32</v>
      </c>
      <c r="CM24" s="745">
        <v>1165.4870000000001</v>
      </c>
      <c r="CN24" s="746">
        <f t="shared" si="32"/>
        <v>1165.4870000000001</v>
      </c>
      <c r="CO24" s="745">
        <v>1146.9960000000001</v>
      </c>
      <c r="CP24" s="745">
        <v>1187.6479999999999</v>
      </c>
      <c r="CQ24" s="745">
        <v>1234.992</v>
      </c>
      <c r="CR24" s="745">
        <v>1271.2380000000001</v>
      </c>
      <c r="CS24" s="746">
        <f t="shared" si="33"/>
        <v>1271.2380000000001</v>
      </c>
      <c r="CT24" s="745">
        <v>1288.009</v>
      </c>
      <c r="CU24" s="745">
        <v>1254.489</v>
      </c>
      <c r="CV24" s="745">
        <v>1226.383</v>
      </c>
      <c r="CW24" s="745">
        <v>1227.944</v>
      </c>
      <c r="CX24" s="746">
        <f>CW24</f>
        <v>1227.944</v>
      </c>
      <c r="CY24" s="745">
        <v>1235.596</v>
      </c>
      <c r="CZ24" s="745">
        <v>1191.3530000000001</v>
      </c>
      <c r="DA24" s="745">
        <v>1207.9380000000001</v>
      </c>
      <c r="DB24" s="745">
        <v>1192.3389999999999</v>
      </c>
      <c r="DC24" s="746">
        <f>DB24</f>
        <v>1192.3389999999999</v>
      </c>
      <c r="DD24" s="745">
        <v>1190.55</v>
      </c>
      <c r="DE24" s="745">
        <v>1254.75</v>
      </c>
      <c r="DF24" s="745">
        <v>1252.2460000000001</v>
      </c>
      <c r="DG24" s="745">
        <v>1263.059</v>
      </c>
      <c r="DH24" s="746">
        <f>DG24</f>
        <v>1263.059</v>
      </c>
      <c r="DI24" s="827">
        <f>DH24-'CashFlow '!DI39-'CashFlow '!DI40-'CashFlow '!DI44-'CashFlow '!DI14</f>
        <v>1251.09070625</v>
      </c>
      <c r="DJ24" s="827">
        <f>DI24-'CashFlow '!DJ39-'CashFlow '!DJ40-'CashFlow '!DJ44-'CashFlow '!DJ14</f>
        <v>1236.8679924999999</v>
      </c>
      <c r="DK24" s="827">
        <f>DJ24-'CashFlow '!DK39-'CashFlow '!DK40-'CashFlow '!DK44-'CashFlow '!DK14</f>
        <v>1222.7508937499999</v>
      </c>
      <c r="DL24" s="827">
        <f>DK24-'CashFlow '!DL39-'CashFlow '!DL40-'CashFlow '!DL44-'CashFlow '!DL14</f>
        <v>1209.8600204499999</v>
      </c>
      <c r="DM24" s="746">
        <f>DL24</f>
        <v>1209.8600204499999</v>
      </c>
      <c r="DN24" s="827">
        <f>DM24-'CashFlow '!DN39-'CashFlow '!DN40-'CashFlow '!DN44-'CashFlow '!DN14</f>
        <v>1195.97368895</v>
      </c>
      <c r="DO24" s="827">
        <f>DN24-'CashFlow '!DO39-'CashFlow '!DO40-'CashFlow '!DO44-'CashFlow '!DO14</f>
        <v>1179.7926990499998</v>
      </c>
      <c r="DP24" s="827">
        <f>DO24-'CashFlow '!DP39-'CashFlow '!DP40-'CashFlow '!DP44-'CashFlow '!DP14</f>
        <v>1163.7242864499997</v>
      </c>
      <c r="DQ24" s="827">
        <f>DP24-'CashFlow '!DQ39-'CashFlow '!DQ40-'CashFlow '!DQ44-'CashFlow '!DQ14</f>
        <v>1148.9114738089997</v>
      </c>
      <c r="DR24" s="746">
        <f>DQ24</f>
        <v>1148.9114738089997</v>
      </c>
      <c r="DS24" s="827">
        <f>DR24-'CashFlow '!DS39-'CashFlow '!DS40-'CashFlow '!DS44-'CashFlow '!DS14-'CashFlow '!DS45</f>
        <v>1133.0422969289996</v>
      </c>
      <c r="DT24" s="827">
        <f>DS24-'CashFlow '!DT39-'CashFlow '!DT40-'CashFlow '!DT44-'CashFlow '!DT14-'CashFlow '!DT45</f>
        <v>1114.8385684809996</v>
      </c>
      <c r="DU24" s="827">
        <f>DT24-'CashFlow '!DU39-'CashFlow '!DU40-'CashFlow '!DU44-'CashFlow '!DU14-'CashFlow '!DU45</f>
        <v>1096.7556688789996</v>
      </c>
      <c r="DV24" s="827">
        <f>DU24-'CashFlow '!DV39-'CashFlow '!DV40-'CashFlow '!DV44-'CashFlow '!DV14-'CashFlow '!DV45</f>
        <v>1079.9594812351795</v>
      </c>
      <c r="DW24" s="746">
        <f>DV24</f>
        <v>1079.9594812351795</v>
      </c>
      <c r="DY24" s="518"/>
      <c r="EB24"/>
      <c r="EC24"/>
      <c r="ED24"/>
      <c r="EE24"/>
      <c r="EF24"/>
      <c r="EG24"/>
    </row>
    <row r="25" spans="1:137" s="45" customFormat="1" ht="11.25" customHeight="1">
      <c r="A25" s="598" t="s">
        <v>404</v>
      </c>
      <c r="B25" s="91"/>
      <c r="C25" s="44"/>
      <c r="F25" s="89"/>
      <c r="I25" s="88"/>
      <c r="K25" s="91"/>
      <c r="L25" s="99"/>
      <c r="M25" s="88"/>
      <c r="N25" s="88"/>
      <c r="O25" s="88"/>
      <c r="P25" s="90"/>
      <c r="Q25" s="90"/>
      <c r="R25" s="87"/>
      <c r="S25" s="88"/>
      <c r="T25" s="88"/>
      <c r="U25" s="88"/>
      <c r="V25" s="121"/>
      <c r="W25" s="87"/>
      <c r="X25" s="88"/>
      <c r="Y25" s="88"/>
      <c r="Z25" s="91"/>
      <c r="AA25" s="121"/>
      <c r="AB25" s="87"/>
      <c r="AC25" s="88"/>
      <c r="AD25" s="88"/>
      <c r="AE25" s="91"/>
      <c r="AF25" s="121"/>
      <c r="AG25" s="87"/>
      <c r="AH25" s="88"/>
      <c r="AI25" s="88"/>
      <c r="AJ25" s="91"/>
      <c r="AK25" s="121"/>
      <c r="AL25" s="88"/>
      <c r="AM25" s="92"/>
      <c r="AN25" s="88"/>
      <c r="AO25" s="91"/>
      <c r="AP25" s="91"/>
      <c r="AQ25" s="88"/>
      <c r="AR25" s="88"/>
      <c r="AS25" s="88"/>
      <c r="AT25" s="91"/>
      <c r="AU25" s="91"/>
      <c r="AV25" s="88"/>
      <c r="AW25" s="88"/>
      <c r="AX25" s="88"/>
      <c r="AY25" s="91"/>
      <c r="AZ25" s="744"/>
      <c r="BA25" s="88"/>
      <c r="BB25" s="88"/>
      <c r="BC25" s="88"/>
      <c r="BD25" s="91"/>
      <c r="BE25" s="744">
        <v>521.05499999999995</v>
      </c>
      <c r="BF25" s="180"/>
      <c r="BG25" s="180"/>
      <c r="BH25" s="180"/>
      <c r="BI25" s="183"/>
      <c r="BJ25" s="744">
        <v>468.77800000000002</v>
      </c>
      <c r="BK25" s="745">
        <v>478.58</v>
      </c>
      <c r="BL25" s="745">
        <v>477.29899999999998</v>
      </c>
      <c r="BM25" s="745">
        <v>477.387</v>
      </c>
      <c r="BN25" s="747">
        <v>853.77499999999998</v>
      </c>
      <c r="BO25" s="744">
        <v>853.77499999999998</v>
      </c>
      <c r="BP25" s="745">
        <v>859.00699999999995</v>
      </c>
      <c r="BQ25" s="745">
        <v>869.86</v>
      </c>
      <c r="BR25" s="745">
        <v>878.322</v>
      </c>
      <c r="BS25" s="747">
        <v>881.01900000000001</v>
      </c>
      <c r="BT25" s="744">
        <f t="shared" si="22"/>
        <v>881.01900000000001</v>
      </c>
      <c r="BU25" s="745">
        <v>883.00099999999998</v>
      </c>
      <c r="BV25" s="745">
        <v>880.72900000000004</v>
      </c>
      <c r="BW25" s="745">
        <v>882.61099999999999</v>
      </c>
      <c r="BX25" s="747">
        <v>883.64400000000001</v>
      </c>
      <c r="BY25" s="744">
        <f t="shared" si="23"/>
        <v>883.64400000000001</v>
      </c>
      <c r="BZ25" s="745">
        <v>888.09500000000003</v>
      </c>
      <c r="CA25" s="745">
        <v>872.36599999999999</v>
      </c>
      <c r="CB25" s="745">
        <v>867.70100000000002</v>
      </c>
      <c r="CC25" s="747">
        <f t="shared" si="24"/>
        <v>870.43100000000004</v>
      </c>
      <c r="CD25" s="744">
        <v>870.43100000000004</v>
      </c>
      <c r="CE25" s="971">
        <v>872.03200000000004</v>
      </c>
      <c r="CF25" s="745">
        <v>873.78599999999994</v>
      </c>
      <c r="CG25" s="745">
        <v>876.64300000000003</v>
      </c>
      <c r="CH25" s="747">
        <v>876.20100000000002</v>
      </c>
      <c r="CI25" s="746">
        <f t="shared" si="25"/>
        <v>876.20100000000002</v>
      </c>
      <c r="CJ25" s="745">
        <v>875.17899999999997</v>
      </c>
      <c r="CK25" s="745">
        <v>872.88300000000004</v>
      </c>
      <c r="CL25" s="745">
        <v>868.05700000000002</v>
      </c>
      <c r="CM25" s="747">
        <v>842.54399999999998</v>
      </c>
      <c r="CN25" s="746">
        <f t="shared" si="32"/>
        <v>842.54399999999998</v>
      </c>
      <c r="CO25" s="745">
        <v>826.68600000000004</v>
      </c>
      <c r="CP25" s="745">
        <v>828.26400000000001</v>
      </c>
      <c r="CQ25" s="745">
        <v>815.99</v>
      </c>
      <c r="CR25" s="747">
        <v>822.56200000000001</v>
      </c>
      <c r="CS25" s="746">
        <f t="shared" si="33"/>
        <v>822.56200000000001</v>
      </c>
      <c r="CT25" s="745">
        <v>818.78899999999999</v>
      </c>
      <c r="CU25" s="745">
        <v>795.73699999999997</v>
      </c>
      <c r="CV25" s="745">
        <v>775.63300000000004</v>
      </c>
      <c r="CW25" s="747">
        <v>770.78099999999995</v>
      </c>
      <c r="CX25" s="746">
        <f t="shared" ref="CX25:DC25" si="36">CW25</f>
        <v>770.78099999999995</v>
      </c>
      <c r="CY25" s="745">
        <v>767.45500000000004</v>
      </c>
      <c r="CZ25" s="745">
        <v>739.56600000000003</v>
      </c>
      <c r="DA25" s="745">
        <v>742.23400000000004</v>
      </c>
      <c r="DB25" s="747">
        <v>741.41</v>
      </c>
      <c r="DC25" s="746">
        <f t="shared" si="36"/>
        <v>741.41</v>
      </c>
      <c r="DD25" s="745">
        <v>741.65800000000002</v>
      </c>
      <c r="DE25" s="745">
        <v>742.40700000000004</v>
      </c>
      <c r="DF25" s="745">
        <v>743.50800000000004</v>
      </c>
      <c r="DG25" s="747">
        <v>743.33399999999995</v>
      </c>
      <c r="DH25" s="746">
        <f t="shared" ref="DH25:DW25" si="37">DG25</f>
        <v>743.33399999999995</v>
      </c>
      <c r="DI25" s="827">
        <f t="shared" si="37"/>
        <v>743.33399999999995</v>
      </c>
      <c r="DJ25" s="827">
        <f t="shared" si="37"/>
        <v>743.33399999999995</v>
      </c>
      <c r="DK25" s="827">
        <f t="shared" si="37"/>
        <v>743.33399999999995</v>
      </c>
      <c r="DL25" s="1006">
        <f t="shared" si="37"/>
        <v>743.33399999999995</v>
      </c>
      <c r="DM25" s="746">
        <f t="shared" si="37"/>
        <v>743.33399999999995</v>
      </c>
      <c r="DN25" s="827">
        <f t="shared" si="37"/>
        <v>743.33399999999995</v>
      </c>
      <c r="DO25" s="827">
        <f t="shared" si="37"/>
        <v>743.33399999999995</v>
      </c>
      <c r="DP25" s="827">
        <f t="shared" si="37"/>
        <v>743.33399999999995</v>
      </c>
      <c r="DQ25" s="1006">
        <f t="shared" si="37"/>
        <v>743.33399999999995</v>
      </c>
      <c r="DR25" s="746">
        <f t="shared" si="37"/>
        <v>743.33399999999995</v>
      </c>
      <c r="DS25" s="827">
        <f t="shared" si="37"/>
        <v>743.33399999999995</v>
      </c>
      <c r="DT25" s="827">
        <f t="shared" si="37"/>
        <v>743.33399999999995</v>
      </c>
      <c r="DU25" s="827">
        <f t="shared" si="37"/>
        <v>743.33399999999995</v>
      </c>
      <c r="DV25" s="1006">
        <f t="shared" si="37"/>
        <v>743.33399999999995</v>
      </c>
      <c r="DW25" s="746">
        <f t="shared" si="37"/>
        <v>743.33399999999995</v>
      </c>
      <c r="DY25" s="518"/>
      <c r="EB25"/>
      <c r="EC25"/>
      <c r="ED25"/>
      <c r="EE25"/>
      <c r="EF25"/>
      <c r="EG25"/>
    </row>
    <row r="26" spans="1:137" s="45" customFormat="1" ht="11.25" customHeight="1">
      <c r="A26" s="598" t="s">
        <v>502</v>
      </c>
      <c r="B26" s="91"/>
      <c r="C26" s="87"/>
      <c r="D26" s="88"/>
      <c r="E26" s="88"/>
      <c r="F26" s="121"/>
      <c r="G26" s="88"/>
      <c r="H26" s="88"/>
      <c r="I26" s="88"/>
      <c r="J26" s="88"/>
      <c r="K26" s="91"/>
      <c r="L26" s="99"/>
      <c r="M26" s="88"/>
      <c r="N26" s="88"/>
      <c r="O26" s="88"/>
      <c r="P26" s="90"/>
      <c r="Q26" s="90"/>
      <c r="R26" s="87"/>
      <c r="S26" s="88"/>
      <c r="T26" s="88"/>
      <c r="U26" s="88"/>
      <c r="V26" s="121"/>
      <c r="W26" s="87"/>
      <c r="X26" s="88"/>
      <c r="Y26" s="88"/>
      <c r="Z26" s="91"/>
      <c r="AA26" s="121"/>
      <c r="AB26" s="87"/>
      <c r="AC26" s="88"/>
      <c r="AD26" s="88"/>
      <c r="AE26" s="91"/>
      <c r="AF26" s="121"/>
      <c r="AG26" s="87"/>
      <c r="AH26" s="88"/>
      <c r="AI26" s="88"/>
      <c r="AJ26" s="91"/>
      <c r="AK26" s="121"/>
      <c r="AL26" s="88"/>
      <c r="AM26" s="92"/>
      <c r="AN26" s="88"/>
      <c r="AO26" s="91"/>
      <c r="AP26" s="91"/>
      <c r="AQ26" s="88"/>
      <c r="AR26" s="88"/>
      <c r="AS26" s="88"/>
      <c r="AT26" s="91"/>
      <c r="AU26" s="91"/>
      <c r="AV26" s="88"/>
      <c r="AW26" s="88"/>
      <c r="AX26" s="88"/>
      <c r="AY26" s="91"/>
      <c r="AZ26" s="744"/>
      <c r="BA26" s="88"/>
      <c r="BB26" s="88"/>
      <c r="BC26" s="88"/>
      <c r="BD26" s="91"/>
      <c r="BE26" s="744">
        <v>70.923000000000002</v>
      </c>
      <c r="BF26" s="180"/>
      <c r="BG26" s="180"/>
      <c r="BH26" s="180"/>
      <c r="BI26" s="180"/>
      <c r="BJ26" s="744">
        <v>45.317999999999998</v>
      </c>
      <c r="BK26" s="745">
        <v>50.575000000000003</v>
      </c>
      <c r="BL26" s="745">
        <v>49.587000000000003</v>
      </c>
      <c r="BM26" s="745">
        <v>47.616999999999997</v>
      </c>
      <c r="BN26" s="745">
        <v>1411.473</v>
      </c>
      <c r="BO26" s="744">
        <v>1411.473</v>
      </c>
      <c r="BP26" s="745">
        <v>1409.0170000000001</v>
      </c>
      <c r="BQ26" s="745">
        <v>1402.463</v>
      </c>
      <c r="BR26" s="745">
        <v>1398.53</v>
      </c>
      <c r="BS26" s="745">
        <v>1392.883</v>
      </c>
      <c r="BT26" s="744">
        <f t="shared" si="22"/>
        <v>1392.883</v>
      </c>
      <c r="BU26" s="745">
        <v>1383.019</v>
      </c>
      <c r="BV26" s="745">
        <v>1376.6579999999999</v>
      </c>
      <c r="BW26" s="745">
        <v>1367.078</v>
      </c>
      <c r="BX26" s="745">
        <v>1358.5740000000001</v>
      </c>
      <c r="BY26" s="744">
        <f t="shared" si="23"/>
        <v>1358.5740000000001</v>
      </c>
      <c r="BZ26" s="745">
        <v>1351.4179999999999</v>
      </c>
      <c r="CA26" s="745">
        <v>1318.242</v>
      </c>
      <c r="CB26" s="745">
        <v>1309.204</v>
      </c>
      <c r="CC26" s="745">
        <f t="shared" si="24"/>
        <v>1304.288</v>
      </c>
      <c r="CD26" s="744">
        <v>1304.288</v>
      </c>
      <c r="CE26" s="971">
        <v>1299.48</v>
      </c>
      <c r="CF26" s="745">
        <v>1313.5519999999999</v>
      </c>
      <c r="CG26" s="745">
        <v>1314.825</v>
      </c>
      <c r="CH26" s="745">
        <v>1301.537</v>
      </c>
      <c r="CI26" s="746">
        <f t="shared" si="25"/>
        <v>1301.537</v>
      </c>
      <c r="CJ26" s="745">
        <v>1293.8620000000001</v>
      </c>
      <c r="CK26" s="745">
        <v>1300.585</v>
      </c>
      <c r="CL26" s="745">
        <v>1300.0350000000001</v>
      </c>
      <c r="CM26" s="745">
        <v>1305.78</v>
      </c>
      <c r="CN26" s="746">
        <f t="shared" si="32"/>
        <v>1305.78</v>
      </c>
      <c r="CO26" s="745">
        <v>1344.8620000000001</v>
      </c>
      <c r="CP26" s="745">
        <v>1342.664</v>
      </c>
      <c r="CQ26" s="745">
        <v>1338.4829999999999</v>
      </c>
      <c r="CR26" s="745">
        <v>1351.365</v>
      </c>
      <c r="CS26" s="746">
        <f t="shared" si="33"/>
        <v>1351.365</v>
      </c>
      <c r="CT26" s="745">
        <v>1345.4780000000001</v>
      </c>
      <c r="CU26" s="745">
        <v>1359.4849999999999</v>
      </c>
      <c r="CV26" s="745">
        <v>1343.1969999999999</v>
      </c>
      <c r="CW26" s="745">
        <v>1339.587</v>
      </c>
      <c r="CX26" s="746">
        <f t="shared" ref="CX26:DC26" si="38">CW26</f>
        <v>1339.587</v>
      </c>
      <c r="CY26" s="745">
        <v>1333.5840000000001</v>
      </c>
      <c r="CZ26" s="745">
        <v>1330.8689999999999</v>
      </c>
      <c r="DA26" s="745">
        <v>1326.134</v>
      </c>
      <c r="DB26" s="745">
        <v>1322.5309999999999</v>
      </c>
      <c r="DC26" s="746">
        <f t="shared" si="38"/>
        <v>1322.5309999999999</v>
      </c>
      <c r="DD26" s="745">
        <v>1314.54</v>
      </c>
      <c r="DE26" s="745">
        <v>1338.645</v>
      </c>
      <c r="DF26" s="745">
        <v>1332.13</v>
      </c>
      <c r="DG26" s="745">
        <v>1321.585</v>
      </c>
      <c r="DH26" s="746">
        <f t="shared" ref="DH26:DW26" si="39">DG26</f>
        <v>1321.585</v>
      </c>
      <c r="DI26" s="827">
        <f t="shared" si="39"/>
        <v>1321.585</v>
      </c>
      <c r="DJ26" s="827">
        <f t="shared" si="39"/>
        <v>1321.585</v>
      </c>
      <c r="DK26" s="827">
        <f t="shared" si="39"/>
        <v>1321.585</v>
      </c>
      <c r="DL26" s="827">
        <f t="shared" si="39"/>
        <v>1321.585</v>
      </c>
      <c r="DM26" s="746">
        <f t="shared" si="39"/>
        <v>1321.585</v>
      </c>
      <c r="DN26" s="827">
        <f t="shared" si="39"/>
        <v>1321.585</v>
      </c>
      <c r="DO26" s="827">
        <f t="shared" si="39"/>
        <v>1321.585</v>
      </c>
      <c r="DP26" s="827">
        <f t="shared" si="39"/>
        <v>1321.585</v>
      </c>
      <c r="DQ26" s="827">
        <f t="shared" si="39"/>
        <v>1321.585</v>
      </c>
      <c r="DR26" s="746">
        <f t="shared" si="39"/>
        <v>1321.585</v>
      </c>
      <c r="DS26" s="827">
        <f t="shared" si="39"/>
        <v>1321.585</v>
      </c>
      <c r="DT26" s="827">
        <f t="shared" si="39"/>
        <v>1321.585</v>
      </c>
      <c r="DU26" s="827">
        <f t="shared" si="39"/>
        <v>1321.585</v>
      </c>
      <c r="DV26" s="827">
        <f t="shared" si="39"/>
        <v>1321.585</v>
      </c>
      <c r="DW26" s="746">
        <f t="shared" si="39"/>
        <v>1321.585</v>
      </c>
      <c r="DY26" s="518"/>
      <c r="EB26"/>
      <c r="EC26"/>
      <c r="ED26"/>
      <c r="EE26"/>
      <c r="EF26"/>
      <c r="EG26"/>
    </row>
    <row r="27" spans="1:137" s="45" customFormat="1" ht="11.25" customHeight="1">
      <c r="A27" s="598" t="s">
        <v>503</v>
      </c>
      <c r="B27" s="91"/>
      <c r="C27" s="87"/>
      <c r="D27" s="88"/>
      <c r="E27" s="88"/>
      <c r="F27" s="121"/>
      <c r="G27" s="88"/>
      <c r="H27" s="88"/>
      <c r="I27" s="88"/>
      <c r="J27" s="88"/>
      <c r="K27" s="91"/>
      <c r="L27" s="99"/>
      <c r="M27" s="88"/>
      <c r="N27" s="88"/>
      <c r="O27" s="88"/>
      <c r="P27" s="90"/>
      <c r="Q27" s="90"/>
      <c r="R27" s="87"/>
      <c r="S27" s="88"/>
      <c r="T27" s="88"/>
      <c r="U27" s="88"/>
      <c r="V27" s="121"/>
      <c r="W27" s="87"/>
      <c r="X27" s="88"/>
      <c r="Y27" s="88"/>
      <c r="Z27" s="91"/>
      <c r="AA27" s="121"/>
      <c r="AB27" s="87"/>
      <c r="AC27" s="88"/>
      <c r="AD27" s="88"/>
      <c r="AE27" s="91"/>
      <c r="AF27" s="121"/>
      <c r="AG27" s="87"/>
      <c r="AH27" s="88"/>
      <c r="AI27" s="88"/>
      <c r="AJ27" s="91"/>
      <c r="AK27" s="121"/>
      <c r="AL27" s="88"/>
      <c r="AM27" s="92"/>
      <c r="AN27" s="88"/>
      <c r="AO27" s="91"/>
      <c r="AP27" s="91"/>
      <c r="AQ27" s="88"/>
      <c r="AR27" s="88"/>
      <c r="AS27" s="88"/>
      <c r="AT27" s="91"/>
      <c r="AU27" s="91"/>
      <c r="AV27" s="88"/>
      <c r="AW27" s="88"/>
      <c r="AX27" s="88"/>
      <c r="AY27" s="91"/>
      <c r="AZ27" s="744"/>
      <c r="BA27" s="88"/>
      <c r="BB27" s="88"/>
      <c r="BC27" s="88"/>
      <c r="BD27" s="91"/>
      <c r="BE27" s="744">
        <v>0</v>
      </c>
      <c r="BF27" s="180"/>
      <c r="BG27" s="180"/>
      <c r="BH27" s="180"/>
      <c r="BI27" s="183"/>
      <c r="BJ27" s="744">
        <v>4.05</v>
      </c>
      <c r="BK27" s="745">
        <v>14.677</v>
      </c>
      <c r="BL27" s="745">
        <v>21.702999999999999</v>
      </c>
      <c r="BM27" s="745">
        <v>25.745999999999999</v>
      </c>
      <c r="BN27" s="747">
        <v>0</v>
      </c>
      <c r="BO27" s="744">
        <v>0</v>
      </c>
      <c r="BP27" s="745">
        <v>0</v>
      </c>
      <c r="BQ27" s="745">
        <f>BP27</f>
        <v>0</v>
      </c>
      <c r="BR27" s="745">
        <v>0</v>
      </c>
      <c r="BS27" s="747">
        <v>0</v>
      </c>
      <c r="BT27" s="744">
        <f t="shared" si="22"/>
        <v>0</v>
      </c>
      <c r="BU27" s="745">
        <v>0</v>
      </c>
      <c r="BV27" s="745">
        <v>0</v>
      </c>
      <c r="BW27" s="745">
        <v>0</v>
      </c>
      <c r="BX27" s="747">
        <v>0</v>
      </c>
      <c r="BY27" s="744">
        <f t="shared" si="23"/>
        <v>0</v>
      </c>
      <c r="BZ27" s="745">
        <v>0</v>
      </c>
      <c r="CA27" s="745">
        <f>BZ27</f>
        <v>0</v>
      </c>
      <c r="CB27" s="745">
        <v>0</v>
      </c>
      <c r="CC27" s="747">
        <f t="shared" si="24"/>
        <v>0</v>
      </c>
      <c r="CD27" s="744">
        <v>0</v>
      </c>
      <c r="CE27" s="971">
        <v>0</v>
      </c>
      <c r="CF27" s="745">
        <v>0</v>
      </c>
      <c r="CG27" s="745">
        <v>0</v>
      </c>
      <c r="CH27" s="747">
        <v>0</v>
      </c>
      <c r="CI27" s="746">
        <f t="shared" si="25"/>
        <v>0</v>
      </c>
      <c r="CJ27" s="745">
        <v>0</v>
      </c>
      <c r="CK27" s="745">
        <v>0</v>
      </c>
      <c r="CL27" s="745">
        <f>CK27</f>
        <v>0</v>
      </c>
      <c r="CM27" s="747">
        <v>0</v>
      </c>
      <c r="CN27" s="746">
        <f t="shared" si="32"/>
        <v>0</v>
      </c>
      <c r="CO27" s="745">
        <v>0</v>
      </c>
      <c r="CP27" s="745">
        <v>0</v>
      </c>
      <c r="CQ27" s="745">
        <v>0</v>
      </c>
      <c r="CR27" s="747">
        <v>0</v>
      </c>
      <c r="CS27" s="746">
        <f t="shared" si="33"/>
        <v>0</v>
      </c>
      <c r="CT27" s="745">
        <v>0</v>
      </c>
      <c r="CU27" s="745">
        <f t="shared" ref="CU27:DC27" si="40">CT27</f>
        <v>0</v>
      </c>
      <c r="CV27" s="745">
        <f t="shared" si="40"/>
        <v>0</v>
      </c>
      <c r="CW27" s="747">
        <f t="shared" si="40"/>
        <v>0</v>
      </c>
      <c r="CX27" s="746">
        <f t="shared" si="40"/>
        <v>0</v>
      </c>
      <c r="CY27" s="745">
        <v>0</v>
      </c>
      <c r="CZ27" s="745">
        <f t="shared" si="40"/>
        <v>0</v>
      </c>
      <c r="DA27" s="745">
        <f t="shared" si="40"/>
        <v>0</v>
      </c>
      <c r="DB27" s="747">
        <v>0</v>
      </c>
      <c r="DC27" s="746">
        <f t="shared" si="40"/>
        <v>0</v>
      </c>
      <c r="DD27" s="745">
        <v>0</v>
      </c>
      <c r="DE27" s="745">
        <v>0</v>
      </c>
      <c r="DF27" s="745">
        <v>0</v>
      </c>
      <c r="DG27" s="747">
        <v>0</v>
      </c>
      <c r="DH27" s="746">
        <f t="shared" ref="DH27:DW27" si="41">DG27</f>
        <v>0</v>
      </c>
      <c r="DI27" s="827">
        <f t="shared" si="41"/>
        <v>0</v>
      </c>
      <c r="DJ27" s="827">
        <f t="shared" si="41"/>
        <v>0</v>
      </c>
      <c r="DK27" s="827">
        <f t="shared" si="41"/>
        <v>0</v>
      </c>
      <c r="DL27" s="1006">
        <f t="shared" si="41"/>
        <v>0</v>
      </c>
      <c r="DM27" s="746">
        <f t="shared" si="41"/>
        <v>0</v>
      </c>
      <c r="DN27" s="827">
        <f t="shared" si="41"/>
        <v>0</v>
      </c>
      <c r="DO27" s="827">
        <f t="shared" si="41"/>
        <v>0</v>
      </c>
      <c r="DP27" s="827">
        <f t="shared" si="41"/>
        <v>0</v>
      </c>
      <c r="DQ27" s="1006">
        <f t="shared" si="41"/>
        <v>0</v>
      </c>
      <c r="DR27" s="746">
        <f t="shared" si="41"/>
        <v>0</v>
      </c>
      <c r="DS27" s="827">
        <f t="shared" si="41"/>
        <v>0</v>
      </c>
      <c r="DT27" s="827">
        <f t="shared" si="41"/>
        <v>0</v>
      </c>
      <c r="DU27" s="827">
        <f t="shared" si="41"/>
        <v>0</v>
      </c>
      <c r="DV27" s="1006">
        <f t="shared" si="41"/>
        <v>0</v>
      </c>
      <c r="DW27" s="746">
        <f t="shared" si="41"/>
        <v>0</v>
      </c>
      <c r="DY27" s="518"/>
      <c r="EB27"/>
      <c r="EC27"/>
      <c r="ED27"/>
      <c r="EE27"/>
      <c r="EF27"/>
      <c r="EG27"/>
    </row>
    <row r="28" spans="1:137" s="45" customFormat="1" ht="11.25" customHeight="1">
      <c r="A28" s="598" t="s">
        <v>291</v>
      </c>
      <c r="B28" s="91"/>
      <c r="C28" s="87"/>
      <c r="D28" s="88"/>
      <c r="E28" s="88"/>
      <c r="F28" s="121"/>
      <c r="G28" s="88"/>
      <c r="H28" s="88"/>
      <c r="I28" s="88"/>
      <c r="J28" s="88"/>
      <c r="K28" s="91"/>
      <c r="L28" s="99"/>
      <c r="M28" s="88"/>
      <c r="N28" s="88"/>
      <c r="O28" s="88"/>
      <c r="P28" s="90"/>
      <c r="Q28" s="90"/>
      <c r="R28" s="87"/>
      <c r="S28" s="88"/>
      <c r="T28" s="88"/>
      <c r="U28" s="88"/>
      <c r="V28" s="121"/>
      <c r="W28" s="87"/>
      <c r="X28" s="88"/>
      <c r="Y28" s="88"/>
      <c r="Z28" s="91"/>
      <c r="AA28" s="121"/>
      <c r="AB28" s="87"/>
      <c r="AC28" s="88"/>
      <c r="AD28" s="88"/>
      <c r="AE28" s="91"/>
      <c r="AF28" s="121"/>
      <c r="AG28" s="87"/>
      <c r="AH28" s="88"/>
      <c r="AI28" s="88"/>
      <c r="AJ28" s="91"/>
      <c r="AK28" s="121"/>
      <c r="AL28" s="88"/>
      <c r="AM28" s="92"/>
      <c r="AN28" s="88"/>
      <c r="AO28" s="91"/>
      <c r="AP28" s="91"/>
      <c r="AQ28" s="88"/>
      <c r="AR28" s="88"/>
      <c r="AS28" s="88"/>
      <c r="AT28" s="91"/>
      <c r="AU28" s="91"/>
      <c r="AV28" s="88"/>
      <c r="AW28" s="88"/>
      <c r="AX28" s="88"/>
      <c r="AY28" s="91"/>
      <c r="AZ28" s="744"/>
      <c r="BA28" s="88"/>
      <c r="BB28" s="88"/>
      <c r="BC28" s="88"/>
      <c r="BD28" s="91"/>
      <c r="BE28" s="744">
        <v>26.081</v>
      </c>
      <c r="BF28" s="180"/>
      <c r="BG28" s="180"/>
      <c r="BH28" s="180"/>
      <c r="BI28" s="180"/>
      <c r="BJ28" s="744">
        <v>27.87</v>
      </c>
      <c r="BK28" s="745">
        <v>24.277999999999999</v>
      </c>
      <c r="BL28" s="745">
        <v>28.742999999999999</v>
      </c>
      <c r="BM28" s="745">
        <v>32.892000000000003</v>
      </c>
      <c r="BN28" s="745">
        <v>27.47</v>
      </c>
      <c r="BO28" s="744">
        <v>27.47</v>
      </c>
      <c r="BP28" s="745">
        <v>35.387999999999998</v>
      </c>
      <c r="BQ28" s="745">
        <v>51.811</v>
      </c>
      <c r="BR28" s="745">
        <v>52.777999999999999</v>
      </c>
      <c r="BS28" s="745">
        <v>50.716999999999999</v>
      </c>
      <c r="BT28" s="744">
        <f t="shared" si="22"/>
        <v>50.716999999999999</v>
      </c>
      <c r="BU28" s="745">
        <v>58.831000000000003</v>
      </c>
      <c r="BV28" s="745">
        <v>73.344999999999999</v>
      </c>
      <c r="BW28" s="745">
        <v>74.590999999999994</v>
      </c>
      <c r="BX28" s="745">
        <v>64.552000000000007</v>
      </c>
      <c r="BY28" s="744">
        <f t="shared" si="23"/>
        <v>64.552000000000007</v>
      </c>
      <c r="BZ28" s="745">
        <v>69.272000000000006</v>
      </c>
      <c r="CA28" s="745">
        <f>418.855+67.184</f>
        <v>486.03899999999999</v>
      </c>
      <c r="CB28" s="745">
        <v>68.811000000000007</v>
      </c>
      <c r="CC28" s="745">
        <f t="shared" si="24"/>
        <v>67.542000000000002</v>
      </c>
      <c r="CD28" s="744">
        <v>67.542000000000002</v>
      </c>
      <c r="CE28" s="971">
        <v>66.602999999999994</v>
      </c>
      <c r="CF28" s="745">
        <v>71.421000000000006</v>
      </c>
      <c r="CG28" s="745">
        <v>56.496000000000002</v>
      </c>
      <c r="CH28" s="745">
        <v>52.012999999999998</v>
      </c>
      <c r="CI28" s="746">
        <f t="shared" si="25"/>
        <v>52.012999999999998</v>
      </c>
      <c r="CJ28" s="745">
        <v>48.087000000000003</v>
      </c>
      <c r="CK28" s="745">
        <v>33.454999999999998</v>
      </c>
      <c r="CL28" s="745">
        <v>34.107999999999997</v>
      </c>
      <c r="CM28" s="745">
        <v>43.621000000000002</v>
      </c>
      <c r="CN28" s="746">
        <f t="shared" si="32"/>
        <v>43.621000000000002</v>
      </c>
      <c r="CO28" s="745">
        <v>44.886000000000003</v>
      </c>
      <c r="CP28" s="745">
        <v>43.481999999999999</v>
      </c>
      <c r="CQ28" s="745">
        <v>41.988999999999997</v>
      </c>
      <c r="CR28" s="745">
        <v>64.521000000000001</v>
      </c>
      <c r="CS28" s="746">
        <f t="shared" si="33"/>
        <v>64.521000000000001</v>
      </c>
      <c r="CT28" s="745">
        <v>72.894999999999996</v>
      </c>
      <c r="CU28" s="745">
        <v>72.2</v>
      </c>
      <c r="CV28" s="745">
        <v>75.637</v>
      </c>
      <c r="CW28" s="745">
        <v>95.47</v>
      </c>
      <c r="CX28" s="746">
        <f t="shared" ref="CX28:DC28" si="42">CW28</f>
        <v>95.47</v>
      </c>
      <c r="CY28" s="745">
        <v>145.06700000000001</v>
      </c>
      <c r="CZ28" s="745">
        <v>156.75800000000001</v>
      </c>
      <c r="DA28" s="745">
        <v>165.59399999999999</v>
      </c>
      <c r="DB28" s="745">
        <v>173.52099999999999</v>
      </c>
      <c r="DC28" s="746">
        <f t="shared" si="42"/>
        <v>173.52099999999999</v>
      </c>
      <c r="DD28" s="745">
        <v>210.09299999999999</v>
      </c>
      <c r="DE28" s="745">
        <f>213.069+61.87</f>
        <v>274.93899999999996</v>
      </c>
      <c r="DF28" s="745">
        <f>213.649+69.688</f>
        <v>283.33699999999999</v>
      </c>
      <c r="DG28" s="745">
        <f>229.089+79.516</f>
        <v>308.60500000000002</v>
      </c>
      <c r="DH28" s="746">
        <f t="shared" ref="DH28:DW28" si="43">DG28</f>
        <v>308.60500000000002</v>
      </c>
      <c r="DI28" s="827">
        <f t="shared" si="43"/>
        <v>308.60500000000002</v>
      </c>
      <c r="DJ28" s="827">
        <f t="shared" si="43"/>
        <v>308.60500000000002</v>
      </c>
      <c r="DK28" s="827">
        <f t="shared" si="43"/>
        <v>308.60500000000002</v>
      </c>
      <c r="DL28" s="827">
        <f t="shared" si="43"/>
        <v>308.60500000000002</v>
      </c>
      <c r="DM28" s="746">
        <f t="shared" si="43"/>
        <v>308.60500000000002</v>
      </c>
      <c r="DN28" s="827">
        <f t="shared" si="43"/>
        <v>308.60500000000002</v>
      </c>
      <c r="DO28" s="827">
        <f t="shared" si="43"/>
        <v>308.60500000000002</v>
      </c>
      <c r="DP28" s="827">
        <f t="shared" si="43"/>
        <v>308.60500000000002</v>
      </c>
      <c r="DQ28" s="827">
        <f t="shared" si="43"/>
        <v>308.60500000000002</v>
      </c>
      <c r="DR28" s="746">
        <f t="shared" si="43"/>
        <v>308.60500000000002</v>
      </c>
      <c r="DS28" s="827">
        <f t="shared" si="43"/>
        <v>308.60500000000002</v>
      </c>
      <c r="DT28" s="827">
        <f t="shared" si="43"/>
        <v>308.60500000000002</v>
      </c>
      <c r="DU28" s="827">
        <f t="shared" si="43"/>
        <v>308.60500000000002</v>
      </c>
      <c r="DV28" s="827">
        <f t="shared" si="43"/>
        <v>308.60500000000002</v>
      </c>
      <c r="DW28" s="746">
        <f t="shared" si="43"/>
        <v>308.60500000000002</v>
      </c>
      <c r="DY28" s="518"/>
      <c r="EB28"/>
      <c r="EC28"/>
      <c r="ED28"/>
      <c r="EE28"/>
      <c r="EF28"/>
      <c r="EG28"/>
    </row>
    <row r="29" spans="1:137" s="212" customFormat="1">
      <c r="A29" s="597" t="s">
        <v>292</v>
      </c>
      <c r="B29" s="263"/>
      <c r="C29" s="264"/>
      <c r="D29" s="233"/>
      <c r="E29" s="233"/>
      <c r="F29" s="234"/>
      <c r="G29" s="233"/>
      <c r="H29" s="233"/>
      <c r="I29" s="233"/>
      <c r="J29" s="233"/>
      <c r="K29" s="263"/>
      <c r="L29" s="262"/>
      <c r="M29" s="233"/>
      <c r="N29" s="233"/>
      <c r="O29" s="233"/>
      <c r="P29" s="265"/>
      <c r="Q29" s="265"/>
      <c r="R29" s="264"/>
      <c r="S29" s="233"/>
      <c r="T29" s="233"/>
      <c r="U29" s="233"/>
      <c r="V29" s="234"/>
      <c r="W29" s="264"/>
      <c r="X29" s="233"/>
      <c r="Y29" s="233"/>
      <c r="Z29" s="263"/>
      <c r="AA29" s="234"/>
      <c r="AB29" s="264"/>
      <c r="AC29" s="233"/>
      <c r="AD29" s="233"/>
      <c r="AE29" s="263"/>
      <c r="AF29" s="234"/>
      <c r="AG29" s="264"/>
      <c r="AH29" s="233"/>
      <c r="AI29" s="233"/>
      <c r="AJ29" s="263"/>
      <c r="AK29" s="121"/>
      <c r="AL29" s="88"/>
      <c r="AM29" s="92"/>
      <c r="AN29" s="88"/>
      <c r="AO29" s="91"/>
      <c r="AP29" s="91"/>
      <c r="AQ29" s="88"/>
      <c r="AR29" s="88"/>
      <c r="AS29" s="88"/>
      <c r="AT29" s="91"/>
      <c r="AU29" s="91"/>
      <c r="AV29" s="88"/>
      <c r="AW29" s="88"/>
      <c r="AX29" s="88"/>
      <c r="AY29" s="91"/>
      <c r="AZ29" s="739"/>
      <c r="BA29" s="88"/>
      <c r="BB29" s="88"/>
      <c r="BC29" s="88"/>
      <c r="BD29" s="91"/>
      <c r="BE29" s="739">
        <f>SUM(BE20:BE28)</f>
        <v>1560.4489999999996</v>
      </c>
      <c r="BF29" s="176"/>
      <c r="BG29" s="176"/>
      <c r="BH29" s="176"/>
      <c r="BI29" s="179"/>
      <c r="BJ29" s="739">
        <f t="shared" ref="BJ29:CH29" si="44">SUM(BJ20:BJ28)</f>
        <v>1454.5669999999998</v>
      </c>
      <c r="BK29" s="740">
        <f t="shared" si="44"/>
        <v>1405.4119999999998</v>
      </c>
      <c r="BL29" s="740">
        <f t="shared" si="44"/>
        <v>1355.9349999999999</v>
      </c>
      <c r="BM29" s="740">
        <f t="shared" si="44"/>
        <v>1322.17</v>
      </c>
      <c r="BN29" s="741">
        <f t="shared" si="44"/>
        <v>4645.62</v>
      </c>
      <c r="BO29" s="739">
        <f t="shared" si="44"/>
        <v>4645.62</v>
      </c>
      <c r="BP29" s="740">
        <f t="shared" si="44"/>
        <v>4642.6779999999999</v>
      </c>
      <c r="BQ29" s="740">
        <f t="shared" si="44"/>
        <v>5082.415</v>
      </c>
      <c r="BR29" s="740">
        <f t="shared" si="44"/>
        <v>5068.3060000000005</v>
      </c>
      <c r="BS29" s="741">
        <f t="shared" si="44"/>
        <v>4975.4159999999993</v>
      </c>
      <c r="BT29" s="739">
        <f t="shared" si="44"/>
        <v>4975.4159999999993</v>
      </c>
      <c r="BU29" s="740">
        <f t="shared" si="44"/>
        <v>4868.478000000001</v>
      </c>
      <c r="BV29" s="740">
        <f t="shared" si="44"/>
        <v>4839.7</v>
      </c>
      <c r="BW29" s="740">
        <f t="shared" si="44"/>
        <v>4854.68</v>
      </c>
      <c r="BX29" s="741">
        <f t="shared" si="44"/>
        <v>4732.6540000000005</v>
      </c>
      <c r="BY29" s="739">
        <f t="shared" si="44"/>
        <v>4732.6540000000005</v>
      </c>
      <c r="BZ29" s="740">
        <f t="shared" si="44"/>
        <v>4740.741</v>
      </c>
      <c r="CA29" s="740">
        <f t="shared" si="44"/>
        <v>4751.6319999999996</v>
      </c>
      <c r="CB29" s="740">
        <f t="shared" si="44"/>
        <v>4253.2949999999992</v>
      </c>
      <c r="CC29" s="741">
        <f t="shared" si="44"/>
        <v>4300.6680000000006</v>
      </c>
      <c r="CD29" s="739">
        <f t="shared" si="44"/>
        <v>4300.6680000000006</v>
      </c>
      <c r="CE29" s="972">
        <f t="shared" si="44"/>
        <v>4266.1040000000003</v>
      </c>
      <c r="CF29" s="740">
        <f t="shared" si="44"/>
        <v>4310.4809999999998</v>
      </c>
      <c r="CG29" s="740">
        <f t="shared" si="44"/>
        <v>4340.0789999999997</v>
      </c>
      <c r="CH29" s="741">
        <f t="shared" si="44"/>
        <v>4303.1989999999996</v>
      </c>
      <c r="CI29" s="742">
        <f t="shared" ref="CI29:CS29" si="45">SUM(CI20:CI28)</f>
        <v>4303.1989999999996</v>
      </c>
      <c r="CJ29" s="740">
        <f t="shared" si="45"/>
        <v>4256.9780000000001</v>
      </c>
      <c r="CK29" s="740">
        <f t="shared" si="45"/>
        <v>4316.6949999999997</v>
      </c>
      <c r="CL29" s="740">
        <f t="shared" si="45"/>
        <v>4323.9549999999999</v>
      </c>
      <c r="CM29" s="741">
        <f t="shared" si="45"/>
        <v>4363.04</v>
      </c>
      <c r="CN29" s="742">
        <f t="shared" si="45"/>
        <v>4363.04</v>
      </c>
      <c r="CO29" s="740">
        <f t="shared" si="45"/>
        <v>4154.0770000000011</v>
      </c>
      <c r="CP29" s="740">
        <f t="shared" si="45"/>
        <v>4157.0550000000003</v>
      </c>
      <c r="CQ29" s="740">
        <f t="shared" si="45"/>
        <v>4179.4549999999999</v>
      </c>
      <c r="CR29" s="741">
        <f t="shared" si="45"/>
        <v>4145.8419999999996</v>
      </c>
      <c r="CS29" s="742">
        <f t="shared" si="45"/>
        <v>4145.8419999999996</v>
      </c>
      <c r="CT29" s="740">
        <f t="shared" ref="CT29:DC29" si="46">SUM(CT20:CT28)</f>
        <v>4133.835</v>
      </c>
      <c r="CU29" s="740">
        <f t="shared" si="46"/>
        <v>5106.5450000000001</v>
      </c>
      <c r="CV29" s="740">
        <f t="shared" si="46"/>
        <v>4080.7820000000006</v>
      </c>
      <c r="CW29" s="741">
        <f t="shared" si="46"/>
        <v>4108.72</v>
      </c>
      <c r="CX29" s="742">
        <f t="shared" si="46"/>
        <v>4108.72</v>
      </c>
      <c r="CY29" s="740">
        <f t="shared" si="46"/>
        <v>4150.3100000000004</v>
      </c>
      <c r="CZ29" s="740">
        <f t="shared" si="46"/>
        <v>4135.2199999999993</v>
      </c>
      <c r="DA29" s="740">
        <f t="shared" si="46"/>
        <v>4114.424</v>
      </c>
      <c r="DB29" s="741">
        <f t="shared" si="46"/>
        <v>3939.3139999999999</v>
      </c>
      <c r="DC29" s="742">
        <f t="shared" si="46"/>
        <v>3939.3139999999999</v>
      </c>
      <c r="DD29" s="740">
        <f t="shared" ref="DD29:DW29" si="47">SUM(DD20:DD28)</f>
        <v>3952.3249999999998</v>
      </c>
      <c r="DE29" s="740">
        <f t="shared" si="47"/>
        <v>4108.6630000000005</v>
      </c>
      <c r="DF29" s="740">
        <f t="shared" si="47"/>
        <v>4090.2730000000001</v>
      </c>
      <c r="DG29" s="741">
        <f t="shared" si="47"/>
        <v>4096.9380000000001</v>
      </c>
      <c r="DH29" s="742">
        <f t="shared" si="47"/>
        <v>4096.9380000000001</v>
      </c>
      <c r="DI29" s="1004">
        <f t="shared" si="47"/>
        <v>4069.6463405828754</v>
      </c>
      <c r="DJ29" s="1004">
        <f t="shared" si="47"/>
        <v>4053.3316325153187</v>
      </c>
      <c r="DK29" s="1004">
        <f t="shared" si="47"/>
        <v>4032.7312983134175</v>
      </c>
      <c r="DL29" s="1005">
        <f t="shared" si="47"/>
        <v>4006.6930397148853</v>
      </c>
      <c r="DM29" s="742">
        <f t="shared" si="47"/>
        <v>4006.6930397148853</v>
      </c>
      <c r="DN29" s="1004">
        <f t="shared" si="47"/>
        <v>3989.3924386910089</v>
      </c>
      <c r="DO29" s="1004">
        <f t="shared" si="47"/>
        <v>3981.232001642064</v>
      </c>
      <c r="DP29" s="1004">
        <f t="shared" si="47"/>
        <v>3968.9929480192914</v>
      </c>
      <c r="DQ29" s="1005">
        <f t="shared" si="47"/>
        <v>3950.2072032964311</v>
      </c>
      <c r="DR29" s="742">
        <f t="shared" si="47"/>
        <v>3950.2072032964311</v>
      </c>
      <c r="DS29" s="1004">
        <f t="shared" si="47"/>
        <v>3957.049265383846</v>
      </c>
      <c r="DT29" s="1004">
        <f t="shared" si="47"/>
        <v>3975.0495206135824</v>
      </c>
      <c r="DU29" s="1004">
        <f t="shared" si="47"/>
        <v>3989.2916034835634</v>
      </c>
      <c r="DV29" s="1005">
        <f t="shared" si="47"/>
        <v>3997.2467042456419</v>
      </c>
      <c r="DW29" s="742">
        <f t="shared" si="47"/>
        <v>3997.2467042456419</v>
      </c>
      <c r="DY29" s="518"/>
      <c r="EB29"/>
      <c r="EC29"/>
      <c r="ED29"/>
      <c r="EE29"/>
      <c r="EF29"/>
      <c r="EG29"/>
    </row>
    <row r="30" spans="1:137" s="80" customFormat="1">
      <c r="A30" s="598"/>
      <c r="B30" s="113"/>
      <c r="C30" s="109"/>
      <c r="D30" s="110"/>
      <c r="E30" s="110"/>
      <c r="F30" s="236"/>
      <c r="G30" s="110"/>
      <c r="H30" s="110"/>
      <c r="I30" s="110"/>
      <c r="J30" s="110"/>
      <c r="K30" s="113"/>
      <c r="L30" s="111"/>
      <c r="M30" s="110"/>
      <c r="N30" s="110"/>
      <c r="O30" s="110"/>
      <c r="P30" s="113"/>
      <c r="Q30" s="113"/>
      <c r="R30" s="109"/>
      <c r="S30" s="110"/>
      <c r="T30" s="110"/>
      <c r="U30" s="110"/>
      <c r="V30" s="236"/>
      <c r="W30" s="109"/>
      <c r="X30" s="110"/>
      <c r="Y30" s="110"/>
      <c r="Z30" s="113"/>
      <c r="AA30" s="236"/>
      <c r="AB30" s="109"/>
      <c r="AC30" s="110"/>
      <c r="AD30" s="110"/>
      <c r="AE30" s="113"/>
      <c r="AF30" s="236"/>
      <c r="AG30" s="109"/>
      <c r="AH30" s="110"/>
      <c r="AI30" s="110"/>
      <c r="AJ30" s="113"/>
      <c r="AK30" s="236"/>
      <c r="AL30" s="110"/>
      <c r="AM30" s="114"/>
      <c r="AN30" s="110"/>
      <c r="AO30" s="113"/>
      <c r="AP30" s="113"/>
      <c r="AQ30" s="110"/>
      <c r="AR30" s="110"/>
      <c r="AS30" s="110"/>
      <c r="AT30" s="113"/>
      <c r="AU30" s="113"/>
      <c r="AV30" s="110"/>
      <c r="AW30" s="110"/>
      <c r="AX30" s="110"/>
      <c r="AY30" s="113"/>
      <c r="AZ30" s="744"/>
      <c r="BA30" s="110"/>
      <c r="BB30" s="110"/>
      <c r="BC30" s="110"/>
      <c r="BD30" s="113"/>
      <c r="BE30" s="744"/>
      <c r="BF30" s="180"/>
      <c r="BG30" s="180"/>
      <c r="BH30" s="180"/>
      <c r="BI30" s="180"/>
      <c r="BJ30" s="744"/>
      <c r="BK30" s="745"/>
      <c r="BL30" s="745"/>
      <c r="BM30" s="745"/>
      <c r="BN30" s="745"/>
      <c r="BO30" s="744"/>
      <c r="BP30" s="745"/>
      <c r="BQ30" s="745"/>
      <c r="BR30" s="745"/>
      <c r="BS30" s="745"/>
      <c r="BT30" s="744"/>
      <c r="BU30" s="745"/>
      <c r="BV30" s="745"/>
      <c r="BW30" s="745"/>
      <c r="BX30" s="745"/>
      <c r="BY30" s="744"/>
      <c r="BZ30" s="745"/>
      <c r="CA30" s="745"/>
      <c r="CB30" s="745"/>
      <c r="CC30" s="745"/>
      <c r="CD30" s="744"/>
      <c r="CE30" s="745"/>
      <c r="CF30" s="745"/>
      <c r="CG30" s="745"/>
      <c r="CH30" s="745"/>
      <c r="CI30" s="746"/>
      <c r="CJ30" s="827"/>
      <c r="CK30" s="827"/>
      <c r="CL30" s="745"/>
      <c r="CM30" s="745"/>
      <c r="CN30" s="746"/>
      <c r="CO30" s="745"/>
      <c r="CP30" s="745"/>
      <c r="CQ30" s="745"/>
      <c r="CR30" s="827"/>
      <c r="CS30" s="746"/>
      <c r="CT30" s="745"/>
      <c r="CU30" s="745"/>
      <c r="CV30" s="745"/>
      <c r="CW30" s="827"/>
      <c r="CX30" s="746"/>
      <c r="CY30" s="745"/>
      <c r="CZ30" s="745"/>
      <c r="DA30" s="745"/>
      <c r="DB30" s="827"/>
      <c r="DC30" s="746"/>
      <c r="DD30" s="745"/>
      <c r="DE30" s="745"/>
      <c r="DF30" s="745"/>
      <c r="DG30" s="745"/>
      <c r="DH30" s="746"/>
      <c r="DI30" s="827"/>
      <c r="DJ30" s="827"/>
      <c r="DK30" s="827"/>
      <c r="DL30" s="827"/>
      <c r="DM30" s="746"/>
      <c r="DN30" s="827"/>
      <c r="DO30" s="827"/>
      <c r="DP30" s="827"/>
      <c r="DQ30" s="827"/>
      <c r="DR30" s="746"/>
      <c r="DS30" s="827"/>
      <c r="DT30" s="827"/>
      <c r="DU30" s="827"/>
      <c r="DV30" s="827"/>
      <c r="DW30" s="746"/>
      <c r="EB30"/>
      <c r="EC30"/>
      <c r="ED30"/>
      <c r="EE30"/>
      <c r="EF30"/>
      <c r="EG30"/>
    </row>
    <row r="31" spans="1:137" s="80" customFormat="1">
      <c r="A31" s="597" t="s">
        <v>293</v>
      </c>
      <c r="B31" s="268"/>
      <c r="C31" s="267"/>
      <c r="D31" s="84"/>
      <c r="E31" s="84"/>
      <c r="F31" s="266"/>
      <c r="G31" s="84"/>
      <c r="H31" s="84"/>
      <c r="I31" s="84"/>
      <c r="J31" s="84"/>
      <c r="K31" s="268"/>
      <c r="L31" s="268"/>
      <c r="M31" s="84"/>
      <c r="N31" s="84"/>
      <c r="O31" s="84"/>
      <c r="P31" s="268"/>
      <c r="Q31" s="268"/>
      <c r="R31" s="267"/>
      <c r="S31" s="84"/>
      <c r="T31" s="84"/>
      <c r="U31" s="84"/>
      <c r="V31" s="266"/>
      <c r="W31" s="267"/>
      <c r="X31" s="84"/>
      <c r="Y31" s="84"/>
      <c r="Z31" s="268"/>
      <c r="AA31" s="266"/>
      <c r="AB31" s="267"/>
      <c r="AC31" s="84"/>
      <c r="AD31" s="84"/>
      <c r="AE31" s="268"/>
      <c r="AF31" s="266"/>
      <c r="AG31" s="267"/>
      <c r="AH31" s="84"/>
      <c r="AI31" s="84"/>
      <c r="AJ31" s="268"/>
      <c r="AK31" s="266"/>
      <c r="AL31" s="269"/>
      <c r="AM31" s="83"/>
      <c r="AN31" s="84"/>
      <c r="AO31" s="268"/>
      <c r="AP31" s="268"/>
      <c r="AQ31" s="84"/>
      <c r="AR31" s="84"/>
      <c r="AS31" s="84"/>
      <c r="AT31" s="268"/>
      <c r="AU31" s="268"/>
      <c r="AV31" s="84"/>
      <c r="AW31" s="84"/>
      <c r="AX31" s="84"/>
      <c r="AY31" s="268"/>
      <c r="AZ31" s="739"/>
      <c r="BA31" s="84"/>
      <c r="BB31" s="84"/>
      <c r="BC31" s="84"/>
      <c r="BD31" s="268"/>
      <c r="BE31" s="739"/>
      <c r="BF31" s="176"/>
      <c r="BG31" s="176"/>
      <c r="BH31" s="176"/>
      <c r="BI31" s="179"/>
      <c r="BJ31" s="739"/>
      <c r="BK31" s="740"/>
      <c r="BL31" s="740"/>
      <c r="BM31" s="740"/>
      <c r="BN31" s="741"/>
      <c r="BO31" s="739"/>
      <c r="BP31" s="740"/>
      <c r="BQ31" s="740"/>
      <c r="BR31" s="740"/>
      <c r="BS31" s="741"/>
      <c r="BT31" s="739"/>
      <c r="BU31" s="740"/>
      <c r="BV31" s="740"/>
      <c r="BW31" s="740"/>
      <c r="BX31" s="741"/>
      <c r="BY31" s="739"/>
      <c r="BZ31" s="740"/>
      <c r="CA31" s="740"/>
      <c r="CB31" s="740"/>
      <c r="CC31" s="741"/>
      <c r="CD31" s="739"/>
      <c r="CE31" s="740"/>
      <c r="CF31" s="740"/>
      <c r="CG31" s="740"/>
      <c r="CH31" s="741"/>
      <c r="CI31" s="742"/>
      <c r="CJ31" s="1004"/>
      <c r="CK31" s="1004"/>
      <c r="CL31" s="740"/>
      <c r="CM31" s="741"/>
      <c r="CN31" s="742"/>
      <c r="CO31" s="740"/>
      <c r="CP31" s="740"/>
      <c r="CQ31" s="740"/>
      <c r="CR31" s="1005"/>
      <c r="CS31" s="742"/>
      <c r="CT31" s="740"/>
      <c r="CU31" s="740"/>
      <c r="CV31" s="740"/>
      <c r="CW31" s="1005"/>
      <c r="CX31" s="742"/>
      <c r="CY31" s="740"/>
      <c r="CZ31" s="740"/>
      <c r="DA31" s="740"/>
      <c r="DB31" s="1005"/>
      <c r="DC31" s="742"/>
      <c r="DD31" s="740"/>
      <c r="DE31" s="740"/>
      <c r="DF31" s="740"/>
      <c r="DG31" s="741"/>
      <c r="DH31" s="742"/>
      <c r="DI31" s="1004"/>
      <c r="DJ31" s="1004"/>
      <c r="DK31" s="1004"/>
      <c r="DL31" s="1005"/>
      <c r="DM31" s="742"/>
      <c r="DN31" s="1004"/>
      <c r="DO31" s="1004"/>
      <c r="DP31" s="1004"/>
      <c r="DQ31" s="1005"/>
      <c r="DR31" s="742"/>
      <c r="DS31" s="1004"/>
      <c r="DT31" s="1004"/>
      <c r="DU31" s="1004"/>
      <c r="DV31" s="1005"/>
      <c r="DW31" s="742"/>
      <c r="EB31"/>
      <c r="EC31"/>
      <c r="ED31"/>
      <c r="EE31"/>
      <c r="EF31"/>
      <c r="EG31"/>
    </row>
    <row r="32" spans="1:137" s="45" customFormat="1">
      <c r="A32" s="743" t="s">
        <v>134</v>
      </c>
      <c r="B32" s="91"/>
      <c r="C32" s="87"/>
      <c r="D32" s="88"/>
      <c r="E32" s="88"/>
      <c r="F32" s="121"/>
      <c r="G32" s="88"/>
      <c r="H32" s="88"/>
      <c r="I32" s="88"/>
      <c r="J32" s="88"/>
      <c r="K32" s="91"/>
      <c r="L32" s="99"/>
      <c r="M32" s="88"/>
      <c r="N32" s="88"/>
      <c r="O32" s="88"/>
      <c r="P32" s="90"/>
      <c r="Q32" s="90"/>
      <c r="R32" s="87"/>
      <c r="S32" s="88"/>
      <c r="T32" s="88"/>
      <c r="U32" s="88"/>
      <c r="V32" s="121"/>
      <c r="W32" s="87"/>
      <c r="X32" s="88"/>
      <c r="Y32" s="88"/>
      <c r="Z32" s="91"/>
      <c r="AA32" s="121"/>
      <c r="AB32" s="87"/>
      <c r="AC32" s="88"/>
      <c r="AD32" s="88"/>
      <c r="AE32" s="91"/>
      <c r="AF32" s="121"/>
      <c r="AG32" s="87"/>
      <c r="AH32" s="88"/>
      <c r="AI32" s="88"/>
      <c r="AJ32" s="91"/>
      <c r="AK32" s="121"/>
      <c r="AL32" s="88"/>
      <c r="AM32" s="92"/>
      <c r="AN32" s="88"/>
      <c r="AO32" s="91"/>
      <c r="AP32" s="91"/>
      <c r="AQ32" s="88"/>
      <c r="AR32" s="88"/>
      <c r="AS32" s="88"/>
      <c r="AT32" s="91"/>
      <c r="AU32" s="91"/>
      <c r="AV32" s="88"/>
      <c r="AW32" s="88"/>
      <c r="AX32" s="88"/>
      <c r="AY32" s="91"/>
      <c r="AZ32" s="744"/>
      <c r="BA32" s="87"/>
      <c r="BB32" s="88"/>
      <c r="BC32" s="93"/>
      <c r="BD32" s="94"/>
      <c r="BE32" s="744">
        <v>4.5640000000000001</v>
      </c>
      <c r="BF32" s="176"/>
      <c r="BG32" s="176"/>
      <c r="BH32" s="176"/>
      <c r="BI32" s="176"/>
      <c r="BJ32" s="739"/>
      <c r="BK32" s="740"/>
      <c r="BL32" s="740"/>
      <c r="BM32" s="740"/>
      <c r="BN32" s="740"/>
      <c r="BO32" s="739"/>
      <c r="BP32" s="740"/>
      <c r="BQ32" s="740"/>
      <c r="BR32" s="740"/>
      <c r="BS32" s="740"/>
      <c r="BT32" s="739"/>
      <c r="BU32" s="740"/>
      <c r="BV32" s="740"/>
      <c r="BW32" s="740"/>
      <c r="BX32" s="740"/>
      <c r="BY32" s="739"/>
      <c r="BZ32" s="740"/>
      <c r="CA32" s="740"/>
      <c r="CB32" s="740"/>
      <c r="CC32" s="740"/>
      <c r="CD32" s="739"/>
      <c r="CE32" s="740"/>
      <c r="CF32" s="740"/>
      <c r="CG32" s="740"/>
      <c r="CH32" s="740"/>
      <c r="CI32" s="742"/>
      <c r="CJ32" s="1004"/>
      <c r="CK32" s="1004"/>
      <c r="CL32" s="740"/>
      <c r="CM32" s="740"/>
      <c r="CN32" s="742"/>
      <c r="CO32" s="740"/>
      <c r="CP32" s="740"/>
      <c r="CQ32" s="740"/>
      <c r="CR32" s="1004"/>
      <c r="CS32" s="742"/>
      <c r="CT32" s="740"/>
      <c r="CU32" s="740"/>
      <c r="CV32" s="740"/>
      <c r="CW32" s="1004"/>
      <c r="CX32" s="742"/>
      <c r="CY32" s="740"/>
      <c r="CZ32" s="740"/>
      <c r="DA32" s="740"/>
      <c r="DB32" s="1004"/>
      <c r="DC32" s="742"/>
      <c r="DD32" s="740"/>
      <c r="DE32" s="740"/>
      <c r="DF32" s="740"/>
      <c r="DG32" s="740"/>
      <c r="DH32" s="742"/>
      <c r="DI32" s="1004"/>
      <c r="DJ32" s="1004"/>
      <c r="DK32" s="1004"/>
      <c r="DL32" s="1004"/>
      <c r="DM32" s="742"/>
      <c r="DN32" s="1004"/>
      <c r="DO32" s="1004"/>
      <c r="DP32" s="1004"/>
      <c r="DQ32" s="1004"/>
      <c r="DR32" s="742"/>
      <c r="DS32" s="1004"/>
      <c r="DT32" s="1004"/>
      <c r="DU32" s="1004"/>
      <c r="DV32" s="1004"/>
      <c r="DW32" s="742"/>
      <c r="EB32"/>
      <c r="EC32"/>
      <c r="ED32"/>
      <c r="EE32"/>
      <c r="EF32"/>
      <c r="EG32"/>
    </row>
    <row r="33" spans="1:150" s="45" customFormat="1">
      <c r="A33" s="743" t="s">
        <v>201</v>
      </c>
      <c r="B33" s="91"/>
      <c r="C33" s="87"/>
      <c r="D33" s="88"/>
      <c r="E33" s="88"/>
      <c r="F33" s="121"/>
      <c r="G33" s="88"/>
      <c r="H33" s="88"/>
      <c r="I33" s="88"/>
      <c r="J33" s="88"/>
      <c r="K33" s="91"/>
      <c r="L33" s="99"/>
      <c r="M33" s="88"/>
      <c r="N33" s="88"/>
      <c r="O33" s="88"/>
      <c r="P33" s="90"/>
      <c r="Q33" s="90"/>
      <c r="R33" s="87"/>
      <c r="S33" s="88"/>
      <c r="T33" s="88"/>
      <c r="U33" s="88"/>
      <c r="V33" s="121"/>
      <c r="W33" s="87"/>
      <c r="X33" s="88"/>
      <c r="Y33" s="88"/>
      <c r="Z33" s="91"/>
      <c r="AA33" s="121"/>
      <c r="AB33" s="87"/>
      <c r="AC33" s="88"/>
      <c r="AD33" s="88"/>
      <c r="AE33" s="91"/>
      <c r="AF33" s="121"/>
      <c r="AG33" s="87"/>
      <c r="AH33" s="88"/>
      <c r="AI33" s="88"/>
      <c r="AJ33" s="91"/>
      <c r="AK33" s="121"/>
      <c r="AL33" s="88"/>
      <c r="AM33" s="92"/>
      <c r="AN33" s="88"/>
      <c r="AO33" s="91"/>
      <c r="AP33" s="91"/>
      <c r="AQ33" s="88"/>
      <c r="AR33" s="88"/>
      <c r="AS33" s="88"/>
      <c r="AT33" s="91"/>
      <c r="AU33" s="91"/>
      <c r="AV33" s="88"/>
      <c r="AW33" s="88"/>
      <c r="AX33" s="88"/>
      <c r="AY33" s="91"/>
      <c r="AZ33" s="744"/>
      <c r="BA33" s="87"/>
      <c r="BB33" s="88"/>
      <c r="BC33" s="93"/>
      <c r="BD33" s="94"/>
      <c r="BE33" s="744">
        <v>18.117999999999999</v>
      </c>
      <c r="BF33" s="180"/>
      <c r="BG33" s="180"/>
      <c r="BH33" s="180"/>
      <c r="BI33" s="180"/>
      <c r="BJ33" s="744">
        <v>27.802</v>
      </c>
      <c r="BK33" s="745">
        <v>26.321999999999999</v>
      </c>
      <c r="BL33" s="745">
        <v>15.355</v>
      </c>
      <c r="BM33" s="745">
        <v>54.914999999999999</v>
      </c>
      <c r="BN33" s="745">
        <v>30.425999999999998</v>
      </c>
      <c r="BO33" s="744">
        <v>30.425999999999998</v>
      </c>
      <c r="BP33" s="745">
        <v>30.731999999999999</v>
      </c>
      <c r="BQ33" s="745">
        <v>29.265999999999998</v>
      </c>
      <c r="BR33" s="745">
        <v>17.489000000000001</v>
      </c>
      <c r="BS33" s="745">
        <v>22.126999999999999</v>
      </c>
      <c r="BT33" s="744">
        <f>BS33</f>
        <v>22.126999999999999</v>
      </c>
      <c r="BU33" s="745">
        <v>15.359</v>
      </c>
      <c r="BV33" s="745">
        <v>18.001999999999999</v>
      </c>
      <c r="BW33" s="745">
        <v>17.922999999999998</v>
      </c>
      <c r="BX33" s="745">
        <v>18.414999999999999</v>
      </c>
      <c r="BY33" s="744">
        <f>BX33</f>
        <v>18.414999999999999</v>
      </c>
      <c r="BZ33" s="745">
        <v>17.350000000000001</v>
      </c>
      <c r="CA33" s="745">
        <v>8.18</v>
      </c>
      <c r="CB33" s="745">
        <v>8.0879999999999992</v>
      </c>
      <c r="CC33" s="745">
        <f t="shared" ref="CC33:CC44" si="48">CD33</f>
        <v>6.5970000000000004</v>
      </c>
      <c r="CD33" s="744">
        <v>6.5970000000000004</v>
      </c>
      <c r="CE33" s="971">
        <v>7.7050000000000001</v>
      </c>
      <c r="CF33" s="745">
        <v>9.9049999999999994</v>
      </c>
      <c r="CG33" s="745">
        <v>10</v>
      </c>
      <c r="CH33" s="745">
        <v>12.911</v>
      </c>
      <c r="CI33" s="746">
        <f>CH33</f>
        <v>12.911</v>
      </c>
      <c r="CJ33" s="745">
        <v>13.803000000000001</v>
      </c>
      <c r="CK33" s="745">
        <v>248.876</v>
      </c>
      <c r="CL33" s="745">
        <v>38.26</v>
      </c>
      <c r="CM33" s="745">
        <v>38.542999999999999</v>
      </c>
      <c r="CN33" s="746">
        <f>CM33</f>
        <v>38.542999999999999</v>
      </c>
      <c r="CO33" s="745">
        <v>37.814</v>
      </c>
      <c r="CP33" s="745">
        <v>37.68</v>
      </c>
      <c r="CQ33" s="745">
        <v>37.484999999999999</v>
      </c>
      <c r="CR33" s="745">
        <v>53.777000000000001</v>
      </c>
      <c r="CS33" s="746">
        <f>CR33</f>
        <v>53.777000000000001</v>
      </c>
      <c r="CT33" s="745">
        <v>57.570999999999998</v>
      </c>
      <c r="CU33" s="745">
        <v>17.594999999999999</v>
      </c>
      <c r="CV33" s="745">
        <v>23.198</v>
      </c>
      <c r="CW33" s="745">
        <v>23.29</v>
      </c>
      <c r="CX33" s="746">
        <f t="shared" ref="CX33:DC33" si="49">CW33</f>
        <v>23.29</v>
      </c>
      <c r="CY33" s="745">
        <v>23.462</v>
      </c>
      <c r="CZ33" s="745">
        <v>23.701000000000001</v>
      </c>
      <c r="DA33" s="745">
        <v>23.83</v>
      </c>
      <c r="DB33" s="745">
        <v>24.652000000000001</v>
      </c>
      <c r="DC33" s="746">
        <f t="shared" si="49"/>
        <v>24.652000000000001</v>
      </c>
      <c r="DD33" s="745">
        <v>24.9</v>
      </c>
      <c r="DE33" s="745">
        <v>28.988</v>
      </c>
      <c r="DF33" s="745">
        <v>29.359000000000002</v>
      </c>
      <c r="DG33" s="745">
        <f>22.75+7.422</f>
        <v>30.172000000000001</v>
      </c>
      <c r="DH33" s="746">
        <f t="shared" ref="DH33:DW33" si="50">DG33</f>
        <v>30.172000000000001</v>
      </c>
      <c r="DI33" s="827">
        <f t="shared" si="50"/>
        <v>30.172000000000001</v>
      </c>
      <c r="DJ33" s="827">
        <f t="shared" si="50"/>
        <v>30.172000000000001</v>
      </c>
      <c r="DK33" s="827">
        <f t="shared" si="50"/>
        <v>30.172000000000001</v>
      </c>
      <c r="DL33" s="827">
        <f t="shared" si="50"/>
        <v>30.172000000000001</v>
      </c>
      <c r="DM33" s="746">
        <f t="shared" si="50"/>
        <v>30.172000000000001</v>
      </c>
      <c r="DN33" s="827">
        <f t="shared" si="50"/>
        <v>30.172000000000001</v>
      </c>
      <c r="DO33" s="827">
        <f t="shared" si="50"/>
        <v>30.172000000000001</v>
      </c>
      <c r="DP33" s="827">
        <f t="shared" si="50"/>
        <v>30.172000000000001</v>
      </c>
      <c r="DQ33" s="827">
        <f t="shared" si="50"/>
        <v>30.172000000000001</v>
      </c>
      <c r="DR33" s="746">
        <f t="shared" si="50"/>
        <v>30.172000000000001</v>
      </c>
      <c r="DS33" s="827">
        <f t="shared" si="50"/>
        <v>30.172000000000001</v>
      </c>
      <c r="DT33" s="827">
        <f t="shared" si="50"/>
        <v>30.172000000000001</v>
      </c>
      <c r="DU33" s="827">
        <f t="shared" si="50"/>
        <v>30.172000000000001</v>
      </c>
      <c r="DV33" s="827">
        <f t="shared" si="50"/>
        <v>30.172000000000001</v>
      </c>
      <c r="DW33" s="746">
        <f t="shared" si="50"/>
        <v>30.172000000000001</v>
      </c>
      <c r="DY33" s="518"/>
      <c r="EB33"/>
      <c r="EC33"/>
      <c r="ED33"/>
      <c r="EE33"/>
      <c r="EF33"/>
      <c r="EG33"/>
    </row>
    <row r="34" spans="1:150" s="45" customFormat="1">
      <c r="A34" s="743" t="s">
        <v>504</v>
      </c>
      <c r="B34" s="91"/>
      <c r="C34" s="87"/>
      <c r="D34" s="88"/>
      <c r="E34" s="88"/>
      <c r="F34" s="121"/>
      <c r="G34" s="88"/>
      <c r="H34" s="88"/>
      <c r="I34" s="88"/>
      <c r="J34" s="88"/>
      <c r="K34" s="91"/>
      <c r="L34" s="99"/>
      <c r="M34" s="88"/>
      <c r="N34" s="88"/>
      <c r="O34" s="88"/>
      <c r="P34" s="90"/>
      <c r="Q34" s="90"/>
      <c r="R34" s="87"/>
      <c r="S34" s="88"/>
      <c r="T34" s="88"/>
      <c r="U34" s="88"/>
      <c r="V34" s="121"/>
      <c r="W34" s="87"/>
      <c r="X34" s="88"/>
      <c r="Y34" s="88"/>
      <c r="Z34" s="91"/>
      <c r="AA34" s="121"/>
      <c r="AB34" s="87"/>
      <c r="AC34" s="88"/>
      <c r="AD34" s="88"/>
      <c r="AE34" s="91"/>
      <c r="AF34" s="121"/>
      <c r="AG34" s="87"/>
      <c r="AH34" s="88"/>
      <c r="AI34" s="88"/>
      <c r="AJ34" s="91"/>
      <c r="AK34" s="121"/>
      <c r="AL34" s="88"/>
      <c r="AM34" s="92"/>
      <c r="AN34" s="88"/>
      <c r="AO34" s="91"/>
      <c r="AP34" s="91"/>
      <c r="AQ34" s="88"/>
      <c r="AR34" s="88"/>
      <c r="AS34" s="88"/>
      <c r="AT34" s="91"/>
      <c r="AU34" s="91"/>
      <c r="AV34" s="88"/>
      <c r="AW34" s="88"/>
      <c r="AX34" s="88"/>
      <c r="AY34" s="91"/>
      <c r="AZ34" s="744"/>
      <c r="BA34" s="87"/>
      <c r="BB34" s="88"/>
      <c r="BC34" s="88"/>
      <c r="BD34" s="91"/>
      <c r="BE34" s="744">
        <v>48.594999999999999</v>
      </c>
      <c r="BF34" s="180"/>
      <c r="BG34" s="180"/>
      <c r="BH34" s="180"/>
      <c r="BI34" s="183"/>
      <c r="BJ34" s="744">
        <v>54.296999999999997</v>
      </c>
      <c r="BK34" s="745">
        <v>53.585000000000001</v>
      </c>
      <c r="BL34" s="745">
        <v>48.225000000000001</v>
      </c>
      <c r="BM34" s="745">
        <v>52.683999999999997</v>
      </c>
      <c r="BN34" s="747">
        <v>139.34</v>
      </c>
      <c r="BO34" s="744">
        <v>139.34</v>
      </c>
      <c r="BP34" s="745">
        <v>108.861</v>
      </c>
      <c r="BQ34" s="745">
        <v>95.515000000000001</v>
      </c>
      <c r="BR34" s="745">
        <v>88.037999999999997</v>
      </c>
      <c r="BS34" s="747">
        <v>103.45399999999999</v>
      </c>
      <c r="BT34" s="744">
        <f>BS34</f>
        <v>103.45399999999999</v>
      </c>
      <c r="BU34" s="745">
        <v>77.691000000000003</v>
      </c>
      <c r="BV34" s="745">
        <v>79.245999999999995</v>
      </c>
      <c r="BW34" s="745">
        <v>88.515000000000001</v>
      </c>
      <c r="BX34" s="747">
        <v>81.361000000000004</v>
      </c>
      <c r="BY34" s="744">
        <f>BX34</f>
        <v>81.361000000000004</v>
      </c>
      <c r="BZ34" s="745">
        <v>68.745000000000005</v>
      </c>
      <c r="CA34" s="745">
        <v>70.963999999999999</v>
      </c>
      <c r="CB34" s="745">
        <v>69.599000000000004</v>
      </c>
      <c r="CC34" s="747">
        <f t="shared" si="48"/>
        <v>81.301000000000002</v>
      </c>
      <c r="CD34" s="744">
        <v>81.301000000000002</v>
      </c>
      <c r="CE34" s="971">
        <v>54.006999999999998</v>
      </c>
      <c r="CF34" s="745">
        <v>53.081000000000003</v>
      </c>
      <c r="CG34" s="745">
        <v>83.27</v>
      </c>
      <c r="CH34" s="747">
        <v>70.825999999999993</v>
      </c>
      <c r="CI34" s="746">
        <f>CH34</f>
        <v>70.825999999999993</v>
      </c>
      <c r="CJ34" s="745">
        <v>55.405999999999999</v>
      </c>
      <c r="CK34" s="745">
        <v>86.646000000000001</v>
      </c>
      <c r="CL34" s="745">
        <v>89.742999999999995</v>
      </c>
      <c r="CM34" s="747">
        <v>83.7</v>
      </c>
      <c r="CN34" s="746">
        <f>CM34</f>
        <v>83.7</v>
      </c>
      <c r="CO34" s="745">
        <v>60.396999999999998</v>
      </c>
      <c r="CP34" s="745">
        <v>74.036000000000001</v>
      </c>
      <c r="CQ34" s="745">
        <v>96.811999999999998</v>
      </c>
      <c r="CR34" s="747">
        <v>80.462999999999994</v>
      </c>
      <c r="CS34" s="746">
        <f>CR34</f>
        <v>80.462999999999994</v>
      </c>
      <c r="CT34" s="745">
        <v>72.271000000000001</v>
      </c>
      <c r="CU34" s="745">
        <v>67.346000000000004</v>
      </c>
      <c r="CV34" s="745">
        <v>60.691000000000003</v>
      </c>
      <c r="CW34" s="747">
        <v>53.680999999999997</v>
      </c>
      <c r="CX34" s="746">
        <f>CW34</f>
        <v>53.680999999999997</v>
      </c>
      <c r="CY34" s="745">
        <v>36.369</v>
      </c>
      <c r="CZ34" s="745">
        <v>38.192</v>
      </c>
      <c r="DA34" s="745">
        <v>39.722000000000001</v>
      </c>
      <c r="DB34" s="747">
        <v>27.635000000000002</v>
      </c>
      <c r="DC34" s="746">
        <f>DB34</f>
        <v>27.635000000000002</v>
      </c>
      <c r="DD34" s="745">
        <v>21.852</v>
      </c>
      <c r="DE34" s="745">
        <v>23.963000000000001</v>
      </c>
      <c r="DF34" s="745">
        <v>25.776</v>
      </c>
      <c r="DG34" s="747">
        <v>22.763999999999999</v>
      </c>
      <c r="DH34" s="746">
        <f>DG34</f>
        <v>22.763999999999999</v>
      </c>
      <c r="DI34" s="827">
        <f>DI83*DI79/365</f>
        <v>27.800619220837369</v>
      </c>
      <c r="DJ34" s="827">
        <f>DJ83*DJ79/365</f>
        <v>28.922074636967018</v>
      </c>
      <c r="DK34" s="827">
        <f>DK83*DK79/365</f>
        <v>30.654655812541037</v>
      </c>
      <c r="DL34" s="1006">
        <f>DL83*DL79/365</f>
        <v>26.223223482408287</v>
      </c>
      <c r="DM34" s="746">
        <f>DL34</f>
        <v>26.223223482408287</v>
      </c>
      <c r="DN34" s="827">
        <f>DN83*DN79/365</f>
        <v>32.752507254664664</v>
      </c>
      <c r="DO34" s="827">
        <f>DO83*DO79/365</f>
        <v>33.902567489137979</v>
      </c>
      <c r="DP34" s="827">
        <f>DP83*DP79/365</f>
        <v>35.916684771724327</v>
      </c>
      <c r="DQ34" s="1006">
        <f>DQ83*DQ79/365</f>
        <v>31.448172542356247</v>
      </c>
      <c r="DR34" s="746">
        <f>DQ34</f>
        <v>31.448172542356247</v>
      </c>
      <c r="DS34" s="827">
        <f>DS83*DS79/365</f>
        <v>35.549668208314088</v>
      </c>
      <c r="DT34" s="827">
        <f>DT83*DT79/365</f>
        <v>36.629194883714611</v>
      </c>
      <c r="DU34" s="827">
        <f>DU83*DU79/365</f>
        <v>38.899868895477539</v>
      </c>
      <c r="DV34" s="1006">
        <f>DV83*DV79/365</f>
        <v>34.513069321086995</v>
      </c>
      <c r="DW34" s="746">
        <f>DV34</f>
        <v>34.513069321086995</v>
      </c>
      <c r="DY34" s="518"/>
      <c r="EB34"/>
      <c r="EC34"/>
      <c r="ED34"/>
      <c r="EE34"/>
      <c r="EF34"/>
      <c r="EG34"/>
    </row>
    <row r="35" spans="1:150" s="45" customFormat="1">
      <c r="A35" s="743" t="s">
        <v>202</v>
      </c>
      <c r="B35" s="91"/>
      <c r="C35" s="87"/>
      <c r="D35" s="88"/>
      <c r="E35" s="88"/>
      <c r="F35" s="121"/>
      <c r="G35" s="88"/>
      <c r="H35" s="88"/>
      <c r="I35" s="88"/>
      <c r="J35" s="88"/>
      <c r="K35" s="91"/>
      <c r="L35" s="99"/>
      <c r="M35" s="88"/>
      <c r="N35" s="88"/>
      <c r="O35" s="88"/>
      <c r="P35" s="90"/>
      <c r="Q35" s="90"/>
      <c r="R35" s="87"/>
      <c r="S35" s="88"/>
      <c r="T35" s="88"/>
      <c r="U35" s="88"/>
      <c r="V35" s="121"/>
      <c r="W35" s="87"/>
      <c r="X35" s="88"/>
      <c r="Y35" s="88"/>
      <c r="Z35" s="91"/>
      <c r="AA35" s="121"/>
      <c r="AB35" s="87"/>
      <c r="AC35" s="88"/>
      <c r="AD35" s="88"/>
      <c r="AE35" s="91"/>
      <c r="AF35" s="121"/>
      <c r="AG35" s="87"/>
      <c r="AH35" s="88"/>
      <c r="AI35" s="88"/>
      <c r="AJ35" s="91"/>
      <c r="AK35" s="121"/>
      <c r="AL35" s="88"/>
      <c r="AM35" s="92"/>
      <c r="AN35" s="88"/>
      <c r="AO35" s="91"/>
      <c r="AP35" s="91"/>
      <c r="AQ35" s="88"/>
      <c r="AR35" s="88"/>
      <c r="AS35" s="88"/>
      <c r="AT35" s="91"/>
      <c r="AU35" s="91"/>
      <c r="AV35" s="88"/>
      <c r="AW35" s="88"/>
      <c r="AX35" s="88"/>
      <c r="AY35" s="91"/>
      <c r="AZ35" s="744"/>
      <c r="BA35" s="87"/>
      <c r="BB35" s="88"/>
      <c r="BC35" s="88"/>
      <c r="BD35" s="91"/>
      <c r="BE35" s="744">
        <v>150.04499999999999</v>
      </c>
      <c r="BF35" s="180"/>
      <c r="BG35" s="180"/>
      <c r="BH35" s="180"/>
      <c r="BI35" s="180"/>
      <c r="BJ35" s="744">
        <v>117.785</v>
      </c>
      <c r="BK35" s="745">
        <v>125.908</v>
      </c>
      <c r="BL35" s="745">
        <v>109.069</v>
      </c>
      <c r="BM35" s="745">
        <v>115.499</v>
      </c>
      <c r="BN35" s="745">
        <v>247.334</v>
      </c>
      <c r="BO35" s="744">
        <v>247.334</v>
      </c>
      <c r="BP35" s="745">
        <v>258.64999999999998</v>
      </c>
      <c r="BQ35" s="745">
        <v>257.50400000000002</v>
      </c>
      <c r="BR35" s="745">
        <v>267.76600000000002</v>
      </c>
      <c r="BS35" s="745">
        <v>269.08999999999997</v>
      </c>
      <c r="BT35" s="744">
        <f>BS35</f>
        <v>269.08999999999997</v>
      </c>
      <c r="BU35" s="745">
        <v>248.81700000000001</v>
      </c>
      <c r="BV35" s="745">
        <v>256.79500000000002</v>
      </c>
      <c r="BW35" s="745">
        <v>247.92500000000001</v>
      </c>
      <c r="BX35" s="745">
        <v>245.15700000000001</v>
      </c>
      <c r="BY35" s="744">
        <f>BX35</f>
        <v>245.15700000000001</v>
      </c>
      <c r="BZ35" s="745">
        <v>240.51900000000001</v>
      </c>
      <c r="CA35" s="745">
        <v>191.96600000000001</v>
      </c>
      <c r="CB35" s="745">
        <v>192.72200000000001</v>
      </c>
      <c r="CC35" s="745">
        <f t="shared" si="48"/>
        <v>210.69800000000001</v>
      </c>
      <c r="CD35" s="744">
        <v>210.69800000000001</v>
      </c>
      <c r="CE35" s="971">
        <v>184.56</v>
      </c>
      <c r="CF35" s="745">
        <v>199.59899999999999</v>
      </c>
      <c r="CG35" s="745">
        <v>175.405</v>
      </c>
      <c r="CH35" s="745">
        <v>137.34800000000001</v>
      </c>
      <c r="CI35" s="746">
        <f>CH35</f>
        <v>137.34800000000001</v>
      </c>
      <c r="CJ35" s="745">
        <v>132.298</v>
      </c>
      <c r="CK35" s="745">
        <v>128.21199999999999</v>
      </c>
      <c r="CL35" s="745">
        <v>156.07499999999999</v>
      </c>
      <c r="CM35" s="745">
        <v>160.1</v>
      </c>
      <c r="CN35" s="746">
        <f>CM35</f>
        <v>160.1</v>
      </c>
      <c r="CO35" s="745">
        <v>139.047</v>
      </c>
      <c r="CP35" s="745">
        <v>140.20099999999999</v>
      </c>
      <c r="CQ35" s="745">
        <v>136.833</v>
      </c>
      <c r="CR35" s="745">
        <v>140.67599999999999</v>
      </c>
      <c r="CS35" s="746">
        <f>CR35</f>
        <v>140.67599999999999</v>
      </c>
      <c r="CT35" s="745">
        <v>123.89</v>
      </c>
      <c r="CU35" s="745">
        <v>130.17599999999999</v>
      </c>
      <c r="CV35" s="745">
        <v>134.57400000000001</v>
      </c>
      <c r="CW35" s="745">
        <v>124.404</v>
      </c>
      <c r="CX35" s="746">
        <f t="shared" ref="CX35:DC35" si="51">CW35</f>
        <v>124.404</v>
      </c>
      <c r="CY35" s="745">
        <v>110.29900000000001</v>
      </c>
      <c r="CZ35" s="745">
        <v>124.739</v>
      </c>
      <c r="DA35" s="745">
        <v>110.67100000000001</v>
      </c>
      <c r="DB35" s="745">
        <v>102.03400000000001</v>
      </c>
      <c r="DC35" s="746">
        <f t="shared" si="51"/>
        <v>102.03400000000001</v>
      </c>
      <c r="DD35" s="745">
        <v>86.465999999999994</v>
      </c>
      <c r="DE35" s="745">
        <v>116.352</v>
      </c>
      <c r="DF35" s="745">
        <v>121.124</v>
      </c>
      <c r="DG35" s="745">
        <v>111.624</v>
      </c>
      <c r="DH35" s="746">
        <f t="shared" ref="DH35:DW35" si="52">DG35</f>
        <v>111.624</v>
      </c>
      <c r="DI35" s="827">
        <f t="shared" si="52"/>
        <v>111.624</v>
      </c>
      <c r="DJ35" s="827">
        <f t="shared" si="52"/>
        <v>111.624</v>
      </c>
      <c r="DK35" s="827">
        <f t="shared" si="52"/>
        <v>111.624</v>
      </c>
      <c r="DL35" s="827">
        <f t="shared" si="52"/>
        <v>111.624</v>
      </c>
      <c r="DM35" s="746">
        <f t="shared" si="52"/>
        <v>111.624</v>
      </c>
      <c r="DN35" s="827">
        <f t="shared" si="52"/>
        <v>111.624</v>
      </c>
      <c r="DO35" s="827">
        <f t="shared" si="52"/>
        <v>111.624</v>
      </c>
      <c r="DP35" s="827">
        <f t="shared" si="52"/>
        <v>111.624</v>
      </c>
      <c r="DQ35" s="827">
        <f t="shared" si="52"/>
        <v>111.624</v>
      </c>
      <c r="DR35" s="746">
        <f t="shared" si="52"/>
        <v>111.624</v>
      </c>
      <c r="DS35" s="827">
        <f t="shared" si="52"/>
        <v>111.624</v>
      </c>
      <c r="DT35" s="827">
        <f t="shared" si="52"/>
        <v>111.624</v>
      </c>
      <c r="DU35" s="827">
        <f t="shared" si="52"/>
        <v>111.624</v>
      </c>
      <c r="DV35" s="827">
        <f t="shared" si="52"/>
        <v>111.624</v>
      </c>
      <c r="DW35" s="746">
        <f t="shared" si="52"/>
        <v>111.624</v>
      </c>
      <c r="DY35" s="518"/>
      <c r="EB35"/>
      <c r="EC35"/>
      <c r="ED35"/>
      <c r="EE35"/>
      <c r="EF35"/>
      <c r="EG35"/>
    </row>
    <row r="36" spans="1:150" s="45" customFormat="1">
      <c r="A36" s="743" t="s">
        <v>505</v>
      </c>
      <c r="B36" s="91"/>
      <c r="C36" s="87"/>
      <c r="D36" s="88"/>
      <c r="E36" s="88"/>
      <c r="F36" s="121"/>
      <c r="G36" s="88"/>
      <c r="H36" s="88"/>
      <c r="I36" s="88"/>
      <c r="J36" s="88"/>
      <c r="K36" s="91"/>
      <c r="L36" s="99"/>
      <c r="M36" s="88"/>
      <c r="N36" s="88"/>
      <c r="O36" s="88"/>
      <c r="P36" s="90"/>
      <c r="Q36" s="90"/>
      <c r="R36" s="87"/>
      <c r="S36" s="88"/>
      <c r="T36" s="88"/>
      <c r="U36" s="88"/>
      <c r="V36" s="121"/>
      <c r="W36" s="87"/>
      <c r="X36" s="88"/>
      <c r="Y36" s="88"/>
      <c r="Z36" s="91"/>
      <c r="AA36" s="121"/>
      <c r="AB36" s="87"/>
      <c r="AC36" s="88"/>
      <c r="AD36" s="88"/>
      <c r="AE36" s="91"/>
      <c r="AF36" s="121"/>
      <c r="AG36" s="87"/>
      <c r="AH36" s="88"/>
      <c r="AI36" s="88"/>
      <c r="AJ36" s="91"/>
      <c r="AK36" s="121"/>
      <c r="AL36" s="88"/>
      <c r="AM36" s="92"/>
      <c r="AN36" s="88"/>
      <c r="AO36" s="91"/>
      <c r="AP36" s="91"/>
      <c r="AQ36" s="88"/>
      <c r="AR36" s="88"/>
      <c r="AS36" s="88"/>
      <c r="AT36" s="91"/>
      <c r="AU36" s="91"/>
      <c r="AV36" s="88"/>
      <c r="AW36" s="88"/>
      <c r="AX36" s="88"/>
      <c r="AY36" s="91"/>
      <c r="AZ36" s="744"/>
      <c r="BA36" s="87"/>
      <c r="BB36" s="88"/>
      <c r="BC36" s="88"/>
      <c r="BD36" s="91"/>
      <c r="BE36" s="744"/>
      <c r="BF36" s="180"/>
      <c r="BG36" s="180"/>
      <c r="BH36" s="180"/>
      <c r="BI36" s="180"/>
      <c r="BJ36" s="744"/>
      <c r="BK36" s="745"/>
      <c r="BL36" s="745"/>
      <c r="BM36" s="745"/>
      <c r="BN36" s="745">
        <v>81.138999999999996</v>
      </c>
      <c r="BO36" s="744">
        <v>81.138999999999996</v>
      </c>
      <c r="BP36" s="745">
        <v>82.521000000000001</v>
      </c>
      <c r="BQ36" s="745">
        <v>84.686000000000007</v>
      </c>
      <c r="BR36" s="745">
        <v>81.622</v>
      </c>
      <c r="BS36" s="745">
        <v>80.475999999999999</v>
      </c>
      <c r="BT36" s="744">
        <f>BT19</f>
        <v>80.475999999999999</v>
      </c>
      <c r="BU36" s="745">
        <v>77.483999999999995</v>
      </c>
      <c r="BV36" s="745">
        <v>83.55</v>
      </c>
      <c r="BW36" s="745">
        <v>102.758</v>
      </c>
      <c r="BX36" s="745">
        <v>76.552999999999997</v>
      </c>
      <c r="BY36" s="744">
        <f>BY19</f>
        <v>76.552999999999997</v>
      </c>
      <c r="BZ36" s="745">
        <v>85.477999999999994</v>
      </c>
      <c r="CA36" s="745">
        <v>74.471999999999994</v>
      </c>
      <c r="CB36" s="745">
        <v>72.116</v>
      </c>
      <c r="CC36" s="745">
        <f t="shared" si="48"/>
        <v>69.671999999999997</v>
      </c>
      <c r="CD36" s="744">
        <v>69.671999999999997</v>
      </c>
      <c r="CE36" s="971">
        <v>77.289000000000001</v>
      </c>
      <c r="CF36" s="745">
        <v>85.867999999999995</v>
      </c>
      <c r="CG36" s="745">
        <v>75.248999999999995</v>
      </c>
      <c r="CH36" s="745">
        <v>65.777000000000001</v>
      </c>
      <c r="CI36" s="746">
        <f>CI19</f>
        <v>65.777000000000001</v>
      </c>
      <c r="CJ36" s="745">
        <v>70.117999999999995</v>
      </c>
      <c r="CK36" s="745">
        <v>71.284000000000006</v>
      </c>
      <c r="CL36" s="745">
        <v>68.768000000000001</v>
      </c>
      <c r="CM36" s="745">
        <v>67.183000000000007</v>
      </c>
      <c r="CN36" s="746">
        <f>CN19</f>
        <v>67.183000000000007</v>
      </c>
      <c r="CO36" s="745">
        <v>71.653000000000006</v>
      </c>
      <c r="CP36" s="745">
        <v>69.093000000000004</v>
      </c>
      <c r="CQ36" s="745">
        <v>68.013999999999996</v>
      </c>
      <c r="CR36" s="745">
        <v>65.308000000000007</v>
      </c>
      <c r="CS36" s="746">
        <f>CS19</f>
        <v>65.308000000000007</v>
      </c>
      <c r="CT36" s="745">
        <v>78.872</v>
      </c>
      <c r="CU36" s="745">
        <v>82.783000000000001</v>
      </c>
      <c r="CV36" s="745">
        <v>86.44</v>
      </c>
      <c r="CW36" s="745">
        <v>67.399000000000001</v>
      </c>
      <c r="CX36" s="746">
        <f t="shared" ref="CX36:DC36" si="53">CX19</f>
        <v>67.399000000000001</v>
      </c>
      <c r="CY36" s="745">
        <v>86.864999999999995</v>
      </c>
      <c r="CZ36" s="745">
        <v>91.322000000000003</v>
      </c>
      <c r="DA36" s="745">
        <v>90.763000000000005</v>
      </c>
      <c r="DB36" s="745">
        <v>75.760000000000005</v>
      </c>
      <c r="DC36" s="746">
        <f t="shared" si="53"/>
        <v>75.760000000000005</v>
      </c>
      <c r="DD36" s="745">
        <v>75.396000000000001</v>
      </c>
      <c r="DE36" s="745">
        <v>60.226999999999997</v>
      </c>
      <c r="DF36" s="745">
        <v>58.162999999999997</v>
      </c>
      <c r="DG36" s="745">
        <v>62.601999999999997</v>
      </c>
      <c r="DH36" s="746">
        <f t="shared" ref="DH36:DW36" si="54">DH19</f>
        <v>62.601999999999997</v>
      </c>
      <c r="DI36" s="827">
        <f t="shared" si="54"/>
        <v>62.601999999999997</v>
      </c>
      <c r="DJ36" s="827">
        <f t="shared" si="54"/>
        <v>62.601999999999997</v>
      </c>
      <c r="DK36" s="827">
        <f t="shared" si="54"/>
        <v>62.601999999999997</v>
      </c>
      <c r="DL36" s="827">
        <f t="shared" si="54"/>
        <v>62.601999999999997</v>
      </c>
      <c r="DM36" s="746">
        <f t="shared" si="54"/>
        <v>62.601999999999997</v>
      </c>
      <c r="DN36" s="827">
        <f t="shared" si="54"/>
        <v>62.601999999999997</v>
      </c>
      <c r="DO36" s="827">
        <f t="shared" si="54"/>
        <v>62.601999999999997</v>
      </c>
      <c r="DP36" s="827">
        <f t="shared" si="54"/>
        <v>62.601999999999997</v>
      </c>
      <c r="DQ36" s="827">
        <f t="shared" si="54"/>
        <v>62.601999999999997</v>
      </c>
      <c r="DR36" s="746">
        <f t="shared" si="54"/>
        <v>62.601999999999997</v>
      </c>
      <c r="DS36" s="827">
        <f t="shared" si="54"/>
        <v>62.601999999999997</v>
      </c>
      <c r="DT36" s="827">
        <f t="shared" si="54"/>
        <v>62.601999999999997</v>
      </c>
      <c r="DU36" s="827">
        <f t="shared" si="54"/>
        <v>62.601999999999997</v>
      </c>
      <c r="DV36" s="827">
        <f t="shared" si="54"/>
        <v>62.601999999999997</v>
      </c>
      <c r="DW36" s="746">
        <f t="shared" si="54"/>
        <v>62.601999999999997</v>
      </c>
      <c r="DY36" s="518"/>
      <c r="EB36"/>
      <c r="EC36"/>
      <c r="ED36"/>
      <c r="EE36"/>
      <c r="EF36"/>
      <c r="EG36"/>
    </row>
    <row r="37" spans="1:150" s="45" customFormat="1">
      <c r="A37" s="743" t="s">
        <v>203</v>
      </c>
      <c r="B37" s="91"/>
      <c r="C37" s="87"/>
      <c r="D37" s="88"/>
      <c r="E37" s="88"/>
      <c r="F37" s="121"/>
      <c r="G37" s="88"/>
      <c r="H37" s="88"/>
      <c r="I37" s="88"/>
      <c r="J37" s="88"/>
      <c r="K37" s="91"/>
      <c r="L37" s="99"/>
      <c r="M37" s="88"/>
      <c r="N37" s="88"/>
      <c r="O37" s="88"/>
      <c r="P37" s="90"/>
      <c r="Q37" s="90"/>
      <c r="R37" s="87"/>
      <c r="S37" s="88"/>
      <c r="T37" s="88"/>
      <c r="U37" s="88"/>
      <c r="V37" s="121"/>
      <c r="W37" s="87"/>
      <c r="X37" s="88"/>
      <c r="Y37" s="88"/>
      <c r="Z37" s="91"/>
      <c r="AA37" s="121"/>
      <c r="AB37" s="87"/>
      <c r="AC37" s="88"/>
      <c r="AD37" s="88"/>
      <c r="AE37" s="91"/>
      <c r="AF37" s="121"/>
      <c r="AG37" s="87"/>
      <c r="AH37" s="88"/>
      <c r="AI37" s="88"/>
      <c r="AJ37" s="91"/>
      <c r="AK37" s="121"/>
      <c r="AL37" s="88"/>
      <c r="AM37" s="92"/>
      <c r="AN37" s="88"/>
      <c r="AO37" s="91"/>
      <c r="AP37" s="91"/>
      <c r="AQ37" s="88"/>
      <c r="AR37" s="88"/>
      <c r="AS37" s="88"/>
      <c r="AT37" s="91"/>
      <c r="AU37" s="91"/>
      <c r="AV37" s="88"/>
      <c r="AW37" s="88"/>
      <c r="AX37" s="88"/>
      <c r="AY37" s="91"/>
      <c r="AZ37" s="744"/>
      <c r="BA37" s="87"/>
      <c r="BB37" s="88"/>
      <c r="BC37" s="88"/>
      <c r="BD37" s="91"/>
      <c r="BE37" s="744">
        <v>9.2539999999999996</v>
      </c>
      <c r="BF37" s="180"/>
      <c r="BG37" s="180"/>
      <c r="BH37" s="180"/>
      <c r="BI37" s="183"/>
      <c r="BJ37" s="744">
        <v>7.2789999999999999</v>
      </c>
      <c r="BK37" s="745">
        <v>7.2750000000000004</v>
      </c>
      <c r="BL37" s="745">
        <v>7.26</v>
      </c>
      <c r="BM37" s="745">
        <v>5.6509999999999998</v>
      </c>
      <c r="BN37" s="747">
        <v>4.25</v>
      </c>
      <c r="BO37" s="744">
        <v>4.25</v>
      </c>
      <c r="BP37" s="745">
        <v>4.2249999999999996</v>
      </c>
      <c r="BQ37" s="745">
        <v>4.1959999999999997</v>
      </c>
      <c r="BR37" s="745">
        <v>3.5390000000000001</v>
      </c>
      <c r="BS37" s="747">
        <v>0</v>
      </c>
      <c r="BT37" s="744">
        <f>BS37</f>
        <v>0</v>
      </c>
      <c r="BU37" s="745">
        <v>0</v>
      </c>
      <c r="BV37" s="745">
        <v>0</v>
      </c>
      <c r="BW37" s="745">
        <v>0</v>
      </c>
      <c r="BX37" s="747">
        <v>0</v>
      </c>
      <c r="BY37" s="744">
        <f>BX37</f>
        <v>0</v>
      </c>
      <c r="BZ37" s="745">
        <v>0</v>
      </c>
      <c r="CA37" s="745">
        <v>110.91200000000001</v>
      </c>
      <c r="CB37" s="745">
        <v>0</v>
      </c>
      <c r="CC37" s="747">
        <f t="shared" si="48"/>
        <v>0</v>
      </c>
      <c r="CD37" s="744">
        <v>0</v>
      </c>
      <c r="CE37" s="971">
        <v>0</v>
      </c>
      <c r="CF37" s="745">
        <v>0</v>
      </c>
      <c r="CG37" s="745">
        <v>0</v>
      </c>
      <c r="CH37" s="747">
        <v>0</v>
      </c>
      <c r="CI37" s="746">
        <f>CH37</f>
        <v>0</v>
      </c>
      <c r="CJ37" s="745">
        <v>0</v>
      </c>
      <c r="CK37" s="745">
        <v>0</v>
      </c>
      <c r="CL37" s="745">
        <v>0</v>
      </c>
      <c r="CM37" s="747">
        <v>0</v>
      </c>
      <c r="CN37" s="746">
        <f>CM37</f>
        <v>0</v>
      </c>
      <c r="CO37" s="745">
        <v>0</v>
      </c>
      <c r="CP37" s="745">
        <v>0</v>
      </c>
      <c r="CQ37" s="745">
        <v>0</v>
      </c>
      <c r="CR37" s="747">
        <v>0</v>
      </c>
      <c r="CS37" s="746">
        <f>CR37</f>
        <v>0</v>
      </c>
      <c r="CT37" s="745">
        <f t="shared" ref="CT37:DC37" si="55">CS37</f>
        <v>0</v>
      </c>
      <c r="CU37" s="745">
        <f t="shared" si="55"/>
        <v>0</v>
      </c>
      <c r="CV37" s="745">
        <f t="shared" si="55"/>
        <v>0</v>
      </c>
      <c r="CW37" s="747">
        <f t="shared" si="55"/>
        <v>0</v>
      </c>
      <c r="CX37" s="746">
        <f t="shared" si="55"/>
        <v>0</v>
      </c>
      <c r="CY37" s="745">
        <v>0</v>
      </c>
      <c r="CZ37" s="745">
        <v>0</v>
      </c>
      <c r="DA37" s="745">
        <f t="shared" si="55"/>
        <v>0</v>
      </c>
      <c r="DB37" s="747">
        <v>0</v>
      </c>
      <c r="DC37" s="746">
        <f t="shared" si="55"/>
        <v>0</v>
      </c>
      <c r="DD37" s="745">
        <v>0</v>
      </c>
      <c r="DE37" s="745">
        <v>0</v>
      </c>
      <c r="DF37" s="745">
        <v>0</v>
      </c>
      <c r="DG37" s="747">
        <v>0</v>
      </c>
      <c r="DH37" s="746">
        <f t="shared" ref="DH37:DW37" si="56">DG37</f>
        <v>0</v>
      </c>
      <c r="DI37" s="827">
        <f t="shared" si="56"/>
        <v>0</v>
      </c>
      <c r="DJ37" s="827">
        <f t="shared" si="56"/>
        <v>0</v>
      </c>
      <c r="DK37" s="827">
        <f t="shared" si="56"/>
        <v>0</v>
      </c>
      <c r="DL37" s="1006">
        <f t="shared" si="56"/>
        <v>0</v>
      </c>
      <c r="DM37" s="746">
        <f t="shared" si="56"/>
        <v>0</v>
      </c>
      <c r="DN37" s="827">
        <f t="shared" si="56"/>
        <v>0</v>
      </c>
      <c r="DO37" s="827">
        <f t="shared" si="56"/>
        <v>0</v>
      </c>
      <c r="DP37" s="827">
        <f t="shared" si="56"/>
        <v>0</v>
      </c>
      <c r="DQ37" s="1006">
        <f t="shared" si="56"/>
        <v>0</v>
      </c>
      <c r="DR37" s="746">
        <f t="shared" si="56"/>
        <v>0</v>
      </c>
      <c r="DS37" s="827">
        <f t="shared" si="56"/>
        <v>0</v>
      </c>
      <c r="DT37" s="827">
        <f t="shared" si="56"/>
        <v>0</v>
      </c>
      <c r="DU37" s="827">
        <f t="shared" si="56"/>
        <v>0</v>
      </c>
      <c r="DV37" s="1006">
        <f t="shared" si="56"/>
        <v>0</v>
      </c>
      <c r="DW37" s="746">
        <f t="shared" si="56"/>
        <v>0</v>
      </c>
      <c r="DY37" s="518"/>
      <c r="EB37"/>
      <c r="EC37"/>
      <c r="ED37"/>
      <c r="EE37"/>
      <c r="EF37"/>
      <c r="EG37"/>
    </row>
    <row r="38" spans="1:150" s="45" customFormat="1">
      <c r="A38" s="743" t="s">
        <v>204</v>
      </c>
      <c r="B38" s="91"/>
      <c r="C38" s="87"/>
      <c r="D38" s="88"/>
      <c r="E38" s="88"/>
      <c r="F38" s="121"/>
      <c r="G38" s="88"/>
      <c r="H38" s="88"/>
      <c r="I38" s="88"/>
      <c r="J38" s="88"/>
      <c r="K38" s="91"/>
      <c r="L38" s="99"/>
      <c r="M38" s="88"/>
      <c r="N38" s="88"/>
      <c r="O38" s="88"/>
      <c r="P38" s="90"/>
      <c r="Q38" s="90"/>
      <c r="R38" s="87"/>
      <c r="S38" s="88"/>
      <c r="T38" s="88"/>
      <c r="U38" s="88"/>
      <c r="V38" s="121"/>
      <c r="W38" s="87"/>
      <c r="X38" s="88"/>
      <c r="Y38" s="88"/>
      <c r="Z38" s="91"/>
      <c r="AA38" s="121"/>
      <c r="AB38" s="87"/>
      <c r="AC38" s="88"/>
      <c r="AD38" s="88"/>
      <c r="AE38" s="91"/>
      <c r="AF38" s="121"/>
      <c r="AG38" s="87"/>
      <c r="AH38" s="88"/>
      <c r="AI38" s="88"/>
      <c r="AJ38" s="91"/>
      <c r="AK38" s="121"/>
      <c r="AL38" s="88"/>
      <c r="AM38" s="92"/>
      <c r="AN38" s="88"/>
      <c r="AO38" s="91"/>
      <c r="AP38" s="91"/>
      <c r="AQ38" s="88"/>
      <c r="AR38" s="88"/>
      <c r="AS38" s="88"/>
      <c r="AT38" s="91"/>
      <c r="AU38" s="91"/>
      <c r="AV38" s="88"/>
      <c r="AW38" s="88"/>
      <c r="AX38" s="88"/>
      <c r="AY38" s="91"/>
      <c r="AZ38" s="744"/>
      <c r="BA38" s="87"/>
      <c r="BB38" s="88"/>
      <c r="BC38" s="88"/>
      <c r="BD38" s="91"/>
      <c r="BE38" s="744">
        <f>SUM(BE32:BE37)</f>
        <v>230.57599999999999</v>
      </c>
      <c r="BF38" s="180"/>
      <c r="BG38" s="180"/>
      <c r="BH38" s="180"/>
      <c r="BI38" s="180"/>
      <c r="BJ38" s="744">
        <f>SUM(BJ33:BJ37)</f>
        <v>207.16299999999998</v>
      </c>
      <c r="BK38" s="745">
        <v>213.09</v>
      </c>
      <c r="BL38" s="745">
        <f t="shared" ref="BL38:CI38" si="57">SUM(BL33:BL37)</f>
        <v>179.90899999999999</v>
      </c>
      <c r="BM38" s="745">
        <f t="shared" si="57"/>
        <v>228.749</v>
      </c>
      <c r="BN38" s="745">
        <f t="shared" si="57"/>
        <v>502.48900000000003</v>
      </c>
      <c r="BO38" s="744">
        <f t="shared" si="57"/>
        <v>502.48900000000003</v>
      </c>
      <c r="BP38" s="745">
        <f t="shared" si="57"/>
        <v>484.98900000000003</v>
      </c>
      <c r="BQ38" s="745">
        <f t="shared" si="57"/>
        <v>471.16700000000003</v>
      </c>
      <c r="BR38" s="745">
        <f t="shared" si="57"/>
        <v>458.45400000000001</v>
      </c>
      <c r="BS38" s="745">
        <f t="shared" si="57"/>
        <v>475.14699999999993</v>
      </c>
      <c r="BT38" s="744">
        <f t="shared" si="57"/>
        <v>475.14699999999993</v>
      </c>
      <c r="BU38" s="745">
        <f t="shared" si="57"/>
        <v>419.351</v>
      </c>
      <c r="BV38" s="745">
        <f t="shared" si="57"/>
        <v>437.59300000000002</v>
      </c>
      <c r="BW38" s="745">
        <f t="shared" si="57"/>
        <v>457.12099999999998</v>
      </c>
      <c r="BX38" s="745">
        <f t="shared" si="57"/>
        <v>421.48599999999999</v>
      </c>
      <c r="BY38" s="744">
        <f t="shared" si="57"/>
        <v>421.48599999999999</v>
      </c>
      <c r="BZ38" s="745">
        <f t="shared" si="57"/>
        <v>412.09200000000004</v>
      </c>
      <c r="CA38" s="745">
        <f t="shared" si="57"/>
        <v>456.49400000000003</v>
      </c>
      <c r="CB38" s="745">
        <f t="shared" si="57"/>
        <v>342.52499999999998</v>
      </c>
      <c r="CC38" s="745">
        <f t="shared" si="48"/>
        <v>368.26800000000003</v>
      </c>
      <c r="CD38" s="744">
        <f t="shared" si="57"/>
        <v>368.26800000000003</v>
      </c>
      <c r="CE38" s="971">
        <f t="shared" si="57"/>
        <v>323.56099999999998</v>
      </c>
      <c r="CF38" s="745">
        <f t="shared" si="57"/>
        <v>348.45299999999997</v>
      </c>
      <c r="CG38" s="745">
        <f>SUM(CG33:CG37)</f>
        <v>343.92399999999998</v>
      </c>
      <c r="CH38" s="745">
        <f t="shared" si="57"/>
        <v>286.86200000000002</v>
      </c>
      <c r="CI38" s="746">
        <f t="shared" si="57"/>
        <v>286.86200000000002</v>
      </c>
      <c r="CJ38" s="745">
        <f t="shared" ref="CJ38:CS38" si="58">SUM(CJ33:CJ37)</f>
        <v>271.625</v>
      </c>
      <c r="CK38" s="745">
        <v>535.01800000000003</v>
      </c>
      <c r="CL38" s="745">
        <f t="shared" si="58"/>
        <v>352.846</v>
      </c>
      <c r="CM38" s="745">
        <v>349.52600000000001</v>
      </c>
      <c r="CN38" s="746">
        <f t="shared" si="58"/>
        <v>349.52599999999995</v>
      </c>
      <c r="CO38" s="745">
        <f t="shared" si="58"/>
        <v>308.911</v>
      </c>
      <c r="CP38" s="745">
        <f t="shared" si="58"/>
        <v>321.01</v>
      </c>
      <c r="CQ38" s="745">
        <f t="shared" si="58"/>
        <v>339.14400000000001</v>
      </c>
      <c r="CR38" s="745">
        <f t="shared" si="58"/>
        <v>340.22399999999999</v>
      </c>
      <c r="CS38" s="746">
        <f t="shared" si="58"/>
        <v>340.22399999999999</v>
      </c>
      <c r="CT38" s="745">
        <f t="shared" ref="CT38:DC38" si="59">SUM(CT33:CT37)</f>
        <v>332.60399999999998</v>
      </c>
      <c r="CU38" s="745">
        <f t="shared" si="59"/>
        <v>297.89999999999998</v>
      </c>
      <c r="CV38" s="745">
        <f>SUM(CV33:CV37)</f>
        <v>304.90300000000002</v>
      </c>
      <c r="CW38" s="745">
        <f t="shared" si="59"/>
        <v>268.774</v>
      </c>
      <c r="CX38" s="746">
        <f t="shared" si="59"/>
        <v>268.774</v>
      </c>
      <c r="CY38" s="745">
        <f>SUM(CY33:CY37)</f>
        <v>256.995</v>
      </c>
      <c r="CZ38" s="745">
        <f t="shared" si="59"/>
        <v>277.95400000000001</v>
      </c>
      <c r="DA38" s="745">
        <v>264.98599999999999</v>
      </c>
      <c r="DB38" s="745">
        <v>230.08099999999999</v>
      </c>
      <c r="DC38" s="746">
        <f t="shared" si="59"/>
        <v>230.08100000000002</v>
      </c>
      <c r="DD38" s="745">
        <f t="shared" ref="DD38:DW38" si="60">SUM(DD33:DD37)</f>
        <v>208.61399999999998</v>
      </c>
      <c r="DE38" s="745">
        <f t="shared" si="60"/>
        <v>229.53</v>
      </c>
      <c r="DF38" s="745">
        <f>SUM(DF33:DF37)</f>
        <v>234.42200000000003</v>
      </c>
      <c r="DG38" s="745">
        <f t="shared" si="60"/>
        <v>227.16200000000001</v>
      </c>
      <c r="DH38" s="746">
        <f t="shared" si="60"/>
        <v>227.16200000000001</v>
      </c>
      <c r="DI38" s="827">
        <f t="shared" si="60"/>
        <v>232.19861922083737</v>
      </c>
      <c r="DJ38" s="827">
        <f t="shared" si="60"/>
        <v>233.32007463696701</v>
      </c>
      <c r="DK38" s="827">
        <f t="shared" si="60"/>
        <v>235.05265581254102</v>
      </c>
      <c r="DL38" s="827">
        <f t="shared" si="60"/>
        <v>230.62122348240828</v>
      </c>
      <c r="DM38" s="746">
        <f t="shared" si="60"/>
        <v>230.62122348240828</v>
      </c>
      <c r="DN38" s="827">
        <f t="shared" si="60"/>
        <v>237.15050725466466</v>
      </c>
      <c r="DO38" s="827">
        <f t="shared" si="60"/>
        <v>238.30056748913799</v>
      </c>
      <c r="DP38" s="827">
        <f t="shared" si="60"/>
        <v>240.31468477172433</v>
      </c>
      <c r="DQ38" s="827">
        <f t="shared" si="60"/>
        <v>235.84617254235624</v>
      </c>
      <c r="DR38" s="746">
        <f t="shared" si="60"/>
        <v>235.84617254235624</v>
      </c>
      <c r="DS38" s="827">
        <f t="shared" si="60"/>
        <v>239.94766820831407</v>
      </c>
      <c r="DT38" s="827">
        <f t="shared" si="60"/>
        <v>241.0271948837146</v>
      </c>
      <c r="DU38" s="827">
        <f t="shared" si="60"/>
        <v>243.29786889547754</v>
      </c>
      <c r="DV38" s="827">
        <f t="shared" si="60"/>
        <v>238.91106932108701</v>
      </c>
      <c r="DW38" s="746">
        <f t="shared" si="60"/>
        <v>238.91106932108701</v>
      </c>
      <c r="DY38" s="518"/>
      <c r="EB38"/>
      <c r="EC38"/>
      <c r="ED38"/>
      <c r="EE38"/>
      <c r="EF38"/>
      <c r="EG38"/>
    </row>
    <row r="39" spans="1:150" s="80" customFormat="1">
      <c r="A39" s="598" t="s">
        <v>194</v>
      </c>
      <c r="B39" s="113"/>
      <c r="C39" s="109"/>
      <c r="D39" s="110"/>
      <c r="E39" s="110"/>
      <c r="F39" s="236"/>
      <c r="G39" s="110"/>
      <c r="H39" s="110"/>
      <c r="I39" s="110"/>
      <c r="J39" s="110"/>
      <c r="K39" s="113"/>
      <c r="L39" s="111"/>
      <c r="M39" s="110"/>
      <c r="N39" s="110"/>
      <c r="O39" s="110"/>
      <c r="P39" s="113"/>
      <c r="Q39" s="113"/>
      <c r="R39" s="109"/>
      <c r="S39" s="110"/>
      <c r="T39" s="110"/>
      <c r="U39" s="110"/>
      <c r="V39" s="236"/>
      <c r="W39" s="109"/>
      <c r="X39" s="110"/>
      <c r="Y39" s="110"/>
      <c r="Z39" s="113"/>
      <c r="AA39" s="236"/>
      <c r="AB39" s="109"/>
      <c r="AC39" s="110"/>
      <c r="AD39" s="110"/>
      <c r="AE39" s="113"/>
      <c r="AF39" s="236"/>
      <c r="AG39" s="109"/>
      <c r="AH39" s="110"/>
      <c r="AI39" s="110"/>
      <c r="AJ39" s="113"/>
      <c r="AK39" s="236"/>
      <c r="AL39" s="110"/>
      <c r="AM39" s="114"/>
      <c r="AN39" s="110"/>
      <c r="AO39" s="113"/>
      <c r="AP39" s="113"/>
      <c r="AQ39" s="110"/>
      <c r="AR39" s="110"/>
      <c r="AS39" s="110"/>
      <c r="AT39" s="113"/>
      <c r="AU39" s="113"/>
      <c r="AV39" s="110"/>
      <c r="AW39" s="110"/>
      <c r="AX39" s="110"/>
      <c r="AY39" s="113"/>
      <c r="AZ39" s="744"/>
      <c r="BA39" s="109"/>
      <c r="BB39" s="110"/>
      <c r="BC39" s="110"/>
      <c r="BD39" s="113"/>
      <c r="BE39" s="744">
        <v>701.91600000000005</v>
      </c>
      <c r="BF39" s="180"/>
      <c r="BG39" s="180"/>
      <c r="BH39" s="180"/>
      <c r="BI39" s="183"/>
      <c r="BJ39" s="744">
        <v>711.53099999999995</v>
      </c>
      <c r="BK39" s="745">
        <v>728.23500000000001</v>
      </c>
      <c r="BL39" s="745">
        <v>729.95500000000004</v>
      </c>
      <c r="BM39" s="745">
        <v>666.24</v>
      </c>
      <c r="BN39" s="747">
        <v>1081.1510000000001</v>
      </c>
      <c r="BO39" s="744">
        <v>1081.1510000000001</v>
      </c>
      <c r="BP39" s="745">
        <v>1078.4939999999999</v>
      </c>
      <c r="BQ39" s="745">
        <v>1503.0350000000001</v>
      </c>
      <c r="BR39" s="745">
        <v>1507.857</v>
      </c>
      <c r="BS39" s="747">
        <v>1500.7840000000001</v>
      </c>
      <c r="BT39" s="744">
        <f t="shared" ref="BT39:BT44" si="61">BS39</f>
        <v>1500.7840000000001</v>
      </c>
      <c r="BU39" s="745">
        <v>1501.8530000000001</v>
      </c>
      <c r="BV39" s="745">
        <v>1556.623</v>
      </c>
      <c r="BW39" s="745">
        <v>1559.634</v>
      </c>
      <c r="BX39" s="747">
        <v>1553.9870000000001</v>
      </c>
      <c r="BY39" s="744">
        <f t="shared" ref="BY39:BY44" si="62">BX39</f>
        <v>1553.9870000000001</v>
      </c>
      <c r="BZ39" s="745">
        <v>1526.674</v>
      </c>
      <c r="CA39" s="745">
        <v>1346.64</v>
      </c>
      <c r="CB39" s="745">
        <v>1348.7070000000001</v>
      </c>
      <c r="CC39" s="747">
        <f t="shared" si="48"/>
        <v>1350.402</v>
      </c>
      <c r="CD39" s="744">
        <v>1350.402</v>
      </c>
      <c r="CE39" s="971">
        <v>1344.6869999999999</v>
      </c>
      <c r="CF39" s="745">
        <v>1384.373</v>
      </c>
      <c r="CG39" s="745">
        <v>1447.328</v>
      </c>
      <c r="CH39" s="747">
        <v>1444.6510000000001</v>
      </c>
      <c r="CI39" s="746">
        <f t="shared" ref="CI39:CI44" si="63">CH39</f>
        <v>1444.6510000000001</v>
      </c>
      <c r="CJ39" s="745">
        <v>1441.742</v>
      </c>
      <c r="CK39" s="745">
        <v>1222.2850000000001</v>
      </c>
      <c r="CL39" s="745">
        <v>1433.662</v>
      </c>
      <c r="CM39" s="747">
        <v>1425.2850000000001</v>
      </c>
      <c r="CN39" s="746">
        <f t="shared" ref="CN39:CN44" si="64">CM39</f>
        <v>1425.2850000000001</v>
      </c>
      <c r="CO39" s="745">
        <v>1423.7560000000001</v>
      </c>
      <c r="CP39" s="745">
        <v>1416.4110000000001</v>
      </c>
      <c r="CQ39" s="745">
        <v>1409.066</v>
      </c>
      <c r="CR39" s="747">
        <v>1394.366</v>
      </c>
      <c r="CS39" s="746">
        <f t="shared" ref="CS39:CS44" si="65">CR39</f>
        <v>1394.366</v>
      </c>
      <c r="CT39" s="745">
        <v>1392.309</v>
      </c>
      <c r="CU39" s="745">
        <v>2379.7820000000002</v>
      </c>
      <c r="CV39" s="745">
        <v>2379.9340000000002</v>
      </c>
      <c r="CW39" s="747">
        <v>2402.8229999999999</v>
      </c>
      <c r="CX39" s="746">
        <f>CW39</f>
        <v>2402.8229999999999</v>
      </c>
      <c r="CY39" s="745">
        <v>2478.5810000000001</v>
      </c>
      <c r="CZ39" s="745">
        <v>2485.4140000000002</v>
      </c>
      <c r="DA39" s="745">
        <v>2491.9920000000002</v>
      </c>
      <c r="DB39" s="747">
        <v>2487.63</v>
      </c>
      <c r="DC39" s="746">
        <f>DB39</f>
        <v>2487.63</v>
      </c>
      <c r="DD39" s="745">
        <v>2527.819</v>
      </c>
      <c r="DE39" s="745">
        <v>2699.76</v>
      </c>
      <c r="DF39" s="745">
        <v>2696.52</v>
      </c>
      <c r="DG39" s="747">
        <f>2263.688+460.542</f>
        <v>2724.23</v>
      </c>
      <c r="DH39" s="746">
        <f>DG39</f>
        <v>2724.23</v>
      </c>
      <c r="DI39" s="827">
        <f>DH39+'CashFlow '!DI48+'CashFlow '!DI49</f>
        <v>2724.23</v>
      </c>
      <c r="DJ39" s="827">
        <f>DI39+'CashFlow '!DJ48+'CashFlow '!DJ49</f>
        <v>2724.23</v>
      </c>
      <c r="DK39" s="827">
        <f>DJ39+'CashFlow '!DK48+'CashFlow '!DK49</f>
        <v>2724.23</v>
      </c>
      <c r="DL39" s="1006">
        <f>DK39+'CashFlow '!DL48+'CashFlow '!DL49</f>
        <v>2724.23</v>
      </c>
      <c r="DM39" s="746">
        <f>DL39</f>
        <v>2724.23</v>
      </c>
      <c r="DN39" s="827">
        <f>DM39+'CashFlow '!DN48+'CashFlow '!DN49</f>
        <v>2724.23</v>
      </c>
      <c r="DO39" s="827">
        <f>DN39+'CashFlow '!DO48+'CashFlow '!DO49</f>
        <v>2724.23</v>
      </c>
      <c r="DP39" s="827">
        <f>DO39+'CashFlow '!DP48+'CashFlow '!DP49</f>
        <v>2724.23</v>
      </c>
      <c r="DQ39" s="1006">
        <f>DP39+'CashFlow '!DQ48+'CashFlow '!DQ49</f>
        <v>2724.23</v>
      </c>
      <c r="DR39" s="746">
        <f>DQ39</f>
        <v>2724.23</v>
      </c>
      <c r="DS39" s="827">
        <f>DR39+'CashFlow '!DS48+'CashFlow '!DS49</f>
        <v>2724.23</v>
      </c>
      <c r="DT39" s="827">
        <f>DS39+'CashFlow '!DT48+'CashFlow '!DT49</f>
        <v>2724.23</v>
      </c>
      <c r="DU39" s="827">
        <f>DT39+'CashFlow '!DU48+'CashFlow '!DU49</f>
        <v>2724.23</v>
      </c>
      <c r="DV39" s="1006">
        <f>DU39+'CashFlow '!DV48+'CashFlow '!DV49</f>
        <v>2724.23</v>
      </c>
      <c r="DW39" s="746">
        <f>DV39</f>
        <v>2724.23</v>
      </c>
      <c r="DY39" s="518"/>
      <c r="EB39"/>
      <c r="EC39"/>
      <c r="ED39"/>
      <c r="EE39"/>
      <c r="EF39"/>
      <c r="EG39"/>
    </row>
    <row r="40" spans="1:150" s="45" customFormat="1">
      <c r="A40" s="598" t="s">
        <v>195</v>
      </c>
      <c r="B40" s="91"/>
      <c r="C40" s="87"/>
      <c r="D40" s="88"/>
      <c r="E40" s="88"/>
      <c r="F40" s="121"/>
      <c r="G40" s="88"/>
      <c r="H40" s="88"/>
      <c r="I40" s="88"/>
      <c r="J40" s="88"/>
      <c r="K40" s="91"/>
      <c r="L40" s="99"/>
      <c r="M40" s="88"/>
      <c r="N40" s="88"/>
      <c r="O40" s="88"/>
      <c r="P40" s="90"/>
      <c r="Q40" s="90"/>
      <c r="R40" s="87"/>
      <c r="S40" s="88"/>
      <c r="T40" s="88"/>
      <c r="U40" s="88"/>
      <c r="V40" s="121"/>
      <c r="W40" s="87"/>
      <c r="X40" s="88"/>
      <c r="Y40" s="88"/>
      <c r="Z40" s="91"/>
      <c r="AA40" s="121"/>
      <c r="AB40" s="87"/>
      <c r="AC40" s="88"/>
      <c r="AD40" s="88"/>
      <c r="AE40" s="91"/>
      <c r="AF40" s="121"/>
      <c r="AG40" s="87"/>
      <c r="AH40" s="88"/>
      <c r="AI40" s="88"/>
      <c r="AJ40" s="91"/>
      <c r="AK40" s="121"/>
      <c r="AL40" s="88"/>
      <c r="AM40" s="92"/>
      <c r="AN40" s="88"/>
      <c r="AO40" s="91"/>
      <c r="AP40" s="91"/>
      <c r="AQ40" s="88"/>
      <c r="AR40" s="88"/>
      <c r="AS40" s="88"/>
      <c r="AT40" s="91"/>
      <c r="AU40" s="91"/>
      <c r="AV40" s="88"/>
      <c r="AW40" s="88"/>
      <c r="AX40" s="88"/>
      <c r="AY40" s="91"/>
      <c r="AZ40" s="744"/>
      <c r="BA40" s="87"/>
      <c r="BB40" s="88"/>
      <c r="BC40" s="93"/>
      <c r="BD40" s="91"/>
      <c r="BE40" s="744">
        <v>11.563000000000001</v>
      </c>
      <c r="BF40" s="180"/>
      <c r="BG40" s="180"/>
      <c r="BH40" s="180"/>
      <c r="BI40" s="180"/>
      <c r="BJ40" s="744">
        <v>10.861000000000001</v>
      </c>
      <c r="BK40" s="745">
        <v>21.459</v>
      </c>
      <c r="BL40" s="745">
        <v>18.167999999999999</v>
      </c>
      <c r="BM40" s="745">
        <v>14.138999999999999</v>
      </c>
      <c r="BN40" s="745">
        <v>16.859000000000002</v>
      </c>
      <c r="BO40" s="744">
        <v>16.859000000000002</v>
      </c>
      <c r="BP40" s="745">
        <v>43.865000000000002</v>
      </c>
      <c r="BQ40" s="745">
        <v>35.719000000000001</v>
      </c>
      <c r="BR40" s="745">
        <v>29.367000000000001</v>
      </c>
      <c r="BS40" s="745">
        <v>13.195</v>
      </c>
      <c r="BT40" s="744">
        <f t="shared" si="61"/>
        <v>13.195</v>
      </c>
      <c r="BU40" s="745">
        <v>41.314</v>
      </c>
      <c r="BV40" s="745">
        <v>31.373000000000001</v>
      </c>
      <c r="BW40" s="745">
        <v>21.815000000000001</v>
      </c>
      <c r="BX40" s="745">
        <v>11.46</v>
      </c>
      <c r="BY40" s="744">
        <f t="shared" si="62"/>
        <v>11.46</v>
      </c>
      <c r="BZ40" s="745">
        <v>39.744999999999997</v>
      </c>
      <c r="CA40" s="745">
        <v>18.809999999999999</v>
      </c>
      <c r="CB40" s="745">
        <v>13.137</v>
      </c>
      <c r="CC40" s="745">
        <f t="shared" si="48"/>
        <v>6.5229999999999997</v>
      </c>
      <c r="CD40" s="744">
        <v>6.5229999999999997</v>
      </c>
      <c r="CE40" s="971">
        <v>6.0069999999999997</v>
      </c>
      <c r="CF40" s="745">
        <v>19.123000000000001</v>
      </c>
      <c r="CG40" s="745">
        <v>13.063000000000001</v>
      </c>
      <c r="CH40" s="745">
        <v>0</v>
      </c>
      <c r="CI40" s="746">
        <f t="shared" si="63"/>
        <v>0</v>
      </c>
      <c r="CJ40" s="745">
        <v>0</v>
      </c>
      <c r="CK40" s="745">
        <v>0</v>
      </c>
      <c r="CL40" s="745">
        <v>0</v>
      </c>
      <c r="CM40" s="745">
        <v>0</v>
      </c>
      <c r="CN40" s="746">
        <f t="shared" si="64"/>
        <v>0</v>
      </c>
      <c r="CO40" s="745">
        <v>0</v>
      </c>
      <c r="CP40" s="745">
        <v>0</v>
      </c>
      <c r="CQ40" s="745">
        <v>0</v>
      </c>
      <c r="CR40" s="827">
        <v>0</v>
      </c>
      <c r="CS40" s="746">
        <f t="shared" si="65"/>
        <v>0</v>
      </c>
      <c r="CT40" s="745">
        <f t="shared" ref="CT40:DC40" si="66">CS40</f>
        <v>0</v>
      </c>
      <c r="CU40" s="745">
        <v>0</v>
      </c>
      <c r="CV40" s="745">
        <f t="shared" si="66"/>
        <v>0</v>
      </c>
      <c r="CW40" s="745">
        <f t="shared" si="66"/>
        <v>0</v>
      </c>
      <c r="CX40" s="746">
        <f t="shared" si="66"/>
        <v>0</v>
      </c>
      <c r="CY40" s="745">
        <v>0</v>
      </c>
      <c r="CZ40" s="745">
        <f t="shared" si="66"/>
        <v>0</v>
      </c>
      <c r="DA40" s="745">
        <f t="shared" si="66"/>
        <v>0</v>
      </c>
      <c r="DB40" s="745">
        <v>0</v>
      </c>
      <c r="DC40" s="746">
        <f t="shared" si="66"/>
        <v>0</v>
      </c>
      <c r="DD40" s="745">
        <v>0</v>
      </c>
      <c r="DE40" s="745">
        <v>0</v>
      </c>
      <c r="DF40" s="745">
        <v>0</v>
      </c>
      <c r="DG40" s="745">
        <v>0</v>
      </c>
      <c r="DH40" s="746">
        <f t="shared" ref="DH40:DW40" si="67">DG40</f>
        <v>0</v>
      </c>
      <c r="DI40" s="827">
        <f t="shared" si="67"/>
        <v>0</v>
      </c>
      <c r="DJ40" s="827">
        <f t="shared" si="67"/>
        <v>0</v>
      </c>
      <c r="DK40" s="827">
        <f t="shared" si="67"/>
        <v>0</v>
      </c>
      <c r="DL40" s="827">
        <f t="shared" si="67"/>
        <v>0</v>
      </c>
      <c r="DM40" s="746">
        <f t="shared" si="67"/>
        <v>0</v>
      </c>
      <c r="DN40" s="827">
        <f t="shared" si="67"/>
        <v>0</v>
      </c>
      <c r="DO40" s="827">
        <f t="shared" si="67"/>
        <v>0</v>
      </c>
      <c r="DP40" s="827">
        <f t="shared" si="67"/>
        <v>0</v>
      </c>
      <c r="DQ40" s="827">
        <f t="shared" si="67"/>
        <v>0</v>
      </c>
      <c r="DR40" s="746">
        <f t="shared" si="67"/>
        <v>0</v>
      </c>
      <c r="DS40" s="827">
        <f t="shared" si="67"/>
        <v>0</v>
      </c>
      <c r="DT40" s="827">
        <f t="shared" si="67"/>
        <v>0</v>
      </c>
      <c r="DU40" s="827">
        <f t="shared" si="67"/>
        <v>0</v>
      </c>
      <c r="DV40" s="827">
        <f t="shared" si="67"/>
        <v>0</v>
      </c>
      <c r="DW40" s="746">
        <f t="shared" si="67"/>
        <v>0</v>
      </c>
      <c r="DY40" s="518"/>
      <c r="EB40"/>
      <c r="EC40"/>
      <c r="ED40"/>
      <c r="EE40"/>
      <c r="EF40"/>
      <c r="EG40"/>
    </row>
    <row r="41" spans="1:150" s="45" customFormat="1">
      <c r="A41" s="598" t="s">
        <v>135</v>
      </c>
      <c r="B41" s="91"/>
      <c r="C41" s="87"/>
      <c r="D41" s="88"/>
      <c r="E41" s="88"/>
      <c r="F41" s="121"/>
      <c r="G41" s="88"/>
      <c r="H41" s="88"/>
      <c r="I41" s="88"/>
      <c r="J41" s="88"/>
      <c r="K41" s="91"/>
      <c r="L41" s="99"/>
      <c r="M41" s="88"/>
      <c r="N41" s="88"/>
      <c r="O41" s="88"/>
      <c r="P41" s="90"/>
      <c r="Q41" s="90"/>
      <c r="R41" s="87"/>
      <c r="S41" s="88"/>
      <c r="T41" s="88"/>
      <c r="U41" s="88"/>
      <c r="V41" s="121"/>
      <c r="W41" s="87"/>
      <c r="X41" s="88"/>
      <c r="Y41" s="88"/>
      <c r="Z41" s="91"/>
      <c r="AA41" s="121"/>
      <c r="AB41" s="87"/>
      <c r="AC41" s="88"/>
      <c r="AD41" s="88"/>
      <c r="AE41" s="91"/>
      <c r="AF41" s="121"/>
      <c r="AG41" s="87"/>
      <c r="AH41" s="88"/>
      <c r="AI41" s="88"/>
      <c r="AJ41" s="91"/>
      <c r="AK41" s="121"/>
      <c r="AL41" s="88"/>
      <c r="AM41" s="92"/>
      <c r="AN41" s="88"/>
      <c r="AO41" s="88"/>
      <c r="AP41" s="121"/>
      <c r="AQ41" s="88"/>
      <c r="AR41" s="88"/>
      <c r="AS41" s="88"/>
      <c r="AT41" s="88"/>
      <c r="AU41" s="121"/>
      <c r="AV41" s="88"/>
      <c r="AW41" s="88"/>
      <c r="AX41" s="88"/>
      <c r="AY41" s="88"/>
      <c r="AZ41" s="744"/>
      <c r="BA41" s="87"/>
      <c r="BB41" s="88"/>
      <c r="BC41" s="88"/>
      <c r="BD41" s="91"/>
      <c r="BE41" s="744">
        <v>35.679000000000002</v>
      </c>
      <c r="BF41" s="180"/>
      <c r="BG41" s="180"/>
      <c r="BH41" s="180"/>
      <c r="BI41" s="180"/>
      <c r="BJ41" s="744"/>
      <c r="BK41" s="745"/>
      <c r="BL41" s="745"/>
      <c r="BM41" s="745"/>
      <c r="BN41" s="745">
        <v>0</v>
      </c>
      <c r="BO41" s="744">
        <v>0</v>
      </c>
      <c r="BP41" s="745">
        <v>0</v>
      </c>
      <c r="BQ41" s="745">
        <v>0</v>
      </c>
      <c r="BR41" s="745">
        <v>0</v>
      </c>
      <c r="BS41" s="745">
        <v>0</v>
      </c>
      <c r="BT41" s="744">
        <f t="shared" si="61"/>
        <v>0</v>
      </c>
      <c r="BU41" s="745">
        <v>0</v>
      </c>
      <c r="BV41" s="745">
        <v>0</v>
      </c>
      <c r="BW41" s="745">
        <v>0</v>
      </c>
      <c r="BX41" s="745">
        <v>0</v>
      </c>
      <c r="BY41" s="744">
        <f t="shared" si="62"/>
        <v>0</v>
      </c>
      <c r="BZ41" s="745">
        <v>0</v>
      </c>
      <c r="CA41" s="745">
        <v>0</v>
      </c>
      <c r="CB41" s="745">
        <v>0</v>
      </c>
      <c r="CC41" s="745">
        <f t="shared" si="48"/>
        <v>0</v>
      </c>
      <c r="CD41" s="744">
        <v>0</v>
      </c>
      <c r="CE41" s="971">
        <v>0</v>
      </c>
      <c r="CF41" s="745">
        <v>0</v>
      </c>
      <c r="CG41" s="745">
        <v>0</v>
      </c>
      <c r="CH41" s="745">
        <v>0</v>
      </c>
      <c r="CI41" s="746">
        <f t="shared" si="63"/>
        <v>0</v>
      </c>
      <c r="CJ41" s="745">
        <v>0</v>
      </c>
      <c r="CK41" s="745">
        <v>0</v>
      </c>
      <c r="CL41" s="745">
        <v>0</v>
      </c>
      <c r="CM41" s="745">
        <v>0</v>
      </c>
      <c r="CN41" s="746">
        <f t="shared" si="64"/>
        <v>0</v>
      </c>
      <c r="CO41" s="745">
        <v>0</v>
      </c>
      <c r="CP41" s="745">
        <v>0</v>
      </c>
      <c r="CQ41" s="745">
        <v>0</v>
      </c>
      <c r="CR41" s="827">
        <v>0</v>
      </c>
      <c r="CS41" s="746">
        <f t="shared" si="65"/>
        <v>0</v>
      </c>
      <c r="CT41" s="745">
        <f t="shared" ref="CT41:DC41" si="68">CS41</f>
        <v>0</v>
      </c>
      <c r="CU41" s="745">
        <v>0</v>
      </c>
      <c r="CV41" s="745">
        <f t="shared" si="68"/>
        <v>0</v>
      </c>
      <c r="CW41" s="745">
        <f t="shared" si="68"/>
        <v>0</v>
      </c>
      <c r="CX41" s="746">
        <f t="shared" si="68"/>
        <v>0</v>
      </c>
      <c r="CY41" s="745">
        <v>0</v>
      </c>
      <c r="CZ41" s="745">
        <f t="shared" si="68"/>
        <v>0</v>
      </c>
      <c r="DA41" s="745">
        <f t="shared" si="68"/>
        <v>0</v>
      </c>
      <c r="DB41" s="745">
        <v>0</v>
      </c>
      <c r="DC41" s="746">
        <f t="shared" si="68"/>
        <v>0</v>
      </c>
      <c r="DD41" s="745">
        <v>0</v>
      </c>
      <c r="DE41" s="745">
        <v>0</v>
      </c>
      <c r="DF41" s="745">
        <v>0</v>
      </c>
      <c r="DG41" s="745">
        <v>0</v>
      </c>
      <c r="DH41" s="746">
        <f t="shared" ref="DH41:DW41" si="69">DG41</f>
        <v>0</v>
      </c>
      <c r="DI41" s="827">
        <f t="shared" si="69"/>
        <v>0</v>
      </c>
      <c r="DJ41" s="827">
        <f t="shared" si="69"/>
        <v>0</v>
      </c>
      <c r="DK41" s="827">
        <f t="shared" si="69"/>
        <v>0</v>
      </c>
      <c r="DL41" s="827">
        <f t="shared" si="69"/>
        <v>0</v>
      </c>
      <c r="DM41" s="746">
        <f t="shared" si="69"/>
        <v>0</v>
      </c>
      <c r="DN41" s="827">
        <f t="shared" si="69"/>
        <v>0</v>
      </c>
      <c r="DO41" s="827">
        <f t="shared" si="69"/>
        <v>0</v>
      </c>
      <c r="DP41" s="827">
        <f t="shared" si="69"/>
        <v>0</v>
      </c>
      <c r="DQ41" s="827">
        <f t="shared" si="69"/>
        <v>0</v>
      </c>
      <c r="DR41" s="746">
        <f t="shared" si="69"/>
        <v>0</v>
      </c>
      <c r="DS41" s="827">
        <f t="shared" si="69"/>
        <v>0</v>
      </c>
      <c r="DT41" s="827">
        <f t="shared" si="69"/>
        <v>0</v>
      </c>
      <c r="DU41" s="827">
        <f t="shared" si="69"/>
        <v>0</v>
      </c>
      <c r="DV41" s="827">
        <f t="shared" si="69"/>
        <v>0</v>
      </c>
      <c r="DW41" s="746">
        <f t="shared" si="69"/>
        <v>0</v>
      </c>
      <c r="DY41" s="518"/>
      <c r="EB41"/>
      <c r="EC41"/>
      <c r="ED41"/>
      <c r="EE41"/>
      <c r="EF41"/>
      <c r="EG41"/>
    </row>
    <row r="42" spans="1:150" s="45" customFormat="1" ht="15">
      <c r="A42" s="598" t="s">
        <v>492</v>
      </c>
      <c r="B42" s="47"/>
      <c r="C42" s="101"/>
      <c r="D42" s="102"/>
      <c r="E42" s="102"/>
      <c r="F42" s="89"/>
      <c r="H42" s="102"/>
      <c r="I42" s="102"/>
      <c r="J42" s="102"/>
      <c r="K42" s="104"/>
      <c r="L42" s="104"/>
      <c r="M42" s="102"/>
      <c r="N42" s="102"/>
      <c r="O42" s="102"/>
      <c r="P42" s="104"/>
      <c r="Q42" s="104"/>
      <c r="R42" s="101"/>
      <c r="S42" s="102"/>
      <c r="T42" s="102"/>
      <c r="U42" s="102"/>
      <c r="V42" s="118"/>
      <c r="W42" s="101"/>
      <c r="X42" s="102"/>
      <c r="Y42" s="102"/>
      <c r="Z42" s="104"/>
      <c r="AA42" s="118"/>
      <c r="AB42" s="101"/>
      <c r="AC42" s="102"/>
      <c r="AD42" s="102"/>
      <c r="AE42" s="104"/>
      <c r="AF42" s="118"/>
      <c r="AG42" s="101"/>
      <c r="AH42" s="102"/>
      <c r="AI42" s="102"/>
      <c r="AJ42" s="104"/>
      <c r="AK42" s="118"/>
      <c r="AL42" s="102"/>
      <c r="AM42" s="105"/>
      <c r="AN42" s="102"/>
      <c r="AO42" s="104"/>
      <c r="AP42" s="104"/>
      <c r="AQ42" s="102"/>
      <c r="AR42" s="102"/>
      <c r="AS42" s="102"/>
      <c r="AT42" s="104"/>
      <c r="AU42" s="104"/>
      <c r="AV42" s="102"/>
      <c r="AW42" s="102"/>
      <c r="AX42" s="102"/>
      <c r="AY42" s="104"/>
      <c r="AZ42" s="744"/>
      <c r="BA42" s="87"/>
      <c r="BB42" s="88"/>
      <c r="BC42" s="88"/>
      <c r="BD42" s="91"/>
      <c r="BE42" s="744">
        <v>15.532</v>
      </c>
      <c r="BF42" s="180"/>
      <c r="BG42" s="180"/>
      <c r="BH42" s="180"/>
      <c r="BI42" s="180"/>
      <c r="BJ42" s="744"/>
      <c r="BK42" s="745"/>
      <c r="BL42" s="745"/>
      <c r="BM42" s="745"/>
      <c r="BN42" s="745">
        <v>475.24299999999999</v>
      </c>
      <c r="BO42" s="744">
        <v>475.24299999999999</v>
      </c>
      <c r="BP42" s="745">
        <v>478.40100000000001</v>
      </c>
      <c r="BQ42" s="745">
        <v>497.00900000000001</v>
      </c>
      <c r="BR42" s="745">
        <v>496.23700000000002</v>
      </c>
      <c r="BS42" s="745">
        <v>475.53800000000001</v>
      </c>
      <c r="BT42" s="744">
        <f t="shared" si="61"/>
        <v>475.53800000000001</v>
      </c>
      <c r="BU42" s="745">
        <v>466.83100000000002</v>
      </c>
      <c r="BV42" s="745">
        <v>469.99700000000001</v>
      </c>
      <c r="BW42" s="745">
        <v>469.97300000000001</v>
      </c>
      <c r="BX42" s="745">
        <v>412.29300000000001</v>
      </c>
      <c r="BY42" s="744">
        <f t="shared" si="62"/>
        <v>412.29300000000001</v>
      </c>
      <c r="BZ42" s="745">
        <v>430.18900000000002</v>
      </c>
      <c r="CA42" s="745">
        <v>445.89699999999999</v>
      </c>
      <c r="CB42" s="745">
        <v>441.89600000000002</v>
      </c>
      <c r="CC42" s="745">
        <f t="shared" si="48"/>
        <v>470.52100000000002</v>
      </c>
      <c r="CD42" s="744">
        <v>470.52100000000002</v>
      </c>
      <c r="CE42" s="971">
        <v>475.90800000000002</v>
      </c>
      <c r="CF42" s="745">
        <v>457.529</v>
      </c>
      <c r="CG42" s="745">
        <v>452.18599999999998</v>
      </c>
      <c r="CH42" s="745">
        <v>438.21699999999998</v>
      </c>
      <c r="CI42" s="746">
        <f t="shared" si="63"/>
        <v>438.21699999999998</v>
      </c>
      <c r="CJ42" s="745">
        <v>435.63200000000001</v>
      </c>
      <c r="CK42" s="745">
        <v>440.36399999999998</v>
      </c>
      <c r="CL42" s="745">
        <v>454.524</v>
      </c>
      <c r="CM42" s="745">
        <v>482.49900000000002</v>
      </c>
      <c r="CN42" s="746">
        <f t="shared" si="64"/>
        <v>482.49900000000002</v>
      </c>
      <c r="CO42" s="745">
        <v>492.26400000000001</v>
      </c>
      <c r="CP42" s="745">
        <v>483.56299999999999</v>
      </c>
      <c r="CQ42" s="745">
        <v>509.49400000000003</v>
      </c>
      <c r="CR42" s="745">
        <v>493.84300000000002</v>
      </c>
      <c r="CS42" s="746">
        <f t="shared" si="65"/>
        <v>493.84300000000002</v>
      </c>
      <c r="CT42" s="745">
        <v>489.13400000000001</v>
      </c>
      <c r="CU42" s="745">
        <v>473.45</v>
      </c>
      <c r="CV42" s="745">
        <v>476.51299999999998</v>
      </c>
      <c r="CW42" s="745">
        <v>459.71300000000002</v>
      </c>
      <c r="CX42" s="746">
        <f t="shared" ref="CX42:DC42" si="70">CW42</f>
        <v>459.71300000000002</v>
      </c>
      <c r="CY42" s="745">
        <v>452.173</v>
      </c>
      <c r="CZ42" s="745">
        <v>450.61599999999999</v>
      </c>
      <c r="DA42" s="745">
        <v>444.22</v>
      </c>
      <c r="DB42" s="745">
        <v>446.51299999999998</v>
      </c>
      <c r="DC42" s="746">
        <f t="shared" si="70"/>
        <v>446.51299999999998</v>
      </c>
      <c r="DD42" s="745">
        <v>444.084</v>
      </c>
      <c r="DE42" s="745">
        <v>415.47899999999998</v>
      </c>
      <c r="DF42" s="745">
        <v>419.29300000000001</v>
      </c>
      <c r="DG42" s="745">
        <v>299.053</v>
      </c>
      <c r="DH42" s="746">
        <f t="shared" ref="DH42:DW42" si="71">DG42</f>
        <v>299.053</v>
      </c>
      <c r="DI42" s="827">
        <f t="shared" si="71"/>
        <v>299.053</v>
      </c>
      <c r="DJ42" s="827">
        <f t="shared" si="71"/>
        <v>299.053</v>
      </c>
      <c r="DK42" s="827">
        <f t="shared" si="71"/>
        <v>299.053</v>
      </c>
      <c r="DL42" s="827">
        <f t="shared" si="71"/>
        <v>299.053</v>
      </c>
      <c r="DM42" s="746">
        <f t="shared" si="71"/>
        <v>299.053</v>
      </c>
      <c r="DN42" s="827">
        <f t="shared" si="71"/>
        <v>299.053</v>
      </c>
      <c r="DO42" s="827">
        <f t="shared" si="71"/>
        <v>299.053</v>
      </c>
      <c r="DP42" s="827">
        <f t="shared" si="71"/>
        <v>299.053</v>
      </c>
      <c r="DQ42" s="827">
        <f t="shared" si="71"/>
        <v>299.053</v>
      </c>
      <c r="DR42" s="746">
        <f t="shared" si="71"/>
        <v>299.053</v>
      </c>
      <c r="DS42" s="827">
        <f t="shared" si="71"/>
        <v>299.053</v>
      </c>
      <c r="DT42" s="827">
        <f t="shared" si="71"/>
        <v>299.053</v>
      </c>
      <c r="DU42" s="827">
        <f t="shared" si="71"/>
        <v>299.053</v>
      </c>
      <c r="DV42" s="827">
        <f t="shared" si="71"/>
        <v>299.053</v>
      </c>
      <c r="DW42" s="746">
        <f t="shared" si="71"/>
        <v>299.053</v>
      </c>
      <c r="DX42" s="102"/>
      <c r="DY42" s="518"/>
      <c r="DZ42" s="102"/>
      <c r="EA42" s="102"/>
      <c r="EB42"/>
      <c r="EC42"/>
      <c r="ED42"/>
      <c r="EE42"/>
      <c r="EF42"/>
      <c r="EG42"/>
      <c r="EH42" s="237"/>
      <c r="EI42" s="237"/>
      <c r="EJ42" s="237"/>
      <c r="EK42" s="237"/>
      <c r="EL42" s="237"/>
      <c r="EM42" s="237"/>
      <c r="EN42" s="237"/>
      <c r="EO42" s="237"/>
      <c r="EP42" s="237"/>
      <c r="EQ42" s="237"/>
      <c r="ER42" s="237"/>
      <c r="ES42" s="237"/>
      <c r="ET42" s="237"/>
    </row>
    <row r="43" spans="1:150" s="45" customFormat="1">
      <c r="A43" s="598" t="s">
        <v>197</v>
      </c>
      <c r="B43" s="143"/>
      <c r="C43" s="272"/>
      <c r="D43" s="96"/>
      <c r="E43" s="96"/>
      <c r="F43" s="99"/>
      <c r="G43" s="96"/>
      <c r="H43" s="96"/>
      <c r="I43" s="96"/>
      <c r="J43" s="96"/>
      <c r="K43" s="143"/>
      <c r="L43" s="99"/>
      <c r="M43" s="96"/>
      <c r="N43" s="96"/>
      <c r="O43" s="96"/>
      <c r="P43" s="143"/>
      <c r="Q43" s="143"/>
      <c r="R43" s="272"/>
      <c r="S43" s="96"/>
      <c r="T43" s="96"/>
      <c r="U43" s="96"/>
      <c r="V43" s="99"/>
      <c r="W43" s="272"/>
      <c r="X43" s="96"/>
      <c r="Y43" s="96"/>
      <c r="Z43" s="143"/>
      <c r="AA43" s="99"/>
      <c r="AB43" s="272"/>
      <c r="AC43" s="96"/>
      <c r="AD43" s="96"/>
      <c r="AE43" s="143"/>
      <c r="AF43" s="99"/>
      <c r="AG43" s="272"/>
      <c r="AH43" s="96"/>
      <c r="AI43" s="96"/>
      <c r="AJ43" s="143"/>
      <c r="AK43" s="99"/>
      <c r="AL43" s="96"/>
      <c r="AM43" s="273"/>
      <c r="AN43" s="96"/>
      <c r="AO43" s="143"/>
      <c r="AP43" s="143"/>
      <c r="AQ43" s="96"/>
      <c r="AR43" s="96"/>
      <c r="AS43" s="96"/>
      <c r="AT43" s="143"/>
      <c r="AU43" s="143"/>
      <c r="AV43" s="96"/>
      <c r="AW43" s="96"/>
      <c r="AX43" s="96"/>
      <c r="AY43" s="143"/>
      <c r="AZ43" s="744"/>
      <c r="BA43" s="272"/>
      <c r="BB43" s="96"/>
      <c r="BC43" s="96"/>
      <c r="BD43" s="143"/>
      <c r="BE43" s="744">
        <v>73.144999999999996</v>
      </c>
      <c r="BF43" s="180"/>
      <c r="BG43" s="180"/>
      <c r="BH43" s="180"/>
      <c r="BI43" s="183"/>
      <c r="BJ43" s="744">
        <v>75.180000000000007</v>
      </c>
      <c r="BK43" s="745">
        <v>78.069999999999993</v>
      </c>
      <c r="BL43" s="745">
        <v>78</v>
      </c>
      <c r="BM43" s="745">
        <v>78.653000000000006</v>
      </c>
      <c r="BN43" s="747">
        <v>186.58699999999999</v>
      </c>
      <c r="BO43" s="744">
        <v>186.58699999999999</v>
      </c>
      <c r="BP43" s="745">
        <v>181.99700000000001</v>
      </c>
      <c r="BQ43" s="745">
        <v>173.66300000000001</v>
      </c>
      <c r="BR43" s="745">
        <v>176.88499999999999</v>
      </c>
      <c r="BS43" s="747">
        <v>174.41300000000001</v>
      </c>
      <c r="BT43" s="744">
        <f t="shared" si="61"/>
        <v>174.41300000000001</v>
      </c>
      <c r="BU43" s="745">
        <v>177.88300000000001</v>
      </c>
      <c r="BV43" s="745">
        <v>175.63</v>
      </c>
      <c r="BW43" s="745">
        <v>171.55</v>
      </c>
      <c r="BX43" s="747">
        <v>170.25399999999999</v>
      </c>
      <c r="BY43" s="744">
        <f t="shared" si="62"/>
        <v>170.25399999999999</v>
      </c>
      <c r="BZ43" s="745">
        <v>164.928</v>
      </c>
      <c r="CA43" s="745">
        <f>110.658+245.711</f>
        <v>356.36900000000003</v>
      </c>
      <c r="CB43" s="745">
        <v>109.67700000000001</v>
      </c>
      <c r="CC43" s="747">
        <f t="shared" si="48"/>
        <v>108.88500000000001</v>
      </c>
      <c r="CD43" s="744">
        <v>108.88500000000001</v>
      </c>
      <c r="CE43" s="971">
        <v>108.6</v>
      </c>
      <c r="CF43" s="745">
        <v>107.429</v>
      </c>
      <c r="CG43" s="745">
        <v>111.834</v>
      </c>
      <c r="CH43" s="747">
        <v>147.614</v>
      </c>
      <c r="CI43" s="746">
        <f t="shared" si="63"/>
        <v>147.614</v>
      </c>
      <c r="CJ43" s="745">
        <v>136.5</v>
      </c>
      <c r="CK43" s="745">
        <v>155.226</v>
      </c>
      <c r="CL43" s="745">
        <v>161.614</v>
      </c>
      <c r="CM43" s="747">
        <v>176.244</v>
      </c>
      <c r="CN43" s="746">
        <f t="shared" si="64"/>
        <v>176.244</v>
      </c>
      <c r="CO43" s="745">
        <v>205.99199999999999</v>
      </c>
      <c r="CP43" s="745">
        <v>191.70500000000001</v>
      </c>
      <c r="CQ43" s="745">
        <v>193.036</v>
      </c>
      <c r="CR43" s="747">
        <v>199.833</v>
      </c>
      <c r="CS43" s="746">
        <f t="shared" si="65"/>
        <v>199.833</v>
      </c>
      <c r="CT43" s="745">
        <v>203.928</v>
      </c>
      <c r="CU43" s="745">
        <v>216.98699999999999</v>
      </c>
      <c r="CV43" s="745">
        <v>213.971</v>
      </c>
      <c r="CW43" s="747">
        <v>224.49600000000001</v>
      </c>
      <c r="CX43" s="746">
        <f t="shared" ref="CX43:DC43" si="72">CW43</f>
        <v>224.49600000000001</v>
      </c>
      <c r="CY43" s="745">
        <v>228.97200000000001</v>
      </c>
      <c r="CZ43" s="745">
        <v>228.072</v>
      </c>
      <c r="DA43" s="745">
        <v>234.65100000000001</v>
      </c>
      <c r="DB43" s="747">
        <v>247.35400000000001</v>
      </c>
      <c r="DC43" s="746">
        <f t="shared" si="72"/>
        <v>247.35400000000001</v>
      </c>
      <c r="DD43" s="745">
        <v>246.959</v>
      </c>
      <c r="DE43" s="745">
        <v>276.84500000000003</v>
      </c>
      <c r="DF43" s="745">
        <v>277.44299999999998</v>
      </c>
      <c r="DG43" s="747">
        <v>273.29000000000002</v>
      </c>
      <c r="DH43" s="746">
        <f t="shared" ref="DH43:DW43" si="73">DG43</f>
        <v>273.29000000000002</v>
      </c>
      <c r="DI43" s="827">
        <f t="shared" si="73"/>
        <v>273.29000000000002</v>
      </c>
      <c r="DJ43" s="827">
        <f t="shared" si="73"/>
        <v>273.29000000000002</v>
      </c>
      <c r="DK43" s="827">
        <f t="shared" si="73"/>
        <v>273.29000000000002</v>
      </c>
      <c r="DL43" s="1006">
        <f t="shared" si="73"/>
        <v>273.29000000000002</v>
      </c>
      <c r="DM43" s="746">
        <f t="shared" si="73"/>
        <v>273.29000000000002</v>
      </c>
      <c r="DN43" s="827">
        <f t="shared" si="73"/>
        <v>273.29000000000002</v>
      </c>
      <c r="DO43" s="827">
        <f t="shared" si="73"/>
        <v>273.29000000000002</v>
      </c>
      <c r="DP43" s="827">
        <f t="shared" si="73"/>
        <v>273.29000000000002</v>
      </c>
      <c r="DQ43" s="1006">
        <f t="shared" si="73"/>
        <v>273.29000000000002</v>
      </c>
      <c r="DR43" s="746">
        <f t="shared" si="73"/>
        <v>273.29000000000002</v>
      </c>
      <c r="DS43" s="827">
        <f t="shared" si="73"/>
        <v>273.29000000000002</v>
      </c>
      <c r="DT43" s="827">
        <f t="shared" si="73"/>
        <v>273.29000000000002</v>
      </c>
      <c r="DU43" s="827">
        <f t="shared" si="73"/>
        <v>273.29000000000002</v>
      </c>
      <c r="DV43" s="1006">
        <f t="shared" si="73"/>
        <v>273.29000000000002</v>
      </c>
      <c r="DW43" s="746">
        <f t="shared" si="73"/>
        <v>273.29000000000002</v>
      </c>
      <c r="DY43" s="518"/>
      <c r="EB43"/>
      <c r="EC43"/>
      <c r="ED43"/>
      <c r="EE43"/>
      <c r="EF43"/>
      <c r="EG43"/>
    </row>
    <row r="44" spans="1:150" s="45" customFormat="1">
      <c r="A44" s="598" t="s">
        <v>196</v>
      </c>
      <c r="B44" s="47"/>
      <c r="C44" s="272"/>
      <c r="D44" s="96"/>
      <c r="E44" s="96"/>
      <c r="F44" s="89"/>
      <c r="H44" s="96"/>
      <c r="I44" s="96"/>
      <c r="J44" s="96"/>
      <c r="K44" s="143"/>
      <c r="L44" s="99"/>
      <c r="M44" s="96"/>
      <c r="N44" s="96"/>
      <c r="O44" s="96"/>
      <c r="P44" s="143"/>
      <c r="Q44" s="143"/>
      <c r="R44" s="272"/>
      <c r="S44" s="96"/>
      <c r="T44" s="96"/>
      <c r="U44" s="96"/>
      <c r="V44" s="99"/>
      <c r="W44" s="272"/>
      <c r="X44" s="96"/>
      <c r="Y44" s="96"/>
      <c r="Z44" s="143"/>
      <c r="AA44" s="99"/>
      <c r="AB44" s="272"/>
      <c r="AC44" s="96"/>
      <c r="AD44" s="96"/>
      <c r="AE44" s="143"/>
      <c r="AF44" s="99"/>
      <c r="AG44" s="272"/>
      <c r="AH44" s="96"/>
      <c r="AI44" s="96"/>
      <c r="AJ44" s="143"/>
      <c r="AK44" s="99"/>
      <c r="AL44" s="96"/>
      <c r="AM44" s="273"/>
      <c r="AN44" s="96"/>
      <c r="AO44" s="143"/>
      <c r="AP44" s="143"/>
      <c r="AQ44" s="96"/>
      <c r="AR44" s="96"/>
      <c r="AS44" s="96"/>
      <c r="AT44" s="143"/>
      <c r="AU44" s="143"/>
      <c r="AV44" s="96"/>
      <c r="AW44" s="96"/>
      <c r="AX44" s="96"/>
      <c r="AY44" s="143"/>
      <c r="AZ44" s="744"/>
      <c r="BA44" s="272"/>
      <c r="BB44" s="96"/>
      <c r="BC44" s="96"/>
      <c r="BD44" s="143"/>
      <c r="BE44" s="744">
        <v>14.225</v>
      </c>
      <c r="BF44" s="180"/>
      <c r="BG44" s="180"/>
      <c r="BH44" s="180"/>
      <c r="BI44" s="180"/>
      <c r="BJ44" s="744">
        <v>0.95799999999999996</v>
      </c>
      <c r="BK44" s="745">
        <v>0.97199999999999998</v>
      </c>
      <c r="BL44" s="745">
        <v>0.22900000000000001</v>
      </c>
      <c r="BM44" s="745">
        <v>0.154</v>
      </c>
      <c r="BN44" s="745">
        <v>0</v>
      </c>
      <c r="BO44" s="744">
        <v>0</v>
      </c>
      <c r="BP44" s="745">
        <v>0</v>
      </c>
      <c r="BQ44" s="745">
        <v>0</v>
      </c>
      <c r="BR44" s="745">
        <v>0</v>
      </c>
      <c r="BS44" s="745">
        <v>0</v>
      </c>
      <c r="BT44" s="744">
        <f t="shared" si="61"/>
        <v>0</v>
      </c>
      <c r="BU44" s="745">
        <v>0</v>
      </c>
      <c r="BV44" s="745">
        <v>0</v>
      </c>
      <c r="BW44" s="745">
        <v>0</v>
      </c>
      <c r="BX44" s="745">
        <v>0</v>
      </c>
      <c r="BY44" s="744">
        <f t="shared" si="62"/>
        <v>0</v>
      </c>
      <c r="BZ44" s="745">
        <f>BY44</f>
        <v>0</v>
      </c>
      <c r="CA44" s="745">
        <v>0</v>
      </c>
      <c r="CB44" s="745">
        <v>0</v>
      </c>
      <c r="CC44" s="745">
        <f t="shared" si="48"/>
        <v>0</v>
      </c>
      <c r="CD44" s="744">
        <v>0</v>
      </c>
      <c r="CE44" s="971">
        <v>0</v>
      </c>
      <c r="CF44" s="745">
        <v>0</v>
      </c>
      <c r="CG44" s="745">
        <v>0</v>
      </c>
      <c r="CH44" s="745">
        <v>0</v>
      </c>
      <c r="CI44" s="746">
        <f t="shared" si="63"/>
        <v>0</v>
      </c>
      <c r="CJ44" s="745">
        <v>0</v>
      </c>
      <c r="CK44" s="745">
        <v>0</v>
      </c>
      <c r="CL44" s="745">
        <v>0</v>
      </c>
      <c r="CM44" s="745">
        <v>0</v>
      </c>
      <c r="CN44" s="746">
        <f t="shared" si="64"/>
        <v>0</v>
      </c>
      <c r="CO44" s="745">
        <v>0</v>
      </c>
      <c r="CP44" s="745">
        <v>0</v>
      </c>
      <c r="CQ44" s="745">
        <v>0</v>
      </c>
      <c r="CR44" s="745">
        <v>0</v>
      </c>
      <c r="CS44" s="746">
        <f t="shared" si="65"/>
        <v>0</v>
      </c>
      <c r="CT44" s="745">
        <f t="shared" ref="CT44:DC44" si="74">CS44</f>
        <v>0</v>
      </c>
      <c r="CU44" s="745">
        <f t="shared" si="74"/>
        <v>0</v>
      </c>
      <c r="CV44" s="745">
        <f t="shared" si="74"/>
        <v>0</v>
      </c>
      <c r="CW44" s="745">
        <f t="shared" si="74"/>
        <v>0</v>
      </c>
      <c r="CX44" s="746">
        <f t="shared" si="74"/>
        <v>0</v>
      </c>
      <c r="CY44" s="745">
        <v>0</v>
      </c>
      <c r="CZ44" s="745">
        <f t="shared" si="74"/>
        <v>0</v>
      </c>
      <c r="DA44" s="745">
        <f t="shared" si="74"/>
        <v>0</v>
      </c>
      <c r="DB44" s="745">
        <v>0</v>
      </c>
      <c r="DC44" s="746">
        <f t="shared" si="74"/>
        <v>0</v>
      </c>
      <c r="DD44" s="745">
        <v>0</v>
      </c>
      <c r="DE44" s="745">
        <v>0</v>
      </c>
      <c r="DF44" s="745">
        <v>0</v>
      </c>
      <c r="DG44" s="745">
        <v>0</v>
      </c>
      <c r="DH44" s="746">
        <f t="shared" ref="DH44:DW44" si="75">DG44</f>
        <v>0</v>
      </c>
      <c r="DI44" s="827">
        <f t="shared" si="75"/>
        <v>0</v>
      </c>
      <c r="DJ44" s="827">
        <f t="shared" si="75"/>
        <v>0</v>
      </c>
      <c r="DK44" s="827">
        <f t="shared" si="75"/>
        <v>0</v>
      </c>
      <c r="DL44" s="827">
        <f t="shared" si="75"/>
        <v>0</v>
      </c>
      <c r="DM44" s="746">
        <f t="shared" si="75"/>
        <v>0</v>
      </c>
      <c r="DN44" s="827">
        <f t="shared" si="75"/>
        <v>0</v>
      </c>
      <c r="DO44" s="827">
        <f t="shared" si="75"/>
        <v>0</v>
      </c>
      <c r="DP44" s="827">
        <f t="shared" si="75"/>
        <v>0</v>
      </c>
      <c r="DQ44" s="827">
        <f t="shared" si="75"/>
        <v>0</v>
      </c>
      <c r="DR44" s="746">
        <f t="shared" si="75"/>
        <v>0</v>
      </c>
      <c r="DS44" s="827">
        <f t="shared" si="75"/>
        <v>0</v>
      </c>
      <c r="DT44" s="827">
        <f t="shared" si="75"/>
        <v>0</v>
      </c>
      <c r="DU44" s="827">
        <f t="shared" si="75"/>
        <v>0</v>
      </c>
      <c r="DV44" s="827">
        <f t="shared" si="75"/>
        <v>0</v>
      </c>
      <c r="DW44" s="746">
        <f t="shared" si="75"/>
        <v>0</v>
      </c>
      <c r="DY44" s="518"/>
      <c r="EB44"/>
      <c r="EC44"/>
      <c r="ED44"/>
      <c r="EE44"/>
      <c r="EF44"/>
      <c r="EG44"/>
    </row>
    <row r="45" spans="1:150" s="45" customFormat="1">
      <c r="A45" s="597" t="s">
        <v>205</v>
      </c>
      <c r="B45" s="47"/>
      <c r="C45" s="272"/>
      <c r="D45" s="96"/>
      <c r="E45" s="96"/>
      <c r="F45" s="89"/>
      <c r="H45" s="96"/>
      <c r="I45" s="96"/>
      <c r="J45" s="96"/>
      <c r="K45" s="143"/>
      <c r="L45" s="99"/>
      <c r="M45" s="96"/>
      <c r="N45" s="96"/>
      <c r="O45" s="96"/>
      <c r="P45" s="143"/>
      <c r="Q45" s="143"/>
      <c r="R45" s="272"/>
      <c r="S45" s="96"/>
      <c r="T45" s="96"/>
      <c r="U45" s="96"/>
      <c r="V45" s="99"/>
      <c r="W45" s="272"/>
      <c r="X45" s="96"/>
      <c r="Y45" s="96"/>
      <c r="Z45" s="143"/>
      <c r="AA45" s="99"/>
      <c r="AB45" s="272"/>
      <c r="AC45" s="96"/>
      <c r="AD45" s="96"/>
      <c r="AE45" s="143"/>
      <c r="AF45" s="99"/>
      <c r="AG45" s="272"/>
      <c r="AH45" s="96"/>
      <c r="AI45" s="96"/>
      <c r="AJ45" s="143"/>
      <c r="AK45" s="99"/>
      <c r="AL45" s="96"/>
      <c r="AM45" s="273"/>
      <c r="AN45" s="96"/>
      <c r="AO45" s="143"/>
      <c r="AP45" s="143"/>
      <c r="AQ45" s="96"/>
      <c r="AR45" s="96"/>
      <c r="AS45" s="96"/>
      <c r="AT45" s="143"/>
      <c r="AU45" s="143"/>
      <c r="AV45" s="96"/>
      <c r="AW45" s="96"/>
      <c r="AX45" s="96"/>
      <c r="AY45" s="143"/>
      <c r="AZ45" s="739"/>
      <c r="BA45" s="272"/>
      <c r="BB45" s="96"/>
      <c r="BC45" s="96"/>
      <c r="BD45" s="143"/>
      <c r="BE45" s="739"/>
      <c r="BF45" s="176"/>
      <c r="BG45" s="176"/>
      <c r="BH45" s="176"/>
      <c r="BI45" s="179"/>
      <c r="BJ45" s="739"/>
      <c r="BK45" s="740"/>
      <c r="BL45" s="740"/>
      <c r="BM45" s="740"/>
      <c r="BN45" s="741"/>
      <c r="BO45" s="739"/>
      <c r="BP45" s="740"/>
      <c r="BQ45" s="740"/>
      <c r="BR45" s="740"/>
      <c r="BS45" s="741"/>
      <c r="BT45" s="739"/>
      <c r="BU45" s="740"/>
      <c r="BV45" s="740"/>
      <c r="BW45" s="740"/>
      <c r="BX45" s="741"/>
      <c r="BY45" s="739"/>
      <c r="BZ45" s="740"/>
      <c r="CA45" s="740"/>
      <c r="CB45" s="740"/>
      <c r="CC45" s="741"/>
      <c r="CD45" s="739"/>
      <c r="CE45" s="972"/>
      <c r="CF45" s="740"/>
      <c r="CG45" s="740"/>
      <c r="CH45" s="741"/>
      <c r="CI45" s="742"/>
      <c r="CJ45" s="740"/>
      <c r="CK45" s="740"/>
      <c r="CL45" s="740"/>
      <c r="CM45" s="741"/>
      <c r="CN45" s="742"/>
      <c r="CO45" s="740"/>
      <c r="CP45" s="740"/>
      <c r="CQ45" s="740"/>
      <c r="CR45" s="741"/>
      <c r="CS45" s="742"/>
      <c r="CT45" s="740"/>
      <c r="CU45" s="740"/>
      <c r="CV45" s="740"/>
      <c r="CW45" s="1005"/>
      <c r="CX45" s="742"/>
      <c r="CY45" s="740"/>
      <c r="CZ45" s="740"/>
      <c r="DA45" s="740"/>
      <c r="DB45" s="741"/>
      <c r="DC45" s="742"/>
      <c r="DD45" s="740"/>
      <c r="DE45" s="740"/>
      <c r="DF45" s="740"/>
      <c r="DG45" s="741"/>
      <c r="DH45" s="742"/>
      <c r="DI45" s="1004"/>
      <c r="DJ45" s="1004"/>
      <c r="DK45" s="1004"/>
      <c r="DL45" s="1005"/>
      <c r="DM45" s="742"/>
      <c r="DN45" s="1004"/>
      <c r="DO45" s="1004"/>
      <c r="DP45" s="1004"/>
      <c r="DQ45" s="1005"/>
      <c r="DR45" s="742"/>
      <c r="DS45" s="1004"/>
      <c r="DT45" s="1004"/>
      <c r="DU45" s="1004"/>
      <c r="DV45" s="1005"/>
      <c r="DW45" s="742"/>
      <c r="DY45" s="518"/>
      <c r="EB45"/>
      <c r="EC45"/>
      <c r="ED45"/>
      <c r="EE45"/>
      <c r="EF45"/>
      <c r="EG45"/>
    </row>
    <row r="46" spans="1:150" s="80" customFormat="1">
      <c r="A46" s="743" t="s">
        <v>198</v>
      </c>
      <c r="B46" s="112"/>
      <c r="C46" s="109"/>
      <c r="D46" s="110"/>
      <c r="E46" s="110"/>
      <c r="F46" s="236"/>
      <c r="G46" s="110"/>
      <c r="H46" s="110"/>
      <c r="I46" s="110"/>
      <c r="J46" s="110"/>
      <c r="K46" s="113"/>
      <c r="L46" s="111"/>
      <c r="M46" s="110"/>
      <c r="N46" s="114"/>
      <c r="O46" s="114"/>
      <c r="P46" s="112"/>
      <c r="Q46" s="112"/>
      <c r="R46" s="504"/>
      <c r="S46" s="114"/>
      <c r="T46" s="114"/>
      <c r="U46" s="114"/>
      <c r="V46" s="503"/>
      <c r="W46" s="504"/>
      <c r="X46" s="114"/>
      <c r="Y46" s="114"/>
      <c r="Z46" s="112"/>
      <c r="AA46" s="503"/>
      <c r="AB46" s="109"/>
      <c r="AC46" s="110"/>
      <c r="AD46" s="110"/>
      <c r="AE46" s="113"/>
      <c r="AF46" s="111"/>
      <c r="AG46" s="109"/>
      <c r="AH46" s="110"/>
      <c r="AI46" s="110"/>
      <c r="AJ46" s="113"/>
      <c r="AK46" s="111"/>
      <c r="AL46" s="110"/>
      <c r="AM46" s="114"/>
      <c r="AN46" s="110"/>
      <c r="AO46" s="113"/>
      <c r="AP46" s="271"/>
      <c r="AQ46" s="110"/>
      <c r="AR46" s="110"/>
      <c r="AS46" s="110"/>
      <c r="AT46" s="113"/>
      <c r="AU46" s="271"/>
      <c r="AV46" s="110"/>
      <c r="AW46" s="110"/>
      <c r="AX46" s="110"/>
      <c r="AY46" s="113"/>
      <c r="AZ46" s="744"/>
      <c r="BA46" s="109"/>
      <c r="BB46" s="110"/>
      <c r="BC46" s="110"/>
      <c r="BD46" s="113"/>
      <c r="BE46" s="744">
        <v>2.9550000000000001</v>
      </c>
      <c r="BF46" s="180"/>
      <c r="BG46" s="180"/>
      <c r="BH46" s="180"/>
      <c r="BI46" s="180"/>
      <c r="BJ46" s="744">
        <v>2.9550000000000001</v>
      </c>
      <c r="BK46" s="745">
        <v>2.9550000000000001</v>
      </c>
      <c r="BL46" s="745">
        <v>2.9550000000000001</v>
      </c>
      <c r="BM46" s="745">
        <v>2.9550000000000001</v>
      </c>
      <c r="BN46" s="745">
        <v>47.042000000000002</v>
      </c>
      <c r="BO46" s="744">
        <v>47.042000000000002</v>
      </c>
      <c r="BP46" s="745">
        <v>47.042000000000002</v>
      </c>
      <c r="BQ46" s="745">
        <v>47.042000000000002</v>
      </c>
      <c r="BR46" s="745">
        <v>47.148000000000003</v>
      </c>
      <c r="BS46" s="745">
        <v>47.042000000000002</v>
      </c>
      <c r="BT46" s="744">
        <f t="shared" ref="BT46:BT51" si="76">BS46</f>
        <v>47.042000000000002</v>
      </c>
      <c r="BU46" s="745">
        <v>47.042000000000002</v>
      </c>
      <c r="BV46" s="745">
        <v>47.042000000000002</v>
      </c>
      <c r="BW46" s="745">
        <v>47.042000000000002</v>
      </c>
      <c r="BX46" s="745">
        <v>47.042000000000002</v>
      </c>
      <c r="BY46" s="744">
        <f t="shared" ref="BY46:BY51" si="77">BX46</f>
        <v>47.042000000000002</v>
      </c>
      <c r="BZ46" s="745">
        <v>47.042000000000002</v>
      </c>
      <c r="CA46" s="745">
        <v>47.042000000000002</v>
      </c>
      <c r="CB46" s="745">
        <v>47.042000000000002</v>
      </c>
      <c r="CC46" s="745">
        <f t="shared" ref="CC46:CC51" si="78">CD46</f>
        <v>47.042000000000002</v>
      </c>
      <c r="CD46" s="744">
        <v>47.042000000000002</v>
      </c>
      <c r="CE46" s="971">
        <v>47.042000000000002</v>
      </c>
      <c r="CF46" s="745">
        <v>47.042000000000002</v>
      </c>
      <c r="CG46" s="745">
        <v>47.042000000000002</v>
      </c>
      <c r="CH46" s="745">
        <v>47.042000000000002</v>
      </c>
      <c r="CI46" s="746">
        <f t="shared" ref="CI46:CI51" si="79">CH46</f>
        <v>47.042000000000002</v>
      </c>
      <c r="CJ46" s="745">
        <v>47.042000000000002</v>
      </c>
      <c r="CK46" s="745">
        <v>47.042000000000002</v>
      </c>
      <c r="CL46" s="745">
        <v>47.042000000000002</v>
      </c>
      <c r="CM46" s="745">
        <v>47.042000000000002</v>
      </c>
      <c r="CN46" s="746">
        <f t="shared" ref="CN46:CN51" si="80">CM46</f>
        <v>47.042000000000002</v>
      </c>
      <c r="CO46" s="745">
        <v>47.042000000000002</v>
      </c>
      <c r="CP46" s="745">
        <v>47.042000000000002</v>
      </c>
      <c r="CQ46" s="745">
        <v>47.042000000000002</v>
      </c>
      <c r="CR46" s="745">
        <v>47.042000000000002</v>
      </c>
      <c r="CS46" s="746">
        <f t="shared" ref="CS46:CS51" si="81">CR46</f>
        <v>47.042000000000002</v>
      </c>
      <c r="CT46" s="745">
        <v>47.042000000000002</v>
      </c>
      <c r="CU46" s="745">
        <v>47.042000000000002</v>
      </c>
      <c r="CV46" s="745">
        <v>47.042000000000002</v>
      </c>
      <c r="CW46" s="745">
        <v>47.042000000000002</v>
      </c>
      <c r="CX46" s="746">
        <f t="shared" ref="CX46:DC46" si="82">CW46</f>
        <v>47.042000000000002</v>
      </c>
      <c r="CY46" s="745">
        <v>47.042000000000002</v>
      </c>
      <c r="CZ46" s="745">
        <v>47.042000000000002</v>
      </c>
      <c r="DA46" s="745">
        <v>47.042000000000002</v>
      </c>
      <c r="DB46" s="745">
        <v>47.042000000000002</v>
      </c>
      <c r="DC46" s="746">
        <f t="shared" si="82"/>
        <v>47.042000000000002</v>
      </c>
      <c r="DD46" s="745">
        <v>47.042000000000002</v>
      </c>
      <c r="DE46" s="745">
        <v>47.042000000000002</v>
      </c>
      <c r="DF46" s="745">
        <v>47.042000000000002</v>
      </c>
      <c r="DG46" s="745">
        <v>47.042000000000002</v>
      </c>
      <c r="DH46" s="746">
        <f t="shared" ref="DH46:DW46" si="83">DG46</f>
        <v>47.042000000000002</v>
      </c>
      <c r="DI46" s="827">
        <f t="shared" si="83"/>
        <v>47.042000000000002</v>
      </c>
      <c r="DJ46" s="827">
        <f t="shared" si="83"/>
        <v>47.042000000000002</v>
      </c>
      <c r="DK46" s="827">
        <f t="shared" si="83"/>
        <v>47.042000000000002</v>
      </c>
      <c r="DL46" s="827">
        <f t="shared" si="83"/>
        <v>47.042000000000002</v>
      </c>
      <c r="DM46" s="746">
        <f t="shared" si="83"/>
        <v>47.042000000000002</v>
      </c>
      <c r="DN46" s="827">
        <f t="shared" si="83"/>
        <v>47.042000000000002</v>
      </c>
      <c r="DO46" s="827">
        <f t="shared" si="83"/>
        <v>47.042000000000002</v>
      </c>
      <c r="DP46" s="827">
        <f t="shared" si="83"/>
        <v>47.042000000000002</v>
      </c>
      <c r="DQ46" s="827">
        <f t="shared" si="83"/>
        <v>47.042000000000002</v>
      </c>
      <c r="DR46" s="746">
        <f t="shared" si="83"/>
        <v>47.042000000000002</v>
      </c>
      <c r="DS46" s="827">
        <f t="shared" si="83"/>
        <v>47.042000000000002</v>
      </c>
      <c r="DT46" s="827">
        <f t="shared" si="83"/>
        <v>47.042000000000002</v>
      </c>
      <c r="DU46" s="827">
        <f t="shared" si="83"/>
        <v>47.042000000000002</v>
      </c>
      <c r="DV46" s="827">
        <f t="shared" si="83"/>
        <v>47.042000000000002</v>
      </c>
      <c r="DW46" s="746">
        <f t="shared" si="83"/>
        <v>47.042000000000002</v>
      </c>
      <c r="DY46" s="518"/>
      <c r="EB46"/>
      <c r="EC46"/>
      <c r="ED46"/>
      <c r="EE46"/>
      <c r="EF46"/>
      <c r="EG46"/>
    </row>
    <row r="47" spans="1:150" s="45" customFormat="1">
      <c r="A47" s="743" t="s">
        <v>199</v>
      </c>
      <c r="B47" s="90"/>
      <c r="C47" s="87"/>
      <c r="D47" s="88"/>
      <c r="E47" s="88"/>
      <c r="F47" s="121"/>
      <c r="G47" s="88"/>
      <c r="H47" s="88"/>
      <c r="I47" s="88"/>
      <c r="J47" s="88"/>
      <c r="K47" s="91"/>
      <c r="L47" s="99"/>
      <c r="M47" s="88"/>
      <c r="N47" s="92"/>
      <c r="O47" s="92"/>
      <c r="P47" s="90"/>
      <c r="Q47" s="90"/>
      <c r="R47" s="119"/>
      <c r="S47" s="92"/>
      <c r="T47" s="92"/>
      <c r="U47" s="92"/>
      <c r="V47" s="124"/>
      <c r="W47" s="119"/>
      <c r="X47" s="92"/>
      <c r="Y47" s="92"/>
      <c r="Z47" s="90"/>
      <c r="AA47" s="124"/>
      <c r="AB47" s="87"/>
      <c r="AC47" s="88"/>
      <c r="AD47" s="88"/>
      <c r="AE47" s="91"/>
      <c r="AF47" s="99"/>
      <c r="AG47" s="87"/>
      <c r="AH47" s="88"/>
      <c r="AI47" s="88"/>
      <c r="AJ47" s="91"/>
      <c r="AK47" s="99"/>
      <c r="AL47" s="88"/>
      <c r="AM47" s="92"/>
      <c r="AN47" s="88"/>
      <c r="AO47" s="91"/>
      <c r="AP47" s="143"/>
      <c r="AQ47" s="88"/>
      <c r="AR47" s="88"/>
      <c r="AS47" s="88"/>
      <c r="AT47" s="91"/>
      <c r="AU47" s="143"/>
      <c r="AV47" s="88"/>
      <c r="AW47" s="88"/>
      <c r="AX47" s="88"/>
      <c r="AY47" s="91"/>
      <c r="AZ47" s="744"/>
      <c r="BA47" s="87"/>
      <c r="BB47" s="88"/>
      <c r="BC47" s="88"/>
      <c r="BD47" s="91"/>
      <c r="BE47" s="744">
        <v>6.3659999999999997</v>
      </c>
      <c r="BF47" s="180"/>
      <c r="BG47" s="180"/>
      <c r="BH47" s="180"/>
      <c r="BI47" s="183"/>
      <c r="BJ47" s="744">
        <v>6.4020000000000001</v>
      </c>
      <c r="BK47" s="745">
        <v>6.4039999999999999</v>
      </c>
      <c r="BL47" s="745">
        <v>6.41</v>
      </c>
      <c r="BM47" s="745">
        <v>6.41</v>
      </c>
      <c r="BN47" s="747">
        <v>0</v>
      </c>
      <c r="BO47" s="744">
        <v>0</v>
      </c>
      <c r="BP47" s="745">
        <v>0</v>
      </c>
      <c r="BQ47" s="745">
        <v>0</v>
      </c>
      <c r="BR47" s="745">
        <v>0</v>
      </c>
      <c r="BS47" s="747">
        <v>0</v>
      </c>
      <c r="BT47" s="744">
        <f t="shared" si="76"/>
        <v>0</v>
      </c>
      <c r="BU47" s="745">
        <v>0</v>
      </c>
      <c r="BV47" s="745">
        <v>0</v>
      </c>
      <c r="BW47" s="745">
        <v>0</v>
      </c>
      <c r="BX47" s="747">
        <v>0</v>
      </c>
      <c r="BY47" s="744">
        <f t="shared" si="77"/>
        <v>0</v>
      </c>
      <c r="BZ47" s="745">
        <v>0</v>
      </c>
      <c r="CA47" s="745">
        <v>0</v>
      </c>
      <c r="CB47" s="745">
        <v>0</v>
      </c>
      <c r="CC47" s="747">
        <f t="shared" si="78"/>
        <v>0</v>
      </c>
      <c r="CD47" s="744">
        <v>0</v>
      </c>
      <c r="CE47" s="971">
        <v>0</v>
      </c>
      <c r="CF47" s="745">
        <v>0</v>
      </c>
      <c r="CG47" s="745">
        <v>0</v>
      </c>
      <c r="CH47" s="747">
        <v>0</v>
      </c>
      <c r="CI47" s="746">
        <f t="shared" si="79"/>
        <v>0</v>
      </c>
      <c r="CJ47" s="745">
        <v>0</v>
      </c>
      <c r="CK47" s="745">
        <v>0</v>
      </c>
      <c r="CL47" s="745">
        <v>0</v>
      </c>
      <c r="CM47" s="747">
        <v>0</v>
      </c>
      <c r="CN47" s="746">
        <f t="shared" si="80"/>
        <v>0</v>
      </c>
      <c r="CO47" s="745">
        <v>0</v>
      </c>
      <c r="CP47" s="745">
        <v>0</v>
      </c>
      <c r="CQ47" s="745">
        <v>0</v>
      </c>
      <c r="CR47" s="747">
        <v>0</v>
      </c>
      <c r="CS47" s="746">
        <f t="shared" si="81"/>
        <v>0</v>
      </c>
      <c r="CT47" s="745">
        <f t="shared" ref="CT47:DC47" si="84">CS47</f>
        <v>0</v>
      </c>
      <c r="CU47" s="745">
        <f t="shared" si="84"/>
        <v>0</v>
      </c>
      <c r="CV47" s="745">
        <f t="shared" si="84"/>
        <v>0</v>
      </c>
      <c r="CW47" s="1006">
        <f t="shared" si="84"/>
        <v>0</v>
      </c>
      <c r="CX47" s="746">
        <f t="shared" si="84"/>
        <v>0</v>
      </c>
      <c r="CY47" s="745">
        <v>0</v>
      </c>
      <c r="CZ47" s="745">
        <f t="shared" si="84"/>
        <v>0</v>
      </c>
      <c r="DA47" s="745">
        <f t="shared" si="84"/>
        <v>0</v>
      </c>
      <c r="DB47" s="747">
        <v>0</v>
      </c>
      <c r="DC47" s="746">
        <f t="shared" si="84"/>
        <v>0</v>
      </c>
      <c r="DD47" s="745">
        <v>0</v>
      </c>
      <c r="DE47" s="745">
        <v>0</v>
      </c>
      <c r="DF47" s="745">
        <v>0</v>
      </c>
      <c r="DG47" s="747">
        <v>0</v>
      </c>
      <c r="DH47" s="746">
        <f t="shared" ref="DH47:DW47" si="85">DG47</f>
        <v>0</v>
      </c>
      <c r="DI47" s="827">
        <f t="shared" si="85"/>
        <v>0</v>
      </c>
      <c r="DJ47" s="827">
        <f t="shared" si="85"/>
        <v>0</v>
      </c>
      <c r="DK47" s="827">
        <f t="shared" si="85"/>
        <v>0</v>
      </c>
      <c r="DL47" s="1006">
        <f t="shared" si="85"/>
        <v>0</v>
      </c>
      <c r="DM47" s="746">
        <f t="shared" si="85"/>
        <v>0</v>
      </c>
      <c r="DN47" s="827">
        <f t="shared" si="85"/>
        <v>0</v>
      </c>
      <c r="DO47" s="827">
        <f t="shared" si="85"/>
        <v>0</v>
      </c>
      <c r="DP47" s="827">
        <f t="shared" si="85"/>
        <v>0</v>
      </c>
      <c r="DQ47" s="1006">
        <f t="shared" si="85"/>
        <v>0</v>
      </c>
      <c r="DR47" s="746">
        <f t="shared" si="85"/>
        <v>0</v>
      </c>
      <c r="DS47" s="827">
        <f t="shared" si="85"/>
        <v>0</v>
      </c>
      <c r="DT47" s="827">
        <f t="shared" si="85"/>
        <v>0</v>
      </c>
      <c r="DU47" s="827">
        <f t="shared" si="85"/>
        <v>0</v>
      </c>
      <c r="DV47" s="1006">
        <f t="shared" si="85"/>
        <v>0</v>
      </c>
      <c r="DW47" s="746">
        <f t="shared" si="85"/>
        <v>0</v>
      </c>
      <c r="DY47" s="518"/>
      <c r="EB47"/>
      <c r="EC47"/>
      <c r="ED47"/>
      <c r="EE47"/>
      <c r="EF47"/>
      <c r="EG47"/>
    </row>
    <row r="48" spans="1:150" s="45" customFormat="1">
      <c r="A48" s="743" t="s">
        <v>200</v>
      </c>
      <c r="B48" s="90"/>
      <c r="C48" s="87"/>
      <c r="D48" s="88"/>
      <c r="E48" s="88"/>
      <c r="F48" s="121"/>
      <c r="G48" s="88"/>
      <c r="H48" s="88"/>
      <c r="I48" s="88"/>
      <c r="J48" s="88"/>
      <c r="K48" s="91"/>
      <c r="L48" s="99"/>
      <c r="M48" s="88"/>
      <c r="N48" s="92"/>
      <c r="O48" s="92"/>
      <c r="P48" s="90"/>
      <c r="Q48" s="90"/>
      <c r="R48" s="119"/>
      <c r="S48" s="92"/>
      <c r="T48" s="92"/>
      <c r="U48" s="92"/>
      <c r="V48" s="124"/>
      <c r="W48" s="119"/>
      <c r="X48" s="92"/>
      <c r="Y48" s="92"/>
      <c r="Z48" s="90"/>
      <c r="AA48" s="124"/>
      <c r="AB48" s="87"/>
      <c r="AC48" s="88"/>
      <c r="AD48" s="88"/>
      <c r="AE48" s="91"/>
      <c r="AF48" s="99"/>
      <c r="AG48" s="87"/>
      <c r="AH48" s="88"/>
      <c r="AI48" s="88"/>
      <c r="AJ48" s="91"/>
      <c r="AK48" s="99"/>
      <c r="AL48" s="88"/>
      <c r="AM48" s="92"/>
      <c r="AN48" s="88"/>
      <c r="AO48" s="91"/>
      <c r="AP48" s="143"/>
      <c r="AQ48" s="88"/>
      <c r="AR48" s="88"/>
      <c r="AS48" s="88"/>
      <c r="AT48" s="91"/>
      <c r="AU48" s="143"/>
      <c r="AV48" s="88"/>
      <c r="AW48" s="88"/>
      <c r="AX48" s="88"/>
      <c r="AY48" s="91"/>
      <c r="AZ48" s="744"/>
      <c r="BA48" s="87"/>
      <c r="BB48" s="88"/>
      <c r="BC48" s="88"/>
      <c r="BD48" s="91"/>
      <c r="BE48" s="744">
        <v>311.60899999999998</v>
      </c>
      <c r="BF48" s="180"/>
      <c r="BG48" s="180"/>
      <c r="BH48" s="180"/>
      <c r="BI48" s="180"/>
      <c r="BJ48" s="744">
        <v>291.12200000000001</v>
      </c>
      <c r="BK48" s="745">
        <v>292.74200000000002</v>
      </c>
      <c r="BL48" s="745">
        <v>290.19900000000001</v>
      </c>
      <c r="BM48" s="745">
        <v>291.33100000000002</v>
      </c>
      <c r="BN48" s="745">
        <v>2752.9870000000001</v>
      </c>
      <c r="BO48" s="744">
        <v>2752.9870000000001</v>
      </c>
      <c r="BP48" s="745">
        <v>2757.223</v>
      </c>
      <c r="BQ48" s="745">
        <v>2754.2550000000001</v>
      </c>
      <c r="BR48" s="745">
        <v>2757.1970000000001</v>
      </c>
      <c r="BS48" s="745">
        <v>2761.433</v>
      </c>
      <c r="BT48" s="744">
        <f t="shared" si="76"/>
        <v>2761.433</v>
      </c>
      <c r="BU48" s="745">
        <v>2764.3470000000002</v>
      </c>
      <c r="BV48" s="745">
        <v>2766.4250000000002</v>
      </c>
      <c r="BW48" s="745">
        <v>2768.404</v>
      </c>
      <c r="BX48" s="745">
        <v>2771.1260000000002</v>
      </c>
      <c r="BY48" s="744">
        <f t="shared" si="77"/>
        <v>2771.1260000000002</v>
      </c>
      <c r="BZ48" s="745">
        <v>2774.2759999999998</v>
      </c>
      <c r="CA48" s="745">
        <v>2776.9479999999999</v>
      </c>
      <c r="CB48" s="745">
        <v>2781.4969999999998</v>
      </c>
      <c r="CC48" s="745">
        <f t="shared" si="78"/>
        <v>2779.8710000000001</v>
      </c>
      <c r="CD48" s="744">
        <v>2779.8710000000001</v>
      </c>
      <c r="CE48" s="971">
        <v>2779.9470000000001</v>
      </c>
      <c r="CF48" s="745">
        <v>2781.2660000000001</v>
      </c>
      <c r="CG48" s="745">
        <v>2783.1619999999998</v>
      </c>
      <c r="CH48" s="745">
        <v>2782.7649999999999</v>
      </c>
      <c r="CI48" s="746">
        <f t="shared" si="79"/>
        <v>2782.7649999999999</v>
      </c>
      <c r="CJ48" s="745">
        <v>2783.154</v>
      </c>
      <c r="CK48" s="745">
        <v>2785.9520000000002</v>
      </c>
      <c r="CL48" s="745">
        <v>2788.4789999999998</v>
      </c>
      <c r="CM48" s="745">
        <v>2794.4450000000002</v>
      </c>
      <c r="CN48" s="746">
        <f t="shared" si="80"/>
        <v>2794.4450000000002</v>
      </c>
      <c r="CO48" s="745">
        <v>2826.2240000000002</v>
      </c>
      <c r="CP48" s="745">
        <v>2828.9259999999999</v>
      </c>
      <c r="CQ48" s="745">
        <v>2827.9650000000001</v>
      </c>
      <c r="CR48" s="745">
        <v>2826.9650000000001</v>
      </c>
      <c r="CS48" s="746">
        <f t="shared" si="81"/>
        <v>2826.9650000000001</v>
      </c>
      <c r="CT48" s="745">
        <v>2857.1329999999998</v>
      </c>
      <c r="CU48" s="745">
        <v>2879.5059999999999</v>
      </c>
      <c r="CV48" s="745">
        <v>2876.1880000000001</v>
      </c>
      <c r="CW48" s="745">
        <v>2874.752</v>
      </c>
      <c r="CX48" s="746">
        <f>CW48</f>
        <v>2874.752</v>
      </c>
      <c r="CY48" s="745">
        <v>2873.2460000000001</v>
      </c>
      <c r="CZ48" s="745">
        <v>2874.4340000000002</v>
      </c>
      <c r="DA48" s="745">
        <v>2875.203</v>
      </c>
      <c r="DB48" s="745">
        <v>2878.5889999999999</v>
      </c>
      <c r="DC48" s="746">
        <f>DB48</f>
        <v>2878.5889999999999</v>
      </c>
      <c r="DD48" s="745">
        <v>2876.44</v>
      </c>
      <c r="DE48" s="745">
        <v>2882.4940000000001</v>
      </c>
      <c r="DF48" s="745">
        <v>2883.5039999999999</v>
      </c>
      <c r="DG48" s="745">
        <v>2885.9549999999999</v>
      </c>
      <c r="DH48" s="746">
        <f>DG48</f>
        <v>2885.9549999999999</v>
      </c>
      <c r="DI48" s="827">
        <f>DH48+'CashFlow '!DI17</f>
        <v>2890.9549999999999</v>
      </c>
      <c r="DJ48" s="827">
        <f>DI48+'CashFlow '!DJ17</f>
        <v>2895.9549999999999</v>
      </c>
      <c r="DK48" s="827">
        <f>DJ48+'CashFlow '!DK17</f>
        <v>2900.9549999999999</v>
      </c>
      <c r="DL48" s="827">
        <f>DK48+'CashFlow '!DL17</f>
        <v>2905.9549999999999</v>
      </c>
      <c r="DM48" s="746">
        <f>DL48</f>
        <v>2905.9549999999999</v>
      </c>
      <c r="DN48" s="827">
        <f>DM48+'CashFlow '!DN17</f>
        <v>2910.9549999999999</v>
      </c>
      <c r="DO48" s="827">
        <f>DN48+'CashFlow '!DO17</f>
        <v>2915.9549999999999</v>
      </c>
      <c r="DP48" s="827">
        <f>DO48+'CashFlow '!DP17</f>
        <v>2920.9549999999999</v>
      </c>
      <c r="DQ48" s="827">
        <f>DP48+'CashFlow '!DQ17</f>
        <v>2925.9549999999999</v>
      </c>
      <c r="DR48" s="746">
        <f>DQ48</f>
        <v>2925.9549999999999</v>
      </c>
      <c r="DS48" s="827">
        <f>DR48+'CashFlow '!DS17</f>
        <v>2930.9549999999999</v>
      </c>
      <c r="DT48" s="827">
        <f>DS48+'CashFlow '!DT17</f>
        <v>2935.9549999999999</v>
      </c>
      <c r="DU48" s="827">
        <f>DT48+'CashFlow '!DU17</f>
        <v>2940.9549999999999</v>
      </c>
      <c r="DV48" s="827">
        <f>DU48+'CashFlow '!DV17</f>
        <v>2945.9549999999999</v>
      </c>
      <c r="DW48" s="746">
        <f>DV48</f>
        <v>2945.9549999999999</v>
      </c>
      <c r="DY48" s="518"/>
      <c r="EB48"/>
      <c r="EC48"/>
      <c r="ED48"/>
      <c r="EE48"/>
      <c r="EF48"/>
      <c r="EG48"/>
    </row>
    <row r="49" spans="1:137" s="45" customFormat="1">
      <c r="A49" s="743" t="s">
        <v>78</v>
      </c>
      <c r="B49" s="90"/>
      <c r="C49" s="87"/>
      <c r="D49" s="88"/>
      <c r="E49" s="88"/>
      <c r="F49" s="121"/>
      <c r="G49" s="88"/>
      <c r="H49" s="88"/>
      <c r="I49" s="88"/>
      <c r="J49" s="88"/>
      <c r="K49" s="91"/>
      <c r="L49" s="99"/>
      <c r="M49" s="88"/>
      <c r="N49" s="92"/>
      <c r="O49" s="92"/>
      <c r="P49" s="90"/>
      <c r="Q49" s="90"/>
      <c r="R49" s="119"/>
      <c r="S49" s="92"/>
      <c r="T49" s="92"/>
      <c r="U49" s="92"/>
      <c r="V49" s="124"/>
      <c r="W49" s="119"/>
      <c r="X49" s="92"/>
      <c r="Y49" s="92"/>
      <c r="Z49" s="90"/>
      <c r="AA49" s="124"/>
      <c r="AB49" s="87"/>
      <c r="AC49" s="88"/>
      <c r="AD49" s="88"/>
      <c r="AE49" s="91"/>
      <c r="AF49" s="99"/>
      <c r="AG49" s="87"/>
      <c r="AH49" s="88"/>
      <c r="AI49" s="88"/>
      <c r="AJ49" s="91"/>
      <c r="AK49" s="99"/>
      <c r="AL49" s="88"/>
      <c r="AM49" s="92"/>
      <c r="AN49" s="88"/>
      <c r="AO49" s="91"/>
      <c r="AP49" s="143"/>
      <c r="AQ49" s="88"/>
      <c r="AR49" s="88"/>
      <c r="AS49" s="88"/>
      <c r="AT49" s="91"/>
      <c r="AU49" s="143"/>
      <c r="AV49" s="88"/>
      <c r="AW49" s="88"/>
      <c r="AX49" s="88"/>
      <c r="AY49" s="91"/>
      <c r="AZ49" s="744"/>
      <c r="BA49" s="87"/>
      <c r="BB49" s="88"/>
      <c r="BC49" s="88"/>
      <c r="BD49" s="91"/>
      <c r="BE49" s="744">
        <v>185.726</v>
      </c>
      <c r="BF49" s="180"/>
      <c r="BG49" s="180"/>
      <c r="BH49" s="180"/>
      <c r="BI49" s="183"/>
      <c r="BJ49" s="744">
        <v>167.267</v>
      </c>
      <c r="BK49" s="745">
        <v>77.269000000000005</v>
      </c>
      <c r="BL49" s="745">
        <v>62.305</v>
      </c>
      <c r="BM49" s="745">
        <v>42.715000000000003</v>
      </c>
      <c r="BN49" s="747">
        <v>-357.541</v>
      </c>
      <c r="BO49" s="744">
        <v>-357.541</v>
      </c>
      <c r="BP49" s="745">
        <v>-375.49799999999999</v>
      </c>
      <c r="BQ49" s="745">
        <v>-367.642</v>
      </c>
      <c r="BR49" s="745">
        <v>-359.983</v>
      </c>
      <c r="BS49" s="747">
        <v>-380.48</v>
      </c>
      <c r="BT49" s="744">
        <f t="shared" si="76"/>
        <v>-380.48</v>
      </c>
      <c r="BU49" s="745">
        <v>-390.54399999999998</v>
      </c>
      <c r="BV49" s="745">
        <v>-386.17099999999999</v>
      </c>
      <c r="BW49" s="745">
        <v>-393.33300000000003</v>
      </c>
      <c r="BX49" s="747">
        <v>-412.464</v>
      </c>
      <c r="BY49" s="744">
        <f t="shared" si="77"/>
        <v>-412.464</v>
      </c>
      <c r="BZ49" s="745">
        <v>-422.25700000000001</v>
      </c>
      <c r="CA49" s="745">
        <v>-419.39</v>
      </c>
      <c r="CB49" s="745">
        <v>-431.197</v>
      </c>
      <c r="CC49" s="747">
        <f t="shared" si="78"/>
        <v>-434.99900000000002</v>
      </c>
      <c r="CD49" s="744">
        <v>-434.99900000000002</v>
      </c>
      <c r="CE49" s="971">
        <v>-430.45699999999999</v>
      </c>
      <c r="CF49" s="745">
        <v>-443.762</v>
      </c>
      <c r="CG49" s="745">
        <v>-477.74200000000002</v>
      </c>
      <c r="CH49" s="747">
        <v>-467.00700000000001</v>
      </c>
      <c r="CI49" s="746">
        <f t="shared" si="79"/>
        <v>-467.00700000000001</v>
      </c>
      <c r="CJ49" s="745">
        <v>-480.59199999999998</v>
      </c>
      <c r="CK49" s="745">
        <v>-484.11500000000001</v>
      </c>
      <c r="CL49" s="745">
        <v>-505.65699999999998</v>
      </c>
      <c r="CM49" s="747">
        <v>-492.21499999999997</v>
      </c>
      <c r="CN49" s="746">
        <f t="shared" si="80"/>
        <v>-492.21499999999997</v>
      </c>
      <c r="CO49" s="745">
        <v>-464.22800000000001</v>
      </c>
      <c r="CP49" s="745">
        <v>-453.56599999999997</v>
      </c>
      <c r="CQ49" s="745">
        <v>-449.10300000000001</v>
      </c>
      <c r="CR49" s="747">
        <v>-445.91699999999997</v>
      </c>
      <c r="CS49" s="746">
        <f t="shared" si="81"/>
        <v>-445.91699999999997</v>
      </c>
      <c r="CT49" s="745">
        <v>-438.61200000000002</v>
      </c>
      <c r="CU49" s="745">
        <v>-418.41</v>
      </c>
      <c r="CV49" s="745">
        <v>-426.05399999999997</v>
      </c>
      <c r="CW49" s="747">
        <v>-356.63200000000001</v>
      </c>
      <c r="CX49" s="746">
        <f>CW49</f>
        <v>-356.63200000000001</v>
      </c>
      <c r="CY49" s="745">
        <v>-347.48599999999999</v>
      </c>
      <c r="CZ49" s="745">
        <v>-336.94799999999998</v>
      </c>
      <c r="DA49" s="745">
        <v>-303.70299999999997</v>
      </c>
      <c r="DB49" s="747">
        <v>-290.85700000000003</v>
      </c>
      <c r="DC49" s="746">
        <f>DB49</f>
        <v>-290.85700000000003</v>
      </c>
      <c r="DD49" s="745">
        <v>-283.916</v>
      </c>
      <c r="DE49" s="745">
        <v>-302.93900000000002</v>
      </c>
      <c r="DF49" s="745">
        <v>-305.70299999999997</v>
      </c>
      <c r="DG49" s="747">
        <v>-163.28899999999999</v>
      </c>
      <c r="DH49" s="746">
        <f>DG49</f>
        <v>-163.28899999999999</v>
      </c>
      <c r="DI49" s="827">
        <f>DH49+IncomeStatement!BZ55+'CashFlow '!DI50</f>
        <v>-160.6172786379615</v>
      </c>
      <c r="DJ49" s="827">
        <f>DI49+IncomeStatement!CA55+'CashFlow '!DJ50</f>
        <v>-143.05344212164749</v>
      </c>
      <c r="DK49" s="827">
        <f>DJ49+IncomeStatement!CB55+'CashFlow '!DK50</f>
        <v>-130.38635749912271</v>
      </c>
      <c r="DL49" s="1006">
        <f>DK49+IncomeStatement!CC55+'CashFlow '!DL50</f>
        <v>-116.99318376752237</v>
      </c>
      <c r="DM49" s="746">
        <f>DL49</f>
        <v>-116.99318376752237</v>
      </c>
      <c r="DN49" s="827">
        <f>DM49+IncomeStatement!CE55+'CashFlow '!DN50</f>
        <v>-105.8230685636552</v>
      </c>
      <c r="DO49" s="827">
        <f>DN49+IncomeStatement!CF55+'CashFlow '!DO50</f>
        <v>-80.133565847073058</v>
      </c>
      <c r="DP49" s="827">
        <f>DO49+IncomeStatement!CG55+'CashFlow '!DP50</f>
        <v>-59.386736752432256</v>
      </c>
      <c r="DQ49" s="1006">
        <f>DP49+IncomeStatement!CH55+'CashFlow '!DQ50</f>
        <v>-38.703969245924242</v>
      </c>
      <c r="DR49" s="746">
        <f>DQ49</f>
        <v>-38.703969245924242</v>
      </c>
      <c r="DS49" s="827">
        <f>DR49+IncomeStatement!CJ55+'CashFlow '!DS50</f>
        <v>-20.963402824467384</v>
      </c>
      <c r="DT49" s="827">
        <f>DS49+IncomeStatement!CK55+'CashFlow '!DT50</f>
        <v>10.957325729868934</v>
      </c>
      <c r="DU49" s="827">
        <f>DT49+IncomeStatement!CL55+'CashFlow '!DU50</f>
        <v>37.928734588087124</v>
      </c>
      <c r="DV49" s="1006">
        <f>DU49+IncomeStatement!CM55+'CashFlow '!DV50</f>
        <v>65.270634924555949</v>
      </c>
      <c r="DW49" s="746">
        <f>DV49</f>
        <v>65.270634924555949</v>
      </c>
      <c r="DY49" s="518"/>
      <c r="EB49"/>
      <c r="EC49"/>
      <c r="ED49"/>
      <c r="EE49"/>
      <c r="EF49"/>
      <c r="EG49"/>
    </row>
    <row r="50" spans="1:137" s="45" customFormat="1">
      <c r="A50" s="743" t="s">
        <v>295</v>
      </c>
      <c r="B50" s="90"/>
      <c r="C50" s="87"/>
      <c r="D50" s="88"/>
      <c r="E50" s="88"/>
      <c r="F50" s="121"/>
      <c r="G50" s="88"/>
      <c r="H50" s="88"/>
      <c r="I50" s="88"/>
      <c r="J50" s="88"/>
      <c r="K50" s="91"/>
      <c r="L50" s="99"/>
      <c r="M50" s="88"/>
      <c r="N50" s="92"/>
      <c r="O50" s="92"/>
      <c r="P50" s="90"/>
      <c r="Q50" s="90"/>
      <c r="R50" s="119"/>
      <c r="S50" s="92"/>
      <c r="T50" s="92"/>
      <c r="U50" s="92"/>
      <c r="V50" s="124"/>
      <c r="W50" s="119"/>
      <c r="X50" s="92"/>
      <c r="Y50" s="92"/>
      <c r="Z50" s="90"/>
      <c r="AA50" s="124"/>
      <c r="AB50" s="87"/>
      <c r="AC50" s="88"/>
      <c r="AD50" s="88"/>
      <c r="AE50" s="91"/>
      <c r="AF50" s="99"/>
      <c r="AG50" s="87"/>
      <c r="AH50" s="88"/>
      <c r="AI50" s="88"/>
      <c r="AJ50" s="91"/>
      <c r="AK50" s="99"/>
      <c r="AL50" s="88"/>
      <c r="AM50" s="92"/>
      <c r="AN50" s="88"/>
      <c r="AO50" s="91"/>
      <c r="AP50" s="143"/>
      <c r="AQ50" s="88"/>
      <c r="AR50" s="88"/>
      <c r="AS50" s="88"/>
      <c r="AT50" s="91"/>
      <c r="AU50" s="143"/>
      <c r="AV50" s="88"/>
      <c r="AW50" s="88"/>
      <c r="AX50" s="88"/>
      <c r="AY50" s="91"/>
      <c r="AZ50" s="744"/>
      <c r="BA50" s="87"/>
      <c r="BB50" s="88"/>
      <c r="BC50" s="88"/>
      <c r="BD50" s="91"/>
      <c r="BE50" s="744">
        <v>-43.695</v>
      </c>
      <c r="BF50" s="180"/>
      <c r="BG50" s="180"/>
      <c r="BH50" s="180"/>
      <c r="BI50" s="180"/>
      <c r="BJ50" s="744">
        <v>-16.774000000000001</v>
      </c>
      <c r="BK50" s="745">
        <v>-16.817</v>
      </c>
      <c r="BL50" s="745">
        <v>-13.236000000000001</v>
      </c>
      <c r="BM50" s="745">
        <v>-13.18</v>
      </c>
      <c r="BN50" s="745">
        <v>-15.944000000000001</v>
      </c>
      <c r="BO50" s="744">
        <v>-15.944000000000001</v>
      </c>
      <c r="BP50" s="745">
        <v>-15.593999999999999</v>
      </c>
      <c r="BQ50" s="745">
        <v>-7.8920000000000003</v>
      </c>
      <c r="BR50" s="745">
        <v>-31.946000000000002</v>
      </c>
      <c r="BS50" s="745">
        <v>-85.971000000000004</v>
      </c>
      <c r="BT50" s="744">
        <f t="shared" si="76"/>
        <v>-85.971000000000004</v>
      </c>
      <c r="BU50" s="745">
        <v>-163.654</v>
      </c>
      <c r="BV50" s="745">
        <v>-251.601</v>
      </c>
      <c r="BW50" s="745">
        <v>-249.755</v>
      </c>
      <c r="BX50" s="745">
        <v>-249.547</v>
      </c>
      <c r="BY50" s="744">
        <f t="shared" si="77"/>
        <v>-249.547</v>
      </c>
      <c r="BZ50" s="745">
        <v>-246.56800000000001</v>
      </c>
      <c r="CA50" s="745">
        <v>-292.06700000000001</v>
      </c>
      <c r="CB50" s="745">
        <v>-394.25700000000001</v>
      </c>
      <c r="CC50" s="745">
        <f t="shared" si="78"/>
        <v>-395.947</v>
      </c>
      <c r="CD50" s="744">
        <v>-395.947</v>
      </c>
      <c r="CE50" s="971">
        <v>-393.81799999999998</v>
      </c>
      <c r="CF50" s="745">
        <v>-392.24599999999998</v>
      </c>
      <c r="CG50" s="745">
        <v>-389.91199999999998</v>
      </c>
      <c r="CH50" s="745">
        <v>-382.92599999999999</v>
      </c>
      <c r="CI50" s="746">
        <f t="shared" si="79"/>
        <v>-382.92599999999999</v>
      </c>
      <c r="CJ50" s="745">
        <v>-378.97500000000002</v>
      </c>
      <c r="CK50" s="745">
        <v>-376.15899999999999</v>
      </c>
      <c r="CL50" s="745">
        <v>-404.48399999999998</v>
      </c>
      <c r="CM50" s="745">
        <v>-409.44900000000001</v>
      </c>
      <c r="CN50" s="746">
        <f t="shared" si="80"/>
        <v>-409.44900000000001</v>
      </c>
      <c r="CO50" s="745">
        <v>-668.20699999999999</v>
      </c>
      <c r="CP50" s="745">
        <v>-666.59400000000005</v>
      </c>
      <c r="CQ50" s="745">
        <v>-676.41899999999998</v>
      </c>
      <c r="CR50" s="745">
        <v>-679.22</v>
      </c>
      <c r="CS50" s="746">
        <f t="shared" si="81"/>
        <v>-679.22</v>
      </c>
      <c r="CT50" s="745">
        <v>-698.34500000000003</v>
      </c>
      <c r="CU50" s="745">
        <v>-723.279</v>
      </c>
      <c r="CV50" s="745">
        <v>-1728.336</v>
      </c>
      <c r="CW50" s="745">
        <v>-1741.425</v>
      </c>
      <c r="CX50" s="746">
        <f>CW50</f>
        <v>-1741.425</v>
      </c>
      <c r="CY50" s="745">
        <v>-1781.511</v>
      </c>
      <c r="CZ50" s="745">
        <v>-1835.6289999999999</v>
      </c>
      <c r="DA50" s="745">
        <v>-1881.307</v>
      </c>
      <c r="DB50" s="745">
        <v>-2043.797</v>
      </c>
      <c r="DC50" s="746">
        <f>DB50</f>
        <v>-2043.797</v>
      </c>
      <c r="DD50" s="745">
        <v>-2053.962</v>
      </c>
      <c r="DE50" s="745">
        <v>-2085.3009999999999</v>
      </c>
      <c r="DF50" s="745">
        <v>-2117.232</v>
      </c>
      <c r="DG50" s="745">
        <v>-2150.3069999999998</v>
      </c>
      <c r="DH50" s="746">
        <f>DG50</f>
        <v>-2150.3069999999998</v>
      </c>
      <c r="DI50" s="827">
        <f>DH50+'CashFlow '!DI51</f>
        <v>-2190.3069999999998</v>
      </c>
      <c r="DJ50" s="827">
        <f>DI50+'CashFlow '!DJ51</f>
        <v>-2230.3069999999998</v>
      </c>
      <c r="DK50" s="827">
        <f>DJ50+'CashFlow '!DK51</f>
        <v>-2270.3069999999998</v>
      </c>
      <c r="DL50" s="827">
        <f>DK50+'CashFlow '!DL51</f>
        <v>-2310.3069999999998</v>
      </c>
      <c r="DM50" s="746">
        <f>DL50</f>
        <v>-2310.3069999999998</v>
      </c>
      <c r="DN50" s="827">
        <f>DM50+'CashFlow '!DN51</f>
        <v>-2350.3069999999998</v>
      </c>
      <c r="DO50" s="827">
        <f>DN50+'CashFlow '!DO51</f>
        <v>-2390.3069999999998</v>
      </c>
      <c r="DP50" s="827">
        <f>DO50+'CashFlow '!DP51</f>
        <v>-2430.3069999999998</v>
      </c>
      <c r="DQ50" s="827">
        <f>DP50+'CashFlow '!DQ51</f>
        <v>-2470.3069999999998</v>
      </c>
      <c r="DR50" s="746">
        <f>DQ50</f>
        <v>-2470.3069999999998</v>
      </c>
      <c r="DS50" s="827">
        <f>DR50+'CashFlow '!DS51</f>
        <v>-2490.3069999999998</v>
      </c>
      <c r="DT50" s="827">
        <f>DS50+'CashFlow '!DT51</f>
        <v>-2510.3069999999998</v>
      </c>
      <c r="DU50" s="827">
        <f>DT50+'CashFlow '!DU51</f>
        <v>-2530.3069999999998</v>
      </c>
      <c r="DV50" s="827">
        <f>DU50+'CashFlow '!DV51</f>
        <v>-2550.3069999999998</v>
      </c>
      <c r="DW50" s="746">
        <f>DV50</f>
        <v>-2550.3069999999998</v>
      </c>
      <c r="DY50" s="518"/>
      <c r="EB50"/>
      <c r="EC50"/>
      <c r="ED50"/>
      <c r="EE50"/>
      <c r="EF50"/>
      <c r="EG50"/>
    </row>
    <row r="51" spans="1:137" s="45" customFormat="1">
      <c r="A51" s="743" t="s">
        <v>206</v>
      </c>
      <c r="B51" s="90"/>
      <c r="C51" s="87"/>
      <c r="D51" s="88"/>
      <c r="E51" s="88"/>
      <c r="F51" s="121"/>
      <c r="G51" s="88"/>
      <c r="H51" s="88"/>
      <c r="I51" s="88"/>
      <c r="J51" s="88"/>
      <c r="K51" s="91"/>
      <c r="L51" s="99"/>
      <c r="M51" s="88"/>
      <c r="N51" s="92"/>
      <c r="O51" s="92"/>
      <c r="P51" s="90"/>
      <c r="Q51" s="90"/>
      <c r="R51" s="119"/>
      <c r="S51" s="92"/>
      <c r="T51" s="92"/>
      <c r="U51" s="92"/>
      <c r="V51" s="124"/>
      <c r="W51" s="119"/>
      <c r="X51" s="92"/>
      <c r="Y51" s="92"/>
      <c r="Z51" s="90"/>
      <c r="AA51" s="124"/>
      <c r="AB51" s="87"/>
      <c r="AC51" s="88"/>
      <c r="AD51" s="88"/>
      <c r="AE51" s="91"/>
      <c r="AF51" s="99"/>
      <c r="AG51" s="87"/>
      <c r="AH51" s="88"/>
      <c r="AI51" s="88"/>
      <c r="AJ51" s="91"/>
      <c r="AK51" s="99"/>
      <c r="AL51" s="88"/>
      <c r="AM51" s="92"/>
      <c r="AN51" s="88"/>
      <c r="AO51" s="91"/>
      <c r="AP51" s="143"/>
      <c r="AQ51" s="88"/>
      <c r="AR51" s="88"/>
      <c r="AS51" s="88"/>
      <c r="AT51" s="91"/>
      <c r="AU51" s="143"/>
      <c r="AV51" s="88"/>
      <c r="AW51" s="88"/>
      <c r="AX51" s="88"/>
      <c r="AY51" s="91"/>
      <c r="AZ51" s="744"/>
      <c r="BA51" s="87"/>
      <c r="BB51" s="88"/>
      <c r="BC51" s="88"/>
      <c r="BD51" s="91"/>
      <c r="BE51" s="744">
        <v>14.852</v>
      </c>
      <c r="BF51" s="180"/>
      <c r="BG51" s="180"/>
      <c r="BH51" s="180"/>
      <c r="BI51" s="183"/>
      <c r="BJ51" s="744">
        <v>-2.0979999999999999</v>
      </c>
      <c r="BK51" s="745">
        <v>1.0329999999999999</v>
      </c>
      <c r="BL51" s="745">
        <v>1.0409999999999999</v>
      </c>
      <c r="BM51" s="745">
        <v>4.0039999999999996</v>
      </c>
      <c r="BN51" s="747">
        <v>-43.253</v>
      </c>
      <c r="BO51" s="744">
        <v>-43.253</v>
      </c>
      <c r="BP51" s="745">
        <v>-38.241</v>
      </c>
      <c r="BQ51" s="745">
        <v>-23.940999999999999</v>
      </c>
      <c r="BR51" s="745">
        <v>-12.91</v>
      </c>
      <c r="BS51" s="747">
        <v>-5.6849999999999996</v>
      </c>
      <c r="BT51" s="744">
        <f t="shared" si="76"/>
        <v>-5.6849999999999996</v>
      </c>
      <c r="BU51" s="745">
        <v>4.0549999999999997</v>
      </c>
      <c r="BV51" s="745">
        <v>-7.2110000000000003</v>
      </c>
      <c r="BW51" s="745">
        <v>2.2290000000000001</v>
      </c>
      <c r="BX51" s="747">
        <v>7.0170000000000003</v>
      </c>
      <c r="BY51" s="744">
        <f t="shared" si="77"/>
        <v>7.0170000000000003</v>
      </c>
      <c r="BZ51" s="745">
        <v>14.62</v>
      </c>
      <c r="CA51" s="745">
        <v>14.888999999999999</v>
      </c>
      <c r="CB51" s="745">
        <v>-5.7320000000000002</v>
      </c>
      <c r="CC51" s="747">
        <f t="shared" si="78"/>
        <v>0.10199999999999999</v>
      </c>
      <c r="CD51" s="744">
        <v>0.10199999999999999</v>
      </c>
      <c r="CE51" s="971">
        <v>4.6269999999999998</v>
      </c>
      <c r="CF51" s="745">
        <v>1.274</v>
      </c>
      <c r="CG51" s="745">
        <v>9.1940000000000008</v>
      </c>
      <c r="CH51" s="747">
        <v>5.9809999999999999</v>
      </c>
      <c r="CI51" s="746">
        <f t="shared" si="79"/>
        <v>5.9809999999999999</v>
      </c>
      <c r="CJ51" s="745">
        <v>0.85</v>
      </c>
      <c r="CK51" s="745">
        <v>-6.5869999999999997</v>
      </c>
      <c r="CL51" s="745">
        <v>-1.6579999999999999</v>
      </c>
      <c r="CM51" s="747">
        <v>-10.337</v>
      </c>
      <c r="CN51" s="746">
        <f t="shared" si="80"/>
        <v>-10.337</v>
      </c>
      <c r="CO51" s="745">
        <v>-17.677</v>
      </c>
      <c r="CP51" s="745">
        <v>-11.442</v>
      </c>
      <c r="CQ51" s="745">
        <v>-20.77</v>
      </c>
      <c r="CR51" s="747">
        <v>-31.294</v>
      </c>
      <c r="CS51" s="746">
        <f t="shared" si="81"/>
        <v>-31.294</v>
      </c>
      <c r="CT51" s="745">
        <v>-51.357999999999997</v>
      </c>
      <c r="CU51" s="745">
        <v>-46.433</v>
      </c>
      <c r="CV51" s="745">
        <v>-63.383000000000003</v>
      </c>
      <c r="CW51" s="747">
        <v>-70.822999999999993</v>
      </c>
      <c r="CX51" s="746">
        <f>CW51</f>
        <v>-70.822999999999993</v>
      </c>
      <c r="CY51" s="745">
        <v>-57.701999999999998</v>
      </c>
      <c r="CZ51" s="745">
        <v>-55.734999999999999</v>
      </c>
      <c r="DA51" s="745">
        <v>-58.66</v>
      </c>
      <c r="DB51" s="747">
        <v>-63.241</v>
      </c>
      <c r="DC51" s="746">
        <f>DB51</f>
        <v>-63.241</v>
      </c>
      <c r="DD51" s="745">
        <v>-60.755000000000003</v>
      </c>
      <c r="DE51" s="745">
        <v>-54.247</v>
      </c>
      <c r="DF51" s="745">
        <v>-45.015999999999998</v>
      </c>
      <c r="DG51" s="747">
        <v>-46.198</v>
      </c>
      <c r="DH51" s="746">
        <f>DG51</f>
        <v>-46.198</v>
      </c>
      <c r="DI51" s="827">
        <f>DH51</f>
        <v>-46.198</v>
      </c>
      <c r="DJ51" s="827">
        <f>DI51</f>
        <v>-46.198</v>
      </c>
      <c r="DK51" s="827">
        <f>DJ51</f>
        <v>-46.198</v>
      </c>
      <c r="DL51" s="1006">
        <f>DK51</f>
        <v>-46.198</v>
      </c>
      <c r="DM51" s="746">
        <f>DL51</f>
        <v>-46.198</v>
      </c>
      <c r="DN51" s="827">
        <f>DM51</f>
        <v>-46.198</v>
      </c>
      <c r="DO51" s="827">
        <f>DN51</f>
        <v>-46.198</v>
      </c>
      <c r="DP51" s="827">
        <f>DO51</f>
        <v>-46.198</v>
      </c>
      <c r="DQ51" s="1006">
        <f>DP51</f>
        <v>-46.198</v>
      </c>
      <c r="DR51" s="746">
        <f>DQ51</f>
        <v>-46.198</v>
      </c>
      <c r="DS51" s="827">
        <f>DR51</f>
        <v>-46.198</v>
      </c>
      <c r="DT51" s="827">
        <f>DS51</f>
        <v>-46.198</v>
      </c>
      <c r="DU51" s="827">
        <f>DT51</f>
        <v>-46.198</v>
      </c>
      <c r="DV51" s="1006">
        <f>DU51</f>
        <v>-46.198</v>
      </c>
      <c r="DW51" s="746">
        <f>DV51</f>
        <v>-46.198</v>
      </c>
      <c r="DY51" s="518"/>
      <c r="EB51"/>
      <c r="EC51"/>
      <c r="ED51"/>
      <c r="EE51"/>
      <c r="EF51"/>
      <c r="EG51"/>
    </row>
    <row r="52" spans="1:137" s="45" customFormat="1">
      <c r="A52" s="749" t="s">
        <v>207</v>
      </c>
      <c r="B52" s="90"/>
      <c r="C52" s="87"/>
      <c r="D52" s="88"/>
      <c r="E52" s="88"/>
      <c r="F52" s="121"/>
      <c r="G52" s="88"/>
      <c r="H52" s="88"/>
      <c r="I52" s="88"/>
      <c r="J52" s="88"/>
      <c r="K52" s="91"/>
      <c r="L52" s="99"/>
      <c r="M52" s="88"/>
      <c r="N52" s="92"/>
      <c r="O52" s="92"/>
      <c r="P52" s="90"/>
      <c r="Q52" s="90"/>
      <c r="R52" s="119"/>
      <c r="S52" s="92"/>
      <c r="T52" s="92"/>
      <c r="U52" s="92"/>
      <c r="V52" s="124"/>
      <c r="W52" s="119"/>
      <c r="X52" s="92"/>
      <c r="Y52" s="92"/>
      <c r="Z52" s="90"/>
      <c r="AA52" s="124"/>
      <c r="AB52" s="87"/>
      <c r="AC52" s="88"/>
      <c r="AD52" s="88"/>
      <c r="AE52" s="91"/>
      <c r="AF52" s="99"/>
      <c r="AG52" s="87"/>
      <c r="AH52" s="88"/>
      <c r="AI52" s="88"/>
      <c r="AJ52" s="91"/>
      <c r="AK52" s="99"/>
      <c r="AL52" s="88"/>
      <c r="AM52" s="92"/>
      <c r="AN52" s="88"/>
      <c r="AO52" s="91"/>
      <c r="AP52" s="143"/>
      <c r="AQ52" s="88"/>
      <c r="AR52" s="88"/>
      <c r="AS52" s="88"/>
      <c r="AT52" s="91"/>
      <c r="AU52" s="143"/>
      <c r="AV52" s="88"/>
      <c r="AW52" s="88"/>
      <c r="AX52" s="88"/>
      <c r="AY52" s="91"/>
      <c r="AZ52" s="739"/>
      <c r="BA52" s="87"/>
      <c r="BB52" s="88"/>
      <c r="BC52" s="88"/>
      <c r="BD52" s="91"/>
      <c r="BE52" s="739">
        <f>SUM(BE46:BE51)</f>
        <v>477.81299999999999</v>
      </c>
      <c r="BF52" s="176"/>
      <c r="BG52" s="176"/>
      <c r="BH52" s="176"/>
      <c r="BI52" s="176"/>
      <c r="BJ52" s="739">
        <f t="shared" ref="BJ52:CI52" si="86">SUM(BJ46:BJ51)</f>
        <v>448.87400000000002</v>
      </c>
      <c r="BK52" s="740">
        <f t="shared" si="86"/>
        <v>363.58600000000001</v>
      </c>
      <c r="BL52" s="740">
        <f t="shared" si="86"/>
        <v>349.67400000000004</v>
      </c>
      <c r="BM52" s="740">
        <f t="shared" si="86"/>
        <v>334.23500000000007</v>
      </c>
      <c r="BN52" s="740">
        <f t="shared" si="86"/>
        <v>2383.2909999999997</v>
      </c>
      <c r="BO52" s="739">
        <f t="shared" si="86"/>
        <v>2383.2909999999997</v>
      </c>
      <c r="BP52" s="740">
        <f t="shared" si="86"/>
        <v>2374.9319999999998</v>
      </c>
      <c r="BQ52" s="740">
        <f t="shared" si="86"/>
        <v>2401.8220000000006</v>
      </c>
      <c r="BR52" s="740">
        <f t="shared" si="86"/>
        <v>2399.5060000000003</v>
      </c>
      <c r="BS52" s="740">
        <f t="shared" si="86"/>
        <v>2336.3389999999999</v>
      </c>
      <c r="BT52" s="739">
        <f t="shared" si="86"/>
        <v>2336.3389999999999</v>
      </c>
      <c r="BU52" s="740">
        <f t="shared" si="86"/>
        <v>2261.2460000000001</v>
      </c>
      <c r="BV52" s="740">
        <f t="shared" si="86"/>
        <v>2168.4840000000004</v>
      </c>
      <c r="BW52" s="740">
        <f t="shared" si="86"/>
        <v>2174.5869999999995</v>
      </c>
      <c r="BX52" s="740">
        <f t="shared" si="86"/>
        <v>2163.174</v>
      </c>
      <c r="BY52" s="739">
        <f t="shared" si="86"/>
        <v>2163.174</v>
      </c>
      <c r="BZ52" s="740">
        <f t="shared" si="86"/>
        <v>2167.1129999999994</v>
      </c>
      <c r="CA52" s="740">
        <f t="shared" si="86"/>
        <v>2127.422</v>
      </c>
      <c r="CB52" s="740">
        <f t="shared" si="86"/>
        <v>1997.3529999999996</v>
      </c>
      <c r="CC52" s="740">
        <f t="shared" si="86"/>
        <v>1996.0689999999997</v>
      </c>
      <c r="CD52" s="739">
        <f t="shared" si="86"/>
        <v>1996.0689999999997</v>
      </c>
      <c r="CE52" s="972">
        <f t="shared" si="86"/>
        <v>2007.3410000000001</v>
      </c>
      <c r="CF52" s="740">
        <f t="shared" si="86"/>
        <v>1993.5739999999996</v>
      </c>
      <c r="CG52" s="740">
        <f t="shared" si="86"/>
        <v>1971.7439999999995</v>
      </c>
      <c r="CH52" s="740">
        <f t="shared" si="86"/>
        <v>1985.8549999999998</v>
      </c>
      <c r="CI52" s="742">
        <f t="shared" si="86"/>
        <v>1985.8549999999998</v>
      </c>
      <c r="CJ52" s="740">
        <f t="shared" ref="CJ52:CS52" si="87">SUM(CJ46:CJ51)</f>
        <v>1971.4789999999998</v>
      </c>
      <c r="CK52" s="740">
        <f t="shared" si="87"/>
        <v>1966.1329999999998</v>
      </c>
      <c r="CL52" s="740">
        <f t="shared" si="87"/>
        <v>1923.7219999999998</v>
      </c>
      <c r="CM52" s="740">
        <f t="shared" si="87"/>
        <v>1929.4859999999999</v>
      </c>
      <c r="CN52" s="742">
        <f t="shared" si="87"/>
        <v>1929.4859999999999</v>
      </c>
      <c r="CO52" s="740">
        <f t="shared" si="87"/>
        <v>1723.1540000000002</v>
      </c>
      <c r="CP52" s="740">
        <f t="shared" si="87"/>
        <v>1744.366</v>
      </c>
      <c r="CQ52" s="740">
        <f t="shared" si="87"/>
        <v>1728.7150000000001</v>
      </c>
      <c r="CR52" s="740">
        <f t="shared" si="87"/>
        <v>1717.576</v>
      </c>
      <c r="CS52" s="742">
        <f t="shared" si="87"/>
        <v>1717.576</v>
      </c>
      <c r="CT52" s="740">
        <f t="shared" ref="CT52:DC52" si="88">SUM(CT46:CT51)</f>
        <v>1715.8599999999997</v>
      </c>
      <c r="CU52" s="740">
        <f t="shared" si="88"/>
        <v>1738.4259999999999</v>
      </c>
      <c r="CV52" s="740">
        <f t="shared" si="88"/>
        <v>705.45699999999988</v>
      </c>
      <c r="CW52" s="740">
        <f t="shared" si="88"/>
        <v>752.91399999999987</v>
      </c>
      <c r="CX52" s="742">
        <f t="shared" si="88"/>
        <v>752.91399999999987</v>
      </c>
      <c r="CY52" s="740">
        <f t="shared" si="88"/>
        <v>733.58900000000017</v>
      </c>
      <c r="CZ52" s="740">
        <f t="shared" si="88"/>
        <v>693.16400000000033</v>
      </c>
      <c r="DA52" s="740">
        <f t="shared" si="88"/>
        <v>678.57499999999993</v>
      </c>
      <c r="DB52" s="740">
        <f t="shared" si="88"/>
        <v>527.73599999999988</v>
      </c>
      <c r="DC52" s="742">
        <f t="shared" si="88"/>
        <v>527.73599999999988</v>
      </c>
      <c r="DD52" s="740">
        <f t="shared" ref="DD52:DW52" si="89">SUM(DD46:DD51)</f>
        <v>524.84899999999982</v>
      </c>
      <c r="DE52" s="740">
        <f t="shared" si="89"/>
        <v>487.04900000000026</v>
      </c>
      <c r="DF52" s="740">
        <f t="shared" si="89"/>
        <v>462.59499999999986</v>
      </c>
      <c r="DG52" s="740">
        <f t="shared" si="89"/>
        <v>573.20299999999986</v>
      </c>
      <c r="DH52" s="742">
        <f t="shared" si="89"/>
        <v>573.20299999999986</v>
      </c>
      <c r="DI52" s="1004">
        <f t="shared" si="89"/>
        <v>540.87472136203849</v>
      </c>
      <c r="DJ52" s="1004">
        <f t="shared" si="89"/>
        <v>523.43855787835253</v>
      </c>
      <c r="DK52" s="1004">
        <f t="shared" si="89"/>
        <v>501.10564250087725</v>
      </c>
      <c r="DL52" s="1004">
        <f t="shared" si="89"/>
        <v>479.49881623247791</v>
      </c>
      <c r="DM52" s="742">
        <f t="shared" si="89"/>
        <v>479.49881623247791</v>
      </c>
      <c r="DN52" s="1004">
        <f t="shared" si="89"/>
        <v>455.66893143634468</v>
      </c>
      <c r="DO52" s="1004">
        <f t="shared" si="89"/>
        <v>446.35843415292709</v>
      </c>
      <c r="DP52" s="1004">
        <f t="shared" si="89"/>
        <v>432.1052632475679</v>
      </c>
      <c r="DQ52" s="1004">
        <f t="shared" si="89"/>
        <v>417.78803075407575</v>
      </c>
      <c r="DR52" s="742">
        <f t="shared" si="89"/>
        <v>417.78803075407575</v>
      </c>
      <c r="DS52" s="1004">
        <f t="shared" si="89"/>
        <v>420.52859717553281</v>
      </c>
      <c r="DT52" s="1004">
        <f t="shared" si="89"/>
        <v>437.44932572986897</v>
      </c>
      <c r="DU52" s="1004">
        <f t="shared" si="89"/>
        <v>449.42073458808716</v>
      </c>
      <c r="DV52" s="1004">
        <f t="shared" si="89"/>
        <v>461.76263492455598</v>
      </c>
      <c r="DW52" s="742">
        <f t="shared" si="89"/>
        <v>461.76263492455598</v>
      </c>
      <c r="DY52" s="518"/>
      <c r="EB52"/>
      <c r="EC52"/>
      <c r="ED52"/>
      <c r="EE52"/>
      <c r="EF52"/>
      <c r="EG52"/>
    </row>
    <row r="53" spans="1:137" s="45" customFormat="1">
      <c r="A53" s="749"/>
      <c r="B53" s="90"/>
      <c r="C53" s="87"/>
      <c r="D53" s="88"/>
      <c r="E53" s="88"/>
      <c r="F53" s="121"/>
      <c r="G53" s="88"/>
      <c r="H53" s="88"/>
      <c r="I53" s="88"/>
      <c r="J53" s="88"/>
      <c r="K53" s="91"/>
      <c r="L53" s="99"/>
      <c r="M53" s="88"/>
      <c r="N53" s="92"/>
      <c r="O53" s="92"/>
      <c r="P53" s="90"/>
      <c r="Q53" s="90"/>
      <c r="R53" s="119"/>
      <c r="S53" s="92"/>
      <c r="T53" s="92"/>
      <c r="U53" s="92"/>
      <c r="V53" s="124"/>
      <c r="W53" s="119"/>
      <c r="X53" s="92"/>
      <c r="Y53" s="92"/>
      <c r="Z53" s="90"/>
      <c r="AA53" s="124"/>
      <c r="AB53" s="87"/>
      <c r="AC53" s="88"/>
      <c r="AD53" s="88"/>
      <c r="AE53" s="91"/>
      <c r="AF53" s="99"/>
      <c r="AG53" s="87"/>
      <c r="AH53" s="88"/>
      <c r="AI53" s="88"/>
      <c r="AJ53" s="91"/>
      <c r="AK53" s="99"/>
      <c r="AL53" s="88"/>
      <c r="AM53" s="92"/>
      <c r="AN53" s="88"/>
      <c r="AO53" s="91"/>
      <c r="AP53" s="143"/>
      <c r="AQ53" s="88"/>
      <c r="AR53" s="88"/>
      <c r="AS53" s="88"/>
      <c r="AT53" s="91"/>
      <c r="AU53" s="143"/>
      <c r="AV53" s="88"/>
      <c r="AW53" s="88"/>
      <c r="AX53" s="88"/>
      <c r="AY53" s="91"/>
      <c r="AZ53" s="739"/>
      <c r="BA53" s="87"/>
      <c r="BB53" s="88"/>
      <c r="BC53" s="88"/>
      <c r="BD53" s="91"/>
      <c r="BE53" s="739"/>
      <c r="BF53" s="176"/>
      <c r="BG53" s="176"/>
      <c r="BH53" s="176"/>
      <c r="BI53" s="176"/>
      <c r="BJ53" s="739"/>
      <c r="BK53" s="740"/>
      <c r="BL53" s="740"/>
      <c r="BM53" s="740"/>
      <c r="BN53" s="740"/>
      <c r="BO53" s="739"/>
      <c r="BP53" s="740"/>
      <c r="BQ53" s="740"/>
      <c r="BR53" s="740"/>
      <c r="BS53" s="740"/>
      <c r="BT53" s="739"/>
      <c r="BU53" s="740"/>
      <c r="BV53" s="740"/>
      <c r="BW53" s="740"/>
      <c r="BX53" s="740"/>
      <c r="BY53" s="739"/>
      <c r="BZ53" s="740"/>
      <c r="CA53" s="740"/>
      <c r="CB53" s="740"/>
      <c r="CC53" s="740"/>
      <c r="CD53" s="739"/>
      <c r="CE53" s="972"/>
      <c r="CF53" s="740"/>
      <c r="CG53" s="740"/>
      <c r="CH53" s="740"/>
      <c r="CI53" s="742"/>
      <c r="CJ53" s="740"/>
      <c r="CK53" s="740"/>
      <c r="CL53" s="740"/>
      <c r="CM53" s="740"/>
      <c r="CN53" s="742"/>
      <c r="CO53" s="740"/>
      <c r="CP53" s="740"/>
      <c r="CQ53" s="740"/>
      <c r="CR53" s="740"/>
      <c r="CS53" s="742"/>
      <c r="CT53" s="740"/>
      <c r="CU53" s="740"/>
      <c r="CV53" s="740"/>
      <c r="CW53" s="1004"/>
      <c r="CX53" s="742"/>
      <c r="CY53" s="740"/>
      <c r="CZ53" s="740"/>
      <c r="DA53" s="740"/>
      <c r="DB53" s="740"/>
      <c r="DC53" s="742"/>
      <c r="DD53" s="740"/>
      <c r="DE53" s="740"/>
      <c r="DF53" s="740"/>
      <c r="DG53" s="740"/>
      <c r="DH53" s="742"/>
      <c r="DI53" s="1004"/>
      <c r="DJ53" s="1004"/>
      <c r="DK53" s="1004"/>
      <c r="DL53" s="1004"/>
      <c r="DM53" s="742"/>
      <c r="DN53" s="1004"/>
      <c r="DO53" s="1004"/>
      <c r="DP53" s="1004"/>
      <c r="DQ53" s="1004"/>
      <c r="DR53" s="742"/>
      <c r="DS53" s="1004"/>
      <c r="DT53" s="1004"/>
      <c r="DU53" s="1004"/>
      <c r="DV53" s="1004"/>
      <c r="DW53" s="742"/>
      <c r="DY53" s="518"/>
      <c r="EB53"/>
      <c r="EC53"/>
      <c r="ED53"/>
      <c r="EE53"/>
      <c r="EF53"/>
      <c r="EG53"/>
    </row>
    <row r="54" spans="1:137" s="45" customFormat="1">
      <c r="A54" s="749" t="s">
        <v>111</v>
      </c>
      <c r="B54" s="90"/>
      <c r="C54" s="87"/>
      <c r="D54" s="88"/>
      <c r="E54" s="88"/>
      <c r="F54" s="121"/>
      <c r="G54" s="88"/>
      <c r="H54" s="88"/>
      <c r="I54" s="88"/>
      <c r="J54" s="88"/>
      <c r="K54" s="91"/>
      <c r="L54" s="99"/>
      <c r="M54" s="88"/>
      <c r="N54" s="92"/>
      <c r="O54" s="92"/>
      <c r="P54" s="90"/>
      <c r="Q54" s="90"/>
      <c r="R54" s="119"/>
      <c r="S54" s="92"/>
      <c r="T54" s="92"/>
      <c r="U54" s="92"/>
      <c r="V54" s="124"/>
      <c r="W54" s="119"/>
      <c r="X54" s="92"/>
      <c r="Y54" s="92"/>
      <c r="Z54" s="90"/>
      <c r="AA54" s="124"/>
      <c r="AB54" s="87"/>
      <c r="AC54" s="88"/>
      <c r="AD54" s="88"/>
      <c r="AE54" s="91"/>
      <c r="AF54" s="99"/>
      <c r="AG54" s="87"/>
      <c r="AH54" s="88"/>
      <c r="AI54" s="88"/>
      <c r="AJ54" s="91"/>
      <c r="AK54" s="99"/>
      <c r="AL54" s="88"/>
      <c r="AM54" s="92"/>
      <c r="AN54" s="88"/>
      <c r="AO54" s="91"/>
      <c r="AP54" s="143"/>
      <c r="AQ54" s="88"/>
      <c r="AR54" s="88"/>
      <c r="AS54" s="88"/>
      <c r="AT54" s="91"/>
      <c r="AU54" s="143"/>
      <c r="AV54" s="88"/>
      <c r="AW54" s="88"/>
      <c r="AX54" s="88"/>
      <c r="AY54" s="91"/>
      <c r="AZ54" s="739"/>
      <c r="BA54" s="87"/>
      <c r="BB54" s="88"/>
      <c r="BC54" s="88"/>
      <c r="BD54" s="91"/>
      <c r="BE54" s="739"/>
      <c r="BF54" s="176"/>
      <c r="BG54" s="176"/>
      <c r="BH54" s="176"/>
      <c r="BI54" s="176"/>
      <c r="BJ54" s="739"/>
      <c r="BK54" s="740"/>
      <c r="BL54" s="740"/>
      <c r="BM54" s="740"/>
      <c r="BN54" s="740"/>
      <c r="BO54" s="739"/>
      <c r="BP54" s="740"/>
      <c r="BQ54" s="740"/>
      <c r="BR54" s="740"/>
      <c r="BS54" s="740"/>
      <c r="BT54" s="739"/>
      <c r="BU54" s="740"/>
      <c r="BV54" s="740"/>
      <c r="BW54" s="740"/>
      <c r="BX54" s="740"/>
      <c r="BY54" s="739"/>
      <c r="BZ54" s="740"/>
      <c r="CA54" s="745">
        <f>-IncomeStatement!AR52</f>
        <v>0</v>
      </c>
      <c r="CB54" s="745">
        <f>-IncomeStatement!AS52+CA54</f>
        <v>0</v>
      </c>
      <c r="CC54" s="745">
        <f>-IncomeStatement!AT52+CB54</f>
        <v>0</v>
      </c>
      <c r="CD54" s="744">
        <f>CC54</f>
        <v>0</v>
      </c>
      <c r="CE54" s="971">
        <f>CD54</f>
        <v>0</v>
      </c>
      <c r="CF54" s="745">
        <v>0</v>
      </c>
      <c r="CG54" s="745">
        <f>-IncomeStatement!AX52+CF54</f>
        <v>0</v>
      </c>
      <c r="CH54" s="745">
        <f>-IncomeStatement!AY52+CG54</f>
        <v>0</v>
      </c>
      <c r="CI54" s="744">
        <f>CH54</f>
        <v>0</v>
      </c>
      <c r="CJ54" s="745">
        <f>-IncomeStatement!BA52+CI54</f>
        <v>0</v>
      </c>
      <c r="CK54" s="745">
        <v>-2.331</v>
      </c>
      <c r="CL54" s="745">
        <v>-2.4129999999999998</v>
      </c>
      <c r="CM54" s="745">
        <v>0</v>
      </c>
      <c r="CN54" s="744">
        <f>CM54</f>
        <v>0</v>
      </c>
      <c r="CO54" s="745">
        <f>-IncomeStatement!BF52+CN54</f>
        <v>0</v>
      </c>
      <c r="CP54" s="745">
        <f>-IncomeStatement!BG52+CO54</f>
        <v>0</v>
      </c>
      <c r="CQ54" s="745">
        <f>-IncomeStatement!BH52+CP54</f>
        <v>0</v>
      </c>
      <c r="CR54" s="745">
        <f>-IncomeStatement!BI52+CQ54</f>
        <v>0</v>
      </c>
      <c r="CS54" s="744">
        <f>CR54</f>
        <v>0</v>
      </c>
      <c r="CT54" s="745">
        <f>-IncomeStatement!BK52+CS54</f>
        <v>0</v>
      </c>
      <c r="CU54" s="745">
        <f>-IncomeStatement!BL52+CT54</f>
        <v>0</v>
      </c>
      <c r="CV54" s="745">
        <f>-IncomeStatement!BM52+CU54</f>
        <v>0</v>
      </c>
      <c r="CW54" s="827">
        <f>-IncomeStatement!BN52+CV54</f>
        <v>0</v>
      </c>
      <c r="CX54" s="744">
        <f>CW54</f>
        <v>0</v>
      </c>
      <c r="CY54" s="745">
        <f>-IncomeStatement!BP52+CX54</f>
        <v>0</v>
      </c>
      <c r="CZ54" s="745">
        <f>-IncomeStatement!BQ52+CY54</f>
        <v>0</v>
      </c>
      <c r="DA54" s="745">
        <f>-IncomeStatement!BR52+CZ54</f>
        <v>0</v>
      </c>
      <c r="DB54" s="745">
        <f>-IncomeStatement!BS52+DA54</f>
        <v>0</v>
      </c>
      <c r="DC54" s="744">
        <f>DB54</f>
        <v>0</v>
      </c>
      <c r="DD54" s="745">
        <f>-IncomeStatement!BU52+DC54</f>
        <v>0</v>
      </c>
      <c r="DE54" s="745">
        <f>-IncomeStatement!BV52+DD54</f>
        <v>0</v>
      </c>
      <c r="DF54" s="745">
        <f>-IncomeStatement!BW52+DE54</f>
        <v>0</v>
      </c>
      <c r="DG54" s="745">
        <f>-IncomeStatement!BX52+DF54</f>
        <v>0</v>
      </c>
      <c r="DH54" s="744">
        <f>DG54</f>
        <v>0</v>
      </c>
      <c r="DI54" s="827">
        <f>-IncomeStatement!BZ52+DH54</f>
        <v>0</v>
      </c>
      <c r="DJ54" s="827">
        <f>-IncomeStatement!CA52+DI54</f>
        <v>0</v>
      </c>
      <c r="DK54" s="827">
        <f>-IncomeStatement!CB52+DJ54</f>
        <v>0</v>
      </c>
      <c r="DL54" s="827">
        <f>-IncomeStatement!CC52+DK54</f>
        <v>0</v>
      </c>
      <c r="DM54" s="744">
        <f>DL54</f>
        <v>0</v>
      </c>
      <c r="DN54" s="827">
        <f>-IncomeStatement!CE52+DM54</f>
        <v>0</v>
      </c>
      <c r="DO54" s="827">
        <f>-IncomeStatement!CF52+DN54</f>
        <v>0</v>
      </c>
      <c r="DP54" s="827">
        <f>-IncomeStatement!CG52+DO54</f>
        <v>0</v>
      </c>
      <c r="DQ54" s="827">
        <f>-IncomeStatement!CH52+DP54</f>
        <v>0</v>
      </c>
      <c r="DR54" s="744">
        <f>DQ54</f>
        <v>0</v>
      </c>
      <c r="DS54" s="827">
        <f>-IncomeStatement!CJ52+DR54</f>
        <v>0</v>
      </c>
      <c r="DT54" s="827">
        <f>-IncomeStatement!CK52+DS54</f>
        <v>0</v>
      </c>
      <c r="DU54" s="827">
        <f>-IncomeStatement!CL52+DT54</f>
        <v>0</v>
      </c>
      <c r="DV54" s="827">
        <f>-IncomeStatement!CM52+DU54</f>
        <v>0</v>
      </c>
      <c r="DW54" s="744">
        <f>DV54</f>
        <v>0</v>
      </c>
      <c r="DY54" s="518"/>
      <c r="EB54"/>
      <c r="EC54"/>
      <c r="ED54"/>
      <c r="EE54"/>
      <c r="EF54"/>
      <c r="EG54"/>
    </row>
    <row r="55" spans="1:137" s="45" customFormat="1" ht="11.25" customHeight="1">
      <c r="A55" s="597" t="s">
        <v>294</v>
      </c>
      <c r="B55" s="47"/>
      <c r="C55" s="272"/>
      <c r="D55" s="96"/>
      <c r="E55" s="96"/>
      <c r="F55" s="89"/>
      <c r="H55" s="96"/>
      <c r="I55" s="96"/>
      <c r="J55" s="96"/>
      <c r="K55" s="143"/>
      <c r="L55" s="99"/>
      <c r="M55" s="96"/>
      <c r="N55" s="96"/>
      <c r="O55" s="96"/>
      <c r="P55" s="143"/>
      <c r="Q55" s="143"/>
      <c r="R55" s="272"/>
      <c r="S55" s="96"/>
      <c r="T55" s="96"/>
      <c r="U55" s="96"/>
      <c r="V55" s="99"/>
      <c r="W55" s="272"/>
      <c r="X55" s="96"/>
      <c r="Y55" s="96"/>
      <c r="Z55" s="143"/>
      <c r="AA55" s="99"/>
      <c r="AB55" s="272"/>
      <c r="AC55" s="96"/>
      <c r="AD55" s="96"/>
      <c r="AE55" s="143"/>
      <c r="AF55" s="99"/>
      <c r="AG55" s="272"/>
      <c r="AH55" s="96"/>
      <c r="AI55" s="96"/>
      <c r="AJ55" s="143"/>
      <c r="AK55" s="99"/>
      <c r="AL55" s="96"/>
      <c r="AM55" s="273"/>
      <c r="AN55" s="96"/>
      <c r="AO55" s="143"/>
      <c r="AP55" s="143"/>
      <c r="AQ55" s="96"/>
      <c r="AR55" s="96"/>
      <c r="AS55" s="96"/>
      <c r="AT55" s="143"/>
      <c r="AU55" s="143"/>
      <c r="AV55" s="96"/>
      <c r="AW55" s="96"/>
      <c r="AX55" s="96"/>
      <c r="AY55" s="143"/>
      <c r="AZ55" s="739"/>
      <c r="BA55" s="272"/>
      <c r="BB55" s="96"/>
      <c r="BC55" s="96"/>
      <c r="BD55" s="143"/>
      <c r="BE55" s="739">
        <f>BE52+SUM(BE38:BE44)</f>
        <v>1560.4490000000001</v>
      </c>
      <c r="BF55" s="176"/>
      <c r="BG55" s="176"/>
      <c r="BH55" s="176"/>
      <c r="BI55" s="179"/>
      <c r="BJ55" s="739">
        <f t="shared" ref="BJ55:BZ55" si="90">BJ52+SUM(BJ38:BJ44)</f>
        <v>1454.567</v>
      </c>
      <c r="BK55" s="740">
        <f t="shared" si="90"/>
        <v>1405.412</v>
      </c>
      <c r="BL55" s="740">
        <f t="shared" si="90"/>
        <v>1355.9350000000002</v>
      </c>
      <c r="BM55" s="740">
        <f t="shared" si="90"/>
        <v>1322.17</v>
      </c>
      <c r="BN55" s="741">
        <f t="shared" si="90"/>
        <v>4645.62</v>
      </c>
      <c r="BO55" s="739">
        <f t="shared" si="90"/>
        <v>4645.62</v>
      </c>
      <c r="BP55" s="740">
        <f t="shared" si="90"/>
        <v>4642.6779999999999</v>
      </c>
      <c r="BQ55" s="740">
        <f t="shared" si="90"/>
        <v>5082.4150000000009</v>
      </c>
      <c r="BR55" s="740">
        <f t="shared" si="90"/>
        <v>5068.3060000000005</v>
      </c>
      <c r="BS55" s="741">
        <f t="shared" si="90"/>
        <v>4975.4159999999993</v>
      </c>
      <c r="BT55" s="739">
        <f t="shared" si="90"/>
        <v>4975.4159999999993</v>
      </c>
      <c r="BU55" s="740">
        <f t="shared" si="90"/>
        <v>4868.4780000000001</v>
      </c>
      <c r="BV55" s="740">
        <f t="shared" si="90"/>
        <v>4839.7000000000007</v>
      </c>
      <c r="BW55" s="740">
        <f t="shared" si="90"/>
        <v>4854.68</v>
      </c>
      <c r="BX55" s="741">
        <f t="shared" si="90"/>
        <v>4732.6540000000005</v>
      </c>
      <c r="BY55" s="739">
        <f t="shared" si="90"/>
        <v>4732.6540000000005</v>
      </c>
      <c r="BZ55" s="740">
        <f t="shared" si="90"/>
        <v>4740.7409999999991</v>
      </c>
      <c r="CA55" s="740">
        <f>CA52+SUM(CA38:CA44)+CA54</f>
        <v>4751.6319999999996</v>
      </c>
      <c r="CB55" s="740">
        <f t="shared" ref="CB55:CS55" si="91">CB52+SUM(CB38:CB44)+CB54</f>
        <v>4253.2950000000001</v>
      </c>
      <c r="CC55" s="741">
        <f t="shared" si="91"/>
        <v>4300.6679999999997</v>
      </c>
      <c r="CD55" s="739">
        <f t="shared" si="91"/>
        <v>4300.6679999999997</v>
      </c>
      <c r="CE55" s="972">
        <f t="shared" si="91"/>
        <v>4266.1040000000003</v>
      </c>
      <c r="CF55" s="740">
        <f t="shared" si="91"/>
        <v>4310.4809999999998</v>
      </c>
      <c r="CG55" s="740">
        <f t="shared" si="91"/>
        <v>4340.0789999999997</v>
      </c>
      <c r="CH55" s="741">
        <f t="shared" si="91"/>
        <v>4303.1989999999996</v>
      </c>
      <c r="CI55" s="742">
        <f t="shared" si="91"/>
        <v>4303.1989999999996</v>
      </c>
      <c r="CJ55" s="740">
        <f t="shared" si="91"/>
        <v>4256.9779999999992</v>
      </c>
      <c r="CK55" s="740">
        <f t="shared" si="91"/>
        <v>4316.6949999999997</v>
      </c>
      <c r="CL55" s="740">
        <f t="shared" si="91"/>
        <v>4323.9550000000008</v>
      </c>
      <c r="CM55" s="741">
        <f t="shared" si="91"/>
        <v>4363.0400000000009</v>
      </c>
      <c r="CN55" s="742">
        <f t="shared" si="91"/>
        <v>4363.0400000000009</v>
      </c>
      <c r="CO55" s="740">
        <f t="shared" si="91"/>
        <v>4154.0770000000002</v>
      </c>
      <c r="CP55" s="740">
        <f t="shared" si="91"/>
        <v>4157.0550000000003</v>
      </c>
      <c r="CQ55" s="740">
        <f t="shared" si="91"/>
        <v>4179.4549999999999</v>
      </c>
      <c r="CR55" s="741">
        <f t="shared" si="91"/>
        <v>4145.8420000000006</v>
      </c>
      <c r="CS55" s="742">
        <f t="shared" si="91"/>
        <v>4145.8420000000006</v>
      </c>
      <c r="CT55" s="740">
        <f t="shared" ref="CT55:DC55" si="92">CT52+SUM(CT38:CT44)+CT54</f>
        <v>4133.8349999999991</v>
      </c>
      <c r="CU55" s="740">
        <f t="shared" si="92"/>
        <v>5106.5450000000001</v>
      </c>
      <c r="CV55" s="740">
        <f t="shared" si="92"/>
        <v>4080.7780000000002</v>
      </c>
      <c r="CW55" s="741">
        <f t="shared" si="92"/>
        <v>4108.72</v>
      </c>
      <c r="CX55" s="742">
        <f t="shared" si="92"/>
        <v>4108.72</v>
      </c>
      <c r="CY55" s="740">
        <f t="shared" si="92"/>
        <v>4150.3100000000004</v>
      </c>
      <c r="CZ55" s="740">
        <f t="shared" si="92"/>
        <v>4135.2200000000012</v>
      </c>
      <c r="DA55" s="740">
        <f t="shared" si="92"/>
        <v>4114.424</v>
      </c>
      <c r="DB55" s="741">
        <f t="shared" si="92"/>
        <v>3939.3139999999999</v>
      </c>
      <c r="DC55" s="742">
        <f t="shared" si="92"/>
        <v>3939.3139999999999</v>
      </c>
      <c r="DD55" s="740">
        <f t="shared" ref="DD55:DW55" si="93">DD52+SUM(DD38:DD44)+DD54</f>
        <v>3952.3249999999994</v>
      </c>
      <c r="DE55" s="740">
        <f t="shared" si="93"/>
        <v>4108.6630000000005</v>
      </c>
      <c r="DF55" s="740">
        <f t="shared" si="93"/>
        <v>4090.2729999999997</v>
      </c>
      <c r="DG55" s="741">
        <f t="shared" si="93"/>
        <v>4096.9379999999992</v>
      </c>
      <c r="DH55" s="742">
        <f t="shared" si="93"/>
        <v>4096.9379999999992</v>
      </c>
      <c r="DI55" s="1004">
        <f t="shared" si="93"/>
        <v>4069.6463405828758</v>
      </c>
      <c r="DJ55" s="1004">
        <f t="shared" si="93"/>
        <v>4053.3316325153196</v>
      </c>
      <c r="DK55" s="1004">
        <f t="shared" si="93"/>
        <v>4032.7312983134184</v>
      </c>
      <c r="DL55" s="1005">
        <f t="shared" si="93"/>
        <v>4006.6930397148863</v>
      </c>
      <c r="DM55" s="742">
        <f t="shared" si="93"/>
        <v>4006.6930397148863</v>
      </c>
      <c r="DN55" s="1004">
        <f t="shared" si="93"/>
        <v>3989.3924386910094</v>
      </c>
      <c r="DO55" s="1004">
        <f t="shared" si="93"/>
        <v>3981.2320016420649</v>
      </c>
      <c r="DP55" s="1004">
        <f t="shared" si="93"/>
        <v>3968.9929480192923</v>
      </c>
      <c r="DQ55" s="1005">
        <f t="shared" si="93"/>
        <v>3950.207203296432</v>
      </c>
      <c r="DR55" s="742">
        <f t="shared" si="93"/>
        <v>3950.207203296432</v>
      </c>
      <c r="DS55" s="1004">
        <f t="shared" si="93"/>
        <v>3957.0492653838469</v>
      </c>
      <c r="DT55" s="1004">
        <f t="shared" si="93"/>
        <v>3975.0495206135834</v>
      </c>
      <c r="DU55" s="1004">
        <f t="shared" si="93"/>
        <v>3989.2916034835648</v>
      </c>
      <c r="DV55" s="1005">
        <f t="shared" si="93"/>
        <v>3997.2467042456428</v>
      </c>
      <c r="DW55" s="742">
        <f t="shared" si="93"/>
        <v>3997.2467042456428</v>
      </c>
      <c r="DY55" s="518"/>
      <c r="EB55"/>
      <c r="EC55"/>
      <c r="ED55"/>
      <c r="EE55"/>
      <c r="EF55"/>
      <c r="EG55"/>
    </row>
    <row r="56" spans="1:137" s="45" customFormat="1" ht="11.25" hidden="1" customHeight="1" outlineLevel="1">
      <c r="A56" s="655" t="s">
        <v>208</v>
      </c>
      <c r="B56" s="925"/>
      <c r="C56" s="926"/>
      <c r="D56" s="927"/>
      <c r="E56" s="927"/>
      <c r="F56" s="617"/>
      <c r="G56" s="618"/>
      <c r="H56" s="927"/>
      <c r="I56" s="927"/>
      <c r="J56" s="927"/>
      <c r="K56" s="928"/>
      <c r="L56" s="929"/>
      <c r="M56" s="927"/>
      <c r="N56" s="927"/>
      <c r="O56" s="927"/>
      <c r="P56" s="928"/>
      <c r="Q56" s="928"/>
      <c r="R56" s="926"/>
      <c r="S56" s="927"/>
      <c r="T56" s="927"/>
      <c r="U56" s="927"/>
      <c r="V56" s="929"/>
      <c r="W56" s="926"/>
      <c r="X56" s="927"/>
      <c r="Y56" s="927"/>
      <c r="Z56" s="928"/>
      <c r="AA56" s="929"/>
      <c r="AB56" s="926"/>
      <c r="AC56" s="927"/>
      <c r="AD56" s="927"/>
      <c r="AE56" s="928"/>
      <c r="AF56" s="929"/>
      <c r="AG56" s="926"/>
      <c r="AH56" s="927"/>
      <c r="AI56" s="927"/>
      <c r="AJ56" s="928"/>
      <c r="AK56" s="929"/>
      <c r="AL56" s="927"/>
      <c r="AM56" s="930"/>
      <c r="AN56" s="927"/>
      <c r="AO56" s="928"/>
      <c r="AP56" s="928"/>
      <c r="AQ56" s="927"/>
      <c r="AR56" s="927"/>
      <c r="AS56" s="927"/>
      <c r="AT56" s="928"/>
      <c r="AU56" s="928"/>
      <c r="AV56" s="927"/>
      <c r="AW56" s="927"/>
      <c r="AX56" s="927"/>
      <c r="AY56" s="928"/>
      <c r="AZ56" s="770"/>
      <c r="BA56" s="926"/>
      <c r="BB56" s="927"/>
      <c r="BC56" s="927"/>
      <c r="BD56" s="928"/>
      <c r="BE56" s="770">
        <f>BE55-BE29</f>
        <v>0</v>
      </c>
      <c r="BF56" s="656"/>
      <c r="BG56" s="656"/>
      <c r="BH56" s="656"/>
      <c r="BI56" s="656"/>
      <c r="BJ56" s="751">
        <f t="shared" ref="BJ56:CH56" si="94">BJ55-BJ29</f>
        <v>0</v>
      </c>
      <c r="BK56" s="752">
        <f t="shared" si="94"/>
        <v>0</v>
      </c>
      <c r="BL56" s="752">
        <f t="shared" si="94"/>
        <v>0</v>
      </c>
      <c r="BM56" s="752">
        <f t="shared" si="94"/>
        <v>0</v>
      </c>
      <c r="BN56" s="752">
        <f t="shared" si="94"/>
        <v>0</v>
      </c>
      <c r="BO56" s="751">
        <f t="shared" si="94"/>
        <v>0</v>
      </c>
      <c r="BP56" s="931">
        <f t="shared" si="94"/>
        <v>0</v>
      </c>
      <c r="BQ56" s="932">
        <f t="shared" si="94"/>
        <v>0</v>
      </c>
      <c r="BR56" s="933">
        <f t="shared" si="94"/>
        <v>0</v>
      </c>
      <c r="BS56" s="934">
        <f t="shared" si="94"/>
        <v>0</v>
      </c>
      <c r="BT56" s="935">
        <f t="shared" si="94"/>
        <v>0</v>
      </c>
      <c r="BU56" s="936">
        <f t="shared" si="94"/>
        <v>0</v>
      </c>
      <c r="BV56" s="933">
        <f t="shared" si="94"/>
        <v>0</v>
      </c>
      <c r="BW56" s="933">
        <f t="shared" si="94"/>
        <v>0</v>
      </c>
      <c r="BX56" s="935">
        <f t="shared" si="94"/>
        <v>0</v>
      </c>
      <c r="BY56" s="935">
        <f t="shared" si="94"/>
        <v>0</v>
      </c>
      <c r="BZ56" s="931">
        <f t="shared" si="94"/>
        <v>0</v>
      </c>
      <c r="CA56" s="933">
        <f t="shared" si="94"/>
        <v>0</v>
      </c>
      <c r="CB56" s="933">
        <f t="shared" si="94"/>
        <v>0</v>
      </c>
      <c r="CC56" s="935">
        <f t="shared" si="94"/>
        <v>0</v>
      </c>
      <c r="CD56" s="935">
        <f t="shared" si="94"/>
        <v>0</v>
      </c>
      <c r="CE56" s="931">
        <f t="shared" si="94"/>
        <v>0</v>
      </c>
      <c r="CF56" s="933">
        <f t="shared" si="94"/>
        <v>0</v>
      </c>
      <c r="CG56" s="933">
        <f t="shared" si="94"/>
        <v>0</v>
      </c>
      <c r="CH56" s="935">
        <f t="shared" si="94"/>
        <v>0</v>
      </c>
      <c r="CI56" s="935">
        <f>CI55-CI29</f>
        <v>0</v>
      </c>
      <c r="CJ56" s="1087">
        <f t="shared" ref="CJ56:CS56" si="95">CJ55-CJ29</f>
        <v>0</v>
      </c>
      <c r="CK56" s="1088">
        <f t="shared" si="95"/>
        <v>0</v>
      </c>
      <c r="CL56" s="1129">
        <f t="shared" si="95"/>
        <v>0</v>
      </c>
      <c r="CM56" s="1153">
        <f t="shared" si="95"/>
        <v>0</v>
      </c>
      <c r="CN56" s="1090">
        <f t="shared" si="95"/>
        <v>0</v>
      </c>
      <c r="CO56" s="1087">
        <f t="shared" si="95"/>
        <v>0</v>
      </c>
      <c r="CP56" s="1129">
        <f t="shared" si="95"/>
        <v>0</v>
      </c>
      <c r="CQ56" s="1129">
        <f t="shared" si="95"/>
        <v>0</v>
      </c>
      <c r="CR56" s="1153">
        <f t="shared" si="95"/>
        <v>0</v>
      </c>
      <c r="CS56" s="1090">
        <f t="shared" si="95"/>
        <v>0</v>
      </c>
      <c r="CT56" s="1087">
        <f t="shared" ref="CT56:DC56" si="96">CT55-CT29</f>
        <v>0</v>
      </c>
      <c r="CU56" s="1129">
        <f t="shared" si="96"/>
        <v>0</v>
      </c>
      <c r="CV56" s="1129">
        <f t="shared" si="96"/>
        <v>-4.0000000003601599E-3</v>
      </c>
      <c r="CW56" s="1089">
        <f t="shared" si="96"/>
        <v>0</v>
      </c>
      <c r="CX56" s="1090">
        <f t="shared" si="96"/>
        <v>0</v>
      </c>
      <c r="CY56" s="1087">
        <f t="shared" si="96"/>
        <v>0</v>
      </c>
      <c r="CZ56" s="1129">
        <f t="shared" si="96"/>
        <v>0</v>
      </c>
      <c r="DA56" s="1129">
        <f t="shared" si="96"/>
        <v>0</v>
      </c>
      <c r="DB56" s="1089">
        <f t="shared" si="96"/>
        <v>0</v>
      </c>
      <c r="DC56" s="1090">
        <f t="shared" si="96"/>
        <v>0</v>
      </c>
      <c r="DD56" s="1087">
        <f t="shared" ref="DD56:DW56" si="97">DD55-DD29</f>
        <v>0</v>
      </c>
      <c r="DE56" s="1129">
        <f t="shared" si="97"/>
        <v>0</v>
      </c>
      <c r="DF56" s="1129">
        <f t="shared" si="97"/>
        <v>0</v>
      </c>
      <c r="DG56" s="1153">
        <f t="shared" si="97"/>
        <v>0</v>
      </c>
      <c r="DH56" s="1090">
        <f t="shared" si="97"/>
        <v>0</v>
      </c>
      <c r="DI56" s="1091">
        <f t="shared" si="97"/>
        <v>0</v>
      </c>
      <c r="DJ56" s="1088">
        <f t="shared" si="97"/>
        <v>0</v>
      </c>
      <c r="DK56" s="1088">
        <f t="shared" si="97"/>
        <v>0</v>
      </c>
      <c r="DL56" s="1089">
        <f t="shared" si="97"/>
        <v>0</v>
      </c>
      <c r="DM56" s="1090">
        <f t="shared" si="97"/>
        <v>0</v>
      </c>
      <c r="DN56" s="1091">
        <f t="shared" si="97"/>
        <v>0</v>
      </c>
      <c r="DO56" s="1088">
        <f t="shared" si="97"/>
        <v>0</v>
      </c>
      <c r="DP56" s="1088">
        <f t="shared" si="97"/>
        <v>0</v>
      </c>
      <c r="DQ56" s="1089">
        <f t="shared" si="97"/>
        <v>0</v>
      </c>
      <c r="DR56" s="1090">
        <f t="shared" si="97"/>
        <v>0</v>
      </c>
      <c r="DS56" s="1091">
        <f t="shared" si="97"/>
        <v>0</v>
      </c>
      <c r="DT56" s="1088">
        <f t="shared" si="97"/>
        <v>0</v>
      </c>
      <c r="DU56" s="1088">
        <f t="shared" si="97"/>
        <v>0</v>
      </c>
      <c r="DV56" s="1089">
        <f t="shared" si="97"/>
        <v>0</v>
      </c>
      <c r="DW56" s="1090">
        <f t="shared" si="97"/>
        <v>0</v>
      </c>
      <c r="EB56"/>
      <c r="EC56"/>
      <c r="ED56"/>
      <c r="EE56"/>
      <c r="EF56"/>
      <c r="EG56"/>
    </row>
    <row r="57" spans="1:137" s="45" customFormat="1" ht="11.25" customHeight="1" collapsed="1">
      <c r="A57" s="89"/>
      <c r="B57" s="47"/>
      <c r="C57" s="44"/>
      <c r="F57" s="121"/>
      <c r="G57" s="88"/>
      <c r="H57" s="88"/>
      <c r="K57" s="91"/>
      <c r="L57" s="99"/>
      <c r="P57" s="201"/>
      <c r="Q57" s="201"/>
      <c r="R57" s="44"/>
      <c r="U57" s="47"/>
      <c r="V57" s="89"/>
      <c r="W57" s="44"/>
      <c r="Z57" s="47"/>
      <c r="AA57" s="47"/>
      <c r="AB57" s="44"/>
      <c r="AE57" s="47"/>
      <c r="AF57" s="47"/>
      <c r="AJ57" s="47"/>
      <c r="AK57" s="89"/>
      <c r="AM57" s="68"/>
      <c r="AO57" s="47"/>
      <c r="AP57" s="47"/>
      <c r="AT57" s="47"/>
      <c r="AU57" s="47"/>
      <c r="AY57" s="47"/>
      <c r="AZ57" s="47"/>
      <c r="BC57" s="211"/>
      <c r="BD57" s="47"/>
      <c r="BE57" s="47"/>
      <c r="BI57" s="47"/>
      <c r="BJ57" s="47"/>
      <c r="BN57" s="54"/>
      <c r="BO57" s="47"/>
      <c r="BQ57" s="211"/>
      <c r="BS57" s="54"/>
      <c r="BT57" s="47"/>
      <c r="BU57" s="211"/>
      <c r="BW57" s="518"/>
      <c r="BX57" s="47"/>
      <c r="BY57" s="47"/>
      <c r="CC57" s="47"/>
      <c r="CD57" s="47"/>
      <c r="CE57" s="211"/>
      <c r="CH57" s="47"/>
      <c r="CI57" s="47"/>
      <c r="CJ57" s="211"/>
      <c r="CK57" s="211"/>
      <c r="CL57" s="211"/>
      <c r="CM57" s="54"/>
      <c r="CN57" s="47"/>
      <c r="CQ57" s="211"/>
      <c r="CR57" s="54"/>
      <c r="CS57" s="47"/>
      <c r="CW57" s="54"/>
      <c r="CX57" s="47"/>
      <c r="DB57" s="54"/>
      <c r="DC57" s="47"/>
      <c r="DG57" s="47"/>
      <c r="DH57" s="47"/>
      <c r="DI57" s="211"/>
      <c r="DJ57" s="211"/>
      <c r="DK57" s="211"/>
      <c r="DL57" s="54"/>
      <c r="DM57" s="47"/>
      <c r="DN57" s="211"/>
      <c r="DO57" s="211"/>
      <c r="DP57" s="211"/>
      <c r="DQ57" s="54"/>
      <c r="DR57" s="47"/>
      <c r="DS57" s="211"/>
      <c r="DT57" s="211"/>
      <c r="DU57" s="211"/>
      <c r="DV57" s="54"/>
      <c r="DW57" s="47"/>
      <c r="EB57"/>
      <c r="EC57"/>
      <c r="ED57"/>
      <c r="EE57"/>
      <c r="EF57"/>
      <c r="EG57"/>
    </row>
    <row r="58" spans="1:137" s="45" customFormat="1">
      <c r="A58" s="27" t="s">
        <v>138</v>
      </c>
      <c r="B58" s="28"/>
      <c r="C58" s="29"/>
      <c r="D58" s="11"/>
      <c r="E58" s="11"/>
      <c r="F58" s="10"/>
      <c r="G58" s="11"/>
      <c r="H58" s="11"/>
      <c r="I58" s="11"/>
      <c r="J58" s="11"/>
      <c r="K58" s="28"/>
      <c r="L58" s="60"/>
      <c r="M58" s="1"/>
      <c r="N58" s="1"/>
      <c r="O58" s="1"/>
      <c r="P58" s="1"/>
      <c r="Q58" s="61"/>
      <c r="R58" s="1"/>
      <c r="S58" s="1"/>
      <c r="T58" s="1"/>
      <c r="U58" s="1"/>
      <c r="V58" s="31"/>
      <c r="W58" s="62"/>
      <c r="X58" s="1"/>
      <c r="Y58" s="1"/>
      <c r="Z58" s="1"/>
      <c r="AA58" s="31"/>
      <c r="AB58" s="62"/>
      <c r="AC58" s="1"/>
      <c r="AD58" s="1"/>
      <c r="AE58" s="40"/>
      <c r="AF58" s="31"/>
      <c r="AG58" s="62"/>
      <c r="AH58" s="1"/>
      <c r="AI58" s="1"/>
      <c r="AJ58" s="1"/>
      <c r="AK58" s="31"/>
      <c r="AL58" s="1"/>
      <c r="AM58" s="63"/>
      <c r="AN58" s="1"/>
      <c r="AO58" s="1"/>
      <c r="AP58" s="31"/>
      <c r="AQ58" s="1"/>
      <c r="AR58" s="1"/>
      <c r="AS58" s="1"/>
      <c r="AT58" s="1"/>
      <c r="AU58" s="31"/>
      <c r="AV58" s="1"/>
      <c r="AW58" s="1"/>
      <c r="AX58" s="1"/>
      <c r="AY58" s="1"/>
      <c r="AZ58" s="31"/>
      <c r="BA58" s="1"/>
      <c r="BB58" s="1"/>
      <c r="BC58" s="1"/>
      <c r="BD58" s="1"/>
      <c r="BE58" s="31" t="str">
        <f t="shared" ref="BE58:CI58" si="98">BE7</f>
        <v>2006A</v>
      </c>
      <c r="BF58" s="1" t="str">
        <f t="shared" si="98"/>
        <v>1Q07A</v>
      </c>
      <c r="BG58" s="1" t="str">
        <f t="shared" si="98"/>
        <v>2Q07A</v>
      </c>
      <c r="BH58" s="1" t="str">
        <f t="shared" si="98"/>
        <v>3Q07A</v>
      </c>
      <c r="BI58" s="1" t="str">
        <f t="shared" si="98"/>
        <v>4Q07A</v>
      </c>
      <c r="BJ58" s="31" t="str">
        <f t="shared" si="98"/>
        <v>2007A</v>
      </c>
      <c r="BK58" s="1" t="str">
        <f t="shared" si="98"/>
        <v>1Q08A</v>
      </c>
      <c r="BL58" s="1" t="str">
        <f t="shared" si="98"/>
        <v>2Q08A</v>
      </c>
      <c r="BM58" s="1" t="str">
        <f t="shared" si="98"/>
        <v>3Q08A</v>
      </c>
      <c r="BN58" s="1" t="str">
        <f t="shared" si="98"/>
        <v>4Q08A</v>
      </c>
      <c r="BO58" s="31" t="str">
        <f t="shared" si="98"/>
        <v>2008A</v>
      </c>
      <c r="BP58" s="1" t="str">
        <f t="shared" si="98"/>
        <v>1Q09A</v>
      </c>
      <c r="BQ58" s="1" t="str">
        <f t="shared" si="98"/>
        <v>2Q09A</v>
      </c>
      <c r="BR58" s="1" t="str">
        <f t="shared" si="98"/>
        <v>3Q09A</v>
      </c>
      <c r="BS58" s="1" t="str">
        <f t="shared" si="98"/>
        <v>4Q09A</v>
      </c>
      <c r="BT58" s="31" t="str">
        <f t="shared" si="98"/>
        <v>2009A</v>
      </c>
      <c r="BU58" s="1" t="str">
        <f t="shared" si="98"/>
        <v>1Q10A</v>
      </c>
      <c r="BV58" s="1" t="str">
        <f t="shared" si="98"/>
        <v>2Q10A</v>
      </c>
      <c r="BW58" s="946" t="str">
        <f t="shared" si="98"/>
        <v>3Q10A</v>
      </c>
      <c r="BX58" s="1" t="str">
        <f t="shared" si="98"/>
        <v>4Q10A</v>
      </c>
      <c r="BY58" s="31" t="str">
        <f t="shared" si="98"/>
        <v>2010A</v>
      </c>
      <c r="BZ58" s="1" t="str">
        <f t="shared" si="98"/>
        <v>1Q11A</v>
      </c>
      <c r="CA58" s="1" t="str">
        <f t="shared" si="98"/>
        <v>2Q11A</v>
      </c>
      <c r="CB58" s="1" t="str">
        <f t="shared" si="98"/>
        <v>3Q11A</v>
      </c>
      <c r="CC58" s="1" t="str">
        <f t="shared" si="98"/>
        <v>4Q11A</v>
      </c>
      <c r="CD58" s="31" t="str">
        <f t="shared" si="98"/>
        <v>2011A</v>
      </c>
      <c r="CE58" s="1" t="str">
        <f t="shared" si="98"/>
        <v>1Q12A</v>
      </c>
      <c r="CF58" s="1" t="str">
        <f t="shared" si="98"/>
        <v>2Q12A</v>
      </c>
      <c r="CG58" s="1" t="str">
        <f t="shared" si="98"/>
        <v>3Q12A</v>
      </c>
      <c r="CH58" s="1" t="str">
        <f>CH7</f>
        <v>4Q12A</v>
      </c>
      <c r="CI58" s="31" t="str">
        <f t="shared" si="98"/>
        <v>2012A</v>
      </c>
      <c r="CJ58" s="1" t="str">
        <f t="shared" ref="CJ58:CS58" si="99">CJ7</f>
        <v>1Q13A</v>
      </c>
      <c r="CK58" s="1" t="str">
        <f t="shared" si="99"/>
        <v>2Q13A</v>
      </c>
      <c r="CL58" s="1" t="str">
        <f t="shared" si="99"/>
        <v>3Q13A</v>
      </c>
      <c r="CM58" s="1" t="str">
        <f t="shared" si="99"/>
        <v>4Q13A</v>
      </c>
      <c r="CN58" s="31" t="str">
        <f t="shared" si="99"/>
        <v>2013A</v>
      </c>
      <c r="CO58" s="1" t="str">
        <f t="shared" si="99"/>
        <v>1Q14A</v>
      </c>
      <c r="CP58" s="1" t="str">
        <f t="shared" si="99"/>
        <v>2Q14A</v>
      </c>
      <c r="CQ58" s="1" t="str">
        <f t="shared" si="99"/>
        <v>3Q14A</v>
      </c>
      <c r="CR58" s="1" t="str">
        <f t="shared" si="99"/>
        <v>4Q14A</v>
      </c>
      <c r="CS58" s="31" t="str">
        <f t="shared" si="99"/>
        <v>2014A</v>
      </c>
      <c r="CT58" s="1" t="str">
        <f t="shared" ref="CT58:DC58" si="100">CT7</f>
        <v>1Q15A</v>
      </c>
      <c r="CU58" s="1" t="str">
        <f t="shared" si="100"/>
        <v>2Q15A</v>
      </c>
      <c r="CV58" s="1" t="str">
        <f t="shared" si="100"/>
        <v>3Q15A</v>
      </c>
      <c r="CW58" s="1" t="str">
        <f t="shared" si="100"/>
        <v>4Q15A</v>
      </c>
      <c r="CX58" s="31" t="str">
        <f t="shared" si="100"/>
        <v>2015A</v>
      </c>
      <c r="CY58" s="1" t="str">
        <f t="shared" si="100"/>
        <v>1Q16A</v>
      </c>
      <c r="CZ58" s="1" t="str">
        <f t="shared" si="100"/>
        <v>2Q16A</v>
      </c>
      <c r="DA58" s="1" t="str">
        <f t="shared" si="100"/>
        <v>3Q16A</v>
      </c>
      <c r="DB58" s="1271" t="str">
        <f t="shared" si="100"/>
        <v>4Q16A</v>
      </c>
      <c r="DC58" s="31" t="str">
        <f t="shared" si="100"/>
        <v>2016A</v>
      </c>
      <c r="DD58" s="1274" t="str">
        <f t="shared" ref="DD58:DW58" si="101">DD7</f>
        <v>1Q17A</v>
      </c>
      <c r="DE58" s="1291" t="str">
        <f t="shared" si="101"/>
        <v>2Q17A</v>
      </c>
      <c r="DF58" s="1291" t="str">
        <f t="shared" si="101"/>
        <v>3Q17A</v>
      </c>
      <c r="DG58" s="1328" t="str">
        <f t="shared" si="101"/>
        <v>4Q17A</v>
      </c>
      <c r="DH58" s="31" t="str">
        <f t="shared" si="101"/>
        <v>2017A</v>
      </c>
      <c r="DI58" s="64" t="str">
        <f t="shared" si="101"/>
        <v>1Q18E</v>
      </c>
      <c r="DJ58" s="64" t="str">
        <f t="shared" si="101"/>
        <v>2Q18E</v>
      </c>
      <c r="DK58" s="64" t="str">
        <f t="shared" si="101"/>
        <v>3Q18E</v>
      </c>
      <c r="DL58" s="64" t="str">
        <f t="shared" si="101"/>
        <v>4Q18E</v>
      </c>
      <c r="DM58" s="31" t="str">
        <f t="shared" si="101"/>
        <v>2018E</v>
      </c>
      <c r="DN58" s="64" t="str">
        <f t="shared" si="101"/>
        <v>1Q19E</v>
      </c>
      <c r="DO58" s="64" t="str">
        <f t="shared" si="101"/>
        <v>2Q19E</v>
      </c>
      <c r="DP58" s="64" t="str">
        <f t="shared" si="101"/>
        <v>3Q19E</v>
      </c>
      <c r="DQ58" s="64" t="str">
        <f t="shared" si="101"/>
        <v>4Q19E</v>
      </c>
      <c r="DR58" s="31" t="str">
        <f t="shared" si="101"/>
        <v>2019E</v>
      </c>
      <c r="DS58" s="64" t="str">
        <f t="shared" si="101"/>
        <v>1Q20E</v>
      </c>
      <c r="DT58" s="64" t="str">
        <f t="shared" si="101"/>
        <v>2Q20E</v>
      </c>
      <c r="DU58" s="64" t="str">
        <f t="shared" si="101"/>
        <v>3Q20E</v>
      </c>
      <c r="DV58" s="64" t="str">
        <f t="shared" si="101"/>
        <v>4Q20E</v>
      </c>
      <c r="DW58" s="31" t="str">
        <f t="shared" si="101"/>
        <v>2020E</v>
      </c>
      <c r="EB58"/>
      <c r="EC58"/>
      <c r="ED58"/>
      <c r="EE58"/>
      <c r="EF58"/>
      <c r="EG58"/>
    </row>
    <row r="59" spans="1:137" s="45" customFormat="1">
      <c r="A59" s="161" t="s">
        <v>81</v>
      </c>
      <c r="B59" s="97"/>
      <c r="C59" s="152"/>
      <c r="D59" s="46"/>
      <c r="E59" s="46"/>
      <c r="F59" s="153"/>
      <c r="G59" s="46"/>
      <c r="H59" s="46"/>
      <c r="I59" s="46"/>
      <c r="J59" s="46"/>
      <c r="K59" s="97"/>
      <c r="L59" s="97"/>
      <c r="M59" s="46"/>
      <c r="N59" s="46"/>
      <c r="O59" s="46"/>
      <c r="P59" s="97"/>
      <c r="Q59" s="97"/>
      <c r="R59" s="46"/>
      <c r="S59" s="46"/>
      <c r="T59" s="46"/>
      <c r="U59" s="97"/>
      <c r="V59" s="97"/>
      <c r="W59" s="46"/>
      <c r="X59" s="46"/>
      <c r="Y59" s="46"/>
      <c r="Z59" s="97"/>
      <c r="AA59" s="97"/>
      <c r="AB59" s="46"/>
      <c r="AC59" s="46"/>
      <c r="AD59" s="46"/>
      <c r="AE59" s="97"/>
      <c r="AF59" s="97"/>
      <c r="AG59" s="46"/>
      <c r="AH59" s="46"/>
      <c r="AI59" s="46"/>
      <c r="AJ59" s="97"/>
      <c r="AK59" s="153"/>
      <c r="AL59" s="46"/>
      <c r="AM59" s="46"/>
      <c r="AN59" s="46"/>
      <c r="AO59" s="97"/>
      <c r="AP59" s="97"/>
      <c r="AQ59" s="46"/>
      <c r="AR59" s="46"/>
      <c r="AS59" s="46"/>
      <c r="AT59" s="97"/>
      <c r="AU59" s="97"/>
      <c r="AV59" s="46"/>
      <c r="AW59" s="46"/>
      <c r="AX59" s="46"/>
      <c r="AY59" s="97"/>
      <c r="AZ59" s="97"/>
      <c r="BA59" s="46"/>
      <c r="BB59" s="46"/>
      <c r="BC59" s="46"/>
      <c r="BD59" s="97"/>
      <c r="BE59" s="97"/>
      <c r="BF59" s="46"/>
      <c r="BG59" s="46"/>
      <c r="BH59" s="46"/>
      <c r="BI59" s="97"/>
      <c r="BJ59" s="97"/>
      <c r="BK59" s="46"/>
      <c r="BL59" s="46"/>
      <c r="BM59" s="46"/>
      <c r="BN59" s="199"/>
      <c r="BO59" s="97"/>
      <c r="BP59" s="46"/>
      <c r="BQ59" s="169"/>
      <c r="BR59" s="46"/>
      <c r="BS59" s="199"/>
      <c r="BT59" s="97">
        <f>IncomeStatement!AK208/IncomeStatement!AK205</f>
        <v>3.127091865444788E-2</v>
      </c>
      <c r="BU59" s="46">
        <f>IncomeStatement!AL208/IncomeStatement!AL205</f>
        <v>3.4992845281965633E-2</v>
      </c>
      <c r="BV59" s="46">
        <f>IncomeStatement!AM208/IncomeStatement!AM205</f>
        <v>3.9939101332563322E-2</v>
      </c>
      <c r="BW59" s="943">
        <f>IncomeStatement!AN208/IncomeStatement!AN205</f>
        <v>2.9929601265595251E-2</v>
      </c>
      <c r="BX59" s="97">
        <f>IncomeStatement!AO208/IncomeStatement!AO205</f>
        <v>3.875057296920105E-2</v>
      </c>
      <c r="BY59" s="97">
        <f>IncomeStatement!AP208/IncomeStatement!AP205</f>
        <v>3.875057296920105E-2</v>
      </c>
      <c r="BZ59" s="46">
        <f>IncomeStatement!AQ208/IncomeStatement!AQ205</f>
        <v>4.2452913742886171E-2</v>
      </c>
      <c r="CA59" s="46">
        <f>IncomeStatement!AR208/IncomeStatement!AR205</f>
        <v>3.7504416199876871E-2</v>
      </c>
      <c r="CB59" s="46">
        <f>IncomeStatement!AS208/IncomeStatement!AS205</f>
        <v>4.556336143777099E-2</v>
      </c>
      <c r="CC59" s="97">
        <f>IncomeStatement!AT208/IncomeStatement!AT205</f>
        <v>5.6469546956299708E-2</v>
      </c>
      <c r="CD59" s="97">
        <f>IncomeStatement!AU208/IncomeStatement!AU205</f>
        <v>5.6469546956299708E-2</v>
      </c>
      <c r="CE59" s="46">
        <f>IncomeStatement!AV208/IncomeStatement!AV205</f>
        <v>5.323181927625998E-2</v>
      </c>
      <c r="CF59" s="46">
        <f>IncomeStatement!AW208/IncomeStatement!AW205</f>
        <v>4.9043586186756208E-2</v>
      </c>
      <c r="CG59" s="46">
        <f>IncomeStatement!AX208/IncomeStatement!AX205</f>
        <v>4.8065366778606892E-2</v>
      </c>
      <c r="CH59" s="97">
        <f>IncomeStatement!AY208/IncomeStatement!AY205</f>
        <v>4.8968576284798865E-2</v>
      </c>
      <c r="CI59" s="97">
        <f>IncomeStatement!AZ208/IncomeStatement!AZ205</f>
        <v>4.8968576284798865E-2</v>
      </c>
      <c r="CJ59" s="46">
        <f>IncomeStatement!BA208/IncomeStatement!BA205</f>
        <v>4.9413907459825671E-2</v>
      </c>
      <c r="CK59" s="46">
        <f>IncomeStatement!BB208/IncomeStatement!BB205</f>
        <v>5.6702350056955043E-2</v>
      </c>
      <c r="CL59" s="46">
        <f>IncomeStatement!BC208/IncomeStatement!BC205</f>
        <v>5.4873177808502691E-2</v>
      </c>
      <c r="CM59" s="97">
        <f>IncomeStatement!BD208/IncomeStatement!BD205</f>
        <v>5.4341433096449725E-2</v>
      </c>
      <c r="CN59" s="97">
        <f>IncomeStatement!BE208/IncomeStatement!BE205</f>
        <v>5.4341433096449725E-2</v>
      </c>
      <c r="CO59" s="46">
        <f>IncomeStatement!BF208/IncomeStatement!BF205</f>
        <v>8.3797341505305822E-2</v>
      </c>
      <c r="CP59" s="46">
        <f>IncomeStatement!BG208/IncomeStatement!BG205</f>
        <v>9.1479673498677694E-2</v>
      </c>
      <c r="CQ59" s="46">
        <f>IncomeStatement!BH208/IncomeStatement!BH205</f>
        <v>0.10628268333459598</v>
      </c>
      <c r="CR59" s="97">
        <f>IncomeStatement!BI208/IncomeStatement!BI205</f>
        <v>0.12202829316716672</v>
      </c>
      <c r="CS59" s="97">
        <f>IncomeStatement!BJ208/IncomeStatement!BJ205</f>
        <v>0.12202829316716672</v>
      </c>
      <c r="CT59" s="46">
        <f>IncomeStatement!BK208/IncomeStatement!BK205</f>
        <v>0.10072445412125643</v>
      </c>
      <c r="CU59" s="46">
        <f>IncomeStatement!BL208/IncomeStatement!BL205</f>
        <v>0.10270214440240873</v>
      </c>
      <c r="CV59" s="46">
        <f>IncomeStatement!BM208/IncomeStatement!BM205</f>
        <v>0.11000412499089307</v>
      </c>
      <c r="CW59" s="97">
        <f>IncomeStatement!BN208/IncomeStatement!BN205</f>
        <v>0.14675209338409889</v>
      </c>
      <c r="CX59" s="97">
        <f>IncomeStatement!BO208/IncomeStatement!BO205</f>
        <v>0.14675209338409889</v>
      </c>
      <c r="CY59" s="46">
        <f>IncomeStatement!BP208/IncomeStatement!BP205</f>
        <v>0.16713152674962375</v>
      </c>
      <c r="CZ59" s="46">
        <f>IncomeStatement!BQ208/IncomeStatement!BQ205</f>
        <v>0.17848457763062855</v>
      </c>
      <c r="DA59" s="46">
        <f>IncomeStatement!BR208/IncomeStatement!BR205</f>
        <v>0.22132271451592</v>
      </c>
      <c r="DB59" s="97">
        <f>IncomeStatement!BS208/IncomeStatement!BS205</f>
        <v>0.21929500675064681</v>
      </c>
      <c r="DC59" s="97">
        <f>IncomeStatement!BT208/IncomeStatement!BT205</f>
        <v>0.21929500675064681</v>
      </c>
      <c r="DD59" s="46">
        <f>IncomeStatement!BU208/IncomeStatement!BU205</f>
        <v>0.23216581623151691</v>
      </c>
      <c r="DE59" s="46">
        <f>IncomeStatement!BV208/IncomeStatement!BV205</f>
        <v>0.21234475506884753</v>
      </c>
      <c r="DF59" s="46">
        <f>IncomeStatement!BW208/IncomeStatement!BW205</f>
        <v>0.18576346622965173</v>
      </c>
      <c r="DG59" s="97">
        <f>IncomeStatement!BX208/IncomeStatement!BX205</f>
        <v>0.17554078443168586</v>
      </c>
      <c r="DH59" s="97">
        <f>IncomeStatement!BY208/IncomeStatement!BY205</f>
        <v>0.17554078443168586</v>
      </c>
      <c r="DI59" s="169">
        <f>IncomeStatement!BZ208/IncomeStatement!BZ205</f>
        <v>0.17367774663152938</v>
      </c>
      <c r="DJ59" s="169">
        <f>IncomeStatement!CA208/IncomeStatement!CA205</f>
        <v>0.21629262237393765</v>
      </c>
      <c r="DK59" s="169">
        <f>IncomeStatement!CB208/IncomeStatement!CB205</f>
        <v>0.22254655513868304</v>
      </c>
      <c r="DL59" s="199">
        <f>IncomeStatement!CC208/IncomeStatement!CC205</f>
        <v>0.22798665381271171</v>
      </c>
      <c r="DM59" s="97">
        <f>IncomeStatement!CD208/IncomeStatement!CD205</f>
        <v>0.22798665381271171</v>
      </c>
      <c r="DN59" s="169">
        <f>IncomeStatement!CE208/IncomeStatement!CE205</f>
        <v>0.23430041510593744</v>
      </c>
      <c r="DO59" s="169">
        <f>IncomeStatement!CF208/IncomeStatement!CF205</f>
        <v>0.2402933946948074</v>
      </c>
      <c r="DP59" s="169">
        <f>IncomeStatement!CG208/IncomeStatement!CG205</f>
        <v>0.2459536425620889</v>
      </c>
      <c r="DQ59" s="199">
        <f>IncomeStatement!CH208/IncomeStatement!CH205</f>
        <v>0.25148032620517036</v>
      </c>
      <c r="DR59" s="97">
        <f>IncomeStatement!CI208/IncomeStatement!CI205</f>
        <v>0.25148032620517036</v>
      </c>
      <c r="DS59" s="169">
        <f>IncomeStatement!CJ208/IncomeStatement!CJ205</f>
        <v>0.25577382982832231</v>
      </c>
      <c r="DT59" s="169">
        <f>IncomeStatement!CK208/IncomeStatement!CK205</f>
        <v>0.25989600959859083</v>
      </c>
      <c r="DU59" s="169">
        <f>IncomeStatement!CL208/IncomeStatement!CL205</f>
        <v>0.26376347877153694</v>
      </c>
      <c r="DV59" s="199">
        <f>IncomeStatement!CM208/IncomeStatement!CM205</f>
        <v>0.26755122169471385</v>
      </c>
      <c r="DW59" s="97">
        <f>IncomeStatement!CN208/IncomeStatement!CN205</f>
        <v>0.26755122169471385</v>
      </c>
      <c r="EB59"/>
      <c r="EC59"/>
      <c r="ED59"/>
      <c r="EE59"/>
      <c r="EF59"/>
      <c r="EG59"/>
    </row>
    <row r="60" spans="1:137">
      <c r="A60" s="89" t="s">
        <v>58</v>
      </c>
      <c r="AC60" s="41"/>
      <c r="AD60" s="41"/>
      <c r="AE60" s="41"/>
      <c r="AF60" s="41"/>
      <c r="AG60" s="41"/>
      <c r="AH60" s="41"/>
      <c r="AI60" s="41"/>
      <c r="AJ60" s="41"/>
      <c r="AK60" s="153"/>
      <c r="AL60" s="46"/>
      <c r="AM60" s="154"/>
      <c r="AN60" s="46"/>
      <c r="AO60" s="97"/>
      <c r="AP60" s="97"/>
      <c r="AQ60" s="46"/>
      <c r="AR60" s="46"/>
      <c r="AS60" s="46"/>
      <c r="AT60" s="97"/>
      <c r="AU60" s="97"/>
      <c r="AV60" s="46"/>
      <c r="AW60" s="46"/>
      <c r="AX60" s="46"/>
      <c r="AY60" s="97"/>
      <c r="AZ60" s="97"/>
      <c r="BA60" s="46"/>
      <c r="BB60" s="46"/>
      <c r="BC60" s="46"/>
      <c r="BD60" s="97"/>
      <c r="BE60" s="97"/>
      <c r="BF60" s="46"/>
      <c r="BG60" s="46"/>
      <c r="BH60" s="46"/>
      <c r="BI60" s="97"/>
      <c r="BJ60" s="97"/>
      <c r="BK60" s="46"/>
      <c r="BL60" s="46"/>
      <c r="BM60" s="46"/>
      <c r="BN60" s="199"/>
      <c r="BO60" s="97"/>
      <c r="BP60" s="46"/>
      <c r="BQ60" s="169"/>
      <c r="BR60" s="46"/>
      <c r="BS60" s="199"/>
      <c r="BT60" s="97">
        <f>IncomeStatement!AK211/IncomeStatement!AK205</f>
        <v>1.4136367634922809E-3</v>
      </c>
      <c r="BU60" s="46">
        <f>IncomeStatement!AL211/IncomeStatement!AL205</f>
        <v>3.5410649304025402E-3</v>
      </c>
      <c r="BV60" s="46">
        <f>IncomeStatement!AM211/IncomeStatement!AM205</f>
        <v>2.3975226735844894E-3</v>
      </c>
      <c r="BW60" s="943">
        <f>IncomeStatement!AN211/IncomeStatement!AN205</f>
        <v>-2.0597562291014776E-3</v>
      </c>
      <c r="BX60" s="97">
        <f>IncomeStatement!AO211/IncomeStatement!AO205</f>
        <v>-1.2659472768815423E-3</v>
      </c>
      <c r="BY60" s="97">
        <f>IncomeStatement!AP211/IncomeStatement!AP205</f>
        <v>-1.2659472768815423E-3</v>
      </c>
      <c r="BZ60" s="46">
        <f>IncomeStatement!AQ211/IncomeStatement!AQ205</f>
        <v>-3.4193365538145656E-4</v>
      </c>
      <c r="CA60" s="46">
        <f>IncomeStatement!AR211/IncomeStatement!AR205</f>
        <v>-1.7819603008132305E-4</v>
      </c>
      <c r="CB60" s="46">
        <f>IncomeStatement!AS211/IncomeStatement!AS205</f>
        <v>-1.3454452257017269E-3</v>
      </c>
      <c r="CC60" s="97">
        <f>IncomeStatement!AT211/IncomeStatement!AT205</f>
        <v>4.5928290667225672E-3</v>
      </c>
      <c r="CD60" s="97">
        <f>IncomeStatement!AU211/IncomeStatement!AU205</f>
        <v>4.5928290667225672E-3</v>
      </c>
      <c r="CE60" s="46">
        <f>IncomeStatement!AV211/IncomeStatement!AV205</f>
        <v>9.6683499229350493E-3</v>
      </c>
      <c r="CF60" s="46">
        <f>IncomeStatement!AW211/IncomeStatement!AW205</f>
        <v>2.7633788420821951E-3</v>
      </c>
      <c r="CG60" s="46">
        <f>IncomeStatement!AX211/IncomeStatement!AX205</f>
        <v>-6.1811407945253603E-3</v>
      </c>
      <c r="CH60" s="97">
        <f>IncomeStatement!AY211/IncomeStatement!AY205</f>
        <v>2.7986035323637071E-3</v>
      </c>
      <c r="CI60" s="97">
        <f>IncomeStatement!AZ211/IncomeStatement!AZ205</f>
        <v>2.7986035323637071E-3</v>
      </c>
      <c r="CJ60" s="46">
        <f>IncomeStatement!BA211/IncomeStatement!BA205</f>
        <v>-1.2390046781669284E-3</v>
      </c>
      <c r="CK60" s="46">
        <f>IncomeStatement!BB211/IncomeStatement!BB205</f>
        <v>5.7935087468015713E-3</v>
      </c>
      <c r="CL60" s="46">
        <f>IncomeStatement!BC211/IncomeStatement!BC205</f>
        <v>1.5292408094853153E-2</v>
      </c>
      <c r="CM60" s="97">
        <f>IncomeStatement!BD211/IncomeStatement!BD205</f>
        <v>1.8208687730633725E-2</v>
      </c>
      <c r="CN60" s="97">
        <f>IncomeStatement!BE211/IncomeStatement!BE205</f>
        <v>1.8208687730633725E-2</v>
      </c>
      <c r="CO60" s="46">
        <f>IncomeStatement!BF211/IncomeStatement!BF205</f>
        <v>3.7157768871996795E-2</v>
      </c>
      <c r="CP60" s="46">
        <f>IncomeStatement!BG211/IncomeStatement!BG205</f>
        <v>4.6590347340805548E-2</v>
      </c>
      <c r="CQ60" s="46">
        <f>IncomeStatement!BH211/IncomeStatement!BH205</f>
        <v>6.0984412393673824E-2</v>
      </c>
      <c r="CR60" s="97">
        <f>IncomeStatement!BI211/IncomeStatement!BI205</f>
        <v>5.8918140784634011E-2</v>
      </c>
      <c r="CS60" s="97">
        <f>IncomeStatement!BJ211/IncomeStatement!BJ205</f>
        <v>5.8918140784634011E-2</v>
      </c>
      <c r="CT60" s="46">
        <f>IncomeStatement!BK211/IncomeStatement!BK205</f>
        <v>5.1586320311856101E-2</v>
      </c>
      <c r="CU60" s="46">
        <f>IncomeStatement!BL211/IncomeStatement!BL205</f>
        <v>5.8200898584323216E-2</v>
      </c>
      <c r="CV60" s="46">
        <f>IncomeStatement!BM211/IncomeStatement!BM205</f>
        <v>5.1669835099951128E-2</v>
      </c>
      <c r="CW60" s="97">
        <f>IncomeStatement!BN211/IncomeStatement!BN205</f>
        <v>8.6158508514957807E-2</v>
      </c>
      <c r="CX60" s="97">
        <f>IncomeStatement!BO211/IncomeStatement!BO205</f>
        <v>8.6158508514957807E-2</v>
      </c>
      <c r="CY60" s="46">
        <f>IncomeStatement!BP211/IncomeStatement!BP205</f>
        <v>8.8464181292650448E-2</v>
      </c>
      <c r="CZ60" s="46">
        <f>IncomeStatement!BQ211/IncomeStatement!BQ205</f>
        <v>8.594089674113975E-2</v>
      </c>
      <c r="DA60" s="46">
        <f>IncomeStatement!BR211/IncomeStatement!BR205</f>
        <v>0.11736028208382757</v>
      </c>
      <c r="DB60" s="97">
        <f>IncomeStatement!BS211/IncomeStatement!BS205</f>
        <v>9.0303312345254058E-2</v>
      </c>
      <c r="DC60" s="97">
        <f>IncomeStatement!BT211/IncomeStatement!BT205</f>
        <v>9.0303312345254058E-2</v>
      </c>
      <c r="DD60" s="46">
        <f>IncomeStatement!BU211/IncomeStatement!BU205</f>
        <v>9.4305933181868862E-2</v>
      </c>
      <c r="DE60" s="46">
        <f>IncomeStatement!BV211/IncomeStatement!BV205</f>
        <v>7.6773686521247941E-2</v>
      </c>
      <c r="DF60" s="46">
        <f>IncomeStatement!BW211/IncomeStatement!BW205</f>
        <v>5.199328138607355E-2</v>
      </c>
      <c r="DG60" s="97">
        <f>IncomeStatement!BX211/IncomeStatement!BX205</f>
        <v>0.15859713194616998</v>
      </c>
      <c r="DH60" s="97">
        <f>IncomeStatement!BY211/IncomeStatement!BY205</f>
        <v>0.15859713194616998</v>
      </c>
      <c r="DI60" s="169">
        <f>IncomeStatement!BZ211/IncomeStatement!BZ205</f>
        <v>0.15805909024454193</v>
      </c>
      <c r="DJ60" s="169">
        <f>IncomeStatement!CA211/IncomeStatement!CA205</f>
        <v>0.18953103454471021</v>
      </c>
      <c r="DK60" s="169">
        <f>IncomeStatement!CB211/IncomeStatement!CB205</f>
        <v>0.20200322235618789</v>
      </c>
      <c r="DL60" s="199">
        <f>IncomeStatement!CC211/IncomeStatement!CC205</f>
        <v>0.10299656976468242</v>
      </c>
      <c r="DM60" s="97">
        <f>IncomeStatement!CD211/IncomeStatement!CD205</f>
        <v>0.10299656976468242</v>
      </c>
      <c r="DN60" s="169">
        <f>IncomeStatement!CE211/IncomeStatement!CE205</f>
        <v>0.10875137701793286</v>
      </c>
      <c r="DO60" s="169">
        <f>IncomeStatement!CF211/IncomeStatement!CF205</f>
        <v>0.11417937490806597</v>
      </c>
      <c r="DP60" s="169">
        <f>IncomeStatement!CG211/IncomeStatement!CG205</f>
        <v>0.11937503095237645</v>
      </c>
      <c r="DQ60" s="199">
        <f>IncomeStatement!CH211/IncomeStatement!CH205</f>
        <v>0.12454499831315652</v>
      </c>
      <c r="DR60" s="97">
        <f>IncomeStatement!CI211/IncomeStatement!CI205</f>
        <v>0.12454499831315652</v>
      </c>
      <c r="DS60" s="169">
        <f>IncomeStatement!CJ211/IncomeStatement!CJ205</f>
        <v>0.12886077250979094</v>
      </c>
      <c r="DT60" s="169">
        <f>IncomeStatement!CK211/IncomeStatement!CK205</f>
        <v>0.1329656009439919</v>
      </c>
      <c r="DU60" s="169">
        <f>IncomeStatement!CL211/IncomeStatement!CL205</f>
        <v>0.13690046328878933</v>
      </c>
      <c r="DV60" s="199">
        <f>IncomeStatement!CM211/IncomeStatement!CM205</f>
        <v>0.14084685134012936</v>
      </c>
      <c r="DW60" s="97">
        <f>IncomeStatement!CN211/IncomeStatement!CN205</f>
        <v>0.14084685134012936</v>
      </c>
    </row>
    <row r="61" spans="1:137" s="45" customFormat="1">
      <c r="A61" s="386" t="s">
        <v>139</v>
      </c>
      <c r="B61" s="278"/>
      <c r="C61" s="276"/>
      <c r="D61" s="277"/>
      <c r="E61" s="277"/>
      <c r="F61" s="275"/>
      <c r="G61" s="277"/>
      <c r="H61" s="277"/>
      <c r="I61" s="277"/>
      <c r="J61" s="277"/>
      <c r="K61" s="278"/>
      <c r="L61" s="278"/>
      <c r="M61" s="277"/>
      <c r="N61" s="277"/>
      <c r="O61" s="277"/>
      <c r="P61" s="278"/>
      <c r="Q61" s="278"/>
      <c r="R61" s="277"/>
      <c r="S61" s="277"/>
      <c r="T61" s="277"/>
      <c r="U61" s="278"/>
      <c r="V61" s="278"/>
      <c r="W61" s="277"/>
      <c r="X61" s="277"/>
      <c r="Y61" s="277"/>
      <c r="Z61" s="278"/>
      <c r="AA61" s="278"/>
      <c r="AB61" s="277"/>
      <c r="AC61" s="277"/>
      <c r="AD61" s="277"/>
      <c r="AE61" s="278"/>
      <c r="AF61" s="278"/>
      <c r="AG61" s="277"/>
      <c r="AH61" s="277"/>
      <c r="AI61" s="277"/>
      <c r="AJ61" s="278"/>
      <c r="AK61" s="275"/>
      <c r="AL61" s="277"/>
      <c r="AM61" s="277"/>
      <c r="AN61" s="277"/>
      <c r="AO61" s="278"/>
      <c r="AP61" s="278"/>
      <c r="AQ61" s="277"/>
      <c r="AR61" s="277"/>
      <c r="AS61" s="277"/>
      <c r="AT61" s="278"/>
      <c r="AU61" s="278"/>
      <c r="AV61" s="277"/>
      <c r="AW61" s="277"/>
      <c r="AX61" s="277"/>
      <c r="AY61" s="278"/>
      <c r="AZ61" s="278"/>
      <c r="BA61" s="277"/>
      <c r="BB61" s="277"/>
      <c r="BC61" s="277"/>
      <c r="BD61" s="278"/>
      <c r="BE61" s="278"/>
      <c r="BF61" s="277"/>
      <c r="BG61" s="277"/>
      <c r="BH61" s="277"/>
      <c r="BI61" s="278"/>
      <c r="BJ61" s="278"/>
      <c r="BK61" s="277"/>
      <c r="BL61" s="277"/>
      <c r="BM61" s="277"/>
      <c r="BN61" s="280"/>
      <c r="BO61" s="278"/>
      <c r="BP61" s="277"/>
      <c r="BQ61" s="279"/>
      <c r="BR61" s="277"/>
      <c r="BS61" s="280"/>
      <c r="BT61" s="278">
        <f>IncomeStatement!AK205/(AVERAGE(BT29,BO29))</f>
        <v>0.74437617736800898</v>
      </c>
      <c r="BU61" s="277">
        <f>IncomeStatement!AL205/(AVERAGE(BU29,BP29))</f>
        <v>0.74739558472177292</v>
      </c>
      <c r="BV61" s="277">
        <f>IncomeStatement!AM205/(AVERAGE(BV29,BQ29))</f>
        <v>0.70925039671481338</v>
      </c>
      <c r="BW61" s="943">
        <f>IncomeStatement!AN205/(AVERAGE(BW29,BR29))</f>
        <v>0.70072153684384919</v>
      </c>
      <c r="BX61" s="278">
        <f>IncomeStatement!AO205/(AVERAGE(BX29,BS29))</f>
        <v>0.70382970044509363</v>
      </c>
      <c r="BY61" s="278">
        <f>IncomeStatement!AP205/(AVERAGE(BY29,BT29))</f>
        <v>0.70382970044509363</v>
      </c>
      <c r="BZ61" s="277">
        <f>IncomeStatement!AQ205/(AVERAGE(BZ29,BU29))</f>
        <v>0.65799978125173331</v>
      </c>
      <c r="CA61" s="277">
        <f>IncomeStatement!AR205/(AVERAGE(CA29,BV29))</f>
        <v>0.60615376467001669</v>
      </c>
      <c r="CB61" s="277">
        <f>IncomeStatement!AS205/(AVERAGE(CB29,BW29))</f>
        <v>0.58346954180265109</v>
      </c>
      <c r="CC61" s="278">
        <f>IncomeStatement!AT205/(AVERAGE(CC29,BX29))</f>
        <v>0.53831779715147987</v>
      </c>
      <c r="CD61" s="278">
        <f>IncomeStatement!AU205/(AVERAGE(CD29,BY29))</f>
        <v>0.53831779715147987</v>
      </c>
      <c r="CE61" s="277">
        <f>IncomeStatement!AV205/(AVERAGE(CE29,BZ29))</f>
        <v>0.54227468108977117</v>
      </c>
      <c r="CF61" s="277">
        <f>IncomeStatement!AW205/(AVERAGE(CF29,CA29))</f>
        <v>0.54412475324463516</v>
      </c>
      <c r="CG61" s="277">
        <f>IncomeStatement!AX205/(AVERAGE(CG29,CB29))</f>
        <v>0.57959004228141353</v>
      </c>
      <c r="CH61" s="278">
        <f>IncomeStatement!AY205/(AVERAGE(CH29,CC29))</f>
        <v>0.58233768606604441</v>
      </c>
      <c r="CI61" s="278">
        <f>IncomeStatement!AZ205/(AVERAGE(CI29,CD29))</f>
        <v>0.58233768606604441</v>
      </c>
      <c r="CJ61" s="277">
        <f>IncomeStatement!BA205/(AVERAGE(CJ29,CE29))</f>
        <v>0.59033316821309478</v>
      </c>
      <c r="CK61" s="277">
        <f>IncomeStatement!BB205/(AVERAGE(CK29,CF29))</f>
        <v>0.58429479125034667</v>
      </c>
      <c r="CL61" s="277">
        <f>IncomeStatement!BC205/(AVERAGE(CL29,CG29))</f>
        <v>0.5828492824474143</v>
      </c>
      <c r="CM61" s="278">
        <f>IncomeStatement!BD205/(AVERAGE(CM29,CH29))</f>
        <v>0.57405271190882234</v>
      </c>
      <c r="CN61" s="278">
        <f>IncomeStatement!BE205/(AVERAGE(CN29,CI29))</f>
        <v>0.57405271190882234</v>
      </c>
      <c r="CO61" s="277">
        <f>IncomeStatement!BF205/(AVERAGE(CO29,CJ29))</f>
        <v>0.57232439925788137</v>
      </c>
      <c r="CP61" s="277">
        <f>IncomeStatement!BG205/(AVERAGE(CP29,CK29))</f>
        <v>0.53808691547425869</v>
      </c>
      <c r="CQ61" s="277">
        <f>IncomeStatement!BH205/(AVERAGE(CQ29,CL29))</f>
        <v>0.50603628426713521</v>
      </c>
      <c r="CR61" s="278">
        <f>IncomeStatement!BI205/(AVERAGE(CR29,CM29))</f>
        <v>0.48444977847853576</v>
      </c>
      <c r="CS61" s="278">
        <f>IncomeStatement!BJ205/(AVERAGE(CS29,CN29))</f>
        <v>0.48444977847853576</v>
      </c>
      <c r="CT61" s="277">
        <f>IncomeStatement!BK205/(AVERAGE(CT29,CO29))</f>
        <v>0.48012961527583786</v>
      </c>
      <c r="CU61" s="277">
        <f>IncomeStatement!BL205/(AVERAGE(CU29,CP29))</f>
        <v>0.42224254069692124</v>
      </c>
      <c r="CV61" s="277">
        <f>IncomeStatement!BM205/(AVERAGE(CV29,CQ29))</f>
        <v>0.4619438885349173</v>
      </c>
      <c r="CW61" s="278">
        <f>IncomeStatement!BN205/(AVERAGE(CW29,CR29))</f>
        <v>0.45315475248717013</v>
      </c>
      <c r="CX61" s="278">
        <f>IncomeStatement!BO205/(AVERAGE(CX29,CS29))</f>
        <v>0.45315475248717013</v>
      </c>
      <c r="CY61" s="277">
        <f>IncomeStatement!BP205/(AVERAGE(CY29,CT29))</f>
        <v>0.43391683752517607</v>
      </c>
      <c r="CZ61" s="277">
        <f>IncomeStatement!BQ205/(AVERAGE(CZ29,CU29))</f>
        <v>0.36583899287636079</v>
      </c>
      <c r="DA61" s="277">
        <f>IncomeStatement!BR205/(AVERAGE(DA29,CV29))</f>
        <v>0.38800293732701779</v>
      </c>
      <c r="DB61" s="278">
        <f>IncomeStatement!BS205/(AVERAGE(DB29,CW29))</f>
        <v>0.35671270772464436</v>
      </c>
      <c r="DC61" s="278">
        <f>IncomeStatement!BT205/(AVERAGE(DC29,CX29))</f>
        <v>0.35671270772464436</v>
      </c>
      <c r="DD61" s="277">
        <f>IncomeStatement!BU205/(AVERAGE(DD29,CY29))</f>
        <v>0.33136134109459453</v>
      </c>
      <c r="DE61" s="277">
        <f>IncomeStatement!BV205/(AVERAGE(DE29,CZ29))</f>
        <v>0.3105512293175437</v>
      </c>
      <c r="DF61" s="277">
        <f>IncomeStatement!BW205/(AVERAGE(DF29,DA29))</f>
        <v>0.29838079334313017</v>
      </c>
      <c r="DG61" s="278">
        <f>IncomeStatement!BX205/(AVERAGE(DG29,DB29))</f>
        <v>0.30447228384575298</v>
      </c>
      <c r="DH61" s="278">
        <f>IncomeStatement!BY205/(AVERAGE(DH29,DC29))</f>
        <v>0.30447228384575298</v>
      </c>
      <c r="DI61" s="279">
        <f>IncomeStatement!BZ205/(AVERAGE(DI29,DD29))</f>
        <v>0.30833427802987362</v>
      </c>
      <c r="DJ61" s="279">
        <f>IncomeStatement!CA205/(AVERAGE(DJ29,DE29))</f>
        <v>0.30494812176104696</v>
      </c>
      <c r="DK61" s="279">
        <f>IncomeStatement!CB205/(AVERAGE(DK29,DF29))</f>
        <v>0.31098666722427692</v>
      </c>
      <c r="DL61" s="280">
        <f>IncomeStatement!CC205/(AVERAGE(DL29,DG29))</f>
        <v>0.31447036801661832</v>
      </c>
      <c r="DM61" s="278">
        <f>IncomeStatement!CD205/(AVERAGE(DM29,DH29))</f>
        <v>0.31447036801661832</v>
      </c>
      <c r="DN61" s="279">
        <f>IncomeStatement!CE205/(AVERAGE(DN29,DI29))</f>
        <v>0.32057307162968413</v>
      </c>
      <c r="DO61" s="279">
        <f>IncomeStatement!CF205/(AVERAGE(DO29,DJ29))</f>
        <v>0.32565255175676122</v>
      </c>
      <c r="DP61" s="279">
        <f>IncomeStatement!CG205/(AVERAGE(DP29,DK29))</f>
        <v>0.33131600132659161</v>
      </c>
      <c r="DQ61" s="280">
        <f>IncomeStatement!CH205/(AVERAGE(DQ29,DL29))</f>
        <v>0.33803496887996654</v>
      </c>
      <c r="DR61" s="278">
        <f>IncomeStatement!CI205/(AVERAGE(DR29,DM29))</f>
        <v>0.33803496887996654</v>
      </c>
      <c r="DS61" s="279">
        <f>IncomeStatement!CJ205/(AVERAGE(DS29,DN29))</f>
        <v>0.34391762163156514</v>
      </c>
      <c r="DT61" s="279">
        <f>IncomeStatement!CK205/(AVERAGE(DT29,DO29))</f>
        <v>0.34866404573788162</v>
      </c>
      <c r="DU61" s="279">
        <f>IncomeStatement!CL205/(AVERAGE(DU29,DP29))</f>
        <v>0.35403630888319715</v>
      </c>
      <c r="DV61" s="280">
        <f>IncomeStatement!CM205/(AVERAGE(DV29,DQ29))</f>
        <v>0.36057588561256487</v>
      </c>
      <c r="DW61" s="278">
        <f>IncomeStatement!CN205/(AVERAGE(DW29,DR29))</f>
        <v>0.36057588561256487</v>
      </c>
      <c r="EB61"/>
      <c r="EC61"/>
      <c r="ED61"/>
      <c r="EE61"/>
      <c r="EF61"/>
      <c r="EG61"/>
    </row>
    <row r="62" spans="1:137" s="45" customFormat="1">
      <c r="A62" s="161" t="s">
        <v>126</v>
      </c>
      <c r="B62" s="91"/>
      <c r="C62" s="87"/>
      <c r="D62" s="88"/>
      <c r="E62" s="88"/>
      <c r="F62" s="121"/>
      <c r="G62" s="88"/>
      <c r="H62" s="88"/>
      <c r="I62" s="88"/>
      <c r="J62" s="88"/>
      <c r="K62" s="91"/>
      <c r="L62" s="278"/>
      <c r="M62" s="277"/>
      <c r="N62" s="277"/>
      <c r="O62" s="277"/>
      <c r="P62" s="278"/>
      <c r="Q62" s="278"/>
      <c r="R62" s="277"/>
      <c r="S62" s="277"/>
      <c r="T62" s="277"/>
      <c r="U62" s="278"/>
      <c r="V62" s="278"/>
      <c r="W62" s="277"/>
      <c r="X62" s="277"/>
      <c r="Y62" s="277"/>
      <c r="Z62" s="278"/>
      <c r="AA62" s="278"/>
      <c r="AB62" s="277"/>
      <c r="AC62" s="277"/>
      <c r="AD62" s="277"/>
      <c r="AE62" s="278"/>
      <c r="AF62" s="278"/>
      <c r="AG62" s="277"/>
      <c r="AH62" s="277"/>
      <c r="AI62" s="277"/>
      <c r="AJ62" s="278"/>
      <c r="AK62" s="275"/>
      <c r="AL62" s="277"/>
      <c r="AM62" s="277"/>
      <c r="AN62" s="277"/>
      <c r="AO62" s="278"/>
      <c r="AP62" s="278"/>
      <c r="AQ62" s="88"/>
      <c r="AR62" s="88"/>
      <c r="AS62" s="88"/>
      <c r="AT62" s="281"/>
      <c r="AU62" s="278"/>
      <c r="AV62" s="88"/>
      <c r="AW62" s="88"/>
      <c r="AX62" s="88"/>
      <c r="AY62" s="91"/>
      <c r="AZ62" s="278"/>
      <c r="BA62" s="88"/>
      <c r="BB62" s="88"/>
      <c r="BC62" s="88"/>
      <c r="BD62" s="91"/>
      <c r="BE62" s="278"/>
      <c r="BF62" s="88"/>
      <c r="BG62" s="88"/>
      <c r="BH62" s="88"/>
      <c r="BI62" s="91"/>
      <c r="BJ62" s="278"/>
      <c r="BK62" s="88"/>
      <c r="BL62" s="88"/>
      <c r="BM62" s="88"/>
      <c r="BN62" s="94"/>
      <c r="BO62" s="278"/>
      <c r="BP62" s="88"/>
      <c r="BQ62" s="93"/>
      <c r="BR62" s="88"/>
      <c r="BS62" s="94"/>
      <c r="BT62" s="278">
        <f t="shared" ref="BT62:CK62" si="102">(AVERAGE(BT29,BO29))/(AVERAGE(BT52,BO52))</f>
        <v>2.0385148835819762</v>
      </c>
      <c r="BU62" s="88">
        <f t="shared" si="102"/>
        <v>2.0515079446906483</v>
      </c>
      <c r="BV62" s="88">
        <f t="shared" si="102"/>
        <v>2.1709957713991139</v>
      </c>
      <c r="BW62" s="514">
        <f t="shared" si="102"/>
        <v>2.1693887728124461</v>
      </c>
      <c r="BX62" s="91">
        <f t="shared" si="102"/>
        <v>2.1575823872494646</v>
      </c>
      <c r="BY62" s="278">
        <f t="shared" si="102"/>
        <v>2.1575823872494646</v>
      </c>
      <c r="BZ62" s="88">
        <f t="shared" si="102"/>
        <v>2.1699277316947434</v>
      </c>
      <c r="CA62" s="88">
        <f t="shared" si="102"/>
        <v>2.2326680332390878</v>
      </c>
      <c r="CB62" s="88">
        <f t="shared" si="102"/>
        <v>2.183151004089225</v>
      </c>
      <c r="CC62" s="91">
        <f t="shared" si="102"/>
        <v>2.1718668517323949</v>
      </c>
      <c r="CD62" s="278">
        <f t="shared" si="102"/>
        <v>2.1718668517323949</v>
      </c>
      <c r="CE62" s="88">
        <f t="shared" si="102"/>
        <v>2.1576103126301072</v>
      </c>
      <c r="CF62" s="88">
        <f t="shared" si="102"/>
        <v>2.1990103848681244</v>
      </c>
      <c r="CG62" s="88">
        <f t="shared" si="102"/>
        <v>2.165070291806928</v>
      </c>
      <c r="CH62" s="91">
        <f t="shared" si="102"/>
        <v>2.1607310938129412</v>
      </c>
      <c r="CI62" s="278">
        <f t="shared" si="102"/>
        <v>2.1607310938129412</v>
      </c>
      <c r="CJ62" s="88">
        <f>(AVERAGE(CJ29,CE29))/(AVERAGE(CJ52,CE52))</f>
        <v>2.1421129882729053</v>
      </c>
      <c r="CK62" s="88">
        <f t="shared" si="102"/>
        <v>2.1787410028065208</v>
      </c>
      <c r="CL62" s="88">
        <f t="shared" ref="CL62:CS62" si="103">(AVERAGE(CL29,CG29))/(AVERAGE(CL52,CG52))</f>
        <v>2.2241328765287647</v>
      </c>
      <c r="CM62" s="91">
        <f t="shared" si="103"/>
        <v>2.2134059332252289</v>
      </c>
      <c r="CN62" s="278">
        <f t="shared" si="103"/>
        <v>2.2134059332252289</v>
      </c>
      <c r="CO62" s="88">
        <f t="shared" si="103"/>
        <v>2.2765603511904975</v>
      </c>
      <c r="CP62" s="88">
        <f t="shared" si="103"/>
        <v>2.2837224858435485</v>
      </c>
      <c r="CQ62" s="88">
        <f t="shared" si="103"/>
        <v>2.3281469331298528</v>
      </c>
      <c r="CR62" s="91">
        <f t="shared" si="103"/>
        <v>2.3330785163509695</v>
      </c>
      <c r="CS62" s="278">
        <f t="shared" si="103"/>
        <v>2.3330785163509695</v>
      </c>
      <c r="CT62" s="88">
        <f t="shared" ref="CT62:DE62" si="104">(AVERAGE(CT29,CO29))/(AVERAGE(CT52,CO52))</f>
        <v>2.4099675081287835</v>
      </c>
      <c r="CU62" s="88">
        <f t="shared" si="104"/>
        <v>2.6598200524177158</v>
      </c>
      <c r="CV62" s="88">
        <f t="shared" si="104"/>
        <v>3.3934483676584897</v>
      </c>
      <c r="CW62" s="91">
        <f t="shared" si="104"/>
        <v>3.3412650931596568</v>
      </c>
      <c r="CX62" s="278">
        <f t="shared" si="104"/>
        <v>3.3412650931596568</v>
      </c>
      <c r="CY62" s="88">
        <f t="shared" si="104"/>
        <v>3.3820442883277022</v>
      </c>
      <c r="CZ62" s="88">
        <f t="shared" si="104"/>
        <v>3.8007085898527295</v>
      </c>
      <c r="DA62" s="88">
        <f t="shared" si="104"/>
        <v>5.9212547108737388</v>
      </c>
      <c r="DB62" s="91">
        <f t="shared" si="104"/>
        <v>6.2843352984812419</v>
      </c>
      <c r="DC62" s="278">
        <f t="shared" si="104"/>
        <v>6.2843352984812419</v>
      </c>
      <c r="DD62" s="88">
        <f t="shared" ref="DD62:DW62" si="105">(AVERAGE(DD29,CY29))/(AVERAGE(DD52,CY52))</f>
        <v>6.4386445736698983</v>
      </c>
      <c r="DE62" s="88">
        <f t="shared" si="104"/>
        <v>6.9850806591691459</v>
      </c>
      <c r="DF62" s="88">
        <f t="shared" si="105"/>
        <v>7.1897237046189444</v>
      </c>
      <c r="DG62" s="91">
        <f t="shared" si="105"/>
        <v>7.2994525582252985</v>
      </c>
      <c r="DH62" s="278">
        <f t="shared" si="105"/>
        <v>7.2994525582252985</v>
      </c>
      <c r="DI62" s="93">
        <f t="shared" si="105"/>
        <v>7.5272523073151349</v>
      </c>
      <c r="DJ62" s="93">
        <f t="shared" si="105"/>
        <v>8.0772836527076741</v>
      </c>
      <c r="DK62" s="93">
        <f t="shared" si="105"/>
        <v>8.4289705122885437</v>
      </c>
      <c r="DL62" s="94">
        <f t="shared" si="105"/>
        <v>7.6979358397205297</v>
      </c>
      <c r="DM62" s="278">
        <f t="shared" si="105"/>
        <v>7.6979358397205297</v>
      </c>
      <c r="DN62" s="93">
        <f t="shared" si="105"/>
        <v>8.0869902253086323</v>
      </c>
      <c r="DO62" s="93">
        <f t="shared" si="105"/>
        <v>8.2847891880223923</v>
      </c>
      <c r="DP62" s="93">
        <f t="shared" si="105"/>
        <v>8.574400703038549</v>
      </c>
      <c r="DQ62" s="94">
        <f t="shared" si="105"/>
        <v>8.8677330663363154</v>
      </c>
      <c r="DR62" s="278">
        <f t="shared" si="105"/>
        <v>8.8677330663363154</v>
      </c>
      <c r="DS62" s="93">
        <f t="shared" si="105"/>
        <v>9.0692354687008354</v>
      </c>
      <c r="DT62" s="93">
        <f t="shared" si="105"/>
        <v>9.0022761548402208</v>
      </c>
      <c r="DU62" s="93">
        <f t="shared" si="105"/>
        <v>9.027850081611021</v>
      </c>
      <c r="DV62" s="94">
        <f t="shared" si="105"/>
        <v>9.0358113724012519</v>
      </c>
      <c r="DW62" s="278">
        <f t="shared" si="105"/>
        <v>9.0358113724012519</v>
      </c>
      <c r="EB62"/>
      <c r="EC62"/>
      <c r="ED62"/>
      <c r="EE62"/>
      <c r="EF62"/>
      <c r="EG62"/>
    </row>
    <row r="63" spans="1:137" s="50" customFormat="1">
      <c r="A63" s="89" t="s">
        <v>127</v>
      </c>
      <c r="B63" s="97"/>
      <c r="C63" s="152"/>
      <c r="D63" s="46"/>
      <c r="E63" s="46"/>
      <c r="F63" s="153"/>
      <c r="G63" s="46"/>
      <c r="H63" s="46"/>
      <c r="I63" s="46"/>
      <c r="J63" s="46"/>
      <c r="K63" s="97"/>
      <c r="L63" s="97"/>
      <c r="M63" s="46"/>
      <c r="N63" s="46"/>
      <c r="O63" s="46"/>
      <c r="P63" s="97"/>
      <c r="Q63" s="97"/>
      <c r="R63" s="46"/>
      <c r="S63" s="46"/>
      <c r="T63" s="46"/>
      <c r="U63" s="97"/>
      <c r="V63" s="153"/>
      <c r="W63" s="46"/>
      <c r="X63" s="46"/>
      <c r="Y63" s="46"/>
      <c r="Z63" s="97"/>
      <c r="AA63" s="97"/>
      <c r="AB63" s="152"/>
      <c r="AC63" s="46"/>
      <c r="AD63" s="46"/>
      <c r="AE63" s="97"/>
      <c r="AF63" s="97"/>
      <c r="AG63" s="46"/>
      <c r="AH63" s="46"/>
      <c r="AI63" s="46"/>
      <c r="AJ63" s="97"/>
      <c r="AK63" s="153"/>
      <c r="AL63" s="46"/>
      <c r="AM63" s="154"/>
      <c r="AN63" s="46"/>
      <c r="AO63" s="97"/>
      <c r="AP63" s="97"/>
      <c r="AQ63" s="46"/>
      <c r="AR63" s="46"/>
      <c r="AS63" s="46"/>
      <c r="AT63" s="97"/>
      <c r="AU63" s="97"/>
      <c r="AV63" s="46"/>
      <c r="AW63" s="46"/>
      <c r="AX63" s="46"/>
      <c r="AY63" s="97"/>
      <c r="AZ63" s="97"/>
      <c r="BA63" s="46"/>
      <c r="BB63" s="46"/>
      <c r="BC63" s="46"/>
      <c r="BD63" s="97"/>
      <c r="BE63" s="97"/>
      <c r="BF63" s="46"/>
      <c r="BG63" s="46"/>
      <c r="BH63" s="46"/>
      <c r="BI63" s="97"/>
      <c r="BJ63" s="97"/>
      <c r="BK63" s="46"/>
      <c r="BL63" s="46"/>
      <c r="BM63" s="46"/>
      <c r="BN63" s="199"/>
      <c r="BO63" s="97"/>
      <c r="BP63" s="46"/>
      <c r="BQ63" s="169"/>
      <c r="BR63" s="46"/>
      <c r="BS63" s="199"/>
      <c r="BT63" s="97">
        <f t="shared" ref="BT63:CI63" si="106">BT61*BT59</f>
        <v>2.3277326890783875E-2</v>
      </c>
      <c r="BU63" s="46">
        <f t="shared" si="106"/>
        <v>2.6153498060593236E-2</v>
      </c>
      <c r="BV63" s="46">
        <f t="shared" si="106"/>
        <v>2.8326823464553667E-2</v>
      </c>
      <c r="BW63" s="943">
        <f t="shared" si="106"/>
        <v>2.0972316195951517E-2</v>
      </c>
      <c r="BX63" s="97">
        <f t="shared" si="106"/>
        <v>2.7273804164988518E-2</v>
      </c>
      <c r="BY63" s="97">
        <f t="shared" si="106"/>
        <v>2.7273804164988518E-2</v>
      </c>
      <c r="BZ63" s="46">
        <f t="shared" si="106"/>
        <v>2.7934007956317803E-2</v>
      </c>
      <c r="CA63" s="46">
        <f t="shared" si="106"/>
        <v>2.2733443071306526E-2</v>
      </c>
      <c r="CB63" s="46">
        <f t="shared" si="106"/>
        <v>2.6584833621084821E-2</v>
      </c>
      <c r="CC63" s="97">
        <f t="shared" si="106"/>
        <v>3.0398562123657314E-2</v>
      </c>
      <c r="CD63" s="97">
        <f t="shared" si="106"/>
        <v>3.0398562123657314E-2</v>
      </c>
      <c r="CE63" s="46">
        <f t="shared" si="106"/>
        <v>2.8866267821862215E-2</v>
      </c>
      <c r="CF63" s="46">
        <f>CF61*CF59</f>
        <v>2.6685829232100718E-2</v>
      </c>
      <c r="CG63" s="46">
        <f>CG61*CG59</f>
        <v>2.7858207963484417E-2</v>
      </c>
      <c r="CH63" s="97">
        <f>CH61*CH59</f>
        <v>2.851624740363835E-2</v>
      </c>
      <c r="CI63" s="97">
        <f t="shared" si="106"/>
        <v>2.851624740363835E-2</v>
      </c>
      <c r="CJ63" s="46">
        <f t="shared" ref="CJ63:CS63" si="107">CJ61*CJ59</f>
        <v>2.9170668544547567E-2</v>
      </c>
      <c r="CK63" s="46">
        <f>CK61*CK59</f>
        <v>3.3130887789932631E-2</v>
      </c>
      <c r="CL63" s="46">
        <f t="shared" si="107"/>
        <v>3.1982792311295173E-2</v>
      </c>
      <c r="CM63" s="97">
        <f t="shared" si="107"/>
        <v>3.1194847038028797E-2</v>
      </c>
      <c r="CN63" s="97">
        <f t="shared" si="107"/>
        <v>3.1194847038028797E-2</v>
      </c>
      <c r="CO63" s="46">
        <f t="shared" si="107"/>
        <v>4.795926313643168E-2</v>
      </c>
      <c r="CP63" s="46">
        <f t="shared" si="107"/>
        <v>4.9224015341495765E-2</v>
      </c>
      <c r="CQ63" s="46">
        <f t="shared" si="107"/>
        <v>5.3782894156579525E-2</v>
      </c>
      <c r="CR63" s="97">
        <f t="shared" si="107"/>
        <v>5.9116579592947735E-2</v>
      </c>
      <c r="CS63" s="97">
        <f t="shared" si="107"/>
        <v>5.9116579592947735E-2</v>
      </c>
      <c r="CT63" s="46">
        <f t="shared" ref="CT63:DC63" si="108">CT61*CT59</f>
        <v>4.8360793406107633E-2</v>
      </c>
      <c r="CU63" s="46">
        <f t="shared" si="108"/>
        <v>4.3365214387495146E-2</v>
      </c>
      <c r="CV63" s="46">
        <f t="shared" si="108"/>
        <v>5.081573325317422E-2</v>
      </c>
      <c r="CW63" s="97">
        <f t="shared" si="108"/>
        <v>6.6501408554445404E-2</v>
      </c>
      <c r="CX63" s="97">
        <f t="shared" si="108"/>
        <v>6.6501408554445404E-2</v>
      </c>
      <c r="CY63" s="46">
        <f t="shared" si="108"/>
        <v>7.2521183537951103E-2</v>
      </c>
      <c r="CZ63" s="46">
        <f t="shared" si="108"/>
        <v>6.529661812435178E-2</v>
      </c>
      <c r="DA63" s="46">
        <f t="shared" si="108"/>
        <v>8.587386332936596E-2</v>
      </c>
      <c r="DB63" s="97">
        <f t="shared" ref="DB63" si="109">DB61*DB59</f>
        <v>7.8225315648517382E-2</v>
      </c>
      <c r="DC63" s="97">
        <f t="shared" si="108"/>
        <v>7.8225315648517382E-2</v>
      </c>
      <c r="DD63" s="46">
        <f t="shared" ref="DD63:DW63" si="110">DD61*DD59</f>
        <v>7.6930776222796621E-2</v>
      </c>
      <c r="DE63" s="46">
        <f t="shared" si="110"/>
        <v>6.5943924725763325E-2</v>
      </c>
      <c r="DF63" s="46">
        <f t="shared" si="110"/>
        <v>5.5428250427773253E-2</v>
      </c>
      <c r="DG63" s="97">
        <f t="shared" si="110"/>
        <v>5.3447303543990389E-2</v>
      </c>
      <c r="DH63" s="97">
        <f t="shared" si="110"/>
        <v>5.3447303543990389E-2</v>
      </c>
      <c r="DI63" s="169">
        <f t="shared" si="110"/>
        <v>5.3550802617487923E-2</v>
      </c>
      <c r="DJ63" s="169">
        <f t="shared" si="110"/>
        <v>6.5958028943703687E-2</v>
      </c>
      <c r="DK63" s="169">
        <f t="shared" si="110"/>
        <v>6.9209011484822822E-2</v>
      </c>
      <c r="DL63" s="199">
        <f t="shared" si="110"/>
        <v>7.1695046927360812E-2</v>
      </c>
      <c r="DM63" s="97">
        <f t="shared" si="110"/>
        <v>7.1695046927360812E-2</v>
      </c>
      <c r="DN63" s="169">
        <f t="shared" si="110"/>
        <v>7.51104037546204E-2</v>
      </c>
      <c r="DO63" s="169">
        <f t="shared" si="110"/>
        <v>7.8252157152658625E-2</v>
      </c>
      <c r="DP63" s="169">
        <f t="shared" si="110"/>
        <v>8.1488377365381087E-2</v>
      </c>
      <c r="DQ63" s="199">
        <f t="shared" si="110"/>
        <v>8.50091442426886E-2</v>
      </c>
      <c r="DR63" s="97">
        <f t="shared" si="110"/>
        <v>8.50091442426886E-2</v>
      </c>
      <c r="DS63" s="169">
        <f t="shared" si="110"/>
        <v>8.7965127230153276E-2</v>
      </c>
      <c r="DT63" s="169">
        <f t="shared" si="110"/>
        <v>9.0616394177775991E-2</v>
      </c>
      <c r="DU63" s="169">
        <f t="shared" si="110"/>
        <v>9.338184844246647E-2</v>
      </c>
      <c r="DV63" s="199">
        <f t="shared" si="110"/>
        <v>9.647251870929513E-2</v>
      </c>
      <c r="DW63" s="97">
        <f t="shared" si="110"/>
        <v>9.647251870929513E-2</v>
      </c>
      <c r="EB63"/>
      <c r="EC63"/>
      <c r="ED63"/>
      <c r="EE63"/>
      <c r="EF63"/>
      <c r="EG63"/>
    </row>
    <row r="64" spans="1:137" s="45" customFormat="1">
      <c r="A64" s="217" t="s">
        <v>128</v>
      </c>
      <c r="B64" s="417"/>
      <c r="C64" s="196"/>
      <c r="D64" s="172"/>
      <c r="E64" s="172"/>
      <c r="F64" s="170"/>
      <c r="G64" s="172"/>
      <c r="H64" s="172"/>
      <c r="I64" s="172"/>
      <c r="J64" s="172"/>
      <c r="K64" s="127"/>
      <c r="L64" s="127"/>
      <c r="M64" s="172"/>
      <c r="N64" s="172"/>
      <c r="O64" s="172"/>
      <c r="P64" s="127"/>
      <c r="Q64" s="127"/>
      <c r="R64" s="172"/>
      <c r="S64" s="172"/>
      <c r="T64" s="172"/>
      <c r="U64" s="127"/>
      <c r="V64" s="170"/>
      <c r="W64" s="172"/>
      <c r="X64" s="172"/>
      <c r="Y64" s="172"/>
      <c r="Z64" s="127"/>
      <c r="AA64" s="127"/>
      <c r="AB64" s="196"/>
      <c r="AC64" s="172"/>
      <c r="AD64" s="172"/>
      <c r="AE64" s="127"/>
      <c r="AF64" s="127"/>
      <c r="AG64" s="172"/>
      <c r="AH64" s="172"/>
      <c r="AI64" s="172"/>
      <c r="AJ64" s="127"/>
      <c r="AK64" s="170"/>
      <c r="AL64" s="172"/>
      <c r="AM64" s="171"/>
      <c r="AN64" s="172"/>
      <c r="AO64" s="127"/>
      <c r="AP64" s="127"/>
      <c r="AQ64" s="172"/>
      <c r="AR64" s="172"/>
      <c r="AS64" s="172"/>
      <c r="AT64" s="127"/>
      <c r="AU64" s="127"/>
      <c r="AV64" s="172"/>
      <c r="AW64" s="172"/>
      <c r="AX64" s="172"/>
      <c r="AY64" s="127"/>
      <c r="AZ64" s="127"/>
      <c r="BA64" s="172"/>
      <c r="BB64" s="172"/>
      <c r="BC64" s="172"/>
      <c r="BD64" s="127"/>
      <c r="BE64" s="127"/>
      <c r="BF64" s="172"/>
      <c r="BG64" s="172"/>
      <c r="BH64" s="172"/>
      <c r="BI64" s="127"/>
      <c r="BJ64" s="127"/>
      <c r="BK64" s="172"/>
      <c r="BL64" s="172"/>
      <c r="BM64" s="172"/>
      <c r="BN64" s="282"/>
      <c r="BO64" s="127"/>
      <c r="BP64" s="172"/>
      <c r="BQ64" s="173"/>
      <c r="BR64" s="172"/>
      <c r="BS64" s="282"/>
      <c r="BT64" s="127">
        <f t="shared" ref="BT64:CI64" si="111">BT60*BT61*BT62</f>
        <v>2.1450834069619367E-3</v>
      </c>
      <c r="BU64" s="172">
        <f t="shared" si="111"/>
        <v>5.4294722937729689E-3</v>
      </c>
      <c r="BV64" s="172">
        <f t="shared" si="111"/>
        <v>3.6916565324072123E-3</v>
      </c>
      <c r="BW64" s="944">
        <f t="shared" si="111"/>
        <v>-3.131112550619292E-3</v>
      </c>
      <c r="BX64" s="127">
        <f t="shared" si="111"/>
        <v>-1.9224302718983044E-3</v>
      </c>
      <c r="BY64" s="127">
        <f t="shared" si="111"/>
        <v>-1.9224302718983044E-3</v>
      </c>
      <c r="BZ64" s="172">
        <f t="shared" si="111"/>
        <v>-4.8821696705253986E-4</v>
      </c>
      <c r="CA64" s="172">
        <f t="shared" si="111"/>
        <v>-2.4115983915836556E-4</v>
      </c>
      <c r="CB64" s="172">
        <f t="shared" si="111"/>
        <v>-1.7138309755173823E-3</v>
      </c>
      <c r="CC64" s="127">
        <f t="shared" si="111"/>
        <v>5.369727135442765E-3</v>
      </c>
      <c r="CD64" s="127">
        <f t="shared" si="111"/>
        <v>5.369727135442765E-3</v>
      </c>
      <c r="CE64" s="172">
        <f t="shared" si="111"/>
        <v>1.1312138066439494E-2</v>
      </c>
      <c r="CF64" s="172">
        <f>CF60*CF61*CF62</f>
        <v>3.3064822193469593E-3</v>
      </c>
      <c r="CG64" s="172">
        <f>CG60*CG61*CG62</f>
        <v>-7.7564241942184916E-3</v>
      </c>
      <c r="CH64" s="127">
        <f>CH60*CH61*CH62</f>
        <v>3.5214132665514703E-3</v>
      </c>
      <c r="CI64" s="127">
        <f t="shared" si="111"/>
        <v>3.5214132665514703E-3</v>
      </c>
      <c r="CJ64" s="172">
        <f t="shared" ref="CJ64:CS64" si="112">CJ60*CJ61*CJ62</f>
        <v>-1.5667961858039363E-3</v>
      </c>
      <c r="CK64" s="172">
        <f>CK60*CK61*CK62</f>
        <v>7.3752931719442425E-3</v>
      </c>
      <c r="CL64" s="172">
        <f t="shared" si="112"/>
        <v>1.9824072395959798E-2</v>
      </c>
      <c r="CM64" s="127">
        <f t="shared" si="112"/>
        <v>2.3136171281122043E-2</v>
      </c>
      <c r="CN64" s="127">
        <f t="shared" si="112"/>
        <v>2.3136171281122043E-2</v>
      </c>
      <c r="CO64" s="172">
        <f t="shared" si="112"/>
        <v>4.8414010268408122E-2</v>
      </c>
      <c r="CP64" s="172">
        <f t="shared" si="112"/>
        <v>5.7252137785241221E-2</v>
      </c>
      <c r="CQ64" s="172">
        <f t="shared" si="112"/>
        <v>7.1847372042282961E-2</v>
      </c>
      <c r="CR64" s="127">
        <f t="shared" si="112"/>
        <v>6.6592780709513646E-2</v>
      </c>
      <c r="CS64" s="127">
        <f t="shared" si="112"/>
        <v>6.6592780709513646E-2</v>
      </c>
      <c r="CT64" s="172">
        <f t="shared" ref="CT64:DC64" si="113">CT60*CT61*CT62</f>
        <v>5.9690364738265174E-2</v>
      </c>
      <c r="CU64" s="172">
        <f t="shared" si="113"/>
        <v>6.5364799275983196E-2</v>
      </c>
      <c r="CV64" s="172">
        <f t="shared" si="113"/>
        <v>8.0996741397074704E-2</v>
      </c>
      <c r="CW64" s="127">
        <f t="shared" si="113"/>
        <v>0.1304534727928468</v>
      </c>
      <c r="CX64" s="127">
        <f t="shared" si="113"/>
        <v>0.1304534727928468</v>
      </c>
      <c r="CY64" s="172">
        <f t="shared" si="113"/>
        <v>0.12982348275061051</v>
      </c>
      <c r="CZ64" s="172">
        <f t="shared" si="113"/>
        <v>0.119496296661855</v>
      </c>
      <c r="DA64" s="172">
        <f t="shared" si="113"/>
        <v>0.26963104899308687</v>
      </c>
      <c r="DB64" s="127">
        <f t="shared" ref="DB64" si="114">DB60*DB61*DB62</f>
        <v>0.20243313942138749</v>
      </c>
      <c r="DC64" s="127">
        <f t="shared" si="113"/>
        <v>0.20243313942138749</v>
      </c>
      <c r="DD64" s="172">
        <f t="shared" ref="DD64:DW64" si="115">DD60*DD61*DD62</f>
        <v>0.20120339659164749</v>
      </c>
      <c r="DE64" s="172">
        <f t="shared" si="115"/>
        <v>0.16653942974700311</v>
      </c>
      <c r="DF64" s="172">
        <f t="shared" si="115"/>
        <v>0.11153991079330856</v>
      </c>
      <c r="DG64" s="127">
        <f t="shared" si="115"/>
        <v>0.35247911101341667</v>
      </c>
      <c r="DH64" s="127">
        <f t="shared" si="115"/>
        <v>0.35247911101341667</v>
      </c>
      <c r="DI64" s="173">
        <f t="shared" si="115"/>
        <v>0.36684090823839366</v>
      </c>
      <c r="DJ64" s="173">
        <f t="shared" si="115"/>
        <v>0.46684383755295855</v>
      </c>
      <c r="DK64" s="173">
        <f t="shared" si="115"/>
        <v>0.52951053119921176</v>
      </c>
      <c r="DL64" s="282">
        <f t="shared" si="115"/>
        <v>0.24933128597791085</v>
      </c>
      <c r="DM64" s="127">
        <f t="shared" si="115"/>
        <v>0.24933128597791085</v>
      </c>
      <c r="DN64" s="173">
        <f t="shared" si="115"/>
        <v>0.28193482340281423</v>
      </c>
      <c r="DO64" s="173">
        <f t="shared" si="115"/>
        <v>0.30805169916090558</v>
      </c>
      <c r="DP64" s="173">
        <f t="shared" si="115"/>
        <v>0.33912490389825867</v>
      </c>
      <c r="DQ64" s="282">
        <f t="shared" si="115"/>
        <v>0.37333656907151003</v>
      </c>
      <c r="DR64" s="127">
        <f t="shared" si="115"/>
        <v>0.37333656907151003</v>
      </c>
      <c r="DS64" s="173">
        <f t="shared" si="115"/>
        <v>0.40192575584826978</v>
      </c>
      <c r="DT64" s="173">
        <f t="shared" si="115"/>
        <v>0.41734844259861514</v>
      </c>
      <c r="DU64" s="173">
        <f t="shared" si="115"/>
        <v>0.43755944273155928</v>
      </c>
      <c r="DV64" s="282">
        <f t="shared" si="115"/>
        <v>0.4588925189959433</v>
      </c>
      <c r="DW64" s="127">
        <f t="shared" si="115"/>
        <v>0.4588925189959433</v>
      </c>
      <c r="EB64"/>
      <c r="EC64"/>
      <c r="ED64"/>
      <c r="EE64"/>
      <c r="EF64"/>
      <c r="EG64"/>
    </row>
    <row r="65" spans="1:137" s="45" customFormat="1" ht="2.1" customHeight="1">
      <c r="A65" s="250"/>
      <c r="AM65" s="68"/>
      <c r="AY65" s="211"/>
      <c r="AZ65" s="211"/>
      <c r="BC65" s="211"/>
      <c r="BD65" s="211"/>
      <c r="BE65" s="211"/>
      <c r="BN65" s="211"/>
      <c r="BQ65" s="211"/>
      <c r="BR65" s="211"/>
      <c r="BS65" s="211"/>
      <c r="BU65" s="211"/>
      <c r="BW65" s="518"/>
      <c r="CE65" s="211"/>
      <c r="CH65" s="211"/>
      <c r="CR65" s="211"/>
      <c r="CW65" s="211"/>
      <c r="DB65" s="211"/>
      <c r="DI65" s="211"/>
      <c r="DJ65" s="211"/>
      <c r="DK65" s="211"/>
      <c r="DL65" s="211"/>
      <c r="DN65" s="211"/>
      <c r="DO65" s="211"/>
      <c r="DP65" s="211"/>
      <c r="DQ65" s="211"/>
      <c r="DS65" s="211"/>
      <c r="DT65" s="211"/>
      <c r="DU65" s="211"/>
      <c r="DV65" s="211"/>
      <c r="EB65"/>
      <c r="EC65"/>
      <c r="ED65"/>
      <c r="EE65"/>
      <c r="EF65"/>
      <c r="EG65"/>
    </row>
    <row r="66" spans="1:137" s="45" customFormat="1" ht="11.25" customHeight="1">
      <c r="A66" s="232"/>
      <c r="AM66" s="68"/>
      <c r="AY66" s="211"/>
      <c r="AZ66" s="211"/>
      <c r="BC66" s="211"/>
      <c r="BD66" s="211"/>
      <c r="BE66" s="211"/>
      <c r="BN66" s="211"/>
      <c r="BQ66" s="211"/>
      <c r="BR66" s="211"/>
      <c r="BS66" s="211"/>
      <c r="BU66" s="211"/>
      <c r="BW66" s="518"/>
      <c r="CE66" s="211"/>
      <c r="CF66" s="211"/>
      <c r="CH66" s="211"/>
      <c r="CK66" s="211"/>
      <c r="CR66" s="211"/>
      <c r="CW66" s="211"/>
      <c r="DB66" s="211"/>
      <c r="DI66" s="211"/>
      <c r="DJ66" s="211"/>
      <c r="DK66" s="211"/>
      <c r="DL66" s="211"/>
      <c r="DN66" s="211"/>
      <c r="DO66" s="211"/>
      <c r="DP66" s="211"/>
      <c r="DQ66" s="211"/>
      <c r="DS66" s="211"/>
      <c r="DT66" s="211"/>
      <c r="DU66" s="211"/>
      <c r="DV66" s="211"/>
      <c r="EB66"/>
      <c r="EC66"/>
      <c r="ED66"/>
      <c r="EE66"/>
      <c r="EF66"/>
      <c r="EG66"/>
    </row>
    <row r="67" spans="1:137" s="45" customFormat="1">
      <c r="A67" s="27" t="s">
        <v>434</v>
      </c>
      <c r="B67" s="481"/>
      <c r="C67" s="481"/>
      <c r="D67" s="481"/>
      <c r="E67" s="481"/>
      <c r="F67" s="481"/>
      <c r="G67" s="481"/>
      <c r="H67" s="481"/>
      <c r="I67" s="481"/>
      <c r="J67" s="481"/>
      <c r="K67" s="481"/>
      <c r="L67" s="481"/>
      <c r="M67" s="481"/>
      <c r="N67" s="481"/>
      <c r="O67" s="481"/>
      <c r="P67" s="481"/>
      <c r="Q67" s="481"/>
      <c r="R67" s="481"/>
      <c r="S67" s="481"/>
      <c r="T67" s="481"/>
      <c r="U67" s="481"/>
      <c r="V67" s="481"/>
      <c r="W67" s="482"/>
      <c r="X67" s="482"/>
      <c r="Y67" s="483"/>
      <c r="Z67" s="483"/>
      <c r="AA67" s="483"/>
      <c r="AB67" s="484"/>
      <c r="AC67" s="483"/>
      <c r="AD67" s="483"/>
      <c r="AE67" s="483"/>
      <c r="AF67" s="483"/>
      <c r="AG67" s="484"/>
      <c r="AH67" s="483"/>
      <c r="AI67" s="485"/>
      <c r="AJ67" s="483"/>
      <c r="AK67" s="486"/>
      <c r="AL67" s="487"/>
      <c r="AM67" s="486"/>
      <c r="AN67" s="486"/>
      <c r="AO67" s="486"/>
      <c r="AP67" s="486"/>
      <c r="AQ67" s="488"/>
      <c r="AR67" s="11"/>
      <c r="AS67" s="11"/>
      <c r="AT67" s="11"/>
      <c r="AU67" s="11"/>
      <c r="AV67" s="11"/>
      <c r="AW67" s="11"/>
      <c r="AX67" s="11"/>
      <c r="AY67" s="30"/>
      <c r="AZ67" s="30"/>
      <c r="BA67" s="11"/>
      <c r="BB67" s="11"/>
      <c r="BC67" s="30"/>
      <c r="BD67" s="30"/>
      <c r="BE67" s="30"/>
      <c r="BF67" s="11"/>
      <c r="BG67" s="11"/>
      <c r="BH67" s="11"/>
      <c r="BI67" s="11"/>
      <c r="BJ67" s="11"/>
      <c r="BK67" s="11"/>
      <c r="BL67" s="11"/>
      <c r="BM67" s="11"/>
      <c r="BN67" s="30"/>
      <c r="BO67" s="11"/>
      <c r="BP67" s="11"/>
      <c r="BQ67" s="30"/>
      <c r="BR67" s="30"/>
      <c r="BS67" s="30"/>
      <c r="BT67" s="11"/>
      <c r="BU67" s="30"/>
      <c r="BV67" s="11"/>
      <c r="BW67" s="947"/>
      <c r="BX67" s="11"/>
      <c r="BY67" s="11"/>
      <c r="BZ67" s="11"/>
      <c r="CA67" s="11"/>
      <c r="CB67" s="11"/>
      <c r="CC67" s="11"/>
      <c r="CD67" s="11"/>
      <c r="CE67" s="30"/>
      <c r="CF67" s="30"/>
      <c r="CG67" s="11"/>
      <c r="CH67" s="30"/>
      <c r="CI67" s="28"/>
      <c r="CJ67" s="11"/>
      <c r="CK67" s="30"/>
      <c r="CL67" s="11"/>
      <c r="CM67" s="11"/>
      <c r="CN67" s="28"/>
      <c r="CO67" s="11"/>
      <c r="CP67" s="11"/>
      <c r="CQ67" s="11"/>
      <c r="CR67" s="30"/>
      <c r="CS67" s="28"/>
      <c r="CT67" s="11"/>
      <c r="CU67" s="11"/>
      <c r="CV67" s="11"/>
      <c r="CW67" s="30"/>
      <c r="CX67" s="28"/>
      <c r="CY67" s="11"/>
      <c r="CZ67" s="11"/>
      <c r="DA67" s="11"/>
      <c r="DB67" s="30"/>
      <c r="DC67" s="28"/>
      <c r="DD67" s="11"/>
      <c r="DE67" s="11"/>
      <c r="DF67" s="11"/>
      <c r="DG67" s="11"/>
      <c r="DH67" s="28"/>
      <c r="DI67" s="30"/>
      <c r="DJ67" s="30"/>
      <c r="DK67" s="30"/>
      <c r="DL67" s="30"/>
      <c r="DM67" s="28"/>
      <c r="DN67" s="30"/>
      <c r="DO67" s="30"/>
      <c r="DP67" s="30"/>
      <c r="DQ67" s="30"/>
      <c r="DR67" s="28"/>
      <c r="DS67" s="30"/>
      <c r="DT67" s="30"/>
      <c r="DU67" s="30"/>
      <c r="DV67" s="30"/>
      <c r="DW67" s="28"/>
      <c r="EB67"/>
      <c r="EC67"/>
      <c r="ED67"/>
      <c r="EE67"/>
      <c r="EF67"/>
      <c r="EG67"/>
    </row>
    <row r="68" spans="1:137">
      <c r="A68" s="89" t="s">
        <v>435</v>
      </c>
      <c r="B68" s="46"/>
      <c r="C68" s="46"/>
      <c r="D68" s="46"/>
      <c r="E68" s="46"/>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153"/>
      <c r="AL68" s="46"/>
      <c r="AM68" s="154"/>
      <c r="AN68" s="46"/>
      <c r="AO68" s="97"/>
      <c r="AP68" s="97"/>
      <c r="AQ68" s="46"/>
      <c r="AR68" s="46"/>
      <c r="AS68" s="46"/>
      <c r="AT68" s="97"/>
      <c r="AU68" s="97"/>
      <c r="AV68" s="46"/>
      <c r="AW68" s="46"/>
      <c r="AX68" s="46"/>
      <c r="AY68" s="97"/>
      <c r="AZ68" s="97"/>
      <c r="BA68" s="46"/>
      <c r="BB68" s="46"/>
      <c r="BC68" s="46"/>
      <c r="BD68" s="97"/>
      <c r="BE68" s="97"/>
      <c r="BF68" s="46"/>
      <c r="BG68" s="46"/>
      <c r="BH68" s="46"/>
      <c r="BI68" s="97"/>
      <c r="BJ68" s="97"/>
      <c r="BK68" s="46"/>
      <c r="BL68" s="46"/>
      <c r="BM68" s="46"/>
      <c r="BN68" s="199"/>
      <c r="BO68" s="97"/>
      <c r="BP68" s="46"/>
      <c r="BQ68" s="169"/>
      <c r="BR68" s="169"/>
      <c r="BS68" s="199"/>
      <c r="BT68" s="97">
        <f>(BT39+BT33)/(BT39+BT33+BT52)</f>
        <v>0.39461320204702988</v>
      </c>
      <c r="BU68" s="46">
        <f t="shared" ref="BU68:CI68" si="116">(BU39+BU33)/(BU39+BU33+BU52)</f>
        <v>0.4015426398811367</v>
      </c>
      <c r="BV68" s="46">
        <f t="shared" si="116"/>
        <v>0.42067302875764501</v>
      </c>
      <c r="BW68" s="943">
        <f t="shared" si="116"/>
        <v>0.42044148625425898</v>
      </c>
      <c r="BX68" s="97">
        <f t="shared" si="116"/>
        <v>0.42092625073081102</v>
      </c>
      <c r="BY68" s="97">
        <f t="shared" si="116"/>
        <v>0.42092625073081102</v>
      </c>
      <c r="BZ68" s="46">
        <f t="shared" si="116"/>
        <v>0.41605146886250771</v>
      </c>
      <c r="CA68" s="46">
        <f t="shared" si="116"/>
        <v>0.3890654354292436</v>
      </c>
      <c r="CB68" s="46">
        <f t="shared" si="116"/>
        <v>0.40451256175934996</v>
      </c>
      <c r="CC68" s="97">
        <f t="shared" si="116"/>
        <v>0.40470369226034192</v>
      </c>
      <c r="CD68" s="97">
        <f t="shared" si="116"/>
        <v>0.40470369226034192</v>
      </c>
      <c r="CE68" s="46">
        <f t="shared" si="116"/>
        <v>0.40252960577522073</v>
      </c>
      <c r="CF68" s="46">
        <f>(CF39+CF33)/(CF39+CF33+CF52)</f>
        <v>0.41155221656672136</v>
      </c>
      <c r="CG68" s="46">
        <f>(CG39+CG33)/(CG39+CG33+CG52)</f>
        <v>0.4249919511751285</v>
      </c>
      <c r="CH68" s="97">
        <f>(CH39+CH33)/(CH39+CH33+CH52)</f>
        <v>0.42328942442928064</v>
      </c>
      <c r="CI68" s="97">
        <f t="shared" si="116"/>
        <v>0.42328942442928064</v>
      </c>
      <c r="CJ68" s="46">
        <f t="shared" ref="CJ68:CS68" si="117">(CJ39+CJ33)/(CJ39+CJ33+CJ52)</f>
        <v>0.42472565117723138</v>
      </c>
      <c r="CK68" s="46">
        <f>(CK39+CK33)/(CK39+CK33+CK52)</f>
        <v>0.42799975794913092</v>
      </c>
      <c r="CL68" s="46">
        <f t="shared" si="117"/>
        <v>0.43347359146011777</v>
      </c>
      <c r="CM68" s="97">
        <f t="shared" si="117"/>
        <v>0.43138595485121628</v>
      </c>
      <c r="CN68" s="97">
        <f t="shared" si="117"/>
        <v>0.43138595485121628</v>
      </c>
      <c r="CO68" s="46">
        <f t="shared" si="117"/>
        <v>0.45893144900468613</v>
      </c>
      <c r="CP68" s="46">
        <f t="shared" si="117"/>
        <v>0.4546226508594613</v>
      </c>
      <c r="CQ68" s="46">
        <f t="shared" si="117"/>
        <v>0.45556844686397924</v>
      </c>
      <c r="CR68" s="97">
        <f>(CR39+CR33)/(CR39+CR33+CR52)</f>
        <v>0.4574452122882669</v>
      </c>
      <c r="CS68" s="97">
        <f t="shared" si="117"/>
        <v>0.4574452122882669</v>
      </c>
      <c r="CT68" s="46">
        <f t="shared" ref="CT68:DC68" si="118">(CT39+CT33)/(CT39+CT33+CT52)</f>
        <v>0.45799086469514239</v>
      </c>
      <c r="CU68" s="46">
        <f t="shared" si="118"/>
        <v>0.57966421514757838</v>
      </c>
      <c r="CV68" s="46">
        <f t="shared" si="118"/>
        <v>0.77306199050437352</v>
      </c>
      <c r="CW68" s="97">
        <f t="shared" si="118"/>
        <v>0.76316212476333167</v>
      </c>
      <c r="CX68" s="97">
        <f t="shared" si="118"/>
        <v>0.76316212476333167</v>
      </c>
      <c r="CY68" s="46">
        <f t="shared" si="118"/>
        <v>0.77327798711349116</v>
      </c>
      <c r="CZ68" s="46">
        <f t="shared" si="118"/>
        <v>0.78354040981438533</v>
      </c>
      <c r="DA68" s="46">
        <f t="shared" si="118"/>
        <v>0.78757336674182954</v>
      </c>
      <c r="DB68" s="97">
        <f t="shared" ref="DB68" si="119">(DB39+DB33)/(DB39+DB33+DB52)</f>
        <v>0.82640365945201644</v>
      </c>
      <c r="DC68" s="97">
        <f t="shared" si="118"/>
        <v>0.82640365945201644</v>
      </c>
      <c r="DD68" s="46">
        <f t="shared" ref="DD68:DW68" si="120">(DD39+DD33)/(DD39+DD33+DD52)</f>
        <v>0.82945982022168163</v>
      </c>
      <c r="DE68" s="46">
        <f t="shared" si="120"/>
        <v>0.84854485528781809</v>
      </c>
      <c r="DF68" s="46">
        <f t="shared" si="120"/>
        <v>0.85491648983181301</v>
      </c>
      <c r="DG68" s="97">
        <f t="shared" si="120"/>
        <v>0.82774307647692558</v>
      </c>
      <c r="DH68" s="97">
        <f t="shared" si="120"/>
        <v>0.82774307647692558</v>
      </c>
      <c r="DI68" s="169">
        <f t="shared" si="120"/>
        <v>0.83586364147940861</v>
      </c>
      <c r="DJ68" s="169">
        <f t="shared" si="120"/>
        <v>0.84030993923110198</v>
      </c>
      <c r="DK68" s="169">
        <f t="shared" si="120"/>
        <v>0.84607449973119142</v>
      </c>
      <c r="DL68" s="199">
        <f t="shared" si="120"/>
        <v>0.85172742038789606</v>
      </c>
      <c r="DM68" s="97">
        <f t="shared" si="120"/>
        <v>0.85172742038789606</v>
      </c>
      <c r="DN68" s="169">
        <f t="shared" si="120"/>
        <v>0.85805019852553355</v>
      </c>
      <c r="DO68" s="169">
        <f t="shared" si="120"/>
        <v>0.86054612854177737</v>
      </c>
      <c r="DP68" s="169">
        <f t="shared" si="120"/>
        <v>0.86439533082777831</v>
      </c>
      <c r="DQ68" s="199">
        <f t="shared" si="120"/>
        <v>0.86829665729238747</v>
      </c>
      <c r="DR68" s="97">
        <f t="shared" si="120"/>
        <v>0.86829665729238747</v>
      </c>
      <c r="DS68" s="169">
        <f t="shared" si="120"/>
        <v>0.86754715282606754</v>
      </c>
      <c r="DT68" s="169">
        <f t="shared" si="120"/>
        <v>0.86294808840137971</v>
      </c>
      <c r="DU68" s="169">
        <f t="shared" si="120"/>
        <v>0.85972359527379749</v>
      </c>
      <c r="DV68" s="199">
        <f t="shared" si="120"/>
        <v>0.8564244411152826</v>
      </c>
      <c r="DW68" s="97">
        <f t="shared" si="120"/>
        <v>0.8564244411152826</v>
      </c>
      <c r="DX68" s="45"/>
    </row>
    <row r="69" spans="1:137">
      <c r="A69" s="89" t="s">
        <v>283</v>
      </c>
      <c r="B69" s="46"/>
      <c r="C69" s="46"/>
      <c r="D69" s="46"/>
      <c r="E69" s="46"/>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153"/>
      <c r="AL69" s="46"/>
      <c r="AM69" s="154"/>
      <c r="AN69" s="46"/>
      <c r="AO69" s="97"/>
      <c r="AP69" s="97"/>
      <c r="AQ69" s="46"/>
      <c r="AR69" s="46"/>
      <c r="AS69" s="46"/>
      <c r="AT69" s="97"/>
      <c r="AU69" s="97"/>
      <c r="AV69" s="46"/>
      <c r="AW69" s="46"/>
      <c r="AX69" s="46"/>
      <c r="AY69" s="97"/>
      <c r="AZ69" s="97"/>
      <c r="BA69" s="46"/>
      <c r="BB69" s="46"/>
      <c r="BC69" s="46"/>
      <c r="BD69" s="97"/>
      <c r="BE69" s="97"/>
      <c r="BF69" s="46"/>
      <c r="BG69" s="46"/>
      <c r="BH69" s="46"/>
      <c r="BI69" s="97"/>
      <c r="BJ69" s="97"/>
      <c r="BK69" s="46"/>
      <c r="BL69" s="46"/>
      <c r="BM69" s="46"/>
      <c r="BN69" s="199"/>
      <c r="BO69" s="97"/>
      <c r="BP69" s="46"/>
      <c r="BQ69" s="169"/>
      <c r="BR69" s="169"/>
      <c r="BS69" s="199"/>
      <c r="BT69" s="491">
        <f>(BT39+BT33)/IncomeStatement!AK209</f>
        <v>3.5815924083677291</v>
      </c>
      <c r="BU69" s="526">
        <f>(BU39+BU33)/IncomeStatement!AL209</f>
        <v>3.4721273133792101</v>
      </c>
      <c r="BV69" s="490">
        <f>(BV39+BV33)/IncomeStatement!AM209</f>
        <v>3.5732277675283033</v>
      </c>
      <c r="BW69" s="943">
        <f>(BW39+BW33)/IncomeStatement!AN209</f>
        <v>3.8403564890550741</v>
      </c>
      <c r="BX69" s="491">
        <f>(BX39+BX33)/IncomeStatement!AO209</f>
        <v>4.0346863525445116</v>
      </c>
      <c r="BY69" s="491">
        <f>(BY39+BY33)/IncomeStatement!AP209</f>
        <v>4.0346863525445116</v>
      </c>
      <c r="BZ69" s="526">
        <f>(BZ39+BZ33)/IncomeStatement!AQ209</f>
        <v>4.1573970360158521</v>
      </c>
      <c r="CA69" s="490">
        <f>(CA39+CA33)/IncomeStatement!AR209</f>
        <v>3.9854562997696625</v>
      </c>
      <c r="CB69" s="943">
        <f>(CB39+CB33)/IncomeStatement!AS209</f>
        <v>4.080893300248138</v>
      </c>
      <c r="CC69" s="491">
        <f>(CC39+CC33)/IncomeStatement!AT209</f>
        <v>4.0988775651984781</v>
      </c>
      <c r="CD69" s="491">
        <f>(CD39+CD33)/IncomeStatement!AU209</f>
        <v>4.0988775651984781</v>
      </c>
      <c r="CE69" s="526">
        <f>(CE39+CE33)/IncomeStatement!AV209</f>
        <v>4.2709498529917935</v>
      </c>
      <c r="CF69" s="490">
        <f>(CF39+CF33)/IncomeStatement!AW209</f>
        <v>4.4081430052861883</v>
      </c>
      <c r="CG69" s="943">
        <f>(CG39+CG33)/IncomeStatement!AX209</f>
        <v>4.6451366134152723</v>
      </c>
      <c r="CH69" s="491">
        <f>(CH39+CH33)/IncomeStatement!AY209</f>
        <v>4.4337161021460432</v>
      </c>
      <c r="CI69" s="1292">
        <f>(CI39+CI33)/IncomeStatement!AZ209</f>
        <v>4.4337161021460432</v>
      </c>
      <c r="CJ69" s="1293">
        <f>(CJ39+CJ33)/IncomeStatement!BA209</f>
        <v>4.1975210734709325</v>
      </c>
      <c r="CK69" s="1062">
        <f>(CK39+CK33)/IncomeStatement!BB209</f>
        <v>4.0890799326251202</v>
      </c>
      <c r="CL69" s="1062">
        <f>(CL39+CL33)/IncomeStatement!BC209</f>
        <v>3.9352625697129153</v>
      </c>
      <c r="CM69" s="1292">
        <f>(CM39+CM33)/IncomeStatement!BD209</f>
        <v>3.9868722798110934</v>
      </c>
      <c r="CN69" s="1292">
        <f>(CN39+CN33)/IncomeStatement!BE209</f>
        <v>3.9868722798110934</v>
      </c>
      <c r="CO69" s="1293">
        <f>(CO39+CO33)/IncomeStatement!BF209</f>
        <v>3.4304323334741609</v>
      </c>
      <c r="CP69" s="1062">
        <f>(CP39+CP33)/IncomeStatement!BG209</f>
        <v>3.4369661099476696</v>
      </c>
      <c r="CQ69" s="1062">
        <f>(CQ39+CQ33)/IncomeStatement!BH209</f>
        <v>3.4568276211460058</v>
      </c>
      <c r="CR69" s="1292">
        <f>(CR39+CR33)/IncomeStatement!BI209</f>
        <v>3.3175786816217863</v>
      </c>
      <c r="CS69" s="1292">
        <f>(CS39+CS33)/IncomeStatement!BJ209</f>
        <v>3.3175786816217863</v>
      </c>
      <c r="CT69" s="1293">
        <f>(CT39+CT33)/IncomeStatement!BK209</f>
        <v>3.8045306526228488</v>
      </c>
      <c r="CU69" s="1062">
        <f>(CU39+CU33)/IncomeStatement!BL209</f>
        <v>6.2063674513367344</v>
      </c>
      <c r="CV69" s="1062">
        <f>(CV39+CV33)/IncomeStatement!BM209</f>
        <v>6.132378609560166</v>
      </c>
      <c r="CW69" s="1292">
        <f>(CW39+CW33)/IncomeStatement!BN209</f>
        <v>6.1823924693506749</v>
      </c>
      <c r="CX69" s="1292">
        <f>(CX39+CX33)/IncomeStatement!BO209</f>
        <v>6.1823924693506749</v>
      </c>
      <c r="CY69" s="1293">
        <f>(CY39+CY33)/IncomeStatement!BP209</f>
        <v>6.1067888654308478</v>
      </c>
      <c r="CZ69" s="1062">
        <f>(CZ39+CZ33)/IncomeStatement!BQ209</f>
        <v>6.151088219575696</v>
      </c>
      <c r="DA69" s="1062">
        <f>(DA39+DA33)/IncomeStatement!BR209</f>
        <v>6.1605831908985405</v>
      </c>
      <c r="DB69" s="1292">
        <f>(DB39+DB33)/IncomeStatement!BS209</f>
        <v>6.4108942346705744</v>
      </c>
      <c r="DC69" s="1292">
        <f>(DC39+DC33)/IncomeStatement!BT209</f>
        <v>6.4108942346705744</v>
      </c>
      <c r="DD69" s="1293">
        <f>(DD39+DD33)/IncomeStatement!BU209</f>
        <v>6.666054739217067</v>
      </c>
      <c r="DE69" s="1062">
        <f>(DE39+DE33)/IncomeStatement!BV209</f>
        <v>6.8809949491001454</v>
      </c>
      <c r="DF69" s="1062">
        <f>(DF39+DF33)/IncomeStatement!BW209</f>
        <v>6.9310172978003344</v>
      </c>
      <c r="DG69" s="1292">
        <f>(DG39+DG33)/IncomeStatement!BX209</f>
        <v>6.7810345846299294</v>
      </c>
      <c r="DH69" s="1292">
        <f>(DH39+DH33)/IncomeStatement!BY209</f>
        <v>6.7810345846299294</v>
      </c>
      <c r="DI69" s="1296">
        <f>(DI39+DI33)/IncomeStatement!BZ209</f>
        <v>6.6907915074516673</v>
      </c>
      <c r="DJ69" s="1294">
        <f>(DJ39+DJ33)/IncomeStatement!CA209</f>
        <v>6.6870874023721836</v>
      </c>
      <c r="DK69" s="1294">
        <f>(DK39+DK33)/IncomeStatement!CB209</f>
        <v>6.4866923456242036</v>
      </c>
      <c r="DL69" s="1295">
        <f>(DL39+DL33)/IncomeStatement!CC209</f>
        <v>6.3841737003351406</v>
      </c>
      <c r="DM69" s="1292">
        <f>(DM39+DM33)/IncomeStatement!CD209</f>
        <v>6.3841737003351406</v>
      </c>
      <c r="DN69" s="1296">
        <f>(DN39+DN33)/IncomeStatement!CE209</f>
        <v>6.2444457376717377</v>
      </c>
      <c r="DO69" s="1294">
        <f>(DO39+DO33)/IncomeStatement!CF209</f>
        <v>6.1163526343279795</v>
      </c>
      <c r="DP69" s="1294">
        <f>(DP39+DP33)/IncomeStatement!CG209</f>
        <v>5.9939478314951806</v>
      </c>
      <c r="DQ69" s="1295">
        <f>(DQ39+DQ33)/IncomeStatement!CH209</f>
        <v>5.8701631812116473</v>
      </c>
      <c r="DR69" s="1292">
        <f>(DR39+DR33)/IncomeStatement!CI209</f>
        <v>5.8701631812116473</v>
      </c>
      <c r="DS69" s="1296">
        <f>(DS39+DS33)/IncomeStatement!CJ209</f>
        <v>5.7246387551016662</v>
      </c>
      <c r="DT69" s="1294">
        <f>(DT39+DT33)/IncomeStatement!CK209</f>
        <v>5.5892632398999442</v>
      </c>
      <c r="DU69" s="1294">
        <f>(DU39+DU33)/IncomeStatement!CL209</f>
        <v>5.4589197391241271</v>
      </c>
      <c r="DV69" s="1295">
        <f>(DV39+DV33)/IncomeStatement!CM209</f>
        <v>5.3277477855452462</v>
      </c>
      <c r="DW69" s="1292">
        <f>(DW39+DW33)/IncomeStatement!CN209</f>
        <v>5.3277477855452462</v>
      </c>
      <c r="DX69" s="45"/>
    </row>
    <row r="70" spans="1:137">
      <c r="A70" s="89" t="s">
        <v>105</v>
      </c>
      <c r="AK70" s="489"/>
      <c r="AL70" s="490"/>
      <c r="AM70" s="490"/>
      <c r="AN70" s="490"/>
      <c r="AO70" s="491"/>
      <c r="AP70" s="491"/>
      <c r="AQ70" s="490"/>
      <c r="AR70" s="490"/>
      <c r="AS70" s="490"/>
      <c r="AT70" s="491"/>
      <c r="AU70" s="491"/>
      <c r="AV70" s="490"/>
      <c r="AW70" s="490"/>
      <c r="AX70" s="490"/>
      <c r="AY70" s="491"/>
      <c r="AZ70" s="491"/>
      <c r="BA70" s="490"/>
      <c r="BB70" s="490"/>
      <c r="BC70" s="490"/>
      <c r="BD70" s="491"/>
      <c r="BE70" s="491"/>
      <c r="BF70" s="526"/>
      <c r="BG70" s="490"/>
      <c r="BH70" s="490"/>
      <c r="BI70" s="491"/>
      <c r="BJ70" s="491"/>
      <c r="BK70" s="526"/>
      <c r="BL70" s="490"/>
      <c r="BM70" s="490"/>
      <c r="BN70" s="492"/>
      <c r="BO70" s="492"/>
      <c r="BP70" s="526"/>
      <c r="BQ70" s="493"/>
      <c r="BR70" s="493"/>
      <c r="BS70" s="492"/>
      <c r="BT70" s="491">
        <f>(BT39+BT33-BT11-BT12-BT21)/IncomeStatement!AK209</f>
        <v>2.1726837643019254</v>
      </c>
      <c r="BU70" s="526">
        <f>(BU39+BU33-BU11-BU12-BU21)/IncomeStatement!AL209</f>
        <v>2.3112120081744929</v>
      </c>
      <c r="BV70" s="490">
        <f>(BV39+BV33-BV11-BV12-BV21)/IncomeStatement!AM209</f>
        <v>2.4195832283802274</v>
      </c>
      <c r="BW70" s="943">
        <f>(BW39+BW33-BW11-BW12-BW21)/IncomeStatement!AN209</f>
        <v>2.57323313468879</v>
      </c>
      <c r="BX70" s="491">
        <f>(BX39+BX33-BX11-BX12-BX21)/IncomeStatement!AO209</f>
        <v>2.719622499172484</v>
      </c>
      <c r="BY70" s="491">
        <f>(BY39+BY33-BY11-BY12-BY21)/IncomeStatement!AP209</f>
        <v>2.719622499172484</v>
      </c>
      <c r="BZ70" s="526">
        <f>(BZ39+BZ33-BZ11-BZ12-BZ21)/IncomeStatement!AQ209</f>
        <v>2.8109463854902623</v>
      </c>
      <c r="CA70" s="490">
        <f>(CA39+CA33-CA11-CA12-CA21)/IncomeStatement!AR209</f>
        <v>2.5368284496427305</v>
      </c>
      <c r="CB70" s="490">
        <f>(CB39+CB33-CB11-CB12-CB21)/IncomeStatement!AS209</f>
        <v>2.6106564403338592</v>
      </c>
      <c r="CC70" s="491">
        <f>(CC39+CC33-CC11-CC12-CC21)/IncomeStatement!AT209</f>
        <v>2.6634205868316276</v>
      </c>
      <c r="CD70" s="491">
        <f>(CD39+CD33-CD11-CD12-CD21)/IncomeStatement!AU209</f>
        <v>2.6634205868316276</v>
      </c>
      <c r="CE70" s="526">
        <f>(CE39+CE33-CE11-CE12-CE21)/IncomeStatement!AV209</f>
        <v>2.9495813976990255</v>
      </c>
      <c r="CF70" s="490">
        <f>(CF39+CF33-CF11-CF12-CF21)/IncomeStatement!AW209</f>
        <v>3.0325328173609538</v>
      </c>
      <c r="CG70" s="490">
        <f>(CG39+CG33-CG11-CG12-CG21)/IncomeStatement!AX209</f>
        <v>3.199342113651142</v>
      </c>
      <c r="CH70" s="491">
        <f>(CH39+CH33-CH11-CH12-CH21)/IncomeStatement!AY209</f>
        <v>3.0546502608404711</v>
      </c>
      <c r="CI70" s="1292">
        <f>(CI39+CI33-CI11-CI12-CI21)/IncomeStatement!AZ209</f>
        <v>3.0546502608404711</v>
      </c>
      <c r="CJ70" s="1293">
        <f>(CJ39+CJ33-CJ11-CJ12-CJ21)/IncomeStatement!BA209</f>
        <v>2.9612761453788341</v>
      </c>
      <c r="CK70" s="1062">
        <f>(CK39+CK33-CK11-CK12-CK21)/IncomeStatement!BB209</f>
        <v>2.7298611921796225</v>
      </c>
      <c r="CL70" s="1062">
        <f>(CL39+CL33-CL11-CL12-CL21)/IncomeStatement!BC209</f>
        <v>2.5625771988642754</v>
      </c>
      <c r="CM70" s="1292">
        <f>(CM39+CM33-CM11-CM12-CM21)/IncomeStatement!BD209</f>
        <v>2.4067741215049496</v>
      </c>
      <c r="CN70" s="1292">
        <f>(CN39+CN33-CN11-CN12-CN21)/IncomeStatement!BE209</f>
        <v>2.4067741215049496</v>
      </c>
      <c r="CO70" s="1293">
        <f>(CO39+CO33-CO11-CO12-CO21)/IncomeStatement!BF209</f>
        <v>2.527519598178662</v>
      </c>
      <c r="CP70" s="1062">
        <f>(CP39+CP33-CP11-CP12-CP21)/IncomeStatement!BG209</f>
        <v>2.5584909495738337</v>
      </c>
      <c r="CQ70" s="1062">
        <f>(CQ39+CQ33-CQ11-CQ12-CQ21)/IncomeStatement!BH209</f>
        <v>2.6384833031434156</v>
      </c>
      <c r="CR70" s="1292">
        <f>(CR39+CR33-CR11-CR12-CR21)/IncomeStatement!BI209</f>
        <v>2.7052709470202001</v>
      </c>
      <c r="CS70" s="1292">
        <f>(CS39+CS33-CS11-CS12-CS21)/IncomeStatement!BJ209</f>
        <v>2.7052709470202001</v>
      </c>
      <c r="CT70" s="1293">
        <f>(CT39+CT33-CT11-CT12-CT21)/IncomeStatement!BK209</f>
        <v>3.272214393861864</v>
      </c>
      <c r="CU70" s="1062">
        <f>(CU39+CU33-CU11-CU12-CU21)/IncomeStatement!BL209</f>
        <v>3.1060870825858125</v>
      </c>
      <c r="CV70" s="1062">
        <f>(CV39+CV33-CV11-CV12-CV21)/IncomeStatement!BM209</f>
        <v>5.6840224969122879</v>
      </c>
      <c r="CW70" s="1292">
        <f>(CW39+CW33-CW11-CW12-CW21)/IncomeStatement!BN209</f>
        <v>5.3485575514177306</v>
      </c>
      <c r="CX70" s="1292">
        <f>(CX39+CX33-CX11-CX12-CX21)/IncomeStatement!BO209</f>
        <v>5.3485575514177306</v>
      </c>
      <c r="CY70" s="1293">
        <f>(CY39+CY33-CY11-CY12-CY21)/IncomeStatement!BP209</f>
        <v>5.2410529270346453</v>
      </c>
      <c r="CZ70" s="1062">
        <f>(CZ39+CZ33-CZ11-CZ12-CZ21)/IncomeStatement!BQ209</f>
        <v>5.4110449751663356</v>
      </c>
      <c r="DA70" s="1062">
        <f>(DA39+DA33-DA11-DA12-DA21)/IncomeStatement!BR209</f>
        <v>5.3046031334022263</v>
      </c>
      <c r="DB70" s="1292">
        <f>(DB39+DB33-DB11-DB12-DB21)/IncomeStatement!BS209</f>
        <v>5.758005700768356</v>
      </c>
      <c r="DC70" s="1292">
        <f>(DC39+DC33-DC11-DC12-DC21)/IncomeStatement!BT209</f>
        <v>5.758005700768356</v>
      </c>
      <c r="DD70" s="1293">
        <f>(DD39+DD33-DD11-DD12-DD21)/IncomeStatement!BU209</f>
        <v>6.0326079860449235</v>
      </c>
      <c r="DE70" s="1062">
        <f>(DE39+DE33-DE11-DE12-DE21)/IncomeStatement!BV209</f>
        <v>6.2664973787267115</v>
      </c>
      <c r="DF70" s="1062">
        <f>(DF39+DF33-DF11-DF12-DF21)/IncomeStatement!BW209</f>
        <v>6.3699232367202585</v>
      </c>
      <c r="DG70" s="1292">
        <f>(DG39+DG33-DG11-DG12-DG21)/IncomeStatement!BX209</f>
        <v>6.2786120849253564</v>
      </c>
      <c r="DH70" s="1292">
        <f>(DH39+DH33-DH11-DH12-DH21)/IncomeStatement!BY209</f>
        <v>6.2786120849253564</v>
      </c>
      <c r="DI70" s="1296">
        <f>(DI39+DI33-DI11-DI12-DI21)/IncomeStatement!BZ209</f>
        <v>6.1275671969451668</v>
      </c>
      <c r="DJ70" s="1294">
        <f>(DJ39+DJ33-DJ11-DJ12-DJ21)/IncomeStatement!CA209</f>
        <v>6.1612048236008876</v>
      </c>
      <c r="DK70" s="1294">
        <f>(DK39+DK33-DK11-DK12-DK21)/IncomeStatement!CB209</f>
        <v>6.0072870095983575</v>
      </c>
      <c r="DL70" s="1295">
        <f>(DL39+DL33-DL11-DL12-DL21)/IncomeStatement!CC209</f>
        <v>5.9575130395946871</v>
      </c>
      <c r="DM70" s="1292">
        <f>(DM39+DM33-DM11-DM12-DM21)/IncomeStatement!CD209</f>
        <v>5.9575130395946871</v>
      </c>
      <c r="DN70" s="1296">
        <f>(DN39+DN33-DN11-DN12-DN21)/IncomeStatement!CE209</f>
        <v>5.7709800198066619</v>
      </c>
      <c r="DO70" s="1294">
        <f>(DO39+DO33-DO11-DO12-DO21)/IncomeStatement!CF209</f>
        <v>5.6628016300231181</v>
      </c>
      <c r="DP70" s="1294">
        <f>(DP39+DP33-DP11-DP12-DP21)/IncomeStatement!CG209</f>
        <v>5.5567343816184938</v>
      </c>
      <c r="DQ70" s="1295">
        <f>(DQ39+DQ33-DQ11-DQ12-DQ21)/IncomeStatement!CH209</f>
        <v>5.4664549262850768</v>
      </c>
      <c r="DR70" s="1292">
        <f>(DR39+DR33-DR11-DR12-DR21)/IncomeStatement!CI209</f>
        <v>5.4664549262850768</v>
      </c>
      <c r="DS70" s="1296">
        <f>(DS39+DS33-DS11-DS12-DS21)/IncomeStatement!CJ209</f>
        <v>5.2180359585420444</v>
      </c>
      <c r="DT70" s="1294">
        <f>(DT39+DT33-DT11-DT12-DT21)/IncomeStatement!CK209</f>
        <v>5.0455609571733691</v>
      </c>
      <c r="DU70" s="1294">
        <f>(DU39+DU33-DU11-DU12-DU21)/IncomeStatement!CL209</f>
        <v>4.8794885423371328</v>
      </c>
      <c r="DV70" s="1295">
        <f>(DV39+DV33-DV11-DV12-DV21)/IncomeStatement!CM209</f>
        <v>4.7314297478505098</v>
      </c>
      <c r="DW70" s="1292">
        <f>(DW39+DW33-DW11-DW12-DW21)/IncomeStatement!CN209</f>
        <v>4.7314297478505098</v>
      </c>
    </row>
    <row r="71" spans="1:137">
      <c r="A71" s="89" t="s">
        <v>528</v>
      </c>
      <c r="AK71" s="489"/>
      <c r="AL71" s="490"/>
      <c r="AM71" s="490"/>
      <c r="AN71" s="490"/>
      <c r="AO71" s="491"/>
      <c r="AP71" s="491"/>
      <c r="AQ71" s="490"/>
      <c r="AR71" s="490"/>
      <c r="AS71" s="490"/>
      <c r="AT71" s="491"/>
      <c r="AU71" s="491"/>
      <c r="AV71" s="490"/>
      <c r="AW71" s="490"/>
      <c r="AX71" s="490"/>
      <c r="AY71" s="491"/>
      <c r="AZ71" s="491"/>
      <c r="BA71" s="490"/>
      <c r="BB71" s="490"/>
      <c r="BC71" s="490"/>
      <c r="BD71" s="491"/>
      <c r="BE71" s="491"/>
      <c r="BF71" s="526"/>
      <c r="BG71" s="490"/>
      <c r="BH71" s="490"/>
      <c r="BI71" s="491"/>
      <c r="BJ71" s="491"/>
      <c r="BK71" s="526"/>
      <c r="BL71" s="490"/>
      <c r="BM71" s="490"/>
      <c r="BN71" s="492"/>
      <c r="BO71" s="492"/>
      <c r="BP71" s="526"/>
      <c r="BQ71" s="493"/>
      <c r="BR71" s="493"/>
      <c r="BS71" s="492"/>
      <c r="BT71" s="491">
        <v>3.7926948749339906</v>
      </c>
      <c r="BU71" s="526">
        <v>3.7179768275012557</v>
      </c>
      <c r="BV71" s="490">
        <v>3.6301323693261929</v>
      </c>
      <c r="BW71" s="490">
        <v>3.6413329777720369</v>
      </c>
      <c r="BX71" s="491">
        <v>3.6084916229729633</v>
      </c>
      <c r="BY71" s="491">
        <f>BX71</f>
        <v>3.6084916229729633</v>
      </c>
      <c r="BZ71" s="526">
        <v>3.7205271637891157</v>
      </c>
      <c r="CA71" s="490">
        <v>3.5713797363037783</v>
      </c>
      <c r="CB71" s="490">
        <v>3.6546910698359332</v>
      </c>
      <c r="CC71" s="491">
        <v>3.7118724697338896</v>
      </c>
      <c r="CD71" s="491">
        <f>CC71</f>
        <v>3.7118724697338896</v>
      </c>
      <c r="CE71" s="526">
        <v>3.9768283739138943</v>
      </c>
      <c r="CF71" s="490">
        <v>4.0466571070832726</v>
      </c>
      <c r="CG71" s="490">
        <v>4.1890890791089364</v>
      </c>
      <c r="CH71" s="491">
        <v>4.0370635797007148</v>
      </c>
      <c r="CI71" s="1292">
        <f>CH71</f>
        <v>4.0370635797007148</v>
      </c>
      <c r="CJ71" s="1062">
        <v>3.9186523551571453</v>
      </c>
      <c r="CK71" s="1062">
        <v>3.6979154785885098</v>
      </c>
      <c r="CL71" s="1062">
        <v>3.5263110796577863</v>
      </c>
      <c r="CM71" s="1292">
        <v>3.3957599074497575</v>
      </c>
      <c r="CN71" s="1292">
        <v>3.3957599074497575</v>
      </c>
      <c r="CO71" s="1293">
        <v>3.4300590378373892</v>
      </c>
      <c r="CP71" s="1062">
        <v>3.4949790326307428</v>
      </c>
      <c r="CQ71" s="1062">
        <v>3.600895689155549</v>
      </c>
      <c r="CR71" s="1292">
        <v>3.6613916624898377</v>
      </c>
      <c r="CS71" s="1292">
        <v>3.6613916624898377</v>
      </c>
      <c r="CT71" s="1293">
        <v>4.2150685919017645</v>
      </c>
      <c r="CU71" s="1062">
        <v>4.0769845462834757</v>
      </c>
      <c r="CV71" s="1062">
        <v>6.1378252139957015</v>
      </c>
      <c r="CW71" s="1292">
        <v>5.8691600842926155</v>
      </c>
      <c r="CX71" s="1292">
        <v>5.8691600842926155</v>
      </c>
      <c r="CY71" s="1293">
        <v>5.7740911296381618</v>
      </c>
      <c r="CZ71" s="1062">
        <v>5.9153523052815586</v>
      </c>
      <c r="DA71" s="1062">
        <v>5.8316848974810505</v>
      </c>
      <c r="DB71" s="1292">
        <v>6.2000614602966504</v>
      </c>
      <c r="DC71" s="1292">
        <v>6.2000614602966504</v>
      </c>
      <c r="DD71" s="1293">
        <v>6.4181383979607336</v>
      </c>
      <c r="DE71" s="1062">
        <v>6.5954315151739111</v>
      </c>
      <c r="DF71" s="1062">
        <v>6.6808368473075816</v>
      </c>
      <c r="DG71" s="1292">
        <v>6.6083493387204326</v>
      </c>
      <c r="DH71" s="1292">
        <v>6.6083493387204326</v>
      </c>
      <c r="DI71" s="1296">
        <v>6.4826978076507906</v>
      </c>
      <c r="DJ71" s="1294">
        <v>6.5085743395544018</v>
      </c>
      <c r="DK71" s="1294">
        <v>6.3758977673589285</v>
      </c>
      <c r="DL71" s="1295">
        <v>6.3300364103579101</v>
      </c>
      <c r="DM71" s="1292">
        <v>6.3300364103579101</v>
      </c>
      <c r="DN71" s="1296">
        <v>6.1704607470388302</v>
      </c>
      <c r="DO71" s="1294">
        <v>6.0741583649849007</v>
      </c>
      <c r="DP71" s="1294">
        <v>5.9794338328151024</v>
      </c>
      <c r="DQ71" s="1295">
        <v>5.897669138949893</v>
      </c>
      <c r="DR71" s="1292">
        <v>5.897669138949893</v>
      </c>
      <c r="DS71" s="1296">
        <v>5.6819891943040153</v>
      </c>
      <c r="DT71" s="1294">
        <v>5.5279765320693803</v>
      </c>
      <c r="DU71" s="1294">
        <v>5.3788153892640391</v>
      </c>
      <c r="DV71" s="1295">
        <v>5.244409439875982</v>
      </c>
      <c r="DW71" s="1292">
        <v>5.244409439875982</v>
      </c>
    </row>
    <row r="72" spans="1:137">
      <c r="A72" s="184" t="s">
        <v>436</v>
      </c>
      <c r="AC72" s="96"/>
      <c r="AK72" s="494"/>
      <c r="AL72" s="495"/>
      <c r="AM72" s="495"/>
      <c r="AN72" s="495"/>
      <c r="AO72" s="496"/>
      <c r="AP72" s="496"/>
      <c r="AQ72" s="497"/>
      <c r="AR72" s="497"/>
      <c r="AS72" s="497"/>
      <c r="AT72" s="498"/>
      <c r="AU72" s="496"/>
      <c r="AV72" s="497"/>
      <c r="AW72" s="497"/>
      <c r="AX72" s="497"/>
      <c r="AY72" s="498"/>
      <c r="AZ72" s="496"/>
      <c r="BA72" s="497"/>
      <c r="BB72" s="497"/>
      <c r="BC72" s="497"/>
      <c r="BD72" s="498"/>
      <c r="BE72" s="496"/>
      <c r="BF72" s="497"/>
      <c r="BG72" s="497"/>
      <c r="BH72" s="497"/>
      <c r="BI72" s="498"/>
      <c r="BJ72" s="496"/>
      <c r="BK72" s="497"/>
      <c r="BL72" s="497"/>
      <c r="BM72" s="497"/>
      <c r="BN72" s="499"/>
      <c r="BO72" s="496"/>
      <c r="BP72" s="497"/>
      <c r="BQ72" s="500"/>
      <c r="BR72" s="500"/>
      <c r="BS72" s="499"/>
      <c r="BT72" s="496">
        <f>IncomeStatement!AK209/IncomeStatement!AK210</f>
        <v>3.3557865328156069</v>
      </c>
      <c r="BU72" s="497">
        <f>IncomeStatement!AL209/IncomeStatement!AL210</f>
        <v>3.1026576822851952</v>
      </c>
      <c r="BV72" s="497">
        <f>IncomeStatement!AM209/IncomeStatement!AM210</f>
        <v>3.0568114816073697</v>
      </c>
      <c r="BW72" s="945">
        <f>IncomeStatement!AN209/IncomeStatement!AN210</f>
        <v>2.9015907100274072</v>
      </c>
      <c r="BX72" s="498">
        <f>IncomeStatement!AO209/IncomeStatement!AO210</f>
        <v>2.8399317928426218</v>
      </c>
      <c r="BY72" s="496">
        <f>IncomeStatement!AP209/IncomeStatement!AP210</f>
        <v>2.8399317928426218</v>
      </c>
      <c r="BZ72" s="497">
        <f>IncomeStatement!AQ209/IncomeStatement!AQ210</f>
        <v>2.8482510564217418</v>
      </c>
      <c r="CA72" s="497">
        <f>IncomeStatement!AR209/IncomeStatement!AR210</f>
        <v>2.7394051235766752</v>
      </c>
      <c r="CB72" s="497">
        <f>IncomeStatement!AS209/IncomeStatement!AS210</f>
        <v>2.8031178072490293</v>
      </c>
      <c r="CC72" s="498">
        <f>IncomeStatement!AT209/IncomeStatement!AT210</f>
        <v>2.9012882306546333</v>
      </c>
      <c r="CD72" s="496">
        <f>IncomeStatement!AU209/IncomeStatement!AU210</f>
        <v>2.9012882306546333</v>
      </c>
      <c r="CE72" s="497">
        <f>IncomeStatement!AV209/IncomeStatement!AV210</f>
        <v>2.8046110377935074</v>
      </c>
      <c r="CF72" s="497">
        <f>IncomeStatement!AW209/IncomeStatement!AW210</f>
        <v>2.8036448730676495</v>
      </c>
      <c r="CG72" s="497">
        <f>IncomeStatement!AX209/IncomeStatement!AX210</f>
        <v>2.959791694182909</v>
      </c>
      <c r="CH72" s="498">
        <f>IncomeStatement!AY209/IncomeStatement!AY210</f>
        <v>3.3339925357997631</v>
      </c>
      <c r="CI72" s="1297">
        <f>IncomeStatement!AZ209/IncomeStatement!AZ210</f>
        <v>3.3339925357997631</v>
      </c>
      <c r="CJ72" s="1298">
        <f>IncomeStatement!BA209/IncomeStatement!BA210</f>
        <v>3.7966890390110892</v>
      </c>
      <c r="CK72" s="1298">
        <f>IncomeStatement!BB209/IncomeStatement!BB210</f>
        <v>4.3718087368612908</v>
      </c>
      <c r="CL72" s="1298">
        <f>IncomeStatement!BC209/IncomeStatement!BC210</f>
        <v>4.8990032613393746</v>
      </c>
      <c r="CM72" s="1299">
        <f>IncomeStatement!BD209/IncomeStatement!BD210</f>
        <v>5.3202631426418563</v>
      </c>
      <c r="CN72" s="1297">
        <f>IncomeStatement!BE209/IncomeStatement!BE210</f>
        <v>5.3202631426418563</v>
      </c>
      <c r="CO72" s="1298">
        <f>IncomeStatement!BF209/IncomeStatement!BF210</f>
        <v>6.9797844107335898</v>
      </c>
      <c r="CP72" s="1298">
        <f>IncomeStatement!BG209/IncomeStatement!BG210</f>
        <v>7.663273438632082</v>
      </c>
      <c r="CQ72" s="1298">
        <f>IncomeStatement!BH209/IncomeStatement!BH210</f>
        <v>7.9266176693438393</v>
      </c>
      <c r="CR72" s="1299">
        <f>IncomeStatement!BI209/IncomeStatement!BI210</f>
        <v>8.3634656652360544</v>
      </c>
      <c r="CS72" s="1297">
        <f>IncomeStatement!BJ209/IncomeStatement!BJ210</f>
        <v>8.3634656652360544</v>
      </c>
      <c r="CT72" s="1298">
        <f>IncomeStatement!BK209/IncomeStatement!BK210</f>
        <v>7.337036252671302</v>
      </c>
      <c r="CU72" s="1298">
        <f>IncomeStatement!BL209/IncomeStatement!BL210</f>
        <v>6.8963257873312864</v>
      </c>
      <c r="CV72" s="1298">
        <f>IncomeStatement!BM209/IncomeStatement!BM210</f>
        <v>5.5391965623498161</v>
      </c>
      <c r="CW72" s="1299">
        <f>IncomeStatement!BN209/IncomeStatement!BN210</f>
        <v>4.5595059662820825</v>
      </c>
      <c r="CX72" s="1297">
        <f>IncomeStatement!BO209/IncomeStatement!BO210</f>
        <v>4.5595059662820825</v>
      </c>
      <c r="CY72" s="1298">
        <f>IncomeStatement!BP209/IncomeStatement!BP210</f>
        <v>4.0392672995967791</v>
      </c>
      <c r="CZ72" s="1298">
        <f>IncomeStatement!BQ209/IncomeStatement!BQ210</f>
        <v>3.6138560354374305</v>
      </c>
      <c r="DA72" s="1298">
        <f>IncomeStatement!BR209/IncomeStatement!BR210</f>
        <v>3.5926909948270391</v>
      </c>
      <c r="DB72" s="1299">
        <f>IncomeStatement!BS209/IncomeStatement!BS210</f>
        <v>3.4135032490723147</v>
      </c>
      <c r="DC72" s="1297">
        <f>IncomeStatement!BT209/IncomeStatement!BT210</f>
        <v>3.4135032490723147</v>
      </c>
      <c r="DD72" s="1298">
        <f>IncomeStatement!BU209/IncomeStatement!BU210</f>
        <v>3.3107082339108467</v>
      </c>
      <c r="DE72" s="1298">
        <f>IncomeStatement!BV209/IncomeStatement!BV210</f>
        <v>3.4198258020006884</v>
      </c>
      <c r="DF72" s="1298">
        <f>IncomeStatement!BW209/IncomeStatement!BW210</f>
        <v>3.3555193420132072</v>
      </c>
      <c r="DG72" s="1299">
        <f>IncomeStatement!BX209/IncomeStatement!BX210</f>
        <v>3.4405847923495876</v>
      </c>
      <c r="DH72" s="1297">
        <f>IncomeStatement!BY209/IncomeStatement!BY210</f>
        <v>3.4405847923495876</v>
      </c>
      <c r="DI72" s="1300">
        <f>IncomeStatement!BZ209/IncomeStatement!BZ210</f>
        <v>3.4583087407572379</v>
      </c>
      <c r="DJ72" s="1300">
        <f>IncomeStatement!CA209/IncomeStatement!CA210</f>
        <v>3.4308517928358055</v>
      </c>
      <c r="DK72" s="1300">
        <f>IncomeStatement!CB209/IncomeStatement!CB210</f>
        <v>3.5375160938472923</v>
      </c>
      <c r="DL72" s="1301">
        <f>IncomeStatement!CC209/IncomeStatement!CC210</f>
        <v>3.6008584393497385</v>
      </c>
      <c r="DM72" s="1297">
        <f>IncomeStatement!CD209/IncomeStatement!CD210</f>
        <v>3.6008584393497385</v>
      </c>
      <c r="DN72" s="1300">
        <f>IncomeStatement!CE209/IncomeStatement!CE210</f>
        <v>3.6814325422736047</v>
      </c>
      <c r="DO72" s="1300">
        <f>IncomeStatement!CF209/IncomeStatement!CF210</f>
        <v>3.7585317789075199</v>
      </c>
      <c r="DP72" s="1300">
        <f>IncomeStatement!CG209/IncomeStatement!CG210</f>
        <v>3.8352862576369793</v>
      </c>
      <c r="DQ72" s="1301">
        <f>IncomeStatement!CH209/IncomeStatement!CH210</f>
        <v>3.9161612782255619</v>
      </c>
      <c r="DR72" s="1297">
        <f>IncomeStatement!CI209/IncomeStatement!CI210</f>
        <v>3.9161612782255619</v>
      </c>
      <c r="DS72" s="1300">
        <f>IncomeStatement!CJ209/IncomeStatement!CJ210</f>
        <v>4.0157129088083696</v>
      </c>
      <c r="DT72" s="1300">
        <f>IncomeStatement!CK209/IncomeStatement!CK210</f>
        <v>4.112976032872977</v>
      </c>
      <c r="DU72" s="1300">
        <f>IncomeStatement!CL209/IncomeStatement!CL210</f>
        <v>4.2111822202417839</v>
      </c>
      <c r="DV72" s="1301">
        <f>IncomeStatement!CM209/IncomeStatement!CM210</f>
        <v>4.314863742141986</v>
      </c>
      <c r="DW72" s="1297">
        <f>IncomeStatement!CN209/IncomeStatement!CN210</f>
        <v>4.314863742141986</v>
      </c>
    </row>
    <row r="73" spans="1:137">
      <c r="A73" s="232" t="s">
        <v>322</v>
      </c>
      <c r="AC73" s="96"/>
      <c r="AM73" s="68"/>
      <c r="BE73" s="45"/>
      <c r="BJ73" s="45"/>
      <c r="BN73" s="211"/>
      <c r="BO73" s="45"/>
      <c r="BP73" s="211"/>
      <c r="BQ73" s="211"/>
      <c r="BR73" s="211"/>
      <c r="BS73" s="211"/>
      <c r="BT73" s="45"/>
      <c r="BU73" s="211"/>
      <c r="BY73" s="45"/>
      <c r="CC73" s="211"/>
      <c r="CD73" s="45"/>
      <c r="CE73" s="211"/>
      <c r="CH73" s="211"/>
      <c r="CI73" s="45"/>
      <c r="CJ73" s="211"/>
      <c r="CK73" s="211"/>
      <c r="CL73" s="211"/>
      <c r="CN73" s="45"/>
      <c r="CQ73" s="211"/>
      <c r="CR73" s="211"/>
      <c r="CS73" s="45"/>
      <c r="CW73" s="211"/>
      <c r="CX73" s="45"/>
      <c r="DB73" s="211"/>
      <c r="DC73" s="45"/>
      <c r="DH73" s="45"/>
      <c r="DI73" s="211"/>
      <c r="DJ73" s="211"/>
      <c r="DK73" s="211"/>
      <c r="DL73" s="211"/>
      <c r="DM73" s="45"/>
      <c r="DN73" s="211"/>
      <c r="DO73" s="211"/>
      <c r="DP73" s="211"/>
      <c r="DQ73" s="211"/>
      <c r="DR73" s="45"/>
      <c r="DS73" s="211"/>
      <c r="DT73" s="211"/>
      <c r="DU73" s="211"/>
      <c r="DV73" s="211"/>
      <c r="DW73" s="45"/>
    </row>
    <row r="74" spans="1:137">
      <c r="AC74" s="41"/>
      <c r="AD74" s="41"/>
      <c r="AE74" s="41"/>
      <c r="AF74" s="41"/>
      <c r="AG74" s="41"/>
      <c r="AH74" s="41"/>
      <c r="AI74" s="41"/>
      <c r="AJ74" s="41"/>
      <c r="AK74" s="41"/>
      <c r="AL74" s="41"/>
      <c r="AM74" s="284"/>
      <c r="AN74" s="41"/>
      <c r="AO74" s="41"/>
      <c r="AP74" s="41"/>
      <c r="AQ74" s="41"/>
      <c r="AR74" s="41"/>
      <c r="AS74" s="41"/>
      <c r="AT74" s="41"/>
      <c r="AU74" s="41"/>
      <c r="AV74" s="41"/>
      <c r="AW74" s="41"/>
      <c r="AX74" s="41"/>
      <c r="AY74" s="41"/>
      <c r="AZ74" s="41"/>
      <c r="CJ74" s="211"/>
      <c r="CK74" s="211"/>
      <c r="CL74" s="211"/>
      <c r="CQ74" s="211"/>
      <c r="CR74" s="211"/>
      <c r="CW74" s="211"/>
      <c r="DB74" s="211"/>
      <c r="DI74" s="211"/>
      <c r="DJ74" s="211"/>
      <c r="DK74" s="211"/>
      <c r="DL74" s="211"/>
      <c r="DN74" s="211"/>
      <c r="DO74" s="211"/>
      <c r="DP74" s="211"/>
      <c r="DQ74" s="211"/>
      <c r="DS74" s="211"/>
      <c r="DT74" s="211"/>
      <c r="DU74" s="211"/>
      <c r="DV74" s="211"/>
    </row>
    <row r="75" spans="1:137" s="45" customFormat="1">
      <c r="A75" s="27" t="s">
        <v>181</v>
      </c>
      <c r="B75" s="28"/>
      <c r="C75" s="29"/>
      <c r="D75" s="11"/>
      <c r="E75" s="11"/>
      <c r="F75" s="10"/>
      <c r="G75" s="11"/>
      <c r="H75" s="11"/>
      <c r="I75" s="11"/>
      <c r="J75" s="11"/>
      <c r="K75" s="28"/>
      <c r="L75" s="60"/>
      <c r="M75" s="1"/>
      <c r="N75" s="1"/>
      <c r="O75" s="1"/>
      <c r="P75" s="1"/>
      <c r="Q75" s="61"/>
      <c r="R75" s="1"/>
      <c r="S75" s="1"/>
      <c r="T75" s="1"/>
      <c r="U75" s="1"/>
      <c r="V75" s="31"/>
      <c r="W75" s="62"/>
      <c r="X75" s="1"/>
      <c r="Y75" s="1"/>
      <c r="Z75" s="1"/>
      <c r="AA75" s="31"/>
      <c r="AB75" s="62"/>
      <c r="AC75" s="1"/>
      <c r="AD75" s="1"/>
      <c r="AE75" s="40"/>
      <c r="AF75" s="31"/>
      <c r="AG75" s="62"/>
      <c r="AH75" s="1"/>
      <c r="AI75" s="1"/>
      <c r="AJ75" s="1"/>
      <c r="AK75" s="31"/>
      <c r="AL75" s="1"/>
      <c r="AM75" s="63"/>
      <c r="AN75" s="1"/>
      <c r="AO75" s="1"/>
      <c r="AP75" s="31"/>
      <c r="AQ75" s="1"/>
      <c r="AR75" s="1"/>
      <c r="AS75" s="1"/>
      <c r="AT75" s="1"/>
      <c r="AU75" s="31"/>
      <c r="AV75" s="1"/>
      <c r="AW75" s="1"/>
      <c r="AX75" s="1"/>
      <c r="AY75" s="1"/>
      <c r="AZ75" s="31"/>
      <c r="BA75" s="1"/>
      <c r="BB75" s="1"/>
      <c r="BC75" s="1"/>
      <c r="BD75" s="1"/>
      <c r="BE75" s="31" t="str">
        <f t="shared" ref="BE75:BX75" si="121">BE7</f>
        <v>2006A</v>
      </c>
      <c r="BF75" s="1" t="str">
        <f t="shared" si="121"/>
        <v>1Q07A</v>
      </c>
      <c r="BG75" s="1" t="str">
        <f t="shared" si="121"/>
        <v>2Q07A</v>
      </c>
      <c r="BH75" s="1" t="str">
        <f t="shared" si="121"/>
        <v>3Q07A</v>
      </c>
      <c r="BI75" s="1" t="str">
        <f t="shared" si="121"/>
        <v>4Q07A</v>
      </c>
      <c r="BJ75" s="31" t="str">
        <f t="shared" si="121"/>
        <v>2007A</v>
      </c>
      <c r="BK75" s="1" t="str">
        <f t="shared" si="121"/>
        <v>1Q08A</v>
      </c>
      <c r="BL75" s="1" t="str">
        <f t="shared" si="121"/>
        <v>2Q08A</v>
      </c>
      <c r="BM75" s="1" t="str">
        <f t="shared" si="121"/>
        <v>3Q08A</v>
      </c>
      <c r="BN75" s="1" t="str">
        <f t="shared" si="121"/>
        <v>4Q08A</v>
      </c>
      <c r="BO75" s="31" t="str">
        <f t="shared" si="121"/>
        <v>2008A</v>
      </c>
      <c r="BP75" s="1" t="str">
        <f t="shared" si="121"/>
        <v>1Q09A</v>
      </c>
      <c r="BQ75" s="1" t="str">
        <f t="shared" si="121"/>
        <v>2Q09A</v>
      </c>
      <c r="BR75" s="1" t="str">
        <f t="shared" si="121"/>
        <v>3Q09A</v>
      </c>
      <c r="BS75" s="1" t="str">
        <f t="shared" si="121"/>
        <v>4Q09A</v>
      </c>
      <c r="BT75" s="31" t="str">
        <f t="shared" si="121"/>
        <v>2009A</v>
      </c>
      <c r="BU75" s="1" t="str">
        <f t="shared" si="121"/>
        <v>1Q10A</v>
      </c>
      <c r="BV75" s="1" t="str">
        <f t="shared" si="121"/>
        <v>2Q10A</v>
      </c>
      <c r="BW75" s="946" t="str">
        <f t="shared" si="121"/>
        <v>3Q10A</v>
      </c>
      <c r="BX75" s="1" t="str">
        <f t="shared" si="121"/>
        <v>4Q10A</v>
      </c>
      <c r="BY75" s="31" t="str">
        <f t="shared" ref="BY75:CM75" si="122">BY7</f>
        <v>2010A</v>
      </c>
      <c r="BZ75" s="1" t="str">
        <f t="shared" si="122"/>
        <v>1Q11A</v>
      </c>
      <c r="CA75" s="1" t="str">
        <f t="shared" si="122"/>
        <v>2Q11A</v>
      </c>
      <c r="CB75" s="1" t="str">
        <f t="shared" si="122"/>
        <v>3Q11A</v>
      </c>
      <c r="CC75" s="1" t="str">
        <f t="shared" si="122"/>
        <v>4Q11A</v>
      </c>
      <c r="CD75" s="31" t="str">
        <f t="shared" si="122"/>
        <v>2011A</v>
      </c>
      <c r="CE75" s="1" t="str">
        <f t="shared" si="122"/>
        <v>1Q12A</v>
      </c>
      <c r="CF75" s="1" t="str">
        <f t="shared" si="122"/>
        <v>2Q12A</v>
      </c>
      <c r="CG75" s="1" t="str">
        <f t="shared" si="122"/>
        <v>3Q12A</v>
      </c>
      <c r="CH75" s="1" t="str">
        <f t="shared" si="122"/>
        <v>4Q12A</v>
      </c>
      <c r="CI75" s="31" t="str">
        <f t="shared" si="122"/>
        <v>2012A</v>
      </c>
      <c r="CJ75" s="1" t="str">
        <f t="shared" si="122"/>
        <v>1Q13A</v>
      </c>
      <c r="CK75" s="591" t="str">
        <f t="shared" si="122"/>
        <v>2Q13A</v>
      </c>
      <c r="CL75" s="1" t="str">
        <f t="shared" si="122"/>
        <v>3Q13A</v>
      </c>
      <c r="CM75" s="1" t="str">
        <f t="shared" si="122"/>
        <v>4Q13A</v>
      </c>
      <c r="CN75" s="31" t="str">
        <f t="shared" ref="CN75:DC75" si="123">CN7</f>
        <v>2013A</v>
      </c>
      <c r="CO75" s="1" t="str">
        <f t="shared" si="123"/>
        <v>1Q14A</v>
      </c>
      <c r="CP75" s="1" t="str">
        <f t="shared" si="123"/>
        <v>2Q14A</v>
      </c>
      <c r="CQ75" s="1" t="str">
        <f t="shared" si="123"/>
        <v>3Q14A</v>
      </c>
      <c r="CR75" s="1" t="str">
        <f t="shared" si="123"/>
        <v>4Q14A</v>
      </c>
      <c r="CS75" s="31" t="str">
        <f t="shared" si="123"/>
        <v>2014A</v>
      </c>
      <c r="CT75" s="1" t="str">
        <f t="shared" si="123"/>
        <v>1Q15A</v>
      </c>
      <c r="CU75" s="1" t="str">
        <f t="shared" si="123"/>
        <v>2Q15A</v>
      </c>
      <c r="CV75" s="1" t="str">
        <f t="shared" si="123"/>
        <v>3Q15A</v>
      </c>
      <c r="CW75" s="1" t="str">
        <f t="shared" si="123"/>
        <v>4Q15A</v>
      </c>
      <c r="CX75" s="31" t="str">
        <f t="shared" si="123"/>
        <v>2015A</v>
      </c>
      <c r="CY75" s="1" t="str">
        <f t="shared" si="123"/>
        <v>1Q16A</v>
      </c>
      <c r="CZ75" s="1" t="str">
        <f t="shared" si="123"/>
        <v>2Q16A</v>
      </c>
      <c r="DA75" s="1" t="str">
        <f t="shared" si="123"/>
        <v>3Q16A</v>
      </c>
      <c r="DB75" s="1271" t="str">
        <f t="shared" si="123"/>
        <v>4Q16A</v>
      </c>
      <c r="DC75" s="31" t="str">
        <f t="shared" si="123"/>
        <v>2016A</v>
      </c>
      <c r="DD75" s="1274" t="str">
        <f t="shared" ref="DD75:DW75" si="124">DD7</f>
        <v>1Q17A</v>
      </c>
      <c r="DE75" s="1291" t="str">
        <f t="shared" si="124"/>
        <v>2Q17A</v>
      </c>
      <c r="DF75" s="1291" t="str">
        <f t="shared" si="124"/>
        <v>3Q17A</v>
      </c>
      <c r="DG75" s="1328" t="str">
        <f t="shared" si="124"/>
        <v>4Q17A</v>
      </c>
      <c r="DH75" s="31" t="str">
        <f t="shared" si="124"/>
        <v>2017A</v>
      </c>
      <c r="DI75" s="64" t="str">
        <f t="shared" si="124"/>
        <v>1Q18E</v>
      </c>
      <c r="DJ75" s="64" t="str">
        <f t="shared" si="124"/>
        <v>2Q18E</v>
      </c>
      <c r="DK75" s="64" t="str">
        <f t="shared" si="124"/>
        <v>3Q18E</v>
      </c>
      <c r="DL75" s="64" t="str">
        <f t="shared" si="124"/>
        <v>4Q18E</v>
      </c>
      <c r="DM75" s="31" t="str">
        <f t="shared" si="124"/>
        <v>2018E</v>
      </c>
      <c r="DN75" s="64" t="str">
        <f t="shared" si="124"/>
        <v>1Q19E</v>
      </c>
      <c r="DO75" s="64" t="str">
        <f t="shared" si="124"/>
        <v>2Q19E</v>
      </c>
      <c r="DP75" s="64" t="str">
        <f t="shared" si="124"/>
        <v>3Q19E</v>
      </c>
      <c r="DQ75" s="64" t="str">
        <f t="shared" si="124"/>
        <v>4Q19E</v>
      </c>
      <c r="DR75" s="31" t="str">
        <f t="shared" si="124"/>
        <v>2019E</v>
      </c>
      <c r="DS75" s="64" t="str">
        <f t="shared" si="124"/>
        <v>1Q20E</v>
      </c>
      <c r="DT75" s="64" t="str">
        <f t="shared" si="124"/>
        <v>2Q20E</v>
      </c>
      <c r="DU75" s="64" t="str">
        <f t="shared" si="124"/>
        <v>3Q20E</v>
      </c>
      <c r="DV75" s="64" t="str">
        <f t="shared" si="124"/>
        <v>4Q20E</v>
      </c>
      <c r="DW75" s="31" t="str">
        <f t="shared" si="124"/>
        <v>2020E</v>
      </c>
      <c r="EB75"/>
      <c r="EC75"/>
      <c r="ED75"/>
      <c r="EE75"/>
      <c r="EF75"/>
      <c r="EG75"/>
    </row>
    <row r="76" spans="1:137" s="286" customFormat="1">
      <c r="A76" s="579" t="s">
        <v>37</v>
      </c>
      <c r="B76" s="50"/>
      <c r="C76" s="50"/>
      <c r="D76" s="50"/>
      <c r="E76" s="50"/>
      <c r="F76" s="50"/>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285"/>
      <c r="AN76" s="50"/>
      <c r="AO76" s="50"/>
      <c r="AP76" s="50"/>
      <c r="AQ76" s="50"/>
      <c r="AR76" s="50"/>
      <c r="AS76" s="50"/>
      <c r="AT76" s="50"/>
      <c r="AU76" s="50"/>
      <c r="AV76" s="50"/>
      <c r="AW76" s="50"/>
      <c r="AX76" s="50"/>
      <c r="AY76" s="50"/>
      <c r="AZ76" s="50"/>
      <c r="BA76" s="218"/>
      <c r="BB76" s="218"/>
      <c r="BC76" s="218"/>
      <c r="BD76" s="218"/>
      <c r="BE76" s="505"/>
      <c r="BF76" s="218"/>
      <c r="BG76" s="218"/>
      <c r="BH76" s="218"/>
      <c r="BI76" s="218"/>
      <c r="BJ76" s="643">
        <f>IncomeStatement!AA17</f>
        <v>3648.0269999999996</v>
      </c>
      <c r="BK76" s="88">
        <f>IncomeStatement!AB17</f>
        <v>885.78</v>
      </c>
      <c r="BL76" s="88">
        <f>IncomeStatement!AC17</f>
        <v>945.24799999999993</v>
      </c>
      <c r="BM76" s="88">
        <f>IncomeStatement!AD17</f>
        <v>935.09099999999989</v>
      </c>
      <c r="BN76" s="88">
        <f>IncomeStatement!AE17</f>
        <v>896.52199999999993</v>
      </c>
      <c r="BO76" s="643">
        <f>IncomeStatement!AF17</f>
        <v>3663.0550000000003</v>
      </c>
      <c r="BP76" s="88">
        <f>IncomeStatement!AG17</f>
        <v>863.98400000000004</v>
      </c>
      <c r="BQ76" s="88">
        <f>IncomeStatement!AH17</f>
        <v>912.68700000000001</v>
      </c>
      <c r="BR76" s="88">
        <f>IncomeStatement!AI17</f>
        <v>903.221</v>
      </c>
      <c r="BS76" s="88">
        <f>IncomeStatement!AJ17</f>
        <v>900.94299999999998</v>
      </c>
      <c r="BT76" s="121">
        <f>IncomeStatement!AK17</f>
        <v>3580.835</v>
      </c>
      <c r="BU76" s="88">
        <f>IncomeStatement!AL17</f>
        <v>837.447</v>
      </c>
      <c r="BV76" s="88">
        <f>IncomeStatement!AM17</f>
        <v>877.02099999999996</v>
      </c>
      <c r="BW76" s="88">
        <f>IncomeStatement!AN17</f>
        <v>861.21400000000006</v>
      </c>
      <c r="BX76" s="88">
        <f>IncomeStatement!AO17</f>
        <v>840.73199999999997</v>
      </c>
      <c r="BY76" s="643">
        <f>IncomeStatement!AP17</f>
        <v>3416.4140000000007</v>
      </c>
      <c r="BZ76" s="88">
        <f>IncomeStatement!AQ17</f>
        <v>582.46500000000003</v>
      </c>
      <c r="CA76" s="88">
        <f>IncomeStatement!AR17</f>
        <v>622.50000000000011</v>
      </c>
      <c r="CB76" s="88">
        <f>IncomeStatement!AS17</f>
        <v>611.41599999999994</v>
      </c>
      <c r="CC76" s="88">
        <f>IncomeStatement!AT17</f>
        <v>615.01800000000003</v>
      </c>
      <c r="CD76" s="643">
        <f>IncomeStatement!AU17</f>
        <v>2431.3919999999998</v>
      </c>
      <c r="CE76" s="88">
        <f>IncomeStatement!AV17</f>
        <v>593.15800000000002</v>
      </c>
      <c r="CF76" s="88">
        <f>IncomeStatement!AW17</f>
        <v>645.86799999999994</v>
      </c>
      <c r="CG76" s="88">
        <f>IncomeStatement!AX17</f>
        <v>636.27299999999991</v>
      </c>
      <c r="CH76" s="88">
        <f>IncomeStatement!AY17</f>
        <v>629.87900000000002</v>
      </c>
      <c r="CI76" s="643">
        <f>IncomeStatement!AZ17</f>
        <v>2505.1779999999999</v>
      </c>
      <c r="CJ76" s="88">
        <f>IncomeStatement!BA17</f>
        <v>603.70900000000006</v>
      </c>
      <c r="CK76" s="88">
        <f>IncomeStatement!BB17</f>
        <v>650.54599999999994</v>
      </c>
      <c r="CL76" s="88">
        <f>IncomeStatement!BC17</f>
        <v>640.779</v>
      </c>
      <c r="CM76" s="88">
        <f>IncomeStatement!BD17</f>
        <v>592.40499999999997</v>
      </c>
      <c r="CN76" s="643">
        <f>IncomeStatement!BE17</f>
        <v>2487.3810000000003</v>
      </c>
      <c r="CO76" s="88">
        <f>IncomeStatement!BF17</f>
        <v>523.19600000000003</v>
      </c>
      <c r="CP76" s="88">
        <f>IncomeStatement!BG17</f>
        <v>523.42700000000002</v>
      </c>
      <c r="CQ76" s="88">
        <f>IncomeStatement!BH17</f>
        <v>512.48900000000003</v>
      </c>
      <c r="CR76" s="88">
        <f>IncomeStatement!BI17</f>
        <v>501.95100000000002</v>
      </c>
      <c r="CS76" s="643">
        <f>IncomeStatement!BJ17</f>
        <v>2061.116</v>
      </c>
      <c r="CT76" s="88">
        <f>IncomeStatement!BK17</f>
        <v>451.76900000000001</v>
      </c>
      <c r="CU76" s="88">
        <f>IncomeStatement!BL17</f>
        <v>489.53399999999999</v>
      </c>
      <c r="CV76" s="88">
        <f>IncomeStatement!BM17</f>
        <v>464.62900000000002</v>
      </c>
      <c r="CW76" s="88">
        <f>IncomeStatement!BN17</f>
        <v>464.36500000000001</v>
      </c>
      <c r="CX76" s="643">
        <f>IncomeStatement!BO17</f>
        <v>1870.297</v>
      </c>
      <c r="CY76" s="88">
        <f>IncomeStatement!BP17</f>
        <v>378.78700000000003</v>
      </c>
      <c r="CZ76" s="88">
        <f>IncomeStatement!BQ17</f>
        <v>382.71800000000002</v>
      </c>
      <c r="DA76" s="88">
        <f>IncomeStatement!BR17</f>
        <v>364.01199999999994</v>
      </c>
      <c r="DB76" s="88">
        <f>IncomeStatement!BS17</f>
        <v>309.90100000000001</v>
      </c>
      <c r="DC76" s="643">
        <f>IncomeStatement!BT17</f>
        <v>1435.4179999999999</v>
      </c>
      <c r="DD76" s="88">
        <f>IncomeStatement!BU17</f>
        <v>285.81899999999996</v>
      </c>
      <c r="DE76" s="88">
        <f>IncomeStatement!BV17</f>
        <v>320.34200000000004</v>
      </c>
      <c r="DF76" s="88">
        <f>IncomeStatement!BW17</f>
        <v>308</v>
      </c>
      <c r="DG76" s="88">
        <f>IncomeStatement!BX17</f>
        <v>309.24700000000001</v>
      </c>
      <c r="DH76" s="643">
        <f>IncomeStatement!BY17</f>
        <v>1223.405</v>
      </c>
      <c r="DI76" s="93">
        <f>IncomeStatement!BZ17</f>
        <v>299.13537083747906</v>
      </c>
      <c r="DJ76" s="93">
        <f>IncomeStatement!CA17</f>
        <v>328.11009566716768</v>
      </c>
      <c r="DK76" s="93">
        <f>IncomeStatement!CB17</f>
        <v>326.5805507858359</v>
      </c>
      <c r="DL76" s="93">
        <f>IncomeStatement!CC17</f>
        <v>320.34990037453292</v>
      </c>
      <c r="DM76" s="643">
        <f>IncomeStatement!CD17</f>
        <v>1274.1759176650157</v>
      </c>
      <c r="DN76" s="93">
        <f>IncomeStatement!CE17</f>
        <v>316.71486109974808</v>
      </c>
      <c r="DO76" s="93">
        <f>IncomeStatement!CF17</f>
        <v>344.5927625975973</v>
      </c>
      <c r="DP76" s="93">
        <f>IncomeStatement!CG17</f>
        <v>343.89211643461567</v>
      </c>
      <c r="DQ76" s="93">
        <f>IncomeStatement!CH17</f>
        <v>339.65552288170301</v>
      </c>
      <c r="DR76" s="643">
        <f>IncomeStatement!CI17</f>
        <v>1344.8552630136642</v>
      </c>
      <c r="DS76" s="93">
        <f>IncomeStatement!CJ17</f>
        <v>338.32026373573677</v>
      </c>
      <c r="DT76" s="93">
        <f>IncomeStatement!CK17</f>
        <v>365.16674923754692</v>
      </c>
      <c r="DU76" s="93">
        <f>IncomeStatement!CL17</f>
        <v>365.61830797313365</v>
      </c>
      <c r="DV76" s="93">
        <f>IncomeStatement!CM17</f>
        <v>363.7247945920937</v>
      </c>
      <c r="DW76" s="643">
        <f>IncomeStatement!CN17</f>
        <v>1432.8301155385111</v>
      </c>
      <c r="EB76"/>
      <c r="EC76"/>
      <c r="ED76"/>
      <c r="EE76"/>
      <c r="EF76"/>
      <c r="EG76"/>
    </row>
    <row r="77" spans="1:137" s="286" customFormat="1">
      <c r="A77" s="579" t="s">
        <v>38</v>
      </c>
      <c r="B77" s="50"/>
      <c r="C77" s="50"/>
      <c r="D77" s="50"/>
      <c r="E77" s="50"/>
      <c r="F77" s="50"/>
      <c r="G77" s="50"/>
      <c r="H77" s="50"/>
      <c r="I77" s="5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285"/>
      <c r="AN77" s="50"/>
      <c r="AO77" s="50"/>
      <c r="AP77" s="50"/>
      <c r="AQ77" s="50"/>
      <c r="AR77" s="50"/>
      <c r="AS77" s="50"/>
      <c r="AT77" s="50"/>
      <c r="AU77" s="50"/>
      <c r="AV77" s="50"/>
      <c r="AW77" s="50"/>
      <c r="AX77" s="50"/>
      <c r="AY77" s="50"/>
      <c r="AZ77" s="50"/>
      <c r="BA77" s="218"/>
      <c r="BB77" s="218"/>
      <c r="BC77" s="218"/>
      <c r="BD77" s="218"/>
      <c r="BE77" s="505"/>
      <c r="BF77" s="218"/>
      <c r="BG77" s="218"/>
      <c r="BH77" s="218"/>
      <c r="BI77" s="218"/>
      <c r="BJ77" s="121">
        <f>IncomeStatement!AA27</f>
        <v>2584.0639999999999</v>
      </c>
      <c r="BK77" s="88">
        <f>IncomeStatement!AB27</f>
        <v>693.80600000000004</v>
      </c>
      <c r="BL77" s="88">
        <f>IncomeStatement!AC27</f>
        <v>732.98299999999995</v>
      </c>
      <c r="BM77" s="88">
        <f>IncomeStatement!AD27</f>
        <v>718.51800000000003</v>
      </c>
      <c r="BN77" s="88">
        <f>IncomeStatement!AE27</f>
        <v>697.21699999999998</v>
      </c>
      <c r="BO77" s="121">
        <f>IncomeStatement!AF27</f>
        <v>2842.5239999999999</v>
      </c>
      <c r="BP77" s="88">
        <f>IncomeStatement!AG27</f>
        <v>675.94200000000001</v>
      </c>
      <c r="BQ77" s="88">
        <f>IncomeStatement!AH27</f>
        <v>686.46199999999999</v>
      </c>
      <c r="BR77" s="88">
        <f>IncomeStatement!AI27</f>
        <v>684.07100000000003</v>
      </c>
      <c r="BS77" s="88">
        <f>IncomeStatement!AJ27</f>
        <v>682.00900000000001</v>
      </c>
      <c r="BT77" s="121">
        <f>IncomeStatement!AK27</f>
        <v>2728.4839999999999</v>
      </c>
      <c r="BU77" s="88">
        <f>IncomeStatement!AL27</f>
        <v>641.42200000000003</v>
      </c>
      <c r="BV77" s="88">
        <f>IncomeStatement!AM27</f>
        <v>659.08399999999995</v>
      </c>
      <c r="BW77" s="88">
        <f>IncomeStatement!AN27</f>
        <v>667.06299999999999</v>
      </c>
      <c r="BX77" s="88">
        <f>IncomeStatement!AO27</f>
        <v>643.19200000000001</v>
      </c>
      <c r="BY77" s="121">
        <f>IncomeStatement!AP27</f>
        <v>2610.761</v>
      </c>
      <c r="BZ77" s="88">
        <f>IncomeStatement!AQ27</f>
        <v>438.9</v>
      </c>
      <c r="CA77" s="88">
        <f>IncomeStatement!AR27</f>
        <v>464.8</v>
      </c>
      <c r="CB77" s="88">
        <f>IncomeStatement!AS27</f>
        <v>458</v>
      </c>
      <c r="CC77" s="88">
        <f>IncomeStatement!AT27</f>
        <v>454.44</v>
      </c>
      <c r="CD77" s="121">
        <f>IncomeStatement!AU27</f>
        <v>1816.0999999999997</v>
      </c>
      <c r="CE77" s="88">
        <f>IncomeStatement!AV27</f>
        <v>455.49999999999994</v>
      </c>
      <c r="CF77" s="88">
        <f>IncomeStatement!AW27</f>
        <v>483.08000000000004</v>
      </c>
      <c r="CG77" s="88">
        <f>IncomeStatement!AX27</f>
        <v>478.40000000000003</v>
      </c>
      <c r="CH77" s="88">
        <f>IncomeStatement!AY27</f>
        <v>464.27599999999995</v>
      </c>
      <c r="CI77" s="121">
        <f>IncomeStatement!AZ27</f>
        <v>1881.2559999999999</v>
      </c>
      <c r="CJ77" s="88">
        <f>IncomeStatement!BA27</f>
        <v>460.82799999999997</v>
      </c>
      <c r="CK77" s="88">
        <f>IncomeStatement!BB27</f>
        <v>473.298</v>
      </c>
      <c r="CL77" s="88">
        <f>IncomeStatement!BC27</f>
        <v>469.17700000000002</v>
      </c>
      <c r="CM77" s="88">
        <f>IncomeStatement!BD27</f>
        <v>422.93700000000001</v>
      </c>
      <c r="CN77" s="121">
        <f>IncomeStatement!BE27</f>
        <v>1826.1999999999998</v>
      </c>
      <c r="CO77" s="88">
        <f>IncomeStatement!BF27</f>
        <v>374.19</v>
      </c>
      <c r="CP77" s="88">
        <f>IncomeStatement!BG27</f>
        <v>347.78</v>
      </c>
      <c r="CQ77" s="88">
        <f>IncomeStatement!BH27</f>
        <v>343.80700000000002</v>
      </c>
      <c r="CR77" s="88">
        <f>IncomeStatement!BI27</f>
        <v>335.01900000000001</v>
      </c>
      <c r="CS77" s="121">
        <f>IncomeStatement!BJ27</f>
        <v>1400.796</v>
      </c>
      <c r="CT77" s="88">
        <f>IncomeStatement!BK27</f>
        <v>305.11099999999999</v>
      </c>
      <c r="CU77" s="88">
        <f>IncomeStatement!BL27</f>
        <v>315.12200000000001</v>
      </c>
      <c r="CV77" s="88">
        <f>IncomeStatement!BM27</f>
        <v>291.524</v>
      </c>
      <c r="CW77" s="88">
        <f>IncomeStatement!BN27</f>
        <v>272.31599999999997</v>
      </c>
      <c r="CX77" s="121">
        <f>IncomeStatement!BO27</f>
        <v>1184.0999999999999</v>
      </c>
      <c r="CY77" s="88">
        <f>IncomeStatement!BP27</f>
        <v>214.73599999999999</v>
      </c>
      <c r="CZ77" s="88">
        <f>IncomeStatement!BQ27</f>
        <v>202.554</v>
      </c>
      <c r="DA77" s="88">
        <f>IncomeStatement!BR27</f>
        <v>186.54599999999999</v>
      </c>
      <c r="DB77" s="88">
        <f>IncomeStatement!BS27</f>
        <v>140.86500000000001</v>
      </c>
      <c r="DC77" s="121">
        <f>IncomeStatement!BT27</f>
        <v>744.70100000000002</v>
      </c>
      <c r="DD77" s="88">
        <f>IncomeStatement!BU27</f>
        <v>123.407</v>
      </c>
      <c r="DE77" s="88">
        <f>IncomeStatement!BV27</f>
        <v>129.36000000000001</v>
      </c>
      <c r="DF77" s="88">
        <f>IncomeStatement!BW27</f>
        <v>132.387</v>
      </c>
      <c r="DG77" s="88">
        <f>IncomeStatement!BX27</f>
        <v>127.79300000000001</v>
      </c>
      <c r="DH77" s="121">
        <f>IncomeStatement!BY27</f>
        <v>512.90000000000009</v>
      </c>
      <c r="DI77" s="93">
        <f>IncomeStatement!BZ27</f>
        <v>134.31623887579423</v>
      </c>
      <c r="DJ77" s="93">
        <f>IncomeStatement!CA27</f>
        <v>140.66457778256796</v>
      </c>
      <c r="DK77" s="93">
        <f>IncomeStatement!CB27</f>
        <v>146.76758183347138</v>
      </c>
      <c r="DL77" s="93">
        <f>IncomeStatement!CC27</f>
        <v>140.07764746047764</v>
      </c>
      <c r="DM77" s="121">
        <f>IncomeStatement!CD27</f>
        <v>561.82604595231123</v>
      </c>
      <c r="DN77" s="93">
        <f>IncomeStatement!CE27</f>
        <v>142.91247816384509</v>
      </c>
      <c r="DO77" s="93">
        <f>IncomeStatement!CF27</f>
        <v>148.66812214916251</v>
      </c>
      <c r="DP77" s="93">
        <f>IncomeStatement!CG27</f>
        <v>155.56066759044577</v>
      </c>
      <c r="DQ77" s="93">
        <f>IncomeStatement!CH27</f>
        <v>150.32121110736716</v>
      </c>
      <c r="DR77" s="121">
        <f>IncomeStatement!CI27</f>
        <v>597.46247901082052</v>
      </c>
      <c r="DS77" s="93">
        <f>IncomeStatement!CJ27</f>
        <v>153.42127700809084</v>
      </c>
      <c r="DT77" s="93">
        <f>IncomeStatement!CK27</f>
        <v>158.4935998007449</v>
      </c>
      <c r="DU77" s="93">
        <f>IncomeStatement!CL27</f>
        <v>166.2960585466904</v>
      </c>
      <c r="DV77" s="93">
        <f>IncomeStatement!CM27</f>
        <v>162.66283019469</v>
      </c>
      <c r="DW77" s="121">
        <f>IncomeStatement!CN27</f>
        <v>640.87376555021615</v>
      </c>
      <c r="EB77"/>
      <c r="EC77"/>
      <c r="ED77"/>
      <c r="EE77"/>
      <c r="EF77"/>
      <c r="EG77"/>
    </row>
    <row r="78" spans="1:137" s="286" customFormat="1">
      <c r="A78" s="579" t="s">
        <v>39</v>
      </c>
      <c r="B78" s="50"/>
      <c r="C78" s="50"/>
      <c r="D78" s="50"/>
      <c r="E78" s="50"/>
      <c r="F78" s="50"/>
      <c r="G78" s="50"/>
      <c r="H78" s="50"/>
      <c r="I78" s="5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285"/>
      <c r="AN78" s="50"/>
      <c r="AO78" s="50"/>
      <c r="AP78" s="50"/>
      <c r="AQ78" s="50"/>
      <c r="AR78" s="50"/>
      <c r="AS78" s="50"/>
      <c r="AT78" s="50"/>
      <c r="AU78" s="50"/>
      <c r="AV78" s="50"/>
      <c r="AW78" s="50"/>
      <c r="AX78" s="50"/>
      <c r="AY78" s="50"/>
      <c r="AZ78" s="50"/>
      <c r="BA78" s="218"/>
      <c r="BB78" s="218"/>
      <c r="BC78" s="218"/>
      <c r="BD78" s="218"/>
      <c r="BE78" s="505"/>
      <c r="BF78" s="218"/>
      <c r="BG78" s="218"/>
      <c r="BH78" s="218"/>
      <c r="BI78" s="218"/>
      <c r="BJ78" s="121">
        <f>IncomeStatement!AA28</f>
        <v>446.54199999999997</v>
      </c>
      <c r="BK78" s="88">
        <f>IncomeStatement!AB28</f>
        <v>116.676</v>
      </c>
      <c r="BL78" s="88">
        <f>IncomeStatement!AC28</f>
        <v>109.563</v>
      </c>
      <c r="BM78" s="88">
        <f>IncomeStatement!AD28</f>
        <v>102.955</v>
      </c>
      <c r="BN78" s="88">
        <f>IncomeStatement!AE28</f>
        <v>125.61</v>
      </c>
      <c r="BO78" s="121">
        <f>IncomeStatement!AF28</f>
        <v>454.80400000000003</v>
      </c>
      <c r="BP78" s="88">
        <f>IncomeStatement!AG28</f>
        <v>109.878</v>
      </c>
      <c r="BQ78" s="88">
        <f>IncomeStatement!AH28</f>
        <v>112.746</v>
      </c>
      <c r="BR78" s="88">
        <f>IncomeStatement!AI28</f>
        <v>97.909000000000006</v>
      </c>
      <c r="BS78" s="88">
        <f>IncomeStatement!AJ28</f>
        <v>132.18</v>
      </c>
      <c r="BT78" s="121">
        <f>IncomeStatement!AK28</f>
        <v>452.71300000000002</v>
      </c>
      <c r="BU78" s="88">
        <f>IncomeStatement!AL28</f>
        <v>110.482</v>
      </c>
      <c r="BV78" s="88">
        <f>IncomeStatement!AM28</f>
        <v>97.512</v>
      </c>
      <c r="BW78" s="88">
        <f>IncomeStatement!AN28</f>
        <v>97.947999999999993</v>
      </c>
      <c r="BX78" s="88">
        <f>IncomeStatement!AO28</f>
        <v>110.664</v>
      </c>
      <c r="BY78" s="121">
        <f>IncomeStatement!AP28</f>
        <v>416.60599999999999</v>
      </c>
      <c r="BZ78" s="88">
        <f>IncomeStatement!AQ28</f>
        <v>74.685000000000002</v>
      </c>
      <c r="CA78" s="88">
        <f>IncomeStatement!AR28</f>
        <v>74.456000000000003</v>
      </c>
      <c r="CB78" s="88">
        <f>IncomeStatement!AS28</f>
        <v>66.006</v>
      </c>
      <c r="CC78" s="88">
        <f>IncomeStatement!AT28</f>
        <v>77.242999999999995</v>
      </c>
      <c r="CD78" s="121">
        <f>IncomeStatement!AU28</f>
        <v>292.39</v>
      </c>
      <c r="CE78" s="88">
        <f>IncomeStatement!AV28</f>
        <v>72.304000000000002</v>
      </c>
      <c r="CF78" s="88">
        <f>IncomeStatement!AW28</f>
        <v>73.344999999999999</v>
      </c>
      <c r="CG78" s="88">
        <f>IncomeStatement!AX28</f>
        <v>72.174999999999997</v>
      </c>
      <c r="CH78" s="88">
        <f>IncomeStatement!AY28</f>
        <v>69.983999999999995</v>
      </c>
      <c r="CI78" s="121">
        <f>IncomeStatement!AZ28</f>
        <v>287.80799999999999</v>
      </c>
      <c r="CJ78" s="88">
        <f>IncomeStatement!BA28</f>
        <v>65.31</v>
      </c>
      <c r="CK78" s="88">
        <f>IncomeStatement!BB28</f>
        <v>74.795000000000002</v>
      </c>
      <c r="CL78" s="88">
        <f>IncomeStatement!BC28</f>
        <v>76.518000000000001</v>
      </c>
      <c r="CM78" s="88">
        <f>IncomeStatement!BD28</f>
        <v>77.168999999999997</v>
      </c>
      <c r="CN78" s="121">
        <f>IncomeStatement!BE28</f>
        <v>293.79200000000003</v>
      </c>
      <c r="CO78" s="88">
        <f>IncomeStatement!BF28</f>
        <v>70.366</v>
      </c>
      <c r="CP78" s="88">
        <f>IncomeStatement!BG28</f>
        <v>66.981999999999999</v>
      </c>
      <c r="CQ78" s="88">
        <f>IncomeStatement!BH28</f>
        <v>65.774000000000001</v>
      </c>
      <c r="CR78" s="88">
        <f>IncomeStatement!BI28</f>
        <v>60.134999999999998</v>
      </c>
      <c r="CS78" s="121">
        <f>IncomeStatement!BJ28</f>
        <v>263.25700000000001</v>
      </c>
      <c r="CT78" s="88">
        <f>IncomeStatement!BK28</f>
        <v>59.698</v>
      </c>
      <c r="CU78" s="88">
        <f>IncomeStatement!BL28</f>
        <v>60.771000000000001</v>
      </c>
      <c r="CV78" s="88">
        <f>IncomeStatement!BM28</f>
        <v>63.683</v>
      </c>
      <c r="CW78" s="88">
        <f>IncomeStatement!BN28</f>
        <v>72.400999999999996</v>
      </c>
      <c r="CX78" s="121">
        <f>IncomeStatement!BO28</f>
        <v>256.553</v>
      </c>
      <c r="CY78" s="88">
        <f>IncomeStatement!BP28</f>
        <v>64.646000000000001</v>
      </c>
      <c r="CZ78" s="88">
        <f>IncomeStatement!BQ28</f>
        <v>61.124000000000002</v>
      </c>
      <c r="DA78" s="88">
        <f>IncomeStatement!BR28</f>
        <v>58.938000000000002</v>
      </c>
      <c r="DB78" s="88">
        <f>IncomeStatement!BS28</f>
        <v>61.161000000000001</v>
      </c>
      <c r="DC78" s="121">
        <f>IncomeStatement!BT28</f>
        <v>245.86900000000003</v>
      </c>
      <c r="DD78" s="88">
        <f>IncomeStatement!BU28</f>
        <v>52.45</v>
      </c>
      <c r="DE78" s="88">
        <f>IncomeStatement!BV28</f>
        <v>51.28</v>
      </c>
      <c r="DF78" s="88">
        <f>IncomeStatement!BW28</f>
        <v>52.96</v>
      </c>
      <c r="DG78" s="88">
        <f>IncomeStatement!BX28</f>
        <v>51.890999999999998</v>
      </c>
      <c r="DH78" s="121">
        <f>IncomeStatement!BY28</f>
        <v>208.58099999999999</v>
      </c>
      <c r="DI78" s="93">
        <f>IncomeStatement!BZ28</f>
        <v>49.979720000000007</v>
      </c>
      <c r="DJ78" s="93">
        <f>IncomeStatement!CA28</f>
        <v>49.33634</v>
      </c>
      <c r="DK78" s="93">
        <f>IncomeStatement!CB28</f>
        <v>48.178400000000003</v>
      </c>
      <c r="DL78" s="93">
        <f>IncomeStatement!CC28</f>
        <v>47.587100000000007</v>
      </c>
      <c r="DM78" s="121">
        <f>IncomeStatement!CD28</f>
        <v>195.08156000000002</v>
      </c>
      <c r="DN78" s="93">
        <f>IncomeStatement!CE28</f>
        <v>48.180531200000004</v>
      </c>
      <c r="DO78" s="93">
        <f>IncomeStatement!CF28</f>
        <v>47.562886399999996</v>
      </c>
      <c r="DP78" s="93">
        <f>IncomeStatement!CG28</f>
        <v>46.451264000000002</v>
      </c>
      <c r="DQ78" s="93">
        <f>IncomeStatement!CH28</f>
        <v>45.883616000000004</v>
      </c>
      <c r="DR78" s="121">
        <f>IncomeStatement!CI28</f>
        <v>188.07829759999998</v>
      </c>
      <c r="DS78" s="93">
        <f>IncomeStatement!CJ28</f>
        <v>46.021504640000003</v>
      </c>
      <c r="DT78" s="93">
        <f>IncomeStatement!CK28</f>
        <v>45.434742079999992</v>
      </c>
      <c r="DU78" s="93">
        <f>IncomeStatement!CL28</f>
        <v>44.378700799999997</v>
      </c>
      <c r="DV78" s="93">
        <f>IncomeStatement!CM28</f>
        <v>43.839435200000004</v>
      </c>
      <c r="DW78" s="121">
        <f>IncomeStatement!CN28</f>
        <v>179.67438271999998</v>
      </c>
      <c r="EB78"/>
      <c r="EC78"/>
      <c r="ED78"/>
      <c r="EE78"/>
      <c r="EF78"/>
      <c r="EG78"/>
    </row>
    <row r="79" spans="1:137" s="286" customFormat="1">
      <c r="A79" s="579" t="s">
        <v>40</v>
      </c>
      <c r="B79" s="50"/>
      <c r="C79" s="50"/>
      <c r="D79" s="50"/>
      <c r="E79" s="50"/>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285"/>
      <c r="AN79" s="50"/>
      <c r="AO79" s="50"/>
      <c r="AP79" s="50"/>
      <c r="AQ79" s="50"/>
      <c r="AR79" s="50"/>
      <c r="AS79" s="50"/>
      <c r="AT79" s="50"/>
      <c r="AU79" s="50"/>
      <c r="AV79" s="50"/>
      <c r="AW79" s="50"/>
      <c r="AX79" s="50"/>
      <c r="AY79" s="50"/>
      <c r="AZ79" s="50"/>
      <c r="BA79" s="218"/>
      <c r="BB79" s="218"/>
      <c r="BC79" s="218"/>
      <c r="BD79" s="218"/>
      <c r="BE79" s="505"/>
      <c r="BF79" s="218"/>
      <c r="BG79" s="218"/>
      <c r="BH79" s="218"/>
      <c r="BI79" s="218"/>
      <c r="BJ79" s="121">
        <f t="shared" ref="BJ79:BO79" si="125">SUM(BJ77:BJ78)</f>
        <v>3030.6059999999998</v>
      </c>
      <c r="BK79" s="88">
        <f t="shared" si="125"/>
        <v>810.48200000000008</v>
      </c>
      <c r="BL79" s="88">
        <f t="shared" si="125"/>
        <v>842.54599999999994</v>
      </c>
      <c r="BM79" s="88">
        <f t="shared" si="125"/>
        <v>821.47300000000007</v>
      </c>
      <c r="BN79" s="88">
        <f t="shared" si="125"/>
        <v>822.827</v>
      </c>
      <c r="BO79" s="121">
        <f t="shared" si="125"/>
        <v>3297.328</v>
      </c>
      <c r="BP79" s="88">
        <f t="shared" ref="BP79:CI79" si="126">SUM(BP77:BP78)</f>
        <v>785.82</v>
      </c>
      <c r="BQ79" s="88">
        <f t="shared" si="126"/>
        <v>799.20799999999997</v>
      </c>
      <c r="BR79" s="88">
        <f t="shared" si="126"/>
        <v>781.98</v>
      </c>
      <c r="BS79" s="88">
        <f t="shared" si="126"/>
        <v>814.18900000000008</v>
      </c>
      <c r="BT79" s="121">
        <f t="shared" si="126"/>
        <v>3181.1970000000001</v>
      </c>
      <c r="BU79" s="88">
        <f t="shared" si="126"/>
        <v>751.904</v>
      </c>
      <c r="BV79" s="88">
        <f t="shared" si="126"/>
        <v>756.596</v>
      </c>
      <c r="BW79" s="88">
        <f t="shared" si="126"/>
        <v>765.01099999999997</v>
      </c>
      <c r="BX79" s="88">
        <f t="shared" si="126"/>
        <v>753.85599999999999</v>
      </c>
      <c r="BY79" s="121">
        <f t="shared" si="126"/>
        <v>3027.3670000000002</v>
      </c>
      <c r="BZ79" s="88">
        <f t="shared" si="126"/>
        <v>513.58500000000004</v>
      </c>
      <c r="CA79" s="88">
        <f t="shared" si="126"/>
        <v>539.25599999999997</v>
      </c>
      <c r="CB79" s="88">
        <f t="shared" si="126"/>
        <v>524.00599999999997</v>
      </c>
      <c r="CC79" s="88">
        <f t="shared" si="126"/>
        <v>531.68299999999999</v>
      </c>
      <c r="CD79" s="121">
        <f t="shared" si="126"/>
        <v>2108.4899999999998</v>
      </c>
      <c r="CE79" s="88">
        <f t="shared" si="126"/>
        <v>527.80399999999997</v>
      </c>
      <c r="CF79" s="88">
        <f t="shared" si="126"/>
        <v>556.42500000000007</v>
      </c>
      <c r="CG79" s="88">
        <f t="shared" si="126"/>
        <v>550.57500000000005</v>
      </c>
      <c r="CH79" s="88">
        <f t="shared" si="126"/>
        <v>534.26</v>
      </c>
      <c r="CI79" s="121">
        <f t="shared" si="126"/>
        <v>2169.0639999999999</v>
      </c>
      <c r="CJ79" s="88">
        <f>SUM(CJ77:CJ78)</f>
        <v>526.13799999999992</v>
      </c>
      <c r="CK79" s="88">
        <f>SUM(CK77:CK78)</f>
        <v>548.09299999999996</v>
      </c>
      <c r="CL79" s="88">
        <f t="shared" ref="CL79:CS79" si="127">SUM(CL77:CL78)</f>
        <v>545.69500000000005</v>
      </c>
      <c r="CM79" s="88">
        <f t="shared" si="127"/>
        <v>500.10599999999999</v>
      </c>
      <c r="CN79" s="121">
        <f t="shared" si="127"/>
        <v>2119.9919999999997</v>
      </c>
      <c r="CO79" s="88">
        <f t="shared" si="127"/>
        <v>444.55599999999998</v>
      </c>
      <c r="CP79" s="88">
        <f t="shared" si="127"/>
        <v>414.76199999999994</v>
      </c>
      <c r="CQ79" s="88">
        <f>SUM(CQ77:CQ78)</f>
        <v>409.58100000000002</v>
      </c>
      <c r="CR79" s="88">
        <f>SUM(CR77:CR78)</f>
        <v>395.154</v>
      </c>
      <c r="CS79" s="121">
        <f t="shared" si="127"/>
        <v>1664.0530000000001</v>
      </c>
      <c r="CT79" s="88">
        <f t="shared" ref="CT79:DC79" si="128">SUM(CT77:CT78)</f>
        <v>364.80899999999997</v>
      </c>
      <c r="CU79" s="88">
        <f t="shared" si="128"/>
        <v>375.89300000000003</v>
      </c>
      <c r="CV79" s="88">
        <f t="shared" si="128"/>
        <v>355.20699999999999</v>
      </c>
      <c r="CW79" s="88">
        <f t="shared" si="128"/>
        <v>344.71699999999998</v>
      </c>
      <c r="CX79" s="121">
        <f t="shared" si="128"/>
        <v>1440.6529999999998</v>
      </c>
      <c r="CY79" s="88">
        <f t="shared" si="128"/>
        <v>279.38200000000001</v>
      </c>
      <c r="CZ79" s="88">
        <f t="shared" si="128"/>
        <v>263.678</v>
      </c>
      <c r="DA79" s="88">
        <f t="shared" si="128"/>
        <v>245.48399999999998</v>
      </c>
      <c r="DB79" s="88">
        <f t="shared" ref="DB79" si="129">SUM(DB77:DB78)</f>
        <v>202.02600000000001</v>
      </c>
      <c r="DC79" s="121">
        <f t="shared" si="128"/>
        <v>990.57</v>
      </c>
      <c r="DD79" s="88">
        <f t="shared" ref="DD79:DE79" si="130">SUM(DD77:DD78)</f>
        <v>175.857</v>
      </c>
      <c r="DE79" s="88">
        <f t="shared" si="130"/>
        <v>180.64000000000001</v>
      </c>
      <c r="DF79" s="88">
        <f t="shared" ref="DF79:DW79" si="131">SUM(DF77:DF78)</f>
        <v>185.34700000000001</v>
      </c>
      <c r="DG79" s="88">
        <f t="shared" si="131"/>
        <v>179.684</v>
      </c>
      <c r="DH79" s="121">
        <f t="shared" si="131"/>
        <v>721.48100000000011</v>
      </c>
      <c r="DI79" s="93">
        <f t="shared" si="131"/>
        <v>184.29595887579424</v>
      </c>
      <c r="DJ79" s="93">
        <f t="shared" si="131"/>
        <v>190.00091778256797</v>
      </c>
      <c r="DK79" s="93">
        <f t="shared" si="131"/>
        <v>194.94598183347139</v>
      </c>
      <c r="DL79" s="93">
        <f t="shared" si="131"/>
        <v>187.66474746047766</v>
      </c>
      <c r="DM79" s="121">
        <f t="shared" si="131"/>
        <v>756.90760595231131</v>
      </c>
      <c r="DN79" s="93">
        <f t="shared" si="131"/>
        <v>191.09300936384511</v>
      </c>
      <c r="DO79" s="93">
        <f t="shared" si="131"/>
        <v>196.23100854916251</v>
      </c>
      <c r="DP79" s="93">
        <f t="shared" si="131"/>
        <v>202.01193159044578</v>
      </c>
      <c r="DQ79" s="93">
        <f t="shared" si="131"/>
        <v>196.20482710736718</v>
      </c>
      <c r="DR79" s="121">
        <f t="shared" si="131"/>
        <v>785.54077661082056</v>
      </c>
      <c r="DS79" s="93">
        <f t="shared" si="131"/>
        <v>199.44278164809083</v>
      </c>
      <c r="DT79" s="93">
        <f t="shared" si="131"/>
        <v>203.92834188074488</v>
      </c>
      <c r="DU79" s="93">
        <f t="shared" si="131"/>
        <v>210.67475934669039</v>
      </c>
      <c r="DV79" s="93">
        <f t="shared" si="131"/>
        <v>206.50226539469</v>
      </c>
      <c r="DW79" s="121">
        <f t="shared" si="131"/>
        <v>820.54814827021619</v>
      </c>
      <c r="EB79"/>
      <c r="EC79"/>
      <c r="ED79"/>
      <c r="EE79"/>
      <c r="EF79"/>
      <c r="EG79"/>
    </row>
    <row r="80" spans="1:137">
      <c r="A80" s="580"/>
      <c r="AM80" s="68"/>
      <c r="AY80" s="45"/>
      <c r="AZ80" s="45"/>
      <c r="BJ80" s="89"/>
      <c r="BN80" s="211"/>
      <c r="BO80" s="89"/>
      <c r="BP80" s="211"/>
      <c r="BQ80" s="211"/>
      <c r="BR80" s="211"/>
      <c r="BS80" s="211"/>
      <c r="BT80" s="89"/>
      <c r="BY80" s="89"/>
      <c r="CD80" s="89"/>
      <c r="CE80" s="211"/>
      <c r="CI80" s="89"/>
      <c r="CJ80" s="211"/>
      <c r="CN80" s="89"/>
      <c r="CO80" s="211"/>
      <c r="CS80" s="89"/>
      <c r="CW80" s="211"/>
      <c r="CX80" s="89"/>
      <c r="DB80" s="211"/>
      <c r="DC80" s="89"/>
      <c r="DH80" s="89"/>
      <c r="DI80" s="211"/>
      <c r="DJ80" s="211"/>
      <c r="DK80" s="211"/>
      <c r="DL80" s="211"/>
      <c r="DM80" s="89"/>
      <c r="DN80" s="211"/>
      <c r="DO80" s="211"/>
      <c r="DP80" s="211"/>
      <c r="DQ80" s="211"/>
      <c r="DR80" s="89"/>
      <c r="DS80" s="211"/>
      <c r="DT80" s="211"/>
      <c r="DU80" s="211"/>
      <c r="DV80" s="211"/>
      <c r="DW80" s="89"/>
    </row>
    <row r="81" spans="1:137" s="505" customFormat="1">
      <c r="A81" s="1048" t="s">
        <v>41</v>
      </c>
      <c r="B81" s="218"/>
      <c r="C81" s="218"/>
      <c r="D81" s="218"/>
      <c r="E81" s="218"/>
      <c r="F81" s="218"/>
      <c r="G81" s="218"/>
      <c r="H81" s="218"/>
      <c r="I81" s="218"/>
      <c r="J81" s="218"/>
      <c r="K81" s="218"/>
      <c r="L81" s="218"/>
      <c r="M81" s="218"/>
      <c r="N81" s="218"/>
      <c r="O81" s="218"/>
      <c r="P81" s="218"/>
      <c r="Q81" s="218"/>
      <c r="R81" s="218"/>
      <c r="S81" s="218"/>
      <c r="T81" s="218"/>
      <c r="U81" s="218"/>
      <c r="V81" s="218"/>
      <c r="W81" s="218"/>
      <c r="X81" s="218"/>
      <c r="Y81" s="218"/>
      <c r="Z81" s="218"/>
      <c r="AA81" s="218"/>
      <c r="AB81" s="218"/>
      <c r="AC81" s="218"/>
      <c r="AD81" s="218"/>
      <c r="AE81" s="218"/>
      <c r="AF81" s="218"/>
      <c r="AG81" s="218"/>
      <c r="AH81" s="218"/>
      <c r="AI81" s="218"/>
      <c r="AJ81" s="218"/>
      <c r="AK81" s="218"/>
      <c r="AL81" s="218"/>
      <c r="AM81" s="1049"/>
      <c r="AN81" s="218"/>
      <c r="AO81" s="218"/>
      <c r="AP81" s="218"/>
      <c r="AQ81" s="218"/>
      <c r="AR81" s="218"/>
      <c r="AS81" s="218"/>
      <c r="AT81" s="218"/>
      <c r="AU81" s="218"/>
      <c r="AV81" s="218"/>
      <c r="AW81" s="218"/>
      <c r="AX81" s="218"/>
      <c r="AY81" s="218"/>
      <c r="AZ81" s="218"/>
      <c r="BA81" s="218"/>
      <c r="BB81" s="218"/>
      <c r="BC81" s="218"/>
      <c r="BD81" s="218"/>
      <c r="BF81" s="218"/>
      <c r="BG81" s="218"/>
      <c r="BH81" s="218"/>
      <c r="BI81" s="218"/>
      <c r="BJ81" s="1085"/>
      <c r="BK81" s="218">
        <f t="shared" ref="BK81:BN82" si="132">BK15*365/BK76</f>
        <v>11.619030684820158</v>
      </c>
      <c r="BL81" s="218">
        <f t="shared" si="132"/>
        <v>10.770274044483564</v>
      </c>
      <c r="BM81" s="218">
        <f t="shared" si="132"/>
        <v>8.3879376445714922</v>
      </c>
      <c r="BN81" s="218">
        <f t="shared" si="132"/>
        <v>39.596540854546795</v>
      </c>
      <c r="BO81" s="1085"/>
      <c r="BP81" s="218">
        <f t="shared" ref="BP81:BS82" si="133">BP15*365/BP76</f>
        <v>39.670827237541431</v>
      </c>
      <c r="BQ81" s="218">
        <f t="shared" si="133"/>
        <v>35.080410918529573</v>
      </c>
      <c r="BR81" s="218">
        <f t="shared" si="133"/>
        <v>35.104974308613286</v>
      </c>
      <c r="BS81" s="218">
        <f t="shared" si="133"/>
        <v>35.653154528088905</v>
      </c>
      <c r="BT81" s="1085"/>
      <c r="BU81" s="218">
        <f t="shared" ref="BU81:BX82" si="134">BU15*365/BU76</f>
        <v>37.79983091467281</v>
      </c>
      <c r="BV81" s="218">
        <f t="shared" si="134"/>
        <v>40.213546767979331</v>
      </c>
      <c r="BW81" s="218">
        <f t="shared" si="134"/>
        <v>37.51699925918529</v>
      </c>
      <c r="BX81" s="218">
        <f t="shared" si="134"/>
        <v>36.580230085211461</v>
      </c>
      <c r="BY81" s="1085"/>
      <c r="BZ81" s="218">
        <f t="shared" ref="BZ81:CC82" si="135">BZ15*365/BZ76</f>
        <v>53.02875709270085</v>
      </c>
      <c r="CA81" s="218">
        <f t="shared" si="135"/>
        <v>41.608240963855415</v>
      </c>
      <c r="CB81" s="218">
        <f t="shared" si="135"/>
        <v>42.810263388593043</v>
      </c>
      <c r="CC81" s="218">
        <f t="shared" si="135"/>
        <v>40.563666429275244</v>
      </c>
      <c r="CD81" s="1085"/>
      <c r="CE81" s="218">
        <f t="shared" ref="CE81:CH82" si="136">CE15*365/CE76</f>
        <v>44.350763203058875</v>
      </c>
      <c r="CF81" s="218">
        <f t="shared" si="136"/>
        <v>41.240996612310873</v>
      </c>
      <c r="CG81" s="218">
        <f t="shared" si="136"/>
        <v>37.364896828876923</v>
      </c>
      <c r="CH81" s="218">
        <f t="shared" si="136"/>
        <v>35.443093038504223</v>
      </c>
      <c r="CI81" s="1085"/>
      <c r="CJ81" s="218">
        <f>CJ15*365/CJ76</f>
        <v>37.340448792381757</v>
      </c>
      <c r="CK81" s="218">
        <f>CK15*365/CK76</f>
        <v>36.923830136531471</v>
      </c>
      <c r="CL81" s="218">
        <f>CK81</f>
        <v>36.923830136531471</v>
      </c>
      <c r="CM81" s="218">
        <f>CM15*365/CM76</f>
        <v>38.745495058279381</v>
      </c>
      <c r="CN81" s="1085"/>
      <c r="CO81" s="218">
        <f t="shared" ref="CO81:CQ82" si="137">CO15*365/CO76</f>
        <v>44.084970068578507</v>
      </c>
      <c r="CP81" s="218">
        <f t="shared" si="137"/>
        <v>50.245927321288356</v>
      </c>
      <c r="CQ81" s="218">
        <f t="shared" si="137"/>
        <v>49.202343855185184</v>
      </c>
      <c r="CR81" s="218">
        <f>CR15*365/CR76</f>
        <v>53.343194853680941</v>
      </c>
      <c r="CS81" s="1085"/>
      <c r="CT81" s="218">
        <f t="shared" ref="CT81:CV82" si="138">CT15*365/CT76</f>
        <v>61.715733040558341</v>
      </c>
      <c r="CU81" s="218">
        <f t="shared" si="138"/>
        <v>52.576480898160291</v>
      </c>
      <c r="CV81" s="218">
        <f t="shared" si="138"/>
        <v>60.550396122497737</v>
      </c>
      <c r="CW81" s="218">
        <f>CW15*365/CW76</f>
        <v>82.417301045513767</v>
      </c>
      <c r="CX81" s="1085"/>
      <c r="CY81" s="218">
        <f t="shared" ref="CY81:DA82" si="139">CY15*365/CY76</f>
        <v>84.796033126796843</v>
      </c>
      <c r="CZ81" s="218">
        <f t="shared" si="139"/>
        <v>109.96598017339137</v>
      </c>
      <c r="DA81" s="218">
        <f t="shared" si="139"/>
        <v>110.13311374350296</v>
      </c>
      <c r="DB81" s="218">
        <f>DB15*365/DB76</f>
        <v>116.39563925253549</v>
      </c>
      <c r="DC81" s="1085"/>
      <c r="DD81" s="218">
        <f t="shared" ref="DD81:DF81" si="140">DD15*365/DD76</f>
        <v>115.34663545810463</v>
      </c>
      <c r="DE81" s="218">
        <f t="shared" si="140"/>
        <v>121.51664471096515</v>
      </c>
      <c r="DF81" s="218">
        <f t="shared" si="140"/>
        <v>136.74464285714285</v>
      </c>
      <c r="DG81" s="218">
        <f>DG15*365/DG76</f>
        <v>135.0129508127807</v>
      </c>
      <c r="DH81" s="1085"/>
      <c r="DI81" s="219">
        <f>AVERAGE(CT81,CY81,DD81)</f>
        <v>87.286133875153268</v>
      </c>
      <c r="DJ81" s="219">
        <f t="shared" ref="DJ81:DL81" si="141">AVERAGE(CU81,CZ81,DE81)</f>
        <v>94.686368594172265</v>
      </c>
      <c r="DK81" s="219">
        <f t="shared" si="141"/>
        <v>102.47605090771451</v>
      </c>
      <c r="DL81" s="219">
        <f t="shared" si="141"/>
        <v>111.27529703694331</v>
      </c>
      <c r="DM81" s="1085"/>
      <c r="DN81" s="219">
        <f>DI81-7.5</f>
        <v>79.786133875153268</v>
      </c>
      <c r="DO81" s="219">
        <f t="shared" ref="DO81:DQ81" si="142">DJ81-7.5</f>
        <v>87.186368594172265</v>
      </c>
      <c r="DP81" s="219">
        <f t="shared" si="142"/>
        <v>94.976050907714509</v>
      </c>
      <c r="DQ81" s="219">
        <f t="shared" si="142"/>
        <v>103.77529703694331</v>
      </c>
      <c r="DR81" s="1085"/>
      <c r="DS81" s="219">
        <f>DN81-10</f>
        <v>69.786133875153268</v>
      </c>
      <c r="DT81" s="219">
        <f t="shared" ref="DT81:DV81" si="143">DO81-10</f>
        <v>77.186368594172265</v>
      </c>
      <c r="DU81" s="219">
        <f t="shared" si="143"/>
        <v>84.976050907714509</v>
      </c>
      <c r="DV81" s="219">
        <f t="shared" si="143"/>
        <v>93.775297036943314</v>
      </c>
      <c r="DW81" s="1085"/>
      <c r="EB81"/>
      <c r="EC81"/>
      <c r="ED81"/>
      <c r="EE81"/>
      <c r="EF81"/>
      <c r="EG81"/>
    </row>
    <row r="82" spans="1:137" s="505" customFormat="1">
      <c r="A82" s="1048" t="s">
        <v>42</v>
      </c>
      <c r="B82" s="218"/>
      <c r="C82" s="218"/>
      <c r="D82" s="218"/>
      <c r="E82" s="218"/>
      <c r="F82" s="218"/>
      <c r="G82" s="218"/>
      <c r="H82" s="218"/>
      <c r="I82" s="218"/>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c r="AM82" s="1049"/>
      <c r="AN82" s="218"/>
      <c r="AO82" s="218"/>
      <c r="AP82" s="218"/>
      <c r="AQ82" s="218"/>
      <c r="AR82" s="218"/>
      <c r="AS82" s="218"/>
      <c r="AT82" s="218"/>
      <c r="AU82" s="218"/>
      <c r="AV82" s="218"/>
      <c r="AW82" s="218"/>
      <c r="AX82" s="218"/>
      <c r="AY82" s="218"/>
      <c r="AZ82" s="218"/>
      <c r="BA82" s="218"/>
      <c r="BB82" s="218"/>
      <c r="BC82" s="218"/>
      <c r="BD82" s="218"/>
      <c r="BF82" s="218"/>
      <c r="BG82" s="218"/>
      <c r="BH82" s="218"/>
      <c r="BI82" s="218"/>
      <c r="BJ82" s="1085"/>
      <c r="BK82" s="218">
        <f t="shared" si="132"/>
        <v>5.5328218551007051</v>
      </c>
      <c r="BL82" s="218">
        <f t="shared" si="132"/>
        <v>5.3252394666724889</v>
      </c>
      <c r="BM82" s="218">
        <f t="shared" si="132"/>
        <v>5.7997224843358133</v>
      </c>
      <c r="BN82" s="218">
        <f t="shared" si="132"/>
        <v>12.902424926529331</v>
      </c>
      <c r="BO82" s="1085"/>
      <c r="BP82" s="218">
        <f t="shared" si="133"/>
        <v>13.111968186619562</v>
      </c>
      <c r="BQ82" s="218">
        <f t="shared" si="133"/>
        <v>12.966325885482371</v>
      </c>
      <c r="BR82" s="218">
        <f t="shared" si="133"/>
        <v>11.73374547378854</v>
      </c>
      <c r="BS82" s="218">
        <f t="shared" si="133"/>
        <v>12.322066131092111</v>
      </c>
      <c r="BT82" s="1085"/>
      <c r="BU82" s="218">
        <f t="shared" si="134"/>
        <v>12.39273052686063</v>
      </c>
      <c r="BV82" s="218">
        <f t="shared" si="134"/>
        <v>12.405649355772558</v>
      </c>
      <c r="BW82" s="218">
        <f t="shared" si="134"/>
        <v>11.620896377103811</v>
      </c>
      <c r="BX82" s="218">
        <f t="shared" si="134"/>
        <v>12.878440652246917</v>
      </c>
      <c r="BY82" s="1085"/>
      <c r="BZ82" s="218">
        <f t="shared" si="135"/>
        <v>19.220505809979493</v>
      </c>
      <c r="CA82" s="218">
        <f t="shared" si="135"/>
        <v>10.337478485370051</v>
      </c>
      <c r="CB82" s="218">
        <f t="shared" si="135"/>
        <v>9.9681659388646295</v>
      </c>
      <c r="CC82" s="218">
        <f t="shared" si="135"/>
        <v>10.363513335093742</v>
      </c>
      <c r="CD82" s="1085"/>
      <c r="CE82" s="218">
        <f t="shared" si="136"/>
        <v>9.6190120746432513</v>
      </c>
      <c r="CF82" s="218">
        <f t="shared" si="136"/>
        <v>9.3101142667881085</v>
      </c>
      <c r="CG82" s="218">
        <f t="shared" si="136"/>
        <v>9.3744878762541806</v>
      </c>
      <c r="CH82" s="218">
        <f t="shared" si="136"/>
        <v>10.853080926000914</v>
      </c>
      <c r="CI82" s="1085"/>
      <c r="CJ82" s="218">
        <f>CJ16*365/CJ77</f>
        <v>9.8404610830939099</v>
      </c>
      <c r="CK82" s="218">
        <f>CK16*365/CK77</f>
        <v>9.0344244006947001</v>
      </c>
      <c r="CL82" s="218">
        <f>CK82</f>
        <v>9.0344244006947001</v>
      </c>
      <c r="CM82" s="218">
        <f>CM16*365/CM77</f>
        <v>8.8251678145917722</v>
      </c>
      <c r="CN82" s="1085"/>
      <c r="CO82" s="218">
        <f t="shared" si="137"/>
        <v>8.810176648226836</v>
      </c>
      <c r="CP82" s="218">
        <f t="shared" si="137"/>
        <v>9.497052734487319</v>
      </c>
      <c r="CQ82" s="218">
        <f t="shared" si="137"/>
        <v>8.8169379913730666</v>
      </c>
      <c r="CR82" s="218">
        <f>CR16*365/CR77</f>
        <v>9.5951423650598926</v>
      </c>
      <c r="CS82" s="1085"/>
      <c r="CT82" s="218">
        <f t="shared" si="138"/>
        <v>9.49970666413207</v>
      </c>
      <c r="CU82" s="218">
        <f t="shared" si="138"/>
        <v>6.7076084817943524</v>
      </c>
      <c r="CV82" s="218">
        <f t="shared" si="138"/>
        <v>5.2635803570203477</v>
      </c>
      <c r="CW82" s="218">
        <f>CW16*365/CW77</f>
        <v>5.779608983680725</v>
      </c>
      <c r="CX82" s="1085"/>
      <c r="CY82" s="218">
        <f t="shared" si="139"/>
        <v>6.1310399746665682</v>
      </c>
      <c r="CZ82" s="218">
        <f t="shared" si="139"/>
        <v>4.3824362885946462</v>
      </c>
      <c r="DA82" s="218">
        <f t="shared" si="139"/>
        <v>5.1909180577444705</v>
      </c>
      <c r="DB82" s="218">
        <f>DB16*365/DB77</f>
        <v>7.387321194051041</v>
      </c>
      <c r="DC82" s="1085"/>
      <c r="DD82" s="218">
        <f t="shared" ref="DD82:DF82" si="144">DD16*365/DD77</f>
        <v>8.0478822108956543</v>
      </c>
      <c r="DE82" s="218">
        <f t="shared" si="144"/>
        <v>8.244666048237475</v>
      </c>
      <c r="DF82" s="218">
        <f t="shared" si="144"/>
        <v>7.9817127059303399</v>
      </c>
      <c r="DG82" s="218">
        <f>DG16*365/DG77</f>
        <v>9.0141087540006097</v>
      </c>
      <c r="DH82" s="1085"/>
      <c r="DI82" s="219">
        <f t="shared" ref="DI82:DI83" si="145">AVERAGE(CT82,CY82,DD82)</f>
        <v>7.8928762832314305</v>
      </c>
      <c r="DJ82" s="219">
        <f t="shared" ref="DJ82:DJ83" si="146">AVERAGE(CU82,CZ82,DE82)</f>
        <v>6.4449036062088254</v>
      </c>
      <c r="DK82" s="219">
        <f t="shared" ref="DK82:DK83" si="147">AVERAGE(CV82,DA82,DF82)</f>
        <v>6.1454037068983851</v>
      </c>
      <c r="DL82" s="219">
        <f t="shared" ref="DL82:DL83" si="148">AVERAGE(CW82,DB82,DG82)</f>
        <v>7.393679643910791</v>
      </c>
      <c r="DM82" s="1085"/>
      <c r="DN82" s="219">
        <f t="shared" ref="DN82" si="149">DI82</f>
        <v>7.8928762832314305</v>
      </c>
      <c r="DO82" s="219">
        <f t="shared" ref="DO82" si="150">DJ82</f>
        <v>6.4449036062088254</v>
      </c>
      <c r="DP82" s="219">
        <f t="shared" ref="DP82" si="151">DK82</f>
        <v>6.1454037068983851</v>
      </c>
      <c r="DQ82" s="219">
        <f t="shared" ref="DQ82" si="152">DL82</f>
        <v>7.393679643910791</v>
      </c>
      <c r="DR82" s="1085"/>
      <c r="DS82" s="219">
        <f t="shared" ref="DS82" si="153">DI82</f>
        <v>7.8928762832314305</v>
      </c>
      <c r="DT82" s="219">
        <f t="shared" ref="DT82" si="154">DJ82</f>
        <v>6.4449036062088254</v>
      </c>
      <c r="DU82" s="219">
        <f t="shared" ref="DU82" si="155">DK82</f>
        <v>6.1454037068983851</v>
      </c>
      <c r="DV82" s="219">
        <f t="shared" ref="DV82" si="156">DL82</f>
        <v>7.393679643910791</v>
      </c>
      <c r="DW82" s="1085"/>
      <c r="EB82"/>
      <c r="EC82"/>
      <c r="ED82"/>
      <c r="EE82"/>
      <c r="EF82"/>
      <c r="EG82"/>
    </row>
    <row r="83" spans="1:137" s="505" customFormat="1">
      <c r="A83" s="1279" t="s">
        <v>43</v>
      </c>
      <c r="B83" s="1280"/>
      <c r="C83" s="1280"/>
      <c r="D83" s="1280"/>
      <c r="E83" s="1280"/>
      <c r="F83" s="1280"/>
      <c r="G83" s="1280"/>
      <c r="H83" s="1280"/>
      <c r="I83" s="1280"/>
      <c r="J83" s="1280"/>
      <c r="K83" s="1280"/>
      <c r="L83" s="1280"/>
      <c r="M83" s="1280"/>
      <c r="N83" s="1280"/>
      <c r="O83" s="1280"/>
      <c r="P83" s="1280"/>
      <c r="Q83" s="1280"/>
      <c r="R83" s="1280"/>
      <c r="S83" s="1280"/>
      <c r="T83" s="1280"/>
      <c r="U83" s="1280"/>
      <c r="V83" s="1280"/>
      <c r="W83" s="1280"/>
      <c r="X83" s="1280"/>
      <c r="Y83" s="1280"/>
      <c r="Z83" s="1280"/>
      <c r="AA83" s="1280"/>
      <c r="AB83" s="1280"/>
      <c r="AC83" s="1280"/>
      <c r="AD83" s="1280"/>
      <c r="AE83" s="1280"/>
      <c r="AF83" s="1280"/>
      <c r="AG83" s="1280"/>
      <c r="AH83" s="1280"/>
      <c r="AI83" s="1280"/>
      <c r="AJ83" s="1280"/>
      <c r="AK83" s="1280"/>
      <c r="AL83" s="1280"/>
      <c r="AM83" s="1281"/>
      <c r="AN83" s="1280"/>
      <c r="AO83" s="1280"/>
      <c r="AP83" s="1280"/>
      <c r="AQ83" s="1280"/>
      <c r="AR83" s="1280"/>
      <c r="AS83" s="1280"/>
      <c r="AT83" s="1280"/>
      <c r="AU83" s="1280"/>
      <c r="AV83" s="1280"/>
      <c r="AW83" s="1280"/>
      <c r="AX83" s="1280"/>
      <c r="AY83" s="1280"/>
      <c r="AZ83" s="1280"/>
      <c r="BA83" s="1280"/>
      <c r="BB83" s="1280"/>
      <c r="BC83" s="1280"/>
      <c r="BD83" s="1280"/>
      <c r="BE83" s="1280"/>
      <c r="BF83" s="1280"/>
      <c r="BG83" s="1280"/>
      <c r="BH83" s="1280"/>
      <c r="BI83" s="1280"/>
      <c r="BJ83" s="1086"/>
      <c r="BK83" s="1280">
        <f>BK34*365/BK79</f>
        <v>24.131967150411729</v>
      </c>
      <c r="BL83" s="1280">
        <f>BL34*365/BL79</f>
        <v>20.891589301949093</v>
      </c>
      <c r="BM83" s="1280">
        <f>BM34*365/BM79</f>
        <v>23.408754761264216</v>
      </c>
      <c r="BN83" s="1280">
        <f>BN34*365/BN79</f>
        <v>61.810198255526373</v>
      </c>
      <c r="BO83" s="1086"/>
      <c r="BP83" s="1280">
        <f>BP34*365/BP79</f>
        <v>50.564079560204625</v>
      </c>
      <c r="BQ83" s="1280">
        <f>BQ34*365/BQ79</f>
        <v>43.621904435391038</v>
      </c>
      <c r="BR83" s="1280">
        <f>BR34*365/BR79</f>
        <v>41.092956341594409</v>
      </c>
      <c r="BS83" s="1280">
        <f>BS34*365/BS79</f>
        <v>46.378310195789915</v>
      </c>
      <c r="BT83" s="1086"/>
      <c r="BU83" s="1280">
        <f>BU34*365/BU79</f>
        <v>37.71387703749415</v>
      </c>
      <c r="BV83" s="1280">
        <f>BV34*365/BV79</f>
        <v>38.23016510793078</v>
      </c>
      <c r="BW83" s="1280">
        <f>BW34*365/BW79</f>
        <v>42.232039800734889</v>
      </c>
      <c r="BX83" s="1280">
        <f>BX34*365/BX79</f>
        <v>39.393153334323799</v>
      </c>
      <c r="BY83" s="1086"/>
      <c r="BZ83" s="1280">
        <f>BZ34*365/BZ79</f>
        <v>48.856421040334126</v>
      </c>
      <c r="CA83" s="1280">
        <f>CA34*365/CA79</f>
        <v>48.032585636506596</v>
      </c>
      <c r="CB83" s="1280">
        <f>CB34*365/CB79</f>
        <v>48.479664354988309</v>
      </c>
      <c r="CC83" s="1280">
        <f>CC34*365/CC79</f>
        <v>55.81307846968965</v>
      </c>
      <c r="CD83" s="1086"/>
      <c r="CE83" s="1280">
        <f>CE34*365/CE79</f>
        <v>37.34824859228047</v>
      </c>
      <c r="CF83" s="1280">
        <f>CF34*365/CF79</f>
        <v>34.819724131733835</v>
      </c>
      <c r="CG83" s="1280">
        <f>CG34*365/CG79</f>
        <v>55.203287472188158</v>
      </c>
      <c r="CH83" s="1280">
        <f>CH34*365/CH79</f>
        <v>48.387470519971544</v>
      </c>
      <c r="CI83" s="1086"/>
      <c r="CJ83" s="1280">
        <f>CJ34*365/CJ79</f>
        <v>38.437045033812424</v>
      </c>
      <c r="CK83" s="1280">
        <f>CK34*365/CK79</f>
        <v>57.701503212046134</v>
      </c>
      <c r="CL83" s="1280">
        <f>CK83</f>
        <v>57.701503212046134</v>
      </c>
      <c r="CM83" s="1280">
        <f>CM34*365/CM79</f>
        <v>61.088049333541292</v>
      </c>
      <c r="CN83" s="1086"/>
      <c r="CO83" s="1280">
        <f>CO34*365/CO79</f>
        <v>49.58858951403198</v>
      </c>
      <c r="CP83" s="1280">
        <f>CP34*365/CP79</f>
        <v>65.153365062373126</v>
      </c>
      <c r="CQ83" s="1280">
        <f>CQ34*365/CQ79</f>
        <v>86.274460973531475</v>
      </c>
      <c r="CR83" s="1280">
        <f>CR34*365/CR79</f>
        <v>74.32290954918841</v>
      </c>
      <c r="CS83" s="1086"/>
      <c r="CT83" s="1280">
        <f>CT34*365/CT79</f>
        <v>72.30883832361593</v>
      </c>
      <c r="CU83" s="1280">
        <f>CU34*365/CU79</f>
        <v>65.394380847741246</v>
      </c>
      <c r="CV83" s="1280">
        <f>CV34*365/CV79</f>
        <v>62.364241132635335</v>
      </c>
      <c r="CW83" s="1280">
        <f>CW34*365/CW79</f>
        <v>56.839566949120581</v>
      </c>
      <c r="CX83" s="1086"/>
      <c r="CY83" s="1280">
        <f>CY34*365/CY79</f>
        <v>47.514460487790906</v>
      </c>
      <c r="CZ83" s="1280">
        <f>CZ34*365/CZ79</f>
        <v>52.867816048362016</v>
      </c>
      <c r="DA83" s="1280">
        <f>DA34*365/DA79</f>
        <v>59.060997865441337</v>
      </c>
      <c r="DB83" s="1280">
        <f>DB34*365/DB79</f>
        <v>49.92810331343491</v>
      </c>
      <c r="DC83" s="1086"/>
      <c r="DD83" s="1280">
        <f>DD34*365/DD79</f>
        <v>45.354919053549196</v>
      </c>
      <c r="DE83" s="1280">
        <f>DE34*365/DE79</f>
        <v>48.419480735163859</v>
      </c>
      <c r="DF83" s="1280">
        <f>DF34*365/DF79</f>
        <v>50.76014178810555</v>
      </c>
      <c r="DG83" s="1280">
        <f>DG34*365/DG79</f>
        <v>46.241512878163888</v>
      </c>
      <c r="DH83" s="1086"/>
      <c r="DI83" s="1282">
        <f t="shared" si="145"/>
        <v>55.059405954985344</v>
      </c>
      <c r="DJ83" s="1282">
        <f t="shared" si="146"/>
        <v>55.560559210422376</v>
      </c>
      <c r="DK83" s="1282">
        <f t="shared" si="147"/>
        <v>57.395126928727414</v>
      </c>
      <c r="DL83" s="1282">
        <f t="shared" si="148"/>
        <v>51.00306104690646</v>
      </c>
      <c r="DM83" s="1086"/>
      <c r="DN83" s="1282">
        <f>DI83+7.5</f>
        <v>62.559405954985344</v>
      </c>
      <c r="DO83" s="1282">
        <f t="shared" ref="DO83:DQ83" si="157">DJ83+7.5</f>
        <v>63.060559210422376</v>
      </c>
      <c r="DP83" s="1282">
        <f t="shared" si="157"/>
        <v>64.895126928727422</v>
      </c>
      <c r="DQ83" s="1282">
        <f t="shared" si="157"/>
        <v>58.50306104690646</v>
      </c>
      <c r="DR83" s="1086"/>
      <c r="DS83" s="1282">
        <f>DI83+10</f>
        <v>65.059405954985351</v>
      </c>
      <c r="DT83" s="1282">
        <f t="shared" ref="DT83:DV83" si="158">DJ83+10</f>
        <v>65.560559210422383</v>
      </c>
      <c r="DU83" s="1282">
        <f t="shared" si="158"/>
        <v>67.395126928727422</v>
      </c>
      <c r="DV83" s="1282">
        <f t="shared" si="158"/>
        <v>61.00306104690646</v>
      </c>
      <c r="DW83" s="1086"/>
      <c r="EB83"/>
      <c r="EC83"/>
      <c r="ED83"/>
      <c r="EE83"/>
      <c r="EF83"/>
      <c r="EG83"/>
    </row>
    <row r="84" spans="1:137">
      <c r="A84" s="581"/>
      <c r="AM84" s="68"/>
      <c r="AY84" s="45"/>
      <c r="AZ84" s="45"/>
      <c r="CX84" s="41">
        <f>'CashFlow '!CX37</f>
        <v>212.47999999999996</v>
      </c>
      <c r="DC84" s="41">
        <f>'CashFlow '!DC37</f>
        <v>181.40800000000002</v>
      </c>
    </row>
    <row r="85" spans="1:137" s="45" customFormat="1">
      <c r="A85" s="27" t="s">
        <v>182</v>
      </c>
      <c r="B85" s="28"/>
      <c r="C85" s="29"/>
      <c r="D85" s="11"/>
      <c r="E85" s="11"/>
      <c r="F85" s="10"/>
      <c r="G85" s="11"/>
      <c r="H85" s="11"/>
      <c r="I85" s="11"/>
      <c r="J85" s="11"/>
      <c r="K85" s="28"/>
      <c r="L85" s="60"/>
      <c r="M85" s="1278"/>
      <c r="N85" s="1278"/>
      <c r="O85" s="1278"/>
      <c r="P85" s="1278"/>
      <c r="Q85" s="61"/>
      <c r="R85" s="1278"/>
      <c r="S85" s="1278"/>
      <c r="T85" s="1278"/>
      <c r="U85" s="1278"/>
      <c r="V85" s="31"/>
      <c r="W85" s="62"/>
      <c r="X85" s="1278"/>
      <c r="Y85" s="1278"/>
      <c r="Z85" s="1278"/>
      <c r="AA85" s="31"/>
      <c r="AB85" s="62"/>
      <c r="AC85" s="1278"/>
      <c r="AD85" s="1278"/>
      <c r="AE85" s="40"/>
      <c r="AF85" s="31"/>
      <c r="AG85" s="62"/>
      <c r="AH85" s="1278"/>
      <c r="AI85" s="1278"/>
      <c r="AJ85" s="1278"/>
      <c r="AK85" s="31"/>
      <c r="AL85" s="1278"/>
      <c r="AM85" s="63"/>
      <c r="AN85" s="1278"/>
      <c r="AO85" s="1278"/>
      <c r="AP85" s="31"/>
      <c r="AQ85" s="1278"/>
      <c r="AR85" s="1278"/>
      <c r="AS85" s="1278"/>
      <c r="AT85" s="1278"/>
      <c r="AU85" s="31"/>
      <c r="AV85" s="1278"/>
      <c r="AW85" s="1278"/>
      <c r="AX85" s="1278"/>
      <c r="AY85" s="1278"/>
      <c r="AZ85" s="31"/>
      <c r="BA85" s="1278"/>
      <c r="BB85" s="1278"/>
      <c r="BC85" s="1278"/>
      <c r="BD85" s="1278"/>
      <c r="BE85" s="31" t="str">
        <f>BE75</f>
        <v>2006A</v>
      </c>
      <c r="BF85" s="1278" t="str">
        <f t="shared" ref="BF85:DC85" si="159">BF75</f>
        <v>1Q07A</v>
      </c>
      <c r="BG85" s="1278" t="str">
        <f t="shared" si="159"/>
        <v>2Q07A</v>
      </c>
      <c r="BH85" s="1278" t="str">
        <f t="shared" si="159"/>
        <v>3Q07A</v>
      </c>
      <c r="BI85" s="1278" t="str">
        <f t="shared" si="159"/>
        <v>4Q07A</v>
      </c>
      <c r="BJ85" s="31" t="str">
        <f t="shared" si="159"/>
        <v>2007A</v>
      </c>
      <c r="BK85" s="1278" t="str">
        <f t="shared" si="159"/>
        <v>1Q08A</v>
      </c>
      <c r="BL85" s="1278" t="str">
        <f t="shared" si="159"/>
        <v>2Q08A</v>
      </c>
      <c r="BM85" s="1278" t="str">
        <f t="shared" si="159"/>
        <v>3Q08A</v>
      </c>
      <c r="BN85" s="1278" t="str">
        <f t="shared" si="159"/>
        <v>4Q08A</v>
      </c>
      <c r="BO85" s="31" t="str">
        <f t="shared" si="159"/>
        <v>2008A</v>
      </c>
      <c r="BP85" s="1278" t="str">
        <f t="shared" si="159"/>
        <v>1Q09A</v>
      </c>
      <c r="BQ85" s="1278" t="str">
        <f t="shared" si="159"/>
        <v>2Q09A</v>
      </c>
      <c r="BR85" s="1278" t="str">
        <f t="shared" si="159"/>
        <v>3Q09A</v>
      </c>
      <c r="BS85" s="1278" t="str">
        <f t="shared" si="159"/>
        <v>4Q09A</v>
      </c>
      <c r="BT85" s="31" t="str">
        <f t="shared" si="159"/>
        <v>2009A</v>
      </c>
      <c r="BU85" s="1278" t="str">
        <f t="shared" si="159"/>
        <v>1Q10A</v>
      </c>
      <c r="BV85" s="1278" t="str">
        <f t="shared" si="159"/>
        <v>2Q10A</v>
      </c>
      <c r="BW85" s="946" t="str">
        <f t="shared" si="159"/>
        <v>3Q10A</v>
      </c>
      <c r="BX85" s="1278" t="str">
        <f t="shared" si="159"/>
        <v>4Q10A</v>
      </c>
      <c r="BY85" s="31" t="str">
        <f t="shared" si="159"/>
        <v>2010A</v>
      </c>
      <c r="BZ85" s="1278" t="str">
        <f t="shared" si="159"/>
        <v>1Q11A</v>
      </c>
      <c r="CA85" s="1278" t="str">
        <f t="shared" si="159"/>
        <v>2Q11A</v>
      </c>
      <c r="CB85" s="1278" t="str">
        <f t="shared" si="159"/>
        <v>3Q11A</v>
      </c>
      <c r="CC85" s="1278" t="str">
        <f t="shared" si="159"/>
        <v>4Q11A</v>
      </c>
      <c r="CD85" s="31" t="str">
        <f t="shared" si="159"/>
        <v>2011A</v>
      </c>
      <c r="CE85" s="1278" t="str">
        <f t="shared" si="159"/>
        <v>1Q12A</v>
      </c>
      <c r="CF85" s="1278" t="str">
        <f t="shared" si="159"/>
        <v>2Q12A</v>
      </c>
      <c r="CG85" s="1278" t="str">
        <f t="shared" si="159"/>
        <v>3Q12A</v>
      </c>
      <c r="CH85" s="1278" t="str">
        <f t="shared" si="159"/>
        <v>4Q12A</v>
      </c>
      <c r="CI85" s="31" t="str">
        <f t="shared" si="159"/>
        <v>2012A</v>
      </c>
      <c r="CJ85" s="1278" t="str">
        <f t="shared" si="159"/>
        <v>1Q13A</v>
      </c>
      <c r="CK85" s="591" t="str">
        <f t="shared" si="159"/>
        <v>2Q13A</v>
      </c>
      <c r="CL85" s="1278" t="str">
        <f t="shared" si="159"/>
        <v>3Q13A</v>
      </c>
      <c r="CM85" s="1278" t="str">
        <f t="shared" si="159"/>
        <v>4Q13A</v>
      </c>
      <c r="CN85" s="31" t="str">
        <f>CN75</f>
        <v>2013A</v>
      </c>
      <c r="CO85" s="1278" t="str">
        <f t="shared" si="159"/>
        <v>1Q14A</v>
      </c>
      <c r="CP85" s="1278" t="str">
        <f t="shared" si="159"/>
        <v>2Q14A</v>
      </c>
      <c r="CQ85" s="1278" t="str">
        <f t="shared" si="159"/>
        <v>3Q14A</v>
      </c>
      <c r="CR85" s="1278" t="str">
        <f t="shared" si="159"/>
        <v>4Q14A</v>
      </c>
      <c r="CS85" s="31" t="str">
        <f t="shared" si="159"/>
        <v>2014A</v>
      </c>
      <c r="CT85" s="1278" t="str">
        <f t="shared" si="159"/>
        <v>1Q15A</v>
      </c>
      <c r="CU85" s="1278" t="str">
        <f t="shared" si="159"/>
        <v>2Q15A</v>
      </c>
      <c r="CV85" s="1278" t="str">
        <f t="shared" si="159"/>
        <v>3Q15A</v>
      </c>
      <c r="CW85" s="1278" t="str">
        <f t="shared" si="159"/>
        <v>4Q15A</v>
      </c>
      <c r="CX85" s="31" t="str">
        <f t="shared" si="159"/>
        <v>2015A</v>
      </c>
      <c r="CY85" s="1278" t="str">
        <f t="shared" si="159"/>
        <v>1Q16A</v>
      </c>
      <c r="CZ85" s="1278" t="str">
        <f t="shared" si="159"/>
        <v>2Q16A</v>
      </c>
      <c r="DA85" s="1278" t="str">
        <f t="shared" si="159"/>
        <v>3Q16A</v>
      </c>
      <c r="DB85" s="1278" t="str">
        <f t="shared" si="159"/>
        <v>4Q16A</v>
      </c>
      <c r="DC85" s="31" t="str">
        <f t="shared" si="159"/>
        <v>2016A</v>
      </c>
      <c r="DD85" s="1278" t="str">
        <f t="shared" ref="DD85:DW85" si="160">DD75</f>
        <v>1Q17A</v>
      </c>
      <c r="DE85" s="1291" t="str">
        <f t="shared" si="160"/>
        <v>2Q17A</v>
      </c>
      <c r="DF85" s="1291" t="str">
        <f t="shared" si="160"/>
        <v>3Q17A</v>
      </c>
      <c r="DG85" s="1328" t="str">
        <f t="shared" si="160"/>
        <v>4Q17A</v>
      </c>
      <c r="DH85" s="31" t="str">
        <f t="shared" si="160"/>
        <v>2017A</v>
      </c>
      <c r="DI85" s="64" t="str">
        <f t="shared" si="160"/>
        <v>1Q18E</v>
      </c>
      <c r="DJ85" s="64" t="str">
        <f t="shared" si="160"/>
        <v>2Q18E</v>
      </c>
      <c r="DK85" s="64" t="str">
        <f t="shared" si="160"/>
        <v>3Q18E</v>
      </c>
      <c r="DL85" s="64" t="str">
        <f t="shared" si="160"/>
        <v>4Q18E</v>
      </c>
      <c r="DM85" s="31" t="str">
        <f t="shared" si="160"/>
        <v>2018E</v>
      </c>
      <c r="DN85" s="64" t="str">
        <f t="shared" si="160"/>
        <v>1Q19E</v>
      </c>
      <c r="DO85" s="64" t="str">
        <f t="shared" si="160"/>
        <v>2Q19E</v>
      </c>
      <c r="DP85" s="64" t="str">
        <f t="shared" si="160"/>
        <v>3Q19E</v>
      </c>
      <c r="DQ85" s="64" t="str">
        <f t="shared" si="160"/>
        <v>4Q19E</v>
      </c>
      <c r="DR85" s="31" t="str">
        <f t="shared" si="160"/>
        <v>2019E</v>
      </c>
      <c r="DS85" s="64" t="str">
        <f t="shared" si="160"/>
        <v>1Q20E</v>
      </c>
      <c r="DT85" s="64" t="str">
        <f t="shared" si="160"/>
        <v>2Q20E</v>
      </c>
      <c r="DU85" s="64" t="str">
        <f t="shared" si="160"/>
        <v>3Q20E</v>
      </c>
      <c r="DV85" s="64" t="str">
        <f t="shared" si="160"/>
        <v>4Q20E</v>
      </c>
      <c r="DW85" s="31" t="str">
        <f t="shared" si="160"/>
        <v>2020E</v>
      </c>
      <c r="EB85"/>
      <c r="EC85"/>
      <c r="ED85"/>
      <c r="EE85"/>
      <c r="EF85"/>
      <c r="EG85"/>
    </row>
    <row r="86" spans="1:137" s="286" customFormat="1">
      <c r="A86" s="579" t="s">
        <v>183</v>
      </c>
      <c r="B86" s="50"/>
      <c r="C86" s="50"/>
      <c r="D86" s="50"/>
      <c r="E86" s="50"/>
      <c r="F86" s="50"/>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285"/>
      <c r="AN86" s="50"/>
      <c r="AO86" s="50"/>
      <c r="AP86" s="50"/>
      <c r="AQ86" s="50"/>
      <c r="AR86" s="50"/>
      <c r="AS86" s="50"/>
      <c r="AT86" s="50"/>
      <c r="AU86" s="50"/>
      <c r="AV86" s="50"/>
      <c r="AW86" s="50"/>
      <c r="AX86" s="50"/>
      <c r="AY86" s="50"/>
      <c r="AZ86" s="50"/>
      <c r="BA86" s="218"/>
      <c r="BB86" s="218"/>
      <c r="BC86" s="218"/>
      <c r="BD86" s="218"/>
      <c r="BE86" s="218"/>
      <c r="BF86" s="218"/>
      <c r="BG86" s="218"/>
      <c r="BH86" s="218"/>
      <c r="BI86" s="218"/>
      <c r="BJ86" s="643"/>
      <c r="BK86" s="88"/>
      <c r="BL86" s="88"/>
      <c r="BM86" s="88"/>
      <c r="BN86" s="88"/>
      <c r="BO86" s="643"/>
      <c r="BP86" s="88"/>
      <c r="BQ86" s="88"/>
      <c r="BR86" s="88"/>
      <c r="BS86" s="88"/>
      <c r="BT86" s="121"/>
      <c r="BU86" s="88"/>
      <c r="BV86" s="88"/>
      <c r="BW86" s="88"/>
      <c r="BX86" s="88"/>
      <c r="BY86" s="643"/>
      <c r="BZ86" s="88"/>
      <c r="CA86" s="88"/>
      <c r="CB86" s="88"/>
      <c r="CC86" s="88"/>
      <c r="CD86" s="643"/>
      <c r="CE86" s="88"/>
      <c r="CF86" s="88"/>
      <c r="CG86" s="88"/>
      <c r="CH86" s="88">
        <v>0</v>
      </c>
      <c r="CI86" s="643">
        <f>CH86</f>
        <v>0</v>
      </c>
      <c r="CJ86" s="88">
        <v>0</v>
      </c>
      <c r="CK86" s="88">
        <v>350</v>
      </c>
      <c r="CL86" s="88">
        <v>350</v>
      </c>
      <c r="CM86" s="88">
        <v>570.625</v>
      </c>
      <c r="CN86" s="643">
        <v>570.625</v>
      </c>
      <c r="CO86" s="88">
        <v>563.40200000000004</v>
      </c>
      <c r="CP86" s="88">
        <v>556.17899999999997</v>
      </c>
      <c r="CQ86" s="88">
        <v>548.95500000000004</v>
      </c>
      <c r="CR86" s="88">
        <v>541.70000000000005</v>
      </c>
      <c r="CS86" s="643">
        <f t="shared" ref="CS86:CS91" si="161">CR86</f>
        <v>541.70000000000005</v>
      </c>
      <c r="CT86" s="88"/>
      <c r="CU86" s="88"/>
      <c r="CV86" s="88"/>
      <c r="CW86" s="93"/>
      <c r="CX86" s="643">
        <f>'CashFlow '!CX66</f>
        <v>-39.142000000000053</v>
      </c>
      <c r="CY86" s="392"/>
      <c r="CZ86" s="392"/>
      <c r="DA86" s="392"/>
      <c r="DB86" s="387"/>
      <c r="DC86" s="643">
        <f>'CashFlow '!DC66</f>
        <v>31.385000000000019</v>
      </c>
      <c r="DD86" s="88"/>
      <c r="DE86" s="88"/>
      <c r="DF86" s="88"/>
      <c r="DG86" s="88"/>
      <c r="DH86" s="643"/>
      <c r="DI86" s="93"/>
      <c r="DJ86" s="93"/>
      <c r="DK86" s="93"/>
      <c r="DL86" s="93"/>
      <c r="DM86" s="643"/>
      <c r="DN86" s="93"/>
      <c r="DO86" s="93"/>
      <c r="DP86" s="93"/>
      <c r="DQ86" s="93"/>
      <c r="DR86" s="643"/>
      <c r="DS86" s="93"/>
      <c r="DT86" s="93"/>
      <c r="DU86" s="93"/>
      <c r="DV86" s="93"/>
      <c r="DW86" s="643"/>
      <c r="EB86"/>
      <c r="EC86"/>
      <c r="ED86"/>
      <c r="EE86"/>
      <c r="EF86"/>
      <c r="EG86"/>
    </row>
    <row r="87" spans="1:137" s="286" customFormat="1">
      <c r="A87" s="579" t="s">
        <v>184</v>
      </c>
      <c r="B87" s="50"/>
      <c r="C87" s="50"/>
      <c r="D87" s="50"/>
      <c r="E87" s="50"/>
      <c r="F87" s="50"/>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285"/>
      <c r="AN87" s="50"/>
      <c r="AO87" s="50"/>
      <c r="AP87" s="50"/>
      <c r="AQ87" s="50"/>
      <c r="AR87" s="50"/>
      <c r="AS87" s="50"/>
      <c r="AT87" s="50"/>
      <c r="AU87" s="50"/>
      <c r="AV87" s="50"/>
      <c r="AW87" s="50"/>
      <c r="AX87" s="50"/>
      <c r="AY87" s="50"/>
      <c r="AZ87" s="50"/>
      <c r="BA87" s="218"/>
      <c r="BB87" s="218"/>
      <c r="BC87" s="218"/>
      <c r="BD87" s="218"/>
      <c r="BE87" s="218"/>
      <c r="BF87" s="218"/>
      <c r="BG87" s="218"/>
      <c r="BH87" s="218"/>
      <c r="BI87" s="218"/>
      <c r="BJ87" s="121"/>
      <c r="BK87" s="88"/>
      <c r="BL87" s="88"/>
      <c r="BM87" s="88"/>
      <c r="BN87" s="88"/>
      <c r="BO87" s="121"/>
      <c r="BP87" s="88"/>
      <c r="BQ87" s="88"/>
      <c r="BR87" s="88"/>
      <c r="BS87" s="88"/>
      <c r="BT87" s="121"/>
      <c r="BU87" s="88"/>
      <c r="BV87" s="88"/>
      <c r="BW87" s="88"/>
      <c r="BX87" s="88"/>
      <c r="BY87" s="121"/>
      <c r="BZ87" s="88"/>
      <c r="CA87" s="88"/>
      <c r="CB87" s="88"/>
      <c r="CC87" s="88"/>
      <c r="CD87" s="121"/>
      <c r="CE87" s="88"/>
      <c r="CF87" s="88"/>
      <c r="CG87" s="88"/>
      <c r="CH87" s="88">
        <v>1114.826</v>
      </c>
      <c r="CI87" s="121">
        <f t="shared" ref="CI87:CI93" si="162">CH87</f>
        <v>1114.826</v>
      </c>
      <c r="CJ87" s="88">
        <v>1109.6110000000001</v>
      </c>
      <c r="CK87" s="88">
        <v>769.375</v>
      </c>
      <c r="CL87" s="88">
        <v>769.375</v>
      </c>
      <c r="CM87" s="88">
        <v>767.452</v>
      </c>
      <c r="CN87" s="121">
        <v>767.452</v>
      </c>
      <c r="CO87" s="88">
        <v>765.52800000000002</v>
      </c>
      <c r="CP87" s="88">
        <v>763.60500000000002</v>
      </c>
      <c r="CQ87" s="88">
        <v>761.68200000000002</v>
      </c>
      <c r="CR87" s="88">
        <v>759.8</v>
      </c>
      <c r="CS87" s="121">
        <f t="shared" si="161"/>
        <v>759.8</v>
      </c>
      <c r="CT87" s="88"/>
      <c r="CU87" s="88"/>
      <c r="CV87" s="88"/>
      <c r="CW87" s="93"/>
      <c r="CX87" s="121"/>
      <c r="CY87" s="88"/>
      <c r="CZ87" s="88"/>
      <c r="DA87" s="88"/>
      <c r="DB87" s="93"/>
      <c r="DC87" s="121"/>
      <c r="DD87" s="88"/>
      <c r="DE87" s="88"/>
      <c r="DF87" s="88"/>
      <c r="DG87" s="88"/>
      <c r="DH87" s="121"/>
      <c r="DI87" s="93"/>
      <c r="DJ87" s="93"/>
      <c r="DK87" s="93"/>
      <c r="DL87" s="93"/>
      <c r="DM87" s="121"/>
      <c r="DN87" s="93"/>
      <c r="DO87" s="93"/>
      <c r="DP87" s="93"/>
      <c r="DQ87" s="93"/>
      <c r="DR87" s="121"/>
      <c r="DS87" s="93"/>
      <c r="DT87" s="93"/>
      <c r="DU87" s="93"/>
      <c r="DV87" s="93"/>
      <c r="DW87" s="121"/>
      <c r="EB87"/>
      <c r="EC87"/>
      <c r="ED87"/>
      <c r="EE87"/>
      <c r="EF87"/>
      <c r="EG87"/>
    </row>
    <row r="88" spans="1:137" s="286" customFormat="1">
      <c r="A88" s="579" t="s">
        <v>185</v>
      </c>
      <c r="B88" s="50"/>
      <c r="C88" s="50"/>
      <c r="D88" s="50"/>
      <c r="E88" s="50"/>
      <c r="F88" s="50"/>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285"/>
      <c r="AN88" s="50"/>
      <c r="AO88" s="50"/>
      <c r="AP88" s="50"/>
      <c r="AQ88" s="50"/>
      <c r="AR88" s="50"/>
      <c r="AS88" s="50"/>
      <c r="AT88" s="50"/>
      <c r="AU88" s="50"/>
      <c r="AV88" s="50"/>
      <c r="AW88" s="50"/>
      <c r="AX88" s="50"/>
      <c r="AY88" s="50"/>
      <c r="AZ88" s="50"/>
      <c r="BA88" s="218"/>
      <c r="BB88" s="218"/>
      <c r="BC88" s="218"/>
      <c r="BD88" s="218"/>
      <c r="BE88" s="218"/>
      <c r="BF88" s="218"/>
      <c r="BG88" s="218"/>
      <c r="BH88" s="218"/>
      <c r="BI88" s="218"/>
      <c r="BJ88" s="121"/>
      <c r="BK88" s="88"/>
      <c r="BL88" s="88"/>
      <c r="BM88" s="88"/>
      <c r="BN88" s="88"/>
      <c r="BO88" s="121"/>
      <c r="BP88" s="88"/>
      <c r="BQ88" s="88"/>
      <c r="BR88" s="88"/>
      <c r="BS88" s="88"/>
      <c r="BT88" s="121"/>
      <c r="BU88" s="88"/>
      <c r="BV88" s="88"/>
      <c r="BW88" s="88"/>
      <c r="BX88" s="88"/>
      <c r="BY88" s="121"/>
      <c r="BZ88" s="88"/>
      <c r="CA88" s="88"/>
      <c r="CB88" s="88"/>
      <c r="CC88" s="88"/>
      <c r="CD88" s="121"/>
      <c r="CE88" s="88"/>
      <c r="CF88" s="88"/>
      <c r="CG88" s="88"/>
      <c r="CH88" s="88">
        <v>225.94</v>
      </c>
      <c r="CI88" s="121">
        <f t="shared" si="162"/>
        <v>225.94</v>
      </c>
      <c r="CJ88" s="88">
        <v>225.78800000000001</v>
      </c>
      <c r="CK88" s="88">
        <v>225.62299999999999</v>
      </c>
      <c r="CL88" s="88">
        <v>225.58600000000001</v>
      </c>
      <c r="CM88" s="88">
        <v>0</v>
      </c>
      <c r="CN88" s="121">
        <v>0</v>
      </c>
      <c r="CO88" s="88">
        <v>0</v>
      </c>
      <c r="CP88" s="88">
        <v>0</v>
      </c>
      <c r="CQ88" s="88">
        <v>0</v>
      </c>
      <c r="CR88" s="88">
        <v>0</v>
      </c>
      <c r="CS88" s="121">
        <f t="shared" si="161"/>
        <v>0</v>
      </c>
      <c r="CT88" s="88"/>
      <c r="CU88" s="88"/>
      <c r="CV88" s="88"/>
      <c r="CW88" s="93"/>
      <c r="CX88" s="121"/>
      <c r="CY88" s="88"/>
      <c r="CZ88" s="88"/>
      <c r="DA88" s="88"/>
      <c r="DB88" s="93"/>
      <c r="DC88" s="121"/>
      <c r="DD88" s="88"/>
      <c r="DE88" s="88"/>
      <c r="DF88" s="88"/>
      <c r="DG88" s="88"/>
      <c r="DH88" s="121"/>
      <c r="DI88" s="93"/>
      <c r="DJ88" s="93"/>
      <c r="DK88" s="93"/>
      <c r="DL88" s="93"/>
      <c r="DM88" s="121"/>
      <c r="DN88" s="93"/>
      <c r="DO88" s="93"/>
      <c r="DP88" s="93"/>
      <c r="DQ88" s="93"/>
      <c r="DR88" s="121"/>
      <c r="DS88" s="93"/>
      <c r="DT88" s="93"/>
      <c r="DU88" s="93"/>
      <c r="DV88" s="93"/>
      <c r="DW88" s="121"/>
      <c r="EB88"/>
      <c r="EC88"/>
      <c r="ED88"/>
      <c r="EE88"/>
      <c r="EF88"/>
      <c r="EG88"/>
    </row>
    <row r="89" spans="1:137">
      <c r="A89" s="89" t="s">
        <v>186</v>
      </c>
      <c r="AK89" s="45">
        <v>0</v>
      </c>
      <c r="AL89" s="45">
        <v>0</v>
      </c>
      <c r="AM89" s="45">
        <v>0</v>
      </c>
      <c r="AN89" s="45">
        <v>0</v>
      </c>
      <c r="AO89" s="45">
        <v>0</v>
      </c>
      <c r="AP89" s="45">
        <v>0</v>
      </c>
      <c r="AQ89" s="45">
        <v>0</v>
      </c>
      <c r="AR89" s="45">
        <v>0</v>
      </c>
      <c r="AS89" s="45">
        <v>0</v>
      </c>
      <c r="AT89" s="45">
        <v>0</v>
      </c>
      <c r="AU89" s="45">
        <v>0</v>
      </c>
      <c r="AV89" s="45">
        <v>0</v>
      </c>
      <c r="AW89" s="45">
        <v>0</v>
      </c>
      <c r="AX89" s="45">
        <v>0</v>
      </c>
      <c r="AY89" s="45">
        <v>0</v>
      </c>
      <c r="AZ89" s="45"/>
      <c r="BE89" s="45"/>
      <c r="BJ89" s="45"/>
      <c r="BK89" s="518"/>
      <c r="BL89" s="518"/>
      <c r="BM89" s="518"/>
      <c r="BN89" s="518"/>
      <c r="BO89" s="518"/>
      <c r="BP89" s="518"/>
      <c r="BQ89" s="518"/>
      <c r="BR89" s="518"/>
      <c r="BS89" s="518"/>
      <c r="BT89" s="518"/>
      <c r="BU89" s="518"/>
      <c r="BV89" s="518"/>
      <c r="BX89" s="518"/>
      <c r="BY89" s="518"/>
      <c r="BZ89" s="518"/>
      <c r="CA89" s="518"/>
      <c r="CB89" s="518"/>
      <c r="CC89" s="518"/>
      <c r="CD89" s="518"/>
      <c r="CE89" s="518"/>
      <c r="CF89" s="518"/>
      <c r="CG89" s="518"/>
      <c r="CH89" s="518">
        <v>83.495999999999995</v>
      </c>
      <c r="CI89" s="519">
        <f t="shared" si="162"/>
        <v>83.495999999999995</v>
      </c>
      <c r="CJ89" s="518">
        <v>83.787999999999997</v>
      </c>
      <c r="CK89" s="518">
        <v>84.078999999999994</v>
      </c>
      <c r="CL89" s="518">
        <v>84.373000000000005</v>
      </c>
      <c r="CM89" s="518">
        <v>84.665999999999997</v>
      </c>
      <c r="CN89" s="519">
        <v>84.665999999999997</v>
      </c>
      <c r="CO89" s="518">
        <v>84.962000000000003</v>
      </c>
      <c r="CP89" s="518">
        <v>85.257999999999996</v>
      </c>
      <c r="CQ89" s="518">
        <v>85.555000000000007</v>
      </c>
      <c r="CR89" s="518">
        <v>85.8</v>
      </c>
      <c r="CS89" s="519">
        <f t="shared" si="161"/>
        <v>85.8</v>
      </c>
      <c r="CT89" s="518"/>
      <c r="CU89" s="518">
        <f>CR89</f>
        <v>85.8</v>
      </c>
      <c r="CV89" s="518">
        <f>CR89</f>
        <v>85.8</v>
      </c>
      <c r="CW89" s="518">
        <f>CR89</f>
        <v>85.8</v>
      </c>
      <c r="CX89" s="519"/>
      <c r="CY89" s="518">
        <f>CW89</f>
        <v>85.8</v>
      </c>
      <c r="CZ89" s="518">
        <f t="shared" ref="CZ89:DB90" si="163">CY89</f>
        <v>85.8</v>
      </c>
      <c r="DA89" s="518">
        <f t="shared" si="163"/>
        <v>85.8</v>
      </c>
      <c r="DB89" s="518">
        <f t="shared" si="163"/>
        <v>85.8</v>
      </c>
      <c r="DC89" s="519"/>
      <c r="DD89" s="518"/>
      <c r="DE89" s="518"/>
      <c r="DF89" s="518"/>
      <c r="DG89" s="518"/>
      <c r="DH89" s="519"/>
      <c r="DI89" s="518"/>
      <c r="DJ89" s="518"/>
      <c r="DK89" s="518"/>
      <c r="DL89" s="518"/>
      <c r="DM89" s="519"/>
      <c r="DN89" s="518"/>
      <c r="DO89" s="518"/>
      <c r="DP89" s="518"/>
      <c r="DQ89" s="518"/>
      <c r="DR89" s="519"/>
      <c r="DS89" s="518"/>
      <c r="DT89" s="518"/>
      <c r="DU89" s="518"/>
      <c r="DV89" s="518"/>
      <c r="DW89" s="519"/>
    </row>
    <row r="90" spans="1:137">
      <c r="A90" s="89" t="s">
        <v>187</v>
      </c>
      <c r="AY90" s="45"/>
      <c r="AZ90" s="45"/>
      <c r="BE90" s="45"/>
      <c r="BJ90" s="45"/>
      <c r="BK90" s="518"/>
      <c r="BL90" s="518"/>
      <c r="BM90" s="518"/>
      <c r="BN90" s="518"/>
      <c r="BO90" s="518"/>
      <c r="BP90" s="518"/>
      <c r="BQ90" s="518"/>
      <c r="BR90" s="518"/>
      <c r="BS90" s="518"/>
      <c r="BT90" s="518"/>
      <c r="BU90" s="518"/>
      <c r="BV90" s="518"/>
      <c r="BX90" s="518"/>
      <c r="BY90" s="518"/>
      <c r="BZ90" s="518"/>
      <c r="CA90" s="518"/>
      <c r="CB90" s="518"/>
      <c r="CC90" s="518"/>
      <c r="CD90" s="518"/>
      <c r="CE90" s="518"/>
      <c r="CF90" s="518"/>
      <c r="CG90" s="518"/>
      <c r="CH90" s="518">
        <v>32.594000000000001</v>
      </c>
      <c r="CI90" s="519">
        <f t="shared" si="162"/>
        <v>32.594000000000001</v>
      </c>
      <c r="CJ90" s="518">
        <v>36.005000000000003</v>
      </c>
      <c r="CK90" s="518">
        <v>36.743000000000002</v>
      </c>
      <c r="CL90" s="518">
        <v>37.537999999999997</v>
      </c>
      <c r="CM90" s="518">
        <v>40.731999999999999</v>
      </c>
      <c r="CN90" s="519">
        <v>40.731999999999999</v>
      </c>
      <c r="CO90" s="518">
        <v>47.677999999999997</v>
      </c>
      <c r="CP90" s="518">
        <v>49.048999999999999</v>
      </c>
      <c r="CQ90" s="518">
        <v>50.359000000000002</v>
      </c>
      <c r="CR90" s="518">
        <v>60.8</v>
      </c>
      <c r="CS90" s="519">
        <f t="shared" si="161"/>
        <v>60.8</v>
      </c>
      <c r="CT90" s="518"/>
      <c r="CU90" s="518">
        <f>CR90</f>
        <v>60.8</v>
      </c>
      <c r="CV90" s="518">
        <f>CR90</f>
        <v>60.8</v>
      </c>
      <c r="CW90" s="518">
        <f>CV90</f>
        <v>60.8</v>
      </c>
      <c r="CX90" s="519"/>
      <c r="CY90" s="518">
        <f>CW90</f>
        <v>60.8</v>
      </c>
      <c r="CZ90" s="518">
        <f t="shared" si="163"/>
        <v>60.8</v>
      </c>
      <c r="DA90" s="518">
        <f t="shared" si="163"/>
        <v>60.8</v>
      </c>
      <c r="DB90" s="518">
        <f t="shared" si="163"/>
        <v>60.8</v>
      </c>
      <c r="DC90" s="519"/>
      <c r="DD90" s="518"/>
      <c r="DE90" s="518"/>
      <c r="DF90" s="518"/>
      <c r="DG90" s="518"/>
      <c r="DH90" s="519"/>
      <c r="DI90" s="518"/>
      <c r="DJ90" s="518"/>
      <c r="DK90" s="518"/>
      <c r="DL90" s="518"/>
      <c r="DM90" s="519"/>
      <c r="DN90" s="518"/>
      <c r="DO90" s="518"/>
      <c r="DP90" s="518"/>
      <c r="DQ90" s="518"/>
      <c r="DR90" s="519"/>
      <c r="DS90" s="518"/>
      <c r="DT90" s="518"/>
      <c r="DU90" s="518"/>
      <c r="DV90" s="518"/>
      <c r="DW90" s="519"/>
    </row>
    <row r="91" spans="1:137" ht="15">
      <c r="A91" s="89" t="s">
        <v>333</v>
      </c>
      <c r="AY91" s="45"/>
      <c r="AZ91" s="45"/>
      <c r="BE91" s="45"/>
      <c r="BJ91" s="45"/>
      <c r="BK91" s="518"/>
      <c r="BL91" s="518"/>
      <c r="BM91" s="518"/>
      <c r="BN91" s="518"/>
      <c r="BO91" s="518"/>
      <c r="BP91" s="518"/>
      <c r="BQ91" s="518"/>
      <c r="BR91" s="518"/>
      <c r="BS91" s="518"/>
      <c r="BT91" s="518"/>
      <c r="BU91" s="518"/>
      <c r="BV91" s="518"/>
      <c r="BX91" s="518"/>
      <c r="BY91" s="518"/>
      <c r="BZ91" s="518"/>
      <c r="CA91" s="518"/>
      <c r="CB91" s="518"/>
      <c r="CC91" s="518"/>
      <c r="CD91" s="518"/>
      <c r="CE91" s="518"/>
      <c r="CF91" s="518"/>
      <c r="CG91" s="518"/>
      <c r="CH91" s="1094">
        <v>0.70599999999999996</v>
      </c>
      <c r="CI91" s="1095">
        <f t="shared" si="162"/>
        <v>0.70599999999999996</v>
      </c>
      <c r="CJ91" s="1094">
        <f>CJ92-SUM(CJ86:CJ90)</f>
        <v>0.35299999999983811</v>
      </c>
      <c r="CK91" s="1094">
        <v>5.3410000000000002</v>
      </c>
      <c r="CL91" s="1094">
        <v>5.05</v>
      </c>
      <c r="CM91" s="1094">
        <v>0.35199999999999998</v>
      </c>
      <c r="CN91" s="1095">
        <v>0.35199999999999998</v>
      </c>
      <c r="CO91" s="1094">
        <v>0</v>
      </c>
      <c r="CP91" s="1094">
        <v>0</v>
      </c>
      <c r="CQ91" s="1094">
        <v>0</v>
      </c>
      <c r="CR91" s="1094">
        <v>0</v>
      </c>
      <c r="CS91" s="1095">
        <f t="shared" si="161"/>
        <v>0</v>
      </c>
      <c r="CT91" s="518"/>
      <c r="CU91" s="518"/>
      <c r="CV91" s="518"/>
      <c r="CW91" s="518"/>
      <c r="CX91" s="519"/>
      <c r="CY91" s="518"/>
      <c r="CZ91" s="518"/>
      <c r="DA91" s="518"/>
      <c r="DB91" s="518"/>
      <c r="DC91" s="519"/>
      <c r="DD91" s="518"/>
      <c r="DE91" s="518"/>
      <c r="DF91" s="518"/>
      <c r="DG91" s="518"/>
      <c r="DH91" s="519"/>
      <c r="DI91" s="518"/>
      <c r="DJ91" s="518"/>
      <c r="DK91" s="518"/>
      <c r="DL91" s="518"/>
      <c r="DM91" s="519"/>
      <c r="DN91" s="518"/>
      <c r="DO91" s="518"/>
      <c r="DP91" s="518"/>
      <c r="DQ91" s="518"/>
      <c r="DR91" s="519"/>
      <c r="DS91" s="518"/>
      <c r="DT91" s="518"/>
      <c r="DU91" s="518"/>
      <c r="DV91" s="518"/>
      <c r="DW91" s="519"/>
    </row>
    <row r="92" spans="1:137">
      <c r="A92" s="89" t="s">
        <v>482</v>
      </c>
      <c r="AY92" s="45"/>
      <c r="AZ92" s="45"/>
      <c r="BE92" s="45"/>
      <c r="BJ92" s="45"/>
      <c r="BK92" s="518"/>
      <c r="BL92" s="518"/>
      <c r="BM92" s="518"/>
      <c r="BN92" s="518"/>
      <c r="BO92" s="518"/>
      <c r="BP92" s="518"/>
      <c r="BQ92" s="518"/>
      <c r="BR92" s="518"/>
      <c r="BS92" s="518"/>
      <c r="BT92" s="518"/>
      <c r="BU92" s="518"/>
      <c r="BV92" s="518"/>
      <c r="BX92" s="518"/>
      <c r="BY92" s="518"/>
      <c r="BZ92" s="518"/>
      <c r="CA92" s="518"/>
      <c r="CB92" s="518"/>
      <c r="CC92" s="518"/>
      <c r="CD92" s="518"/>
      <c r="CE92" s="518"/>
      <c r="CF92" s="518"/>
      <c r="CG92" s="518"/>
      <c r="CH92" s="518">
        <f>SUM(CH86:CH91)</f>
        <v>1457.5620000000001</v>
      </c>
      <c r="CI92" s="519">
        <f>SUM(CI86:CI91)</f>
        <v>1457.5620000000001</v>
      </c>
      <c r="CJ92" s="518">
        <f>CJ94-CJ93</f>
        <v>1455.5450000000001</v>
      </c>
      <c r="CK92" s="518">
        <f t="shared" ref="CK92:CQ92" si="164">SUM(CK86:CK91)</f>
        <v>1471.1609999999998</v>
      </c>
      <c r="CL92" s="518">
        <f t="shared" si="164"/>
        <v>1471.922</v>
      </c>
      <c r="CM92" s="518">
        <f t="shared" si="164"/>
        <v>1463.827</v>
      </c>
      <c r="CN92" s="519">
        <f t="shared" si="164"/>
        <v>1463.827</v>
      </c>
      <c r="CO92" s="518">
        <f t="shared" si="164"/>
        <v>1461.5700000000002</v>
      </c>
      <c r="CP92" s="518">
        <f t="shared" si="164"/>
        <v>1454.0910000000001</v>
      </c>
      <c r="CQ92" s="518">
        <f t="shared" si="164"/>
        <v>1446.5510000000002</v>
      </c>
      <c r="CR92" s="518">
        <f>SUM(CR86:CR91)</f>
        <v>1448.1</v>
      </c>
      <c r="CS92" s="519">
        <f>SUM(CS86:CS91)</f>
        <v>1448.1</v>
      </c>
      <c r="CT92" s="518"/>
      <c r="CU92" s="518"/>
      <c r="CV92" s="518"/>
      <c r="CW92" s="518"/>
      <c r="CX92" s="519"/>
      <c r="CY92" s="518"/>
      <c r="CZ92" s="518"/>
      <c r="DA92" s="518"/>
      <c r="DB92" s="518"/>
      <c r="DC92" s="519"/>
      <c r="DD92" s="518"/>
      <c r="DE92" s="518"/>
      <c r="DF92" s="518"/>
      <c r="DG92" s="518"/>
      <c r="DH92" s="519"/>
      <c r="DI92" s="518"/>
      <c r="DJ92" s="518"/>
      <c r="DK92" s="518"/>
      <c r="DL92" s="518"/>
      <c r="DM92" s="519"/>
      <c r="DN92" s="518"/>
      <c r="DO92" s="518"/>
      <c r="DP92" s="518"/>
      <c r="DQ92" s="518"/>
      <c r="DR92" s="519"/>
      <c r="DS92" s="518"/>
      <c r="DT92" s="518"/>
      <c r="DU92" s="518"/>
      <c r="DV92" s="518"/>
      <c r="DW92" s="519"/>
    </row>
    <row r="93" spans="1:137" ht="15">
      <c r="A93" s="89" t="s">
        <v>483</v>
      </c>
      <c r="AY93" s="45"/>
      <c r="AZ93" s="45"/>
      <c r="BE93" s="45"/>
      <c r="BJ93" s="45"/>
      <c r="BK93" s="518"/>
      <c r="BL93" s="518"/>
      <c r="BM93" s="518"/>
      <c r="BN93" s="518"/>
      <c r="BO93" s="518"/>
      <c r="BP93" s="518"/>
      <c r="BQ93" s="518"/>
      <c r="BR93" s="518"/>
      <c r="BS93" s="518"/>
      <c r="BT93" s="518"/>
      <c r="BU93" s="518"/>
      <c r="BV93" s="518"/>
      <c r="BX93" s="518"/>
      <c r="BY93" s="518"/>
      <c r="BZ93" s="518"/>
      <c r="CA93" s="518"/>
      <c r="CB93" s="518"/>
      <c r="CC93" s="518"/>
      <c r="CD93" s="518"/>
      <c r="CE93" s="518"/>
      <c r="CF93" s="518"/>
      <c r="CG93" s="518"/>
      <c r="CH93" s="1094">
        <v>-12.911</v>
      </c>
      <c r="CI93" s="1095">
        <f t="shared" si="162"/>
        <v>-12.911</v>
      </c>
      <c r="CJ93" s="1094">
        <f>-CJ33</f>
        <v>-13.803000000000001</v>
      </c>
      <c r="CK93" s="1094">
        <v>-248.876</v>
      </c>
      <c r="CL93" s="1094">
        <v>-38.26</v>
      </c>
      <c r="CM93" s="1094">
        <v>-38.542999999999999</v>
      </c>
      <c r="CN93" s="1095">
        <v>-38.542999999999999</v>
      </c>
      <c r="CO93" s="1094">
        <f>-CO33</f>
        <v>-37.814</v>
      </c>
      <c r="CP93" s="1094">
        <f>-CP33</f>
        <v>-37.68</v>
      </c>
      <c r="CQ93" s="1094">
        <f>-CQ33</f>
        <v>-37.484999999999999</v>
      </c>
      <c r="CR93" s="1094">
        <f>-CR33</f>
        <v>-53.777000000000001</v>
      </c>
      <c r="CS93" s="1095">
        <f>CR93</f>
        <v>-53.777000000000001</v>
      </c>
      <c r="CT93" s="518"/>
      <c r="CU93" s="518"/>
      <c r="CV93" s="518"/>
      <c r="CW93" s="518"/>
      <c r="CX93" s="519"/>
      <c r="CY93" s="518"/>
      <c r="CZ93" s="518"/>
      <c r="DA93" s="518"/>
      <c r="DB93" s="518"/>
      <c r="DC93" s="519"/>
      <c r="DD93" s="518"/>
      <c r="DE93" s="518"/>
      <c r="DF93" s="518"/>
      <c r="DG93" s="518"/>
      <c r="DH93" s="519"/>
      <c r="DI93" s="518"/>
      <c r="DJ93" s="518"/>
      <c r="DK93" s="518"/>
      <c r="DL93" s="518"/>
      <c r="DM93" s="519"/>
      <c r="DN93" s="518"/>
      <c r="DO93" s="518"/>
      <c r="DP93" s="518"/>
      <c r="DQ93" s="518"/>
      <c r="DR93" s="519"/>
      <c r="DS93" s="518"/>
      <c r="DT93" s="518"/>
      <c r="DU93" s="518"/>
      <c r="DV93" s="518"/>
      <c r="DW93" s="519"/>
    </row>
    <row r="94" spans="1:137">
      <c r="A94" s="89" t="s">
        <v>484</v>
      </c>
      <c r="AY94" s="45"/>
      <c r="AZ94" s="45"/>
      <c r="BE94" s="45"/>
      <c r="BJ94" s="45"/>
      <c r="BK94" s="518"/>
      <c r="BL94" s="518"/>
      <c r="BM94" s="518"/>
      <c r="BN94" s="518"/>
      <c r="BO94" s="518"/>
      <c r="BP94" s="518"/>
      <c r="BQ94" s="518"/>
      <c r="BR94" s="518"/>
      <c r="BS94" s="518"/>
      <c r="BT94" s="518"/>
      <c r="BU94" s="518"/>
      <c r="BV94" s="518"/>
      <c r="BX94" s="518"/>
      <c r="BY94" s="518"/>
      <c r="BZ94" s="518"/>
      <c r="CA94" s="518"/>
      <c r="CB94" s="518"/>
      <c r="CC94" s="518"/>
      <c r="CD94" s="518"/>
      <c r="CE94" s="518"/>
      <c r="CF94" s="518"/>
      <c r="CG94" s="518"/>
      <c r="CH94" s="518">
        <f>CH92+CH93</f>
        <v>1444.6510000000001</v>
      </c>
      <c r="CI94" s="519">
        <f>CI92+CI93</f>
        <v>1444.6510000000001</v>
      </c>
      <c r="CJ94" s="518">
        <f>CJ39</f>
        <v>1441.742</v>
      </c>
      <c r="CK94" s="518">
        <f t="shared" ref="CK94:CQ94" si="165">CK92+CK93</f>
        <v>1222.2849999999999</v>
      </c>
      <c r="CL94" s="518">
        <f t="shared" si="165"/>
        <v>1433.662</v>
      </c>
      <c r="CM94" s="518">
        <f t="shared" si="165"/>
        <v>1425.2840000000001</v>
      </c>
      <c r="CN94" s="519">
        <f t="shared" si="165"/>
        <v>1425.2840000000001</v>
      </c>
      <c r="CO94" s="518">
        <f t="shared" si="165"/>
        <v>1423.7560000000001</v>
      </c>
      <c r="CP94" s="518">
        <f t="shared" si="165"/>
        <v>1416.4110000000001</v>
      </c>
      <c r="CQ94" s="518">
        <f t="shared" si="165"/>
        <v>1409.0660000000003</v>
      </c>
      <c r="CR94" s="518">
        <f>CR92+CR93</f>
        <v>1394.3229999999999</v>
      </c>
      <c r="CS94" s="519">
        <f>CS92+CS93</f>
        <v>1394.3229999999999</v>
      </c>
      <c r="CT94" s="518">
        <f>CT39</f>
        <v>1392.309</v>
      </c>
      <c r="CU94" s="516" t="s">
        <v>551</v>
      </c>
      <c r="CV94" s="518"/>
      <c r="CW94" s="518"/>
      <c r="CX94" s="519"/>
      <c r="CY94" s="518"/>
      <c r="CZ94" s="518"/>
      <c r="DA94" s="518"/>
      <c r="DB94" s="518"/>
      <c r="DC94" s="519"/>
      <c r="DD94" s="518"/>
      <c r="DE94" s="518"/>
      <c r="DF94" s="518"/>
      <c r="DG94" s="518"/>
      <c r="DH94" s="519"/>
      <c r="DI94" s="518"/>
      <c r="DJ94" s="518"/>
      <c r="DK94" s="518"/>
      <c r="DL94" s="518"/>
      <c r="DM94" s="519"/>
      <c r="DN94" s="518"/>
      <c r="DO94" s="518"/>
      <c r="DP94" s="518"/>
      <c r="DQ94" s="518"/>
      <c r="DR94" s="519"/>
      <c r="DS94" s="518"/>
      <c r="DT94" s="518"/>
      <c r="DU94" s="518"/>
      <c r="DV94" s="518"/>
      <c r="DW94" s="519"/>
    </row>
    <row r="95" spans="1:137">
      <c r="A95" s="89"/>
      <c r="AY95" s="45"/>
      <c r="AZ95" s="45"/>
      <c r="BE95" s="45"/>
      <c r="BJ95" s="45"/>
      <c r="BK95" s="518"/>
      <c r="BL95" s="518"/>
      <c r="BM95" s="518"/>
      <c r="BN95" s="518"/>
      <c r="BO95" s="518"/>
      <c r="BP95" s="518"/>
      <c r="BQ95" s="518"/>
      <c r="BR95" s="518"/>
      <c r="BS95" s="518"/>
      <c r="BT95" s="518"/>
      <c r="BU95" s="518"/>
      <c r="BV95" s="518"/>
      <c r="BX95" s="518"/>
      <c r="BY95" s="518"/>
      <c r="BZ95" s="518"/>
      <c r="CA95" s="518"/>
      <c r="CB95" s="518"/>
      <c r="CC95" s="518"/>
      <c r="CD95" s="518"/>
      <c r="CE95" s="518"/>
      <c r="CF95" s="518"/>
      <c r="CG95" s="518"/>
      <c r="CH95" s="518"/>
      <c r="CI95" s="519"/>
      <c r="CJ95" s="518">
        <f t="shared" ref="CJ95:CQ95" si="166">CJ39-CJ94</f>
        <v>0</v>
      </c>
      <c r="CK95" s="518">
        <f t="shared" si="166"/>
        <v>0</v>
      </c>
      <c r="CL95" s="518">
        <f t="shared" si="166"/>
        <v>0</v>
      </c>
      <c r="CM95" s="518">
        <f t="shared" si="166"/>
        <v>9.9999999997635314E-4</v>
      </c>
      <c r="CN95" s="519">
        <f t="shared" si="166"/>
        <v>9.9999999997635314E-4</v>
      </c>
      <c r="CO95" s="518">
        <f t="shared" si="166"/>
        <v>0</v>
      </c>
      <c r="CP95" s="518">
        <f t="shared" si="166"/>
        <v>0</v>
      </c>
      <c r="CQ95" s="518">
        <f t="shared" si="166"/>
        <v>0</v>
      </c>
      <c r="CR95" s="518">
        <f>CR39-CR94</f>
        <v>4.3000000000120053E-2</v>
      </c>
      <c r="CS95" s="519">
        <f>CS39-CS94</f>
        <v>4.3000000000120053E-2</v>
      </c>
      <c r="CT95" s="518"/>
      <c r="CU95" s="518"/>
      <c r="CV95" s="518"/>
      <c r="CW95" s="518"/>
      <c r="CX95" s="519"/>
      <c r="CY95" s="518"/>
      <c r="CZ95" s="518"/>
      <c r="DA95" s="518"/>
      <c r="DB95" s="518"/>
      <c r="DC95" s="519"/>
      <c r="DD95" s="518"/>
      <c r="DE95" s="518"/>
      <c r="DF95" s="518"/>
      <c r="DG95" s="518"/>
      <c r="DH95" s="519"/>
      <c r="DI95" s="518"/>
      <c r="DJ95" s="518"/>
      <c r="DK95" s="518"/>
      <c r="DL95" s="518"/>
      <c r="DM95" s="519"/>
      <c r="DN95" s="518"/>
      <c r="DO95" s="518"/>
      <c r="DP95" s="518"/>
      <c r="DQ95" s="518"/>
      <c r="DR95" s="519"/>
      <c r="DS95" s="518"/>
      <c r="DT95" s="518"/>
      <c r="DU95" s="518"/>
      <c r="DV95" s="518"/>
      <c r="DW95" s="519"/>
    </row>
    <row r="96" spans="1:137">
      <c r="A96" s="175" t="s">
        <v>485</v>
      </c>
      <c r="AY96" s="45"/>
      <c r="AZ96" s="45"/>
      <c r="BE96" s="45"/>
      <c r="BJ96" s="45"/>
      <c r="BK96" s="518"/>
      <c r="BL96" s="518"/>
      <c r="BM96" s="518"/>
      <c r="BN96" s="518"/>
      <c r="BO96" s="518"/>
      <c r="BP96" s="518"/>
      <c r="BQ96" s="518"/>
      <c r="BR96" s="518"/>
      <c r="BS96" s="518"/>
      <c r="BT96" s="518"/>
      <c r="BU96" s="518"/>
      <c r="BV96" s="518"/>
      <c r="BX96" s="518"/>
      <c r="BY96" s="518"/>
      <c r="BZ96" s="518"/>
      <c r="CA96" s="518"/>
      <c r="CB96" s="518"/>
      <c r="CC96" s="518"/>
      <c r="CD96" s="518"/>
      <c r="CE96" s="518"/>
      <c r="CF96" s="518"/>
      <c r="CG96" s="518"/>
      <c r="CH96" s="518"/>
      <c r="CI96" s="519"/>
      <c r="CJ96" s="518"/>
      <c r="CK96" s="518"/>
      <c r="CL96" s="518"/>
      <c r="CM96" s="518"/>
      <c r="CN96" s="519"/>
      <c r="CO96" s="518"/>
      <c r="CP96" s="518"/>
      <c r="CQ96" s="518"/>
      <c r="CR96" s="518"/>
      <c r="CS96" s="519"/>
      <c r="CT96" s="518"/>
      <c r="CU96" s="518"/>
      <c r="CV96" s="518"/>
      <c r="CW96" s="518"/>
      <c r="CX96" s="519"/>
      <c r="CY96" s="518"/>
      <c r="CZ96" s="518"/>
      <c r="DA96" s="518"/>
      <c r="DB96" s="518"/>
      <c r="DC96" s="519"/>
      <c r="DD96" s="518"/>
      <c r="DE96" s="518"/>
      <c r="DF96" s="518"/>
      <c r="DG96" s="518"/>
      <c r="DH96" s="519"/>
      <c r="DI96" s="518"/>
      <c r="DJ96" s="518"/>
      <c r="DK96" s="518"/>
      <c r="DL96" s="518"/>
      <c r="DM96" s="519"/>
      <c r="DN96" s="518"/>
      <c r="DO96" s="518"/>
      <c r="DP96" s="518"/>
      <c r="DQ96" s="518"/>
      <c r="DR96" s="519"/>
      <c r="DS96" s="518"/>
      <c r="DT96" s="518"/>
      <c r="DU96" s="518"/>
      <c r="DV96" s="518"/>
      <c r="DW96" s="519"/>
    </row>
    <row r="97" spans="1:129">
      <c r="A97" s="579" t="s">
        <v>486</v>
      </c>
      <c r="AY97" s="45"/>
      <c r="AZ97" s="45"/>
      <c r="BE97" s="45"/>
      <c r="BJ97" s="45"/>
      <c r="BK97" s="518"/>
      <c r="BL97" s="518"/>
      <c r="BM97" s="518"/>
      <c r="BN97" s="518"/>
      <c r="BO97" s="518"/>
      <c r="BP97" s="518"/>
      <c r="BQ97" s="518"/>
      <c r="BR97" s="518"/>
      <c r="BS97" s="518"/>
      <c r="BT97" s="518"/>
      <c r="BU97" s="518"/>
      <c r="BV97" s="518"/>
      <c r="BX97" s="518"/>
      <c r="BY97" s="518"/>
      <c r="BZ97" s="518"/>
      <c r="CA97" s="518"/>
      <c r="CB97" s="518"/>
      <c r="CC97" s="518"/>
      <c r="CD97" s="518"/>
      <c r="CE97" s="518"/>
      <c r="CF97" s="518"/>
      <c r="CG97" s="518"/>
      <c r="CH97" s="860"/>
      <c r="CI97" s="871"/>
      <c r="CJ97" s="860"/>
      <c r="CK97" s="860">
        <v>2.4400000000000002E-2</v>
      </c>
      <c r="CL97" s="860">
        <v>2.4299999999999999E-2</v>
      </c>
      <c r="CM97" s="860">
        <v>2.4299999999999999E-2</v>
      </c>
      <c r="CN97" s="871"/>
      <c r="CO97" s="860">
        <f t="shared" ref="CO97:CQ98" si="167">CP97</f>
        <v>2.41E-2</v>
      </c>
      <c r="CP97" s="860">
        <f t="shared" si="167"/>
        <v>2.41E-2</v>
      </c>
      <c r="CQ97" s="860">
        <f t="shared" si="167"/>
        <v>2.41E-2</v>
      </c>
      <c r="CR97" s="860">
        <f>CS97</f>
        <v>2.41E-2</v>
      </c>
      <c r="CS97" s="871">
        <v>2.41E-2</v>
      </c>
      <c r="CT97" s="518"/>
      <c r="CU97" s="518"/>
      <c r="CV97" s="518"/>
      <c r="CW97" s="518"/>
      <c r="CX97" s="519"/>
      <c r="CY97" s="518"/>
      <c r="CZ97" s="518"/>
      <c r="DA97" s="518"/>
      <c r="DB97" s="518"/>
      <c r="DC97" s="519"/>
      <c r="DD97" s="518"/>
      <c r="DE97" s="518"/>
      <c r="DF97" s="518"/>
      <c r="DG97" s="518"/>
      <c r="DH97" s="519"/>
      <c r="DI97" s="518"/>
      <c r="DJ97" s="518"/>
      <c r="DK97" s="518"/>
      <c r="DL97" s="518"/>
      <c r="DM97" s="519"/>
      <c r="DN97" s="518"/>
      <c r="DO97" s="518"/>
      <c r="DP97" s="518"/>
      <c r="DQ97" s="518"/>
      <c r="DR97" s="519"/>
      <c r="DS97" s="518"/>
      <c r="DT97" s="518"/>
      <c r="DU97" s="518"/>
      <c r="DV97" s="518"/>
      <c r="DW97" s="519"/>
    </row>
    <row r="98" spans="1:129">
      <c r="A98" s="579" t="s">
        <v>487</v>
      </c>
      <c r="AY98" s="45"/>
      <c r="AZ98" s="45"/>
      <c r="BE98" s="45"/>
      <c r="BJ98" s="45"/>
      <c r="BK98" s="518"/>
      <c r="BL98" s="518"/>
      <c r="BM98" s="518"/>
      <c r="BN98" s="518"/>
      <c r="BO98" s="518"/>
      <c r="BP98" s="518"/>
      <c r="BQ98" s="518"/>
      <c r="BR98" s="518"/>
      <c r="BS98" s="518"/>
      <c r="BT98" s="518"/>
      <c r="BU98" s="518"/>
      <c r="BV98" s="518"/>
      <c r="BX98" s="518"/>
      <c r="BY98" s="518"/>
      <c r="BZ98" s="518"/>
      <c r="CA98" s="518"/>
      <c r="CB98" s="518"/>
      <c r="CC98" s="518"/>
      <c r="CD98" s="518"/>
      <c r="CE98" s="518"/>
      <c r="CF98" s="518"/>
      <c r="CG98" s="518"/>
      <c r="CH98" s="860"/>
      <c r="CI98" s="871"/>
      <c r="CJ98" s="860">
        <v>3.2500000000000001E-2</v>
      </c>
      <c r="CK98" s="860">
        <v>3.2500000000000001E-2</v>
      </c>
      <c r="CL98" s="860">
        <v>3.2500000000000001E-2</v>
      </c>
      <c r="CM98" s="860">
        <v>3.2500000000000001E-2</v>
      </c>
      <c r="CN98" s="871"/>
      <c r="CO98" s="860">
        <f t="shared" si="167"/>
        <v>3.2500000000000001E-2</v>
      </c>
      <c r="CP98" s="860">
        <f t="shared" si="167"/>
        <v>3.2500000000000001E-2</v>
      </c>
      <c r="CQ98" s="860">
        <f t="shared" si="167"/>
        <v>3.2500000000000001E-2</v>
      </c>
      <c r="CR98" s="860">
        <f>CS98</f>
        <v>3.2500000000000001E-2</v>
      </c>
      <c r="CS98" s="871">
        <v>3.2500000000000001E-2</v>
      </c>
      <c r="CT98" s="518"/>
      <c r="CU98" s="518"/>
      <c r="CV98" s="518"/>
      <c r="CW98" s="518"/>
      <c r="CX98" s="519"/>
      <c r="CY98" s="518"/>
      <c r="CZ98" s="518"/>
      <c r="DA98" s="518"/>
      <c r="DB98" s="518"/>
      <c r="DC98" s="519"/>
      <c r="DD98" s="518"/>
      <c r="DE98" s="518"/>
      <c r="DF98" s="518"/>
      <c r="DG98" s="518"/>
      <c r="DH98" s="519"/>
      <c r="DI98" s="518"/>
      <c r="DJ98" s="518"/>
      <c r="DK98" s="518"/>
      <c r="DL98" s="518"/>
      <c r="DM98" s="519"/>
      <c r="DN98" s="518"/>
      <c r="DO98" s="518"/>
      <c r="DP98" s="518"/>
      <c r="DQ98" s="518"/>
      <c r="DR98" s="519"/>
      <c r="DS98" s="518"/>
      <c r="DT98" s="518"/>
      <c r="DU98" s="518"/>
      <c r="DV98" s="518"/>
      <c r="DW98" s="519"/>
    </row>
    <row r="99" spans="1:129">
      <c r="A99" s="579" t="s">
        <v>185</v>
      </c>
      <c r="AY99" s="45"/>
      <c r="AZ99" s="45"/>
      <c r="BE99" s="45"/>
      <c r="BJ99" s="45"/>
      <c r="BK99" s="518"/>
      <c r="BL99" s="518"/>
      <c r="BM99" s="518"/>
      <c r="BN99" s="518"/>
      <c r="BO99" s="518"/>
      <c r="BP99" s="518"/>
      <c r="BQ99" s="518"/>
      <c r="BR99" s="518"/>
      <c r="BS99" s="518"/>
      <c r="BT99" s="518"/>
      <c r="BU99" s="518"/>
      <c r="BV99" s="518"/>
      <c r="BX99" s="518"/>
      <c r="BY99" s="518"/>
      <c r="BZ99" s="518"/>
      <c r="CA99" s="518"/>
      <c r="CB99" s="518"/>
      <c r="CC99" s="518"/>
      <c r="CD99" s="518"/>
      <c r="CE99" s="518"/>
      <c r="CF99" s="518"/>
      <c r="CG99" s="518"/>
      <c r="CH99" s="860">
        <v>6.2E-2</v>
      </c>
      <c r="CI99" s="871">
        <v>6.2E-2</v>
      </c>
      <c r="CJ99" s="860">
        <v>6.2E-2</v>
      </c>
      <c r="CK99" s="860">
        <v>6.2E-2</v>
      </c>
      <c r="CL99" s="860">
        <v>6.2E-2</v>
      </c>
      <c r="CM99" s="860">
        <v>6.2E-2</v>
      </c>
      <c r="CN99" s="871">
        <v>6.2E-2</v>
      </c>
      <c r="CO99" s="46">
        <f t="shared" ref="CO99:CQ100" si="168">CP99</f>
        <v>6.2E-2</v>
      </c>
      <c r="CP99" s="46">
        <f t="shared" si="168"/>
        <v>6.2E-2</v>
      </c>
      <c r="CQ99" s="46">
        <f t="shared" si="168"/>
        <v>6.2E-2</v>
      </c>
      <c r="CR99" s="46">
        <f>CS99</f>
        <v>6.2E-2</v>
      </c>
      <c r="CS99" s="871">
        <v>6.2E-2</v>
      </c>
      <c r="CT99" s="518"/>
      <c r="CU99" s="518"/>
      <c r="CV99" s="518"/>
      <c r="CW99" s="518"/>
      <c r="CX99" s="519"/>
      <c r="CY99" s="518"/>
      <c r="CZ99" s="518"/>
      <c r="DA99" s="518"/>
      <c r="DB99" s="518"/>
      <c r="DC99" s="519"/>
      <c r="DD99" s="518"/>
      <c r="DE99" s="518"/>
      <c r="DF99" s="518"/>
      <c r="DG99" s="518"/>
      <c r="DH99" s="519"/>
      <c r="DI99" s="518"/>
      <c r="DJ99" s="518"/>
      <c r="DK99" s="518"/>
      <c r="DL99" s="518"/>
      <c r="DM99" s="519"/>
      <c r="DN99" s="518"/>
      <c r="DO99" s="518"/>
      <c r="DP99" s="518"/>
      <c r="DQ99" s="518"/>
      <c r="DR99" s="519"/>
      <c r="DS99" s="518"/>
      <c r="DT99" s="518"/>
      <c r="DU99" s="518"/>
      <c r="DV99" s="518"/>
      <c r="DW99" s="519"/>
    </row>
    <row r="100" spans="1:129">
      <c r="A100" s="89" t="s">
        <v>186</v>
      </c>
      <c r="AY100" s="45"/>
      <c r="AZ100" s="45"/>
      <c r="BE100" s="45"/>
      <c r="BJ100" s="45"/>
      <c r="BK100" s="518"/>
      <c r="BL100" s="518"/>
      <c r="BM100" s="518"/>
      <c r="BN100" s="518"/>
      <c r="BO100" s="518"/>
      <c r="BP100" s="518"/>
      <c r="BQ100" s="518"/>
      <c r="BR100" s="518"/>
      <c r="BS100" s="518"/>
      <c r="BT100" s="518"/>
      <c r="BU100" s="518"/>
      <c r="BV100" s="518"/>
      <c r="BX100" s="518"/>
      <c r="BY100" s="518"/>
      <c r="BZ100" s="518"/>
      <c r="CA100" s="518"/>
      <c r="CB100" s="518"/>
      <c r="CC100" s="518"/>
      <c r="CD100" s="518"/>
      <c r="CE100" s="518"/>
      <c r="CF100" s="518"/>
      <c r="CG100" s="518"/>
      <c r="CH100" s="860"/>
      <c r="CI100" s="871"/>
      <c r="CJ100" s="46">
        <v>7.0000000000000007E-2</v>
      </c>
      <c r="CK100" s="46">
        <v>7.0000000000000007E-2</v>
      </c>
      <c r="CL100" s="46">
        <v>7.0000000000000007E-2</v>
      </c>
      <c r="CM100" s="46">
        <v>7.0000000000000007E-2</v>
      </c>
      <c r="CN100" s="871"/>
      <c r="CO100" s="46">
        <f t="shared" si="168"/>
        <v>7.0000000000000007E-2</v>
      </c>
      <c r="CP100" s="46">
        <f t="shared" si="168"/>
        <v>7.0000000000000007E-2</v>
      </c>
      <c r="CQ100" s="46">
        <f t="shared" si="168"/>
        <v>7.0000000000000007E-2</v>
      </c>
      <c r="CR100" s="46">
        <f>CS100</f>
        <v>7.0000000000000007E-2</v>
      </c>
      <c r="CS100" s="871">
        <v>7.0000000000000007E-2</v>
      </c>
      <c r="CT100" s="518"/>
      <c r="CU100" s="518"/>
      <c r="CV100" s="518"/>
      <c r="CW100" s="518"/>
      <c r="CX100" s="519"/>
      <c r="CY100" s="518"/>
      <c r="CZ100" s="518"/>
      <c r="DA100" s="518"/>
      <c r="DB100" s="518"/>
      <c r="DC100" s="519"/>
      <c r="DD100" s="518"/>
      <c r="DE100" s="518"/>
      <c r="DF100" s="518"/>
      <c r="DG100" s="518"/>
      <c r="DH100" s="519"/>
      <c r="DI100" s="518"/>
      <c r="DJ100" s="518"/>
      <c r="DK100" s="518"/>
      <c r="DL100" s="518"/>
      <c r="DM100" s="519"/>
      <c r="DN100" s="518"/>
      <c r="DO100" s="518"/>
      <c r="DP100" s="518"/>
      <c r="DQ100" s="518"/>
      <c r="DR100" s="519"/>
      <c r="DS100" s="518"/>
      <c r="DT100" s="518"/>
      <c r="DU100" s="518"/>
      <c r="DV100" s="518"/>
      <c r="DW100" s="519"/>
    </row>
    <row r="101" spans="1:129">
      <c r="A101" s="184" t="s">
        <v>187</v>
      </c>
      <c r="B101" s="52"/>
      <c r="C101" s="52"/>
      <c r="D101" s="52"/>
      <c r="E101" s="52"/>
      <c r="F101" s="52"/>
      <c r="G101" s="52"/>
      <c r="H101" s="52"/>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1129"/>
      <c r="BL101" s="1129"/>
      <c r="BM101" s="1129"/>
      <c r="BN101" s="1129"/>
      <c r="BO101" s="1129"/>
      <c r="BP101" s="1129"/>
      <c r="BQ101" s="1129"/>
      <c r="BR101" s="1129"/>
      <c r="BS101" s="1129"/>
      <c r="BT101" s="1129"/>
      <c r="BU101" s="1129"/>
      <c r="BV101" s="1129"/>
      <c r="BW101" s="1129"/>
      <c r="BX101" s="1129"/>
      <c r="BY101" s="1129"/>
      <c r="BZ101" s="1129"/>
      <c r="CA101" s="1129"/>
      <c r="CB101" s="1129"/>
      <c r="CC101" s="1129"/>
      <c r="CD101" s="1129"/>
      <c r="CE101" s="1129"/>
      <c r="CF101" s="1129"/>
      <c r="CG101" s="1129"/>
      <c r="CH101" s="1285"/>
      <c r="CI101" s="1286"/>
      <c r="CJ101" s="1285"/>
      <c r="CK101" s="1285"/>
      <c r="CL101" s="1129"/>
      <c r="CM101" s="1129"/>
      <c r="CN101" s="1286"/>
      <c r="CO101" s="1129"/>
      <c r="CP101" s="1129"/>
      <c r="CQ101" s="1129"/>
      <c r="CR101" s="1129"/>
      <c r="CS101" s="1286"/>
      <c r="CT101" s="1129"/>
      <c r="CU101" s="1129"/>
      <c r="CV101" s="1129"/>
      <c r="CW101" s="1129"/>
      <c r="CX101" s="1287"/>
      <c r="CY101" s="1129"/>
      <c r="CZ101" s="1129"/>
      <c r="DA101" s="1129"/>
      <c r="DB101" s="1129"/>
      <c r="DC101" s="1287"/>
      <c r="DD101" s="1129"/>
      <c r="DE101" s="1129"/>
      <c r="DF101" s="1129"/>
      <c r="DG101" s="1129"/>
      <c r="DH101" s="1287"/>
      <c r="DI101" s="1129"/>
      <c r="DJ101" s="1129"/>
      <c r="DK101" s="1129"/>
      <c r="DL101" s="1129"/>
      <c r="DM101" s="1287"/>
      <c r="DN101" s="1129"/>
      <c r="DO101" s="1129"/>
      <c r="DP101" s="1129"/>
      <c r="DQ101" s="1129"/>
      <c r="DR101" s="1287"/>
      <c r="DS101" s="1129"/>
      <c r="DT101" s="1129"/>
      <c r="DU101" s="1129"/>
      <c r="DV101" s="1129"/>
      <c r="DW101" s="1287"/>
    </row>
    <row r="102" spans="1:129" ht="11.25" hidden="1" customHeight="1" outlineLevel="1">
      <c r="A102" s="47" t="s">
        <v>333</v>
      </c>
      <c r="AK102" s="41"/>
      <c r="AL102" s="41"/>
      <c r="AM102" s="41"/>
      <c r="AN102" s="41"/>
      <c r="AO102" s="41"/>
      <c r="AP102" s="41"/>
      <c r="AQ102" s="41"/>
      <c r="AR102" s="41"/>
      <c r="AS102" s="41"/>
      <c r="AT102" s="41"/>
      <c r="AU102" s="41"/>
      <c r="AV102" s="41"/>
      <c r="AW102" s="41"/>
      <c r="AX102" s="41"/>
      <c r="AY102" s="41"/>
      <c r="AZ102" s="41"/>
      <c r="BA102" s="41"/>
      <c r="BB102" s="41"/>
      <c r="BC102" s="41"/>
      <c r="BD102" s="41"/>
      <c r="BF102" s="41"/>
      <c r="BG102" s="41"/>
      <c r="BH102" s="41"/>
      <c r="BI102" s="41"/>
      <c r="BK102" s="518"/>
      <c r="BL102" s="518"/>
      <c r="BM102" s="518"/>
      <c r="BN102" s="518"/>
      <c r="BO102" s="518"/>
      <c r="BP102" s="518"/>
      <c r="BQ102" s="518"/>
      <c r="BR102" s="518"/>
      <c r="BS102" s="518"/>
      <c r="BT102" s="518"/>
      <c r="BU102" s="518"/>
      <c r="BV102" s="518"/>
      <c r="BX102" s="518"/>
      <c r="BY102" s="518"/>
      <c r="BZ102" s="518"/>
      <c r="CA102" s="518"/>
      <c r="CB102" s="518"/>
      <c r="CC102" s="518"/>
      <c r="CD102" s="518"/>
      <c r="CE102" s="518"/>
      <c r="CF102" s="518"/>
      <c r="CG102" s="518"/>
      <c r="CH102" s="860"/>
      <c r="CI102" s="871"/>
      <c r="CJ102" s="860"/>
      <c r="CK102" s="860"/>
      <c r="CL102" s="518"/>
      <c r="CM102" s="518"/>
      <c r="CN102" s="871"/>
      <c r="CO102" s="518"/>
      <c r="CP102" s="518"/>
      <c r="CQ102" s="518"/>
      <c r="CR102" s="518"/>
      <c r="CS102" s="871"/>
      <c r="CT102" s="518"/>
      <c r="CU102" s="518"/>
      <c r="CV102" s="518"/>
      <c r="CW102" s="518"/>
      <c r="CX102" s="518"/>
      <c r="CY102" s="518"/>
      <c r="CZ102" s="518"/>
      <c r="DA102" s="518"/>
      <c r="DB102" s="518"/>
      <c r="DC102" s="518"/>
      <c r="DD102" s="518"/>
      <c r="DE102" s="518"/>
      <c r="DF102" s="518"/>
      <c r="DG102" s="518"/>
      <c r="DH102" s="518"/>
      <c r="DI102" s="518"/>
      <c r="DJ102" s="518"/>
      <c r="DK102" s="518"/>
      <c r="DL102" s="518"/>
      <c r="DM102" s="518"/>
      <c r="DN102" s="518"/>
      <c r="DO102" s="518"/>
      <c r="DP102" s="518"/>
      <c r="DQ102" s="518"/>
      <c r="DR102" s="518"/>
      <c r="DS102" s="518"/>
      <c r="DT102" s="518"/>
      <c r="DU102" s="518"/>
      <c r="DV102" s="518"/>
      <c r="DW102" s="518"/>
    </row>
    <row r="103" spans="1:129" ht="11.25" hidden="1" customHeight="1" outlineLevel="1">
      <c r="A103" s="47" t="s">
        <v>488</v>
      </c>
      <c r="AK103" s="41"/>
      <c r="AL103" s="41"/>
      <c r="AM103" s="41"/>
      <c r="AN103" s="41"/>
      <c r="AO103" s="41"/>
      <c r="AP103" s="41"/>
      <c r="AQ103" s="41"/>
      <c r="AR103" s="41"/>
      <c r="AS103" s="41"/>
      <c r="AT103" s="41"/>
      <c r="AU103" s="41"/>
      <c r="AV103" s="41"/>
      <c r="AW103" s="41"/>
      <c r="AX103" s="41"/>
      <c r="AY103" s="41"/>
      <c r="AZ103" s="41"/>
      <c r="BA103" s="41"/>
      <c r="BB103" s="41"/>
      <c r="BC103" s="41"/>
      <c r="BD103" s="41"/>
      <c r="BF103" s="41"/>
      <c r="BG103" s="41"/>
      <c r="BH103" s="41"/>
      <c r="BI103" s="41"/>
      <c r="BK103" s="518"/>
      <c r="BL103" s="518"/>
      <c r="BM103" s="518"/>
      <c r="BN103" s="518"/>
      <c r="BO103" s="518"/>
      <c r="BP103" s="518"/>
      <c r="BQ103" s="518"/>
      <c r="BR103" s="518"/>
      <c r="BS103" s="518"/>
      <c r="BT103" s="518"/>
      <c r="BU103" s="518"/>
      <c r="BV103" s="518"/>
      <c r="BX103" s="518"/>
      <c r="BY103" s="518"/>
      <c r="BZ103" s="518"/>
      <c r="CA103" s="518"/>
      <c r="CB103" s="518"/>
      <c r="CC103" s="518"/>
      <c r="CD103" s="518"/>
      <c r="CE103" s="518"/>
      <c r="CF103" s="518"/>
      <c r="CG103" s="518"/>
      <c r="CH103" s="518"/>
      <c r="CI103" s="519"/>
      <c r="CJ103" s="46">
        <f>CJ86/CJ92*CJ97+CJ87/CJ92*CJ98+CJ88/CJ92*CJ99+CJ89/CJ92*CJ100+CJ90/CJ92*0.08</f>
        <v>4.0401893105331682E-2</v>
      </c>
      <c r="CK103" s="46">
        <f>CK86/CK92*CK97+CK87/CK92*CK98+CK88/CK92*CK99+CK89/CK92*CK100+CK90/CK92*0.08</f>
        <v>3.8308712302732341E-2</v>
      </c>
      <c r="CL103" s="46">
        <f>CL86/CL92*CL97+CL87/CL92*CL98+CL88/CL92*CL99+CL89/CL92*CL100+CL90/CL92*0.08</f>
        <v>3.8320759863634084E-2</v>
      </c>
      <c r="CM103" s="46">
        <f>CM86/CM92*CM97+CM87/CM92*CM98+CM88/CM92*CM99+CM89/CM92*CM100+CM90/CM92*0.08</f>
        <v>3.2786358975480025E-2</v>
      </c>
      <c r="CN103" s="519"/>
      <c r="CO103" s="518"/>
      <c r="CP103" s="518"/>
      <c r="CQ103" s="518"/>
      <c r="CR103" s="518"/>
      <c r="CS103" s="519"/>
      <c r="CT103" s="518"/>
      <c r="CU103" s="518"/>
      <c r="CV103" s="518"/>
      <c r="CW103" s="518"/>
      <c r="CX103" s="518"/>
      <c r="CY103" s="518"/>
      <c r="CZ103" s="518"/>
      <c r="DA103" s="518"/>
      <c r="DB103" s="518"/>
      <c r="DC103" s="518"/>
      <c r="DD103" s="518"/>
      <c r="DE103" s="518"/>
      <c r="DF103" s="518"/>
      <c r="DG103" s="518"/>
      <c r="DH103" s="518"/>
      <c r="DI103" s="518"/>
      <c r="DJ103" s="518"/>
      <c r="DK103" s="518"/>
      <c r="DL103" s="518"/>
      <c r="DM103" s="518"/>
      <c r="DN103" s="518"/>
      <c r="DO103" s="518"/>
      <c r="DP103" s="518"/>
      <c r="DQ103" s="518"/>
      <c r="DR103" s="518"/>
      <c r="DS103" s="518"/>
      <c r="DT103" s="518"/>
      <c r="DU103" s="518"/>
      <c r="DV103" s="518"/>
      <c r="DW103" s="518"/>
    </row>
    <row r="104" spans="1:129" collapsed="1">
      <c r="A104" s="45"/>
      <c r="AY104" s="45"/>
      <c r="AZ104" s="45"/>
      <c r="BE104" s="45"/>
      <c r="BJ104" s="45"/>
      <c r="BK104" s="518"/>
      <c r="BL104" s="518"/>
      <c r="BM104" s="518"/>
      <c r="BN104" s="518"/>
      <c r="BO104" s="518"/>
      <c r="BP104" s="518"/>
      <c r="BQ104" s="518"/>
      <c r="BR104" s="518"/>
      <c r="BS104" s="518"/>
      <c r="BT104" s="518"/>
      <c r="BU104" s="518"/>
      <c r="BV104" s="518"/>
      <c r="BX104" s="518"/>
      <c r="BY104" s="518"/>
      <c r="BZ104" s="518"/>
      <c r="CA104" s="518"/>
      <c r="CB104" s="518"/>
      <c r="CC104" s="518"/>
      <c r="CD104" s="518"/>
      <c r="CE104" s="518"/>
      <c r="CF104" s="518"/>
      <c r="CG104" s="518"/>
      <c r="CH104" s="518"/>
      <c r="CI104" s="518"/>
      <c r="CJ104" s="518"/>
      <c r="CK104" s="518"/>
      <c r="CL104" s="518"/>
      <c r="CM104" s="518"/>
      <c r="CN104" s="518"/>
      <c r="CO104" s="518"/>
      <c r="CP104" s="518"/>
      <c r="CQ104" s="518"/>
      <c r="CR104" s="518"/>
      <c r="CS104" s="518"/>
      <c r="CT104" s="518"/>
      <c r="CU104" s="518"/>
      <c r="CV104" s="518"/>
      <c r="CW104" s="518"/>
      <c r="CX104" s="518"/>
      <c r="CY104" s="518"/>
      <c r="CZ104" s="518"/>
      <c r="DA104" s="518"/>
      <c r="DB104" s="518"/>
      <c r="DC104" s="518"/>
      <c r="DD104" s="518"/>
      <c r="DE104" s="518"/>
      <c r="DF104" s="518"/>
      <c r="DG104" s="518"/>
      <c r="DH104" s="518"/>
      <c r="DI104" s="518"/>
      <c r="DJ104" s="518"/>
      <c r="DK104" s="518"/>
      <c r="DL104" s="518"/>
      <c r="DM104" s="518"/>
      <c r="DN104" s="518"/>
      <c r="DO104" s="518"/>
      <c r="DP104" s="518"/>
      <c r="DQ104" s="518"/>
      <c r="DR104" s="518"/>
      <c r="DS104" s="518"/>
      <c r="DT104" s="518"/>
      <c r="DU104" s="518"/>
      <c r="DV104" s="518"/>
      <c r="DW104" s="518"/>
    </row>
    <row r="105" spans="1:129">
      <c r="A105" s="1283" t="s">
        <v>542</v>
      </c>
      <c r="B105" s="1173"/>
      <c r="C105" s="1173"/>
      <c r="D105" s="1173"/>
      <c r="E105" s="1173"/>
      <c r="F105" s="1173"/>
      <c r="G105" s="1173"/>
      <c r="H105" s="1173"/>
      <c r="I105" s="1173"/>
      <c r="J105" s="1173"/>
      <c r="K105" s="1173"/>
      <c r="L105" s="1173"/>
      <c r="M105" s="1173"/>
      <c r="N105" s="1173"/>
      <c r="O105" s="1173"/>
      <c r="P105" s="1173"/>
      <c r="Q105" s="1173"/>
      <c r="R105" s="1173"/>
      <c r="S105" s="1173"/>
      <c r="T105" s="1173"/>
      <c r="U105" s="1173"/>
      <c r="V105" s="1173"/>
      <c r="W105" s="1173"/>
      <c r="X105" s="1173"/>
      <c r="Y105" s="1173"/>
      <c r="Z105" s="1173"/>
      <c r="AA105" s="1173"/>
      <c r="AB105" s="1173"/>
      <c r="AC105" s="1173"/>
      <c r="AD105" s="1173"/>
      <c r="AE105" s="1173"/>
      <c r="AF105" s="1173"/>
      <c r="AG105" s="1173"/>
      <c r="AH105" s="1173"/>
      <c r="AI105" s="1173"/>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4"/>
      <c r="BL105" s="1174"/>
      <c r="BM105" s="1174"/>
      <c r="BN105" s="1174"/>
      <c r="BO105" s="1174"/>
      <c r="BP105" s="1174"/>
      <c r="BQ105" s="1174"/>
      <c r="BR105" s="1174"/>
      <c r="BS105" s="1174"/>
      <c r="BT105" s="1174"/>
      <c r="BU105" s="1174"/>
      <c r="BV105" s="1174"/>
      <c r="BW105" s="1174"/>
      <c r="BX105" s="1174"/>
      <c r="BY105" s="1174"/>
      <c r="BZ105" s="1174"/>
      <c r="CA105" s="1174"/>
      <c r="CB105" s="1174"/>
      <c r="CC105" s="1174"/>
      <c r="CD105" s="1174"/>
      <c r="CE105" s="1174"/>
      <c r="CF105" s="1174"/>
      <c r="CG105" s="1174"/>
      <c r="CH105" s="1174"/>
      <c r="CI105" s="1174"/>
      <c r="CJ105" s="1174"/>
      <c r="CK105" s="1174"/>
      <c r="CL105" s="1174"/>
      <c r="CM105" s="1174"/>
      <c r="CN105" s="1174"/>
      <c r="CO105" s="1174"/>
      <c r="CP105" s="1174"/>
      <c r="CQ105" s="1174"/>
      <c r="CR105" s="1174"/>
      <c r="CS105" s="1174"/>
      <c r="CT105" s="1174"/>
      <c r="CU105" s="1174"/>
      <c r="CV105" s="1174"/>
      <c r="CW105" s="1174"/>
      <c r="CX105" s="1174"/>
      <c r="CY105" s="1174"/>
      <c r="CZ105" s="1174"/>
      <c r="DA105" s="1174"/>
      <c r="DB105" s="1174"/>
      <c r="DC105" s="1174"/>
      <c r="DD105" s="1174"/>
      <c r="DE105" s="1174"/>
      <c r="DF105" s="1174"/>
      <c r="DG105" s="1174"/>
      <c r="DH105" s="1174"/>
      <c r="DI105" s="1174"/>
      <c r="DJ105" s="1174"/>
      <c r="DK105" s="1174"/>
      <c r="DL105" s="1174"/>
      <c r="DM105" s="1174"/>
      <c r="DN105" s="1174"/>
      <c r="DO105" s="1174"/>
      <c r="DP105" s="1174"/>
      <c r="DQ105" s="1174"/>
      <c r="DR105" s="1174"/>
      <c r="DS105" s="1174"/>
      <c r="DT105" s="1174"/>
      <c r="DU105" s="1174"/>
      <c r="DV105" s="1174"/>
      <c r="DW105" s="1284"/>
      <c r="DX105" s="5"/>
      <c r="DY105" s="45"/>
    </row>
    <row r="106" spans="1:129">
      <c r="A106" s="89" t="s">
        <v>543</v>
      </c>
      <c r="AY106" s="45"/>
      <c r="AZ106" s="45"/>
      <c r="BE106" s="45"/>
      <c r="BJ106" s="45"/>
      <c r="BK106" s="518"/>
      <c r="BL106" s="518"/>
      <c r="BM106" s="518"/>
      <c r="BN106" s="518"/>
      <c r="BO106" s="518"/>
      <c r="BP106" s="518"/>
      <c r="BQ106" s="518"/>
      <c r="BR106" s="518"/>
      <c r="BS106" s="518"/>
      <c r="BT106" s="518"/>
      <c r="BU106" s="518"/>
      <c r="BV106" s="518"/>
      <c r="BX106" s="518"/>
      <c r="BY106" s="518"/>
      <c r="BZ106" s="518"/>
      <c r="CA106" s="518"/>
      <c r="CB106" s="518"/>
      <c r="CC106" s="518"/>
      <c r="CD106" s="518"/>
      <c r="CE106" s="518"/>
      <c r="CF106" s="518"/>
      <c r="CG106" s="518"/>
      <c r="CH106" s="518"/>
      <c r="CI106" s="518"/>
      <c r="CJ106" s="518"/>
      <c r="CK106" s="518"/>
      <c r="CL106" s="518"/>
      <c r="CM106" s="518"/>
      <c r="CN106" s="518"/>
      <c r="CO106" s="518"/>
      <c r="CP106" s="518"/>
      <c r="CQ106" s="518"/>
      <c r="CR106" s="518"/>
      <c r="CS106" s="518"/>
      <c r="CT106" s="518"/>
      <c r="CU106" s="518">
        <v>875</v>
      </c>
      <c r="CV106" s="518">
        <v>875</v>
      </c>
      <c r="CW106" s="518">
        <v>872.81299999999999</v>
      </c>
      <c r="CX106" s="518"/>
      <c r="CY106" s="518">
        <f>CW106</f>
        <v>872.81299999999999</v>
      </c>
      <c r="CZ106" s="518">
        <f>CY106</f>
        <v>872.81299999999999</v>
      </c>
      <c r="DA106" s="518">
        <f>CZ106</f>
        <v>872.81299999999999</v>
      </c>
      <c r="DB106" s="518">
        <v>864.06299999999999</v>
      </c>
      <c r="DC106" s="518"/>
      <c r="DD106" s="518">
        <f>DB106</f>
        <v>864.06299999999999</v>
      </c>
      <c r="DE106" s="518">
        <f>DD106</f>
        <v>864.06299999999999</v>
      </c>
      <c r="DF106" s="518">
        <f>DE106</f>
        <v>864.06299999999999</v>
      </c>
      <c r="DG106" s="518"/>
      <c r="DH106" s="518"/>
      <c r="DI106" s="518"/>
      <c r="DJ106" s="518"/>
      <c r="DK106" s="518"/>
      <c r="DL106" s="518"/>
      <c r="DM106" s="518"/>
      <c r="DN106" s="518"/>
      <c r="DO106" s="518"/>
      <c r="DP106" s="518"/>
      <c r="DQ106" s="518"/>
      <c r="DR106" s="518"/>
      <c r="DS106" s="518"/>
      <c r="DT106" s="518"/>
      <c r="DU106" s="518"/>
      <c r="DV106" s="518"/>
      <c r="DW106" s="517"/>
    </row>
    <row r="107" spans="1:129">
      <c r="A107" s="89" t="s">
        <v>544</v>
      </c>
      <c r="AY107" s="45"/>
      <c r="AZ107" s="45"/>
      <c r="BE107" s="45"/>
      <c r="BJ107" s="45"/>
      <c r="BK107" s="518"/>
      <c r="BL107" s="518"/>
      <c r="BM107" s="518"/>
      <c r="BN107" s="518"/>
      <c r="BO107" s="518"/>
      <c r="BP107" s="518"/>
      <c r="BQ107" s="518"/>
      <c r="BR107" s="518"/>
      <c r="BS107" s="518"/>
      <c r="BT107" s="518"/>
      <c r="BU107" s="518"/>
      <c r="BV107" s="518"/>
      <c r="BX107" s="518"/>
      <c r="BY107" s="518"/>
      <c r="BZ107" s="518"/>
      <c r="CA107" s="518"/>
      <c r="CB107" s="518"/>
      <c r="CC107" s="518"/>
      <c r="CD107" s="518"/>
      <c r="CE107" s="518"/>
      <c r="CF107" s="518"/>
      <c r="CG107" s="518"/>
      <c r="CH107" s="518"/>
      <c r="CI107" s="518"/>
      <c r="CJ107" s="518"/>
      <c r="CK107" s="518"/>
      <c r="CL107" s="518"/>
      <c r="CM107" s="518"/>
      <c r="CN107" s="518"/>
      <c r="CO107" s="518"/>
      <c r="CP107" s="518"/>
      <c r="CQ107" s="518"/>
      <c r="CR107" s="518"/>
      <c r="CS107" s="518"/>
      <c r="CT107" s="518"/>
      <c r="CU107" s="518">
        <v>900</v>
      </c>
      <c r="CV107" s="518">
        <v>900</v>
      </c>
      <c r="CW107" s="518">
        <v>897.75</v>
      </c>
      <c r="CX107" s="518"/>
      <c r="CY107" s="518">
        <f>CW107</f>
        <v>897.75</v>
      </c>
      <c r="CZ107" s="518">
        <f t="shared" ref="CZ107:DB109" si="169">CY107</f>
        <v>897.75</v>
      </c>
      <c r="DA107" s="518">
        <f t="shared" si="169"/>
        <v>897.75</v>
      </c>
      <c r="DB107" s="518">
        <v>888.75</v>
      </c>
      <c r="DC107" s="518"/>
      <c r="DD107" s="518">
        <f>DB107</f>
        <v>888.75</v>
      </c>
      <c r="DE107" s="518">
        <f t="shared" ref="DE107:DE109" si="170">DD107</f>
        <v>888.75</v>
      </c>
      <c r="DF107" s="518">
        <f t="shared" ref="DF107:DF109" si="171">DE107</f>
        <v>888.75</v>
      </c>
      <c r="DG107" s="518"/>
      <c r="DH107" s="518"/>
      <c r="DI107" s="518"/>
      <c r="DJ107" s="518"/>
      <c r="DK107" s="518"/>
      <c r="DL107" s="518"/>
      <c r="DM107" s="518"/>
      <c r="DN107" s="518"/>
      <c r="DO107" s="518"/>
      <c r="DP107" s="518"/>
      <c r="DQ107" s="518"/>
      <c r="DR107" s="518"/>
      <c r="DS107" s="518"/>
      <c r="DT107" s="518"/>
      <c r="DU107" s="518"/>
      <c r="DV107" s="518"/>
      <c r="DW107" s="517"/>
    </row>
    <row r="108" spans="1:129">
      <c r="A108" s="89" t="s">
        <v>545</v>
      </c>
      <c r="AY108" s="45"/>
      <c r="AZ108" s="45"/>
      <c r="BE108" s="45"/>
      <c r="BJ108" s="45"/>
      <c r="BK108" s="518"/>
      <c r="BL108" s="518"/>
      <c r="BM108" s="518"/>
      <c r="BN108" s="518"/>
      <c r="BO108" s="518"/>
      <c r="BP108" s="518"/>
      <c r="BQ108" s="518"/>
      <c r="BR108" s="518"/>
      <c r="BS108" s="518"/>
      <c r="BT108" s="518"/>
      <c r="BU108" s="518"/>
      <c r="BV108" s="518"/>
      <c r="BX108" s="518"/>
      <c r="BY108" s="518"/>
      <c r="BZ108" s="518"/>
      <c r="CA108" s="518"/>
      <c r="CB108" s="518"/>
      <c r="CC108" s="518"/>
      <c r="CD108" s="518"/>
      <c r="CE108" s="518"/>
      <c r="CF108" s="518"/>
      <c r="CG108" s="518"/>
      <c r="CH108" s="518"/>
      <c r="CI108" s="518"/>
      <c r="CJ108" s="518"/>
      <c r="CK108" s="518"/>
      <c r="CL108" s="518"/>
      <c r="CM108" s="518"/>
      <c r="CN108" s="518"/>
      <c r="CO108" s="518"/>
      <c r="CP108" s="518"/>
      <c r="CQ108" s="518"/>
      <c r="CR108" s="518"/>
      <c r="CS108" s="518"/>
      <c r="CT108" s="518"/>
      <c r="CU108" s="518">
        <v>500</v>
      </c>
      <c r="CV108" s="518">
        <v>500</v>
      </c>
      <c r="CW108" s="518">
        <v>498.75</v>
      </c>
      <c r="CX108" s="518"/>
      <c r="CY108" s="518">
        <f>CW108</f>
        <v>498.75</v>
      </c>
      <c r="CZ108" s="518">
        <f t="shared" si="169"/>
        <v>498.75</v>
      </c>
      <c r="DA108" s="518">
        <f t="shared" si="169"/>
        <v>498.75</v>
      </c>
      <c r="DB108" s="518">
        <v>493.75</v>
      </c>
      <c r="DC108" s="518"/>
      <c r="DD108" s="518">
        <f>DB108</f>
        <v>493.75</v>
      </c>
      <c r="DE108" s="518">
        <f t="shared" si="170"/>
        <v>493.75</v>
      </c>
      <c r="DF108" s="518">
        <f t="shared" si="171"/>
        <v>493.75</v>
      </c>
      <c r="DG108" s="518"/>
      <c r="DH108" s="518"/>
      <c r="DI108" s="518"/>
      <c r="DJ108" s="518"/>
      <c r="DK108" s="518"/>
      <c r="DL108" s="518"/>
      <c r="DM108" s="518"/>
      <c r="DN108" s="518"/>
      <c r="DO108" s="518"/>
      <c r="DP108" s="518"/>
      <c r="DQ108" s="518"/>
      <c r="DR108" s="518"/>
      <c r="DS108" s="518"/>
      <c r="DT108" s="518"/>
      <c r="DU108" s="518"/>
      <c r="DV108" s="518"/>
      <c r="DW108" s="517"/>
    </row>
    <row r="109" spans="1:129" ht="15">
      <c r="A109" s="1288" t="s">
        <v>546</v>
      </c>
      <c r="AY109" s="45"/>
      <c r="AZ109" s="45"/>
      <c r="BE109" s="45"/>
      <c r="BJ109" s="45"/>
      <c r="BK109" s="518"/>
      <c r="BL109" s="518"/>
      <c r="BM109" s="518"/>
      <c r="BN109" s="518"/>
      <c r="BO109" s="518"/>
      <c r="BP109" s="518"/>
      <c r="BQ109" s="518"/>
      <c r="BR109" s="518"/>
      <c r="BS109" s="518"/>
      <c r="BT109" s="518"/>
      <c r="BU109" s="518"/>
      <c r="BV109" s="518"/>
      <c r="BX109" s="518"/>
      <c r="BY109" s="518"/>
      <c r="BZ109" s="518"/>
      <c r="CA109" s="518"/>
      <c r="CB109" s="518"/>
      <c r="CC109" s="518"/>
      <c r="CD109" s="518"/>
      <c r="CE109" s="518"/>
      <c r="CF109" s="518"/>
      <c r="CG109" s="518"/>
      <c r="CH109" s="518"/>
      <c r="CI109" s="518"/>
      <c r="CJ109" s="518"/>
      <c r="CK109" s="518"/>
      <c r="CL109" s="518"/>
      <c r="CM109" s="518"/>
      <c r="CN109" s="518"/>
      <c r="CO109" s="518"/>
      <c r="CP109" s="518"/>
      <c r="CQ109" s="518"/>
      <c r="CR109" s="518"/>
      <c r="CS109" s="518"/>
      <c r="CT109" s="518"/>
      <c r="CU109" s="1094" t="s">
        <v>151</v>
      </c>
      <c r="CV109" s="1094" t="s">
        <v>151</v>
      </c>
      <c r="CW109" s="1094" t="s">
        <v>151</v>
      </c>
      <c r="CX109" s="518"/>
      <c r="CY109" s="1094" t="str">
        <f>CW109</f>
        <v>-</v>
      </c>
      <c r="CZ109" s="1094" t="str">
        <f t="shared" si="169"/>
        <v>-</v>
      </c>
      <c r="DA109" s="1094" t="str">
        <f t="shared" si="169"/>
        <v>-</v>
      </c>
      <c r="DB109" s="1094" t="str">
        <f t="shared" si="169"/>
        <v>-</v>
      </c>
      <c r="DC109" s="518"/>
      <c r="DD109" s="1094" t="str">
        <f>DB109</f>
        <v>-</v>
      </c>
      <c r="DE109" s="1094" t="str">
        <f t="shared" si="170"/>
        <v>-</v>
      </c>
      <c r="DF109" s="1094" t="str">
        <f t="shared" si="171"/>
        <v>-</v>
      </c>
      <c r="DG109" s="518"/>
      <c r="DH109" s="518"/>
      <c r="DI109" s="518"/>
      <c r="DJ109" s="518"/>
      <c r="DK109" s="518"/>
      <c r="DL109" s="518"/>
      <c r="DM109" s="518"/>
      <c r="DN109" s="518"/>
      <c r="DO109" s="518"/>
      <c r="DP109" s="518"/>
      <c r="DQ109" s="518"/>
      <c r="DR109" s="518"/>
      <c r="DS109" s="518"/>
      <c r="DT109" s="518"/>
      <c r="DU109" s="518"/>
      <c r="DV109" s="518"/>
      <c r="DW109" s="517"/>
    </row>
    <row r="110" spans="1:129">
      <c r="A110" s="89" t="s">
        <v>302</v>
      </c>
      <c r="AY110" s="45"/>
      <c r="AZ110" s="45"/>
      <c r="BE110" s="45"/>
      <c r="BJ110" s="45"/>
      <c r="BK110" s="518"/>
      <c r="BL110" s="518"/>
      <c r="BM110" s="518"/>
      <c r="BN110" s="518"/>
      <c r="BO110" s="518"/>
      <c r="BP110" s="518"/>
      <c r="BQ110" s="518"/>
      <c r="BR110" s="518"/>
      <c r="BS110" s="518"/>
      <c r="BT110" s="518"/>
      <c r="BU110" s="518"/>
      <c r="BV110" s="518"/>
      <c r="BX110" s="518"/>
      <c r="BY110" s="518"/>
      <c r="BZ110" s="518"/>
      <c r="CA110" s="518"/>
      <c r="CB110" s="518"/>
      <c r="CC110" s="518"/>
      <c r="CD110" s="518"/>
      <c r="CE110" s="518"/>
      <c r="CF110" s="518"/>
      <c r="CG110" s="518"/>
      <c r="CH110" s="518"/>
      <c r="CI110" s="518"/>
      <c r="CJ110" s="518"/>
      <c r="CK110" s="518"/>
      <c r="CL110" s="518"/>
      <c r="CM110" s="518"/>
      <c r="CN110" s="518"/>
      <c r="CO110" s="518"/>
      <c r="CP110" s="518"/>
      <c r="CQ110" s="518"/>
      <c r="CR110" s="518"/>
      <c r="CS110" s="518"/>
      <c r="CT110" s="518"/>
      <c r="CU110" s="518">
        <f>SUM(CU106:CU109)</f>
        <v>2275</v>
      </c>
      <c r="CV110" s="518">
        <f>SUM(CV106:CV109)</f>
        <v>2275</v>
      </c>
      <c r="CW110" s="518">
        <f>SUM(CW106:CW109)</f>
        <v>2269.3130000000001</v>
      </c>
      <c r="CX110" s="518"/>
      <c r="CY110" s="518">
        <f>SUM(CY106:CY109)</f>
        <v>2269.3130000000001</v>
      </c>
      <c r="CZ110" s="518">
        <f>SUM(CZ106:CZ109)</f>
        <v>2269.3130000000001</v>
      </c>
      <c r="DA110" s="518">
        <f>SUM(DA106:DA109)</f>
        <v>2269.3130000000001</v>
      </c>
      <c r="DB110" s="518">
        <f>SUM(DB106:DB109)</f>
        <v>2246.5630000000001</v>
      </c>
      <c r="DC110" s="518"/>
      <c r="DD110" s="518">
        <f>SUM(DD106:DD109)</f>
        <v>2246.5630000000001</v>
      </c>
      <c r="DE110" s="518">
        <f>SUM(DE106:DE109)</f>
        <v>2246.5630000000001</v>
      </c>
      <c r="DF110" s="518">
        <f>SUM(DF106:DF109)</f>
        <v>2246.5630000000001</v>
      </c>
      <c r="DG110" s="518"/>
      <c r="DH110" s="518"/>
      <c r="DI110" s="518"/>
      <c r="DJ110" s="518"/>
      <c r="DK110" s="518"/>
      <c r="DL110" s="518"/>
      <c r="DM110" s="518"/>
      <c r="DN110" s="518"/>
      <c r="DO110" s="518"/>
      <c r="DP110" s="518"/>
      <c r="DQ110" s="518"/>
      <c r="DR110" s="518"/>
      <c r="DS110" s="518"/>
      <c r="DT110" s="518"/>
      <c r="DU110" s="518"/>
      <c r="DV110" s="518"/>
      <c r="DW110" s="517"/>
    </row>
    <row r="111" spans="1:129">
      <c r="A111" s="56" t="s">
        <v>547</v>
      </c>
      <c r="AY111" s="45"/>
      <c r="AZ111" s="45"/>
      <c r="BE111" s="45"/>
      <c r="BJ111" s="45"/>
      <c r="BK111" s="518"/>
      <c r="BL111" s="518"/>
      <c r="BM111" s="518"/>
      <c r="BN111" s="518"/>
      <c r="BO111" s="518"/>
      <c r="BP111" s="518"/>
      <c r="BQ111" s="518"/>
      <c r="BR111" s="518"/>
      <c r="BS111" s="518"/>
      <c r="BT111" s="518"/>
      <c r="BU111" s="518"/>
      <c r="BV111" s="518"/>
      <c r="BX111" s="518"/>
      <c r="BY111" s="518"/>
      <c r="BZ111" s="518"/>
      <c r="CA111" s="518"/>
      <c r="CB111" s="518"/>
      <c r="CC111" s="518"/>
      <c r="CD111" s="518"/>
      <c r="CE111" s="518"/>
      <c r="CF111" s="518"/>
      <c r="CG111" s="518"/>
      <c r="CH111" s="518"/>
      <c r="CI111" s="518"/>
      <c r="CJ111" s="518"/>
      <c r="CK111" s="518"/>
      <c r="CL111" s="518"/>
      <c r="CM111" s="518"/>
      <c r="CN111" s="518"/>
      <c r="CO111" s="518"/>
      <c r="CP111" s="518"/>
      <c r="CQ111" s="518"/>
      <c r="CR111" s="518"/>
      <c r="CS111" s="518"/>
      <c r="CT111" s="518"/>
      <c r="CU111" s="518"/>
      <c r="CX111" s="45"/>
      <c r="DC111" s="518"/>
      <c r="DG111" s="518"/>
      <c r="DH111" s="518"/>
      <c r="DI111" s="518"/>
      <c r="DJ111" s="518"/>
      <c r="DK111" s="518"/>
      <c r="DL111" s="518"/>
      <c r="DM111" s="518"/>
      <c r="DN111" s="518"/>
      <c r="DO111" s="518"/>
      <c r="DP111" s="518"/>
      <c r="DQ111" s="518"/>
      <c r="DR111" s="518"/>
      <c r="DS111" s="518"/>
      <c r="DT111" s="518"/>
      <c r="DU111" s="518"/>
      <c r="DV111" s="518"/>
      <c r="DW111" s="517"/>
    </row>
    <row r="112" spans="1:129">
      <c r="A112" s="44" t="str">
        <f>A89</f>
        <v>7% debentures, due in 2025</v>
      </c>
      <c r="AY112" s="45"/>
      <c r="AZ112" s="45"/>
      <c r="BE112" s="45"/>
      <c r="BJ112" s="45"/>
      <c r="BO112" s="45"/>
      <c r="BT112" s="45"/>
      <c r="BW112" s="45"/>
      <c r="BY112" s="45"/>
      <c r="CD112" s="45"/>
      <c r="CI112" s="45"/>
      <c r="CN112" s="45"/>
      <c r="CS112" s="45"/>
      <c r="CU112" s="518">
        <f t="shared" ref="CU112:CV113" si="172">CU89</f>
        <v>85.8</v>
      </c>
      <c r="CV112" s="518">
        <f t="shared" si="172"/>
        <v>85.8</v>
      </c>
      <c r="CW112" s="518">
        <v>87.057000000000002</v>
      </c>
      <c r="CX112" s="518"/>
      <c r="CY112" s="518">
        <f>CW112</f>
        <v>87.057000000000002</v>
      </c>
      <c r="CZ112" s="518">
        <f t="shared" ref="CZ112:DA113" si="173">CY112</f>
        <v>87.057000000000002</v>
      </c>
      <c r="DA112" s="518">
        <f t="shared" si="173"/>
        <v>87.057000000000002</v>
      </c>
      <c r="DB112" s="518">
        <v>88.277000000000001</v>
      </c>
      <c r="DC112" s="518"/>
      <c r="DD112" s="518">
        <f>DB112</f>
        <v>88.277000000000001</v>
      </c>
      <c r="DE112" s="518">
        <f t="shared" ref="DE112:DE113" si="174">DD112</f>
        <v>88.277000000000001</v>
      </c>
      <c r="DF112" s="518">
        <f t="shared" ref="DF112:DF113" si="175">DE112</f>
        <v>88.277000000000001</v>
      </c>
      <c r="DG112" s="518"/>
      <c r="DH112" s="518"/>
      <c r="DI112" s="518"/>
      <c r="DJ112" s="518"/>
      <c r="DK112" s="518"/>
      <c r="DL112" s="518"/>
      <c r="DM112" s="518"/>
      <c r="DN112" s="518"/>
      <c r="DO112" s="518"/>
      <c r="DP112" s="518"/>
      <c r="DQ112" s="518"/>
      <c r="DR112" s="518"/>
      <c r="DS112" s="518"/>
      <c r="DT112" s="518"/>
      <c r="DU112" s="518"/>
      <c r="DV112" s="518"/>
      <c r="DW112" s="517"/>
    </row>
    <row r="113" spans="1:128">
      <c r="A113" s="44" t="str">
        <f>A90</f>
        <v>Capital lease obligations, due through 2040</v>
      </c>
      <c r="AY113" s="45"/>
      <c r="AZ113" s="45"/>
      <c r="BE113" s="45"/>
      <c r="BJ113" s="45"/>
      <c r="BO113" s="45"/>
      <c r="BT113" s="45"/>
      <c r="BW113" s="45"/>
      <c r="BY113" s="45"/>
      <c r="CD113" s="45"/>
      <c r="CI113" s="45"/>
      <c r="CN113" s="45"/>
      <c r="CS113" s="45"/>
      <c r="CU113" s="518">
        <f t="shared" si="172"/>
        <v>60.8</v>
      </c>
      <c r="CV113" s="518">
        <f t="shared" si="172"/>
        <v>60.8</v>
      </c>
      <c r="CW113" s="518">
        <v>109.173</v>
      </c>
      <c r="CX113" s="518"/>
      <c r="CY113" s="518">
        <f>CW113</f>
        <v>109.173</v>
      </c>
      <c r="CZ113" s="518">
        <f t="shared" si="173"/>
        <v>109.173</v>
      </c>
      <c r="DA113" s="518">
        <f t="shared" si="173"/>
        <v>109.173</v>
      </c>
      <c r="DB113" s="518">
        <v>211.714</v>
      </c>
      <c r="DC113" s="518"/>
      <c r="DD113" s="518">
        <f>DB113</f>
        <v>211.714</v>
      </c>
      <c r="DE113" s="518">
        <f t="shared" si="174"/>
        <v>211.714</v>
      </c>
      <c r="DF113" s="518">
        <f t="shared" si="175"/>
        <v>211.714</v>
      </c>
      <c r="DG113" s="518"/>
      <c r="DH113" s="518"/>
      <c r="DI113" s="518"/>
      <c r="DJ113" s="518"/>
      <c r="DK113" s="518"/>
      <c r="DL113" s="518"/>
      <c r="DM113" s="518"/>
      <c r="DN113" s="518"/>
      <c r="DO113" s="518"/>
      <c r="DP113" s="518"/>
      <c r="DQ113" s="518"/>
      <c r="DR113" s="518"/>
      <c r="DS113" s="518"/>
      <c r="DT113" s="518"/>
      <c r="DU113" s="518"/>
      <c r="DV113" s="518"/>
      <c r="DW113" s="517"/>
    </row>
    <row r="114" spans="1:128">
      <c r="A114" s="44" t="s">
        <v>622</v>
      </c>
      <c r="AY114" s="45"/>
      <c r="AZ114" s="45"/>
      <c r="BE114" s="45"/>
      <c r="BJ114" s="45"/>
      <c r="BO114" s="45"/>
      <c r="BT114" s="45"/>
      <c r="BW114" s="45"/>
      <c r="BY114" s="45"/>
      <c r="CD114" s="45"/>
      <c r="CI114" s="45"/>
      <c r="CN114" s="45"/>
      <c r="CS114" s="45"/>
      <c r="CU114" s="518"/>
      <c r="CV114" s="518"/>
      <c r="CW114" s="518">
        <v>-39.43</v>
      </c>
      <c r="CX114" s="518"/>
      <c r="CY114" s="518"/>
      <c r="CZ114" s="518"/>
      <c r="DA114" s="518"/>
      <c r="DB114" s="518">
        <v>-34.271999999999998</v>
      </c>
      <c r="DC114" s="518"/>
      <c r="DD114" s="518"/>
      <c r="DE114" s="518"/>
      <c r="DF114" s="518"/>
      <c r="DG114" s="518"/>
      <c r="DH114" s="518"/>
      <c r="DI114" s="518"/>
      <c r="DJ114" s="518"/>
      <c r="DK114" s="518"/>
      <c r="DL114" s="518"/>
      <c r="DM114" s="518"/>
      <c r="DN114" s="518"/>
      <c r="DO114" s="518"/>
      <c r="DP114" s="518"/>
      <c r="DQ114" s="518"/>
      <c r="DR114" s="518"/>
      <c r="DS114" s="518"/>
      <c r="DT114" s="518"/>
      <c r="DU114" s="518"/>
      <c r="DV114" s="518"/>
      <c r="DW114" s="517"/>
    </row>
    <row r="115" spans="1:128">
      <c r="A115" s="1134" t="s">
        <v>623</v>
      </c>
      <c r="B115" s="212"/>
      <c r="C115" s="212"/>
      <c r="D115" s="212"/>
      <c r="E115" s="212"/>
      <c r="F115" s="212"/>
      <c r="G115" s="212"/>
      <c r="H115" s="212"/>
      <c r="I115" s="212"/>
      <c r="J115" s="212"/>
      <c r="K115" s="212"/>
      <c r="L115" s="212"/>
      <c r="M115" s="212"/>
      <c r="N115" s="212"/>
      <c r="O115" s="212"/>
      <c r="P115" s="212"/>
      <c r="Q115" s="212"/>
      <c r="R115" s="212"/>
      <c r="S115" s="212"/>
      <c r="T115" s="212"/>
      <c r="U115" s="212"/>
      <c r="V115" s="212"/>
      <c r="W115" s="212"/>
      <c r="X115" s="212"/>
      <c r="Y115" s="212"/>
      <c r="Z115" s="212"/>
      <c r="AA115" s="212"/>
      <c r="AB115" s="212"/>
      <c r="AC115" s="212"/>
      <c r="AD115" s="212"/>
      <c r="AE115" s="212"/>
      <c r="AF115" s="212"/>
      <c r="AG115" s="212"/>
      <c r="AH115" s="212"/>
      <c r="AI115" s="212"/>
      <c r="AJ115" s="212"/>
      <c r="AK115" s="212"/>
      <c r="AL115" s="212"/>
      <c r="AM115" s="212"/>
      <c r="AN115" s="212"/>
      <c r="AO115" s="212"/>
      <c r="AP115" s="212"/>
      <c r="AQ115" s="212"/>
      <c r="AR115" s="212"/>
      <c r="AS115" s="212"/>
      <c r="AT115" s="212"/>
      <c r="AU115" s="212"/>
      <c r="AV115" s="212"/>
      <c r="AW115" s="212"/>
      <c r="AX115" s="212"/>
      <c r="AY115" s="212"/>
      <c r="AZ115" s="212"/>
      <c r="BA115" s="212"/>
      <c r="BB115" s="212"/>
      <c r="BC115" s="212"/>
      <c r="BD115" s="212"/>
      <c r="BE115" s="212"/>
      <c r="BF115" s="212"/>
      <c r="BG115" s="212"/>
      <c r="BH115" s="212"/>
      <c r="BI115" s="212"/>
      <c r="BJ115" s="212"/>
      <c r="BK115" s="212"/>
      <c r="BL115" s="212"/>
      <c r="BM115" s="212"/>
      <c r="BN115" s="212"/>
      <c r="BO115" s="212"/>
      <c r="BP115" s="212"/>
      <c r="BQ115" s="212"/>
      <c r="BR115" s="212"/>
      <c r="BS115" s="212"/>
      <c r="BT115" s="212"/>
      <c r="BU115" s="212"/>
      <c r="BV115" s="212"/>
      <c r="BW115" s="212"/>
      <c r="BX115" s="212"/>
      <c r="BY115" s="212"/>
      <c r="BZ115" s="212"/>
      <c r="CA115" s="212"/>
      <c r="CB115" s="212"/>
      <c r="CC115" s="212"/>
      <c r="CD115" s="212"/>
      <c r="CE115" s="212"/>
      <c r="CF115" s="212"/>
      <c r="CG115" s="212"/>
      <c r="CH115" s="212"/>
      <c r="CI115" s="212"/>
      <c r="CJ115" s="212"/>
      <c r="CK115" s="212"/>
      <c r="CL115" s="212"/>
      <c r="CM115" s="212"/>
      <c r="CN115" s="212"/>
      <c r="CO115" s="212"/>
      <c r="CP115" s="212"/>
      <c r="CQ115" s="212"/>
      <c r="CR115" s="212"/>
      <c r="CS115" s="212"/>
      <c r="CT115" s="212"/>
      <c r="CU115" s="1289"/>
      <c r="CV115" s="1289"/>
      <c r="CW115" s="1289">
        <v>-23.29</v>
      </c>
      <c r="CX115" s="212"/>
      <c r="CY115" s="1289"/>
      <c r="CZ115" s="1289"/>
      <c r="DA115" s="1289"/>
      <c r="DB115" s="1289">
        <v>-24.652000000000001</v>
      </c>
      <c r="DC115" s="518"/>
      <c r="DD115" s="1289"/>
      <c r="DE115" s="1289"/>
      <c r="DF115" s="1289"/>
      <c r="DG115" s="518"/>
      <c r="DH115" s="518"/>
      <c r="DI115" s="518"/>
      <c r="DJ115" s="518"/>
      <c r="DK115" s="518"/>
      <c r="DL115" s="518"/>
      <c r="DM115" s="518"/>
      <c r="DN115" s="518"/>
      <c r="DO115" s="518"/>
      <c r="DP115" s="518"/>
      <c r="DQ115" s="518"/>
      <c r="DR115" s="518"/>
      <c r="DS115" s="518"/>
      <c r="DT115" s="518"/>
      <c r="DU115" s="518"/>
      <c r="DV115" s="518"/>
      <c r="DW115" s="517"/>
    </row>
    <row r="116" spans="1:128">
      <c r="A116" s="56" t="s">
        <v>552</v>
      </c>
      <c r="AY116" s="45"/>
      <c r="AZ116" s="45"/>
      <c r="BE116" s="45"/>
      <c r="BJ116" s="45"/>
      <c r="BO116" s="45"/>
      <c r="BT116" s="45"/>
      <c r="BW116" s="45"/>
      <c r="BY116" s="45"/>
      <c r="CD116" s="45"/>
      <c r="CI116" s="45"/>
      <c r="CN116" s="45"/>
      <c r="CS116" s="45"/>
      <c r="CU116" s="518">
        <f>CU110+SUM(CU112:CU113)</f>
        <v>2421.6</v>
      </c>
      <c r="CV116" s="518">
        <f>CV110+SUM(CV112:CV113)</f>
        <v>2421.6</v>
      </c>
      <c r="CW116" s="518">
        <f>CW110+SUM(CW112:CW115)</f>
        <v>2402.8230000000003</v>
      </c>
      <c r="CX116" s="45"/>
      <c r="CY116" s="518">
        <f t="shared" ref="CY116:DB116" si="176">CY110+SUM(CY112:CY115)</f>
        <v>2465.5430000000001</v>
      </c>
      <c r="CZ116" s="518">
        <f t="shared" si="176"/>
        <v>2465.5430000000001</v>
      </c>
      <c r="DA116" s="518">
        <f t="shared" si="176"/>
        <v>2465.5430000000001</v>
      </c>
      <c r="DB116" s="518">
        <f t="shared" si="176"/>
        <v>2487.63</v>
      </c>
      <c r="DC116" s="518"/>
      <c r="DD116" s="518">
        <f t="shared" ref="DD116" si="177">DD110+SUM(DD112:DD115)</f>
        <v>2546.5540000000001</v>
      </c>
      <c r="DE116" s="518">
        <f t="shared" ref="DE116" si="178">DE110+SUM(DE112:DE115)</f>
        <v>2546.5540000000001</v>
      </c>
      <c r="DF116" s="518">
        <f t="shared" ref="DF116" si="179">DF110+SUM(DF112:DF115)</f>
        <v>2546.5540000000001</v>
      </c>
      <c r="DG116" s="518"/>
      <c r="DH116" s="518"/>
      <c r="DI116" s="518"/>
      <c r="DJ116" s="518"/>
      <c r="DK116" s="518"/>
      <c r="DL116" s="518"/>
      <c r="DM116" s="518"/>
      <c r="DN116" s="518"/>
      <c r="DO116" s="518"/>
      <c r="DP116" s="518"/>
      <c r="DQ116" s="518"/>
      <c r="DR116" s="518"/>
      <c r="DS116" s="518"/>
      <c r="DT116" s="518"/>
      <c r="DU116" s="518"/>
      <c r="DV116" s="518"/>
      <c r="DW116" s="517"/>
    </row>
    <row r="117" spans="1:128">
      <c r="A117" s="44"/>
      <c r="AY117" s="45"/>
      <c r="AZ117" s="45"/>
      <c r="BE117" s="45"/>
      <c r="BJ117" s="45"/>
      <c r="BO117" s="45"/>
      <c r="BT117" s="45"/>
      <c r="BW117" s="45"/>
      <c r="BY117" s="45"/>
      <c r="CD117" s="45"/>
      <c r="CI117" s="45"/>
      <c r="CN117" s="45"/>
      <c r="CS117" s="45"/>
      <c r="CX117" s="45"/>
      <c r="DC117" s="518"/>
      <c r="DG117" s="518"/>
      <c r="DH117" s="518"/>
      <c r="DI117" s="518"/>
      <c r="DJ117" s="518"/>
      <c r="DK117" s="518"/>
      <c r="DL117" s="518"/>
      <c r="DM117" s="518"/>
      <c r="DN117" s="518"/>
      <c r="DO117" s="518"/>
      <c r="DP117" s="518"/>
      <c r="DQ117" s="518"/>
      <c r="DR117" s="518"/>
      <c r="DS117" s="518"/>
      <c r="DT117" s="518"/>
      <c r="DU117" s="518"/>
      <c r="DV117" s="518"/>
      <c r="DW117" s="517"/>
    </row>
    <row r="118" spans="1:128">
      <c r="A118" s="175" t="s">
        <v>485</v>
      </c>
      <c r="AY118" s="45"/>
      <c r="AZ118" s="45"/>
      <c r="BE118" s="45"/>
      <c r="BJ118" s="45"/>
      <c r="BK118" s="518"/>
      <c r="BL118" s="518"/>
      <c r="BM118" s="518"/>
      <c r="BN118" s="518"/>
      <c r="BO118" s="518"/>
      <c r="BP118" s="518"/>
      <c r="BQ118" s="518"/>
      <c r="BR118" s="518"/>
      <c r="BS118" s="518"/>
      <c r="BT118" s="518"/>
      <c r="BU118" s="518"/>
      <c r="BV118" s="518"/>
      <c r="BX118" s="518"/>
      <c r="BY118" s="518"/>
      <c r="BZ118" s="518"/>
      <c r="CA118" s="518"/>
      <c r="CB118" s="518"/>
      <c r="CC118" s="518"/>
      <c r="CD118" s="518"/>
      <c r="CE118" s="518"/>
      <c r="CF118" s="518"/>
      <c r="CG118" s="518"/>
      <c r="CH118" s="518"/>
      <c r="CI118" s="518"/>
      <c r="CJ118" s="518"/>
      <c r="CK118" s="518"/>
      <c r="CL118" s="518"/>
      <c r="CM118" s="518"/>
      <c r="CN118" s="518"/>
      <c r="CO118" s="518"/>
      <c r="CP118" s="518"/>
      <c r="CQ118" s="518"/>
      <c r="CR118" s="518"/>
      <c r="CS118" s="518"/>
      <c r="CT118" s="518"/>
      <c r="CU118" s="518"/>
      <c r="CV118" s="518"/>
      <c r="CW118" s="518"/>
      <c r="CX118" s="518"/>
      <c r="CY118" s="518"/>
      <c r="CZ118" s="518"/>
      <c r="DA118" s="518"/>
      <c r="DB118" s="518"/>
      <c r="DC118" s="860"/>
      <c r="DD118" s="518"/>
      <c r="DE118" s="518"/>
      <c r="DF118" s="518"/>
      <c r="DG118" s="518"/>
      <c r="DH118" s="518"/>
      <c r="DI118" s="518"/>
      <c r="DJ118" s="518"/>
      <c r="DK118" s="518"/>
      <c r="DL118" s="518"/>
      <c r="DM118" s="518"/>
      <c r="DN118" s="518"/>
      <c r="DO118" s="518"/>
      <c r="DP118" s="518"/>
      <c r="DQ118" s="518"/>
      <c r="DR118" s="518"/>
      <c r="DS118" s="518"/>
      <c r="DT118" s="518"/>
      <c r="DU118" s="518"/>
      <c r="DV118" s="518"/>
      <c r="DW118" s="517"/>
    </row>
    <row r="119" spans="1:128">
      <c r="A119" s="89" t="s">
        <v>543</v>
      </c>
      <c r="AY119" s="45"/>
      <c r="AZ119" s="45"/>
      <c r="BE119" s="45"/>
      <c r="BJ119" s="45"/>
      <c r="BK119" s="518"/>
      <c r="BL119" s="518"/>
      <c r="BM119" s="518"/>
      <c r="BN119" s="518"/>
      <c r="BO119" s="518"/>
      <c r="BP119" s="518"/>
      <c r="BQ119" s="518"/>
      <c r="BR119" s="518"/>
      <c r="BS119" s="518"/>
      <c r="BT119" s="518"/>
      <c r="BU119" s="518"/>
      <c r="BV119" s="518"/>
      <c r="BX119" s="518"/>
      <c r="BY119" s="518"/>
      <c r="BZ119" s="518"/>
      <c r="CA119" s="518"/>
      <c r="CB119" s="518"/>
      <c r="CC119" s="518"/>
      <c r="CD119" s="518"/>
      <c r="CE119" s="518"/>
      <c r="CF119" s="518"/>
      <c r="CG119" s="518"/>
      <c r="CH119" s="518"/>
      <c r="CI119" s="518"/>
      <c r="CJ119" s="518"/>
      <c r="CK119" s="518"/>
      <c r="CL119" s="518"/>
      <c r="CM119" s="518"/>
      <c r="CN119" s="518"/>
      <c r="CO119" s="518"/>
      <c r="CP119" s="518"/>
      <c r="CQ119" s="518"/>
      <c r="CR119" s="518"/>
      <c r="CS119" s="518"/>
      <c r="CT119" s="518"/>
      <c r="CU119" s="860">
        <v>3.3709999999999997E-2</v>
      </c>
      <c r="CV119" s="860">
        <v>3.5000000000000003E-2</v>
      </c>
      <c r="CW119" s="860">
        <v>3.5000000000000003E-2</v>
      </c>
      <c r="CX119" s="518"/>
      <c r="CY119" s="860">
        <v>3.5000000000000003E-2</v>
      </c>
      <c r="CZ119" s="860">
        <v>3.5000000000000003E-2</v>
      </c>
      <c r="DA119" s="860">
        <v>3.5000000000000003E-2</v>
      </c>
      <c r="DB119" s="860">
        <v>3.5000000000000003E-2</v>
      </c>
      <c r="DC119" s="860"/>
      <c r="DD119" s="860">
        <v>3.5000000000000003E-2</v>
      </c>
      <c r="DE119" s="860">
        <v>3.5000000000000003E-2</v>
      </c>
      <c r="DF119" s="860">
        <v>3.5000000000000003E-2</v>
      </c>
      <c r="DG119" s="518"/>
      <c r="DH119" s="518"/>
      <c r="DI119" s="518"/>
      <c r="DJ119" s="518"/>
      <c r="DK119" s="518"/>
      <c r="DL119" s="518"/>
      <c r="DM119" s="518"/>
      <c r="DN119" s="518"/>
      <c r="DO119" s="518"/>
      <c r="DP119" s="518"/>
      <c r="DQ119" s="518"/>
      <c r="DR119" s="518"/>
      <c r="DS119" s="518"/>
      <c r="DT119" s="518"/>
      <c r="DU119" s="518"/>
      <c r="DV119" s="518"/>
      <c r="DW119" s="517"/>
    </row>
    <row r="120" spans="1:128">
      <c r="A120" s="89" t="s">
        <v>544</v>
      </c>
      <c r="AY120" s="45"/>
      <c r="AZ120" s="45"/>
      <c r="BE120" s="45"/>
      <c r="BJ120" s="45"/>
      <c r="BK120" s="518"/>
      <c r="BL120" s="518"/>
      <c r="BM120" s="518"/>
      <c r="BN120" s="518"/>
      <c r="BO120" s="518"/>
      <c r="BP120" s="518"/>
      <c r="BQ120" s="518"/>
      <c r="BR120" s="518"/>
      <c r="BS120" s="518"/>
      <c r="BT120" s="518"/>
      <c r="BU120" s="518"/>
      <c r="BV120" s="518"/>
      <c r="BX120" s="518"/>
      <c r="BY120" s="518"/>
      <c r="BZ120" s="518"/>
      <c r="CA120" s="518"/>
      <c r="CB120" s="518"/>
      <c r="CC120" s="518"/>
      <c r="CD120" s="518"/>
      <c r="CE120" s="518"/>
      <c r="CF120" s="518"/>
      <c r="CG120" s="518"/>
      <c r="CH120" s="518"/>
      <c r="CI120" s="518"/>
      <c r="CJ120" s="518"/>
      <c r="CK120" s="518"/>
      <c r="CL120" s="518"/>
      <c r="CM120" s="518"/>
      <c r="CN120" s="518"/>
      <c r="CO120" s="518"/>
      <c r="CP120" s="518"/>
      <c r="CQ120" s="518"/>
      <c r="CR120" s="518"/>
      <c r="CS120" s="518"/>
      <c r="CT120" s="518"/>
      <c r="CU120" s="860">
        <v>4.0800000000000003E-2</v>
      </c>
      <c r="CV120" s="860">
        <v>4.1500000000000002E-2</v>
      </c>
      <c r="CW120" s="860">
        <v>4.1500000000000002E-2</v>
      </c>
      <c r="CX120" s="860"/>
      <c r="CY120" s="860">
        <v>4.1500000000000002E-2</v>
      </c>
      <c r="CZ120" s="860">
        <v>4.1500000000000002E-2</v>
      </c>
      <c r="DA120" s="860">
        <v>4.1500000000000002E-2</v>
      </c>
      <c r="DB120" s="860">
        <v>4.1500000000000002E-2</v>
      </c>
      <c r="DC120" s="860"/>
      <c r="DD120" s="860">
        <v>4.1500000000000002E-2</v>
      </c>
      <c r="DE120" s="860">
        <v>4.1500000000000002E-2</v>
      </c>
      <c r="DF120" s="860">
        <v>4.1500000000000002E-2</v>
      </c>
      <c r="DG120" s="518"/>
      <c r="DH120" s="518"/>
      <c r="DI120" s="518"/>
      <c r="DJ120" s="518"/>
      <c r="DK120" s="518"/>
      <c r="DL120" s="518"/>
      <c r="DM120" s="518"/>
      <c r="DN120" s="518"/>
      <c r="DO120" s="518"/>
      <c r="DP120" s="518"/>
      <c r="DQ120" s="518"/>
      <c r="DR120" s="518"/>
      <c r="DS120" s="518"/>
      <c r="DT120" s="518"/>
      <c r="DU120" s="518"/>
      <c r="DV120" s="518"/>
      <c r="DW120" s="517"/>
    </row>
    <row r="121" spans="1:128">
      <c r="A121" s="89" t="s">
        <v>545</v>
      </c>
      <c r="AY121" s="45"/>
      <c r="AZ121" s="45"/>
      <c r="BE121" s="45"/>
      <c r="BJ121" s="45"/>
      <c r="BK121" s="518"/>
      <c r="BL121" s="518"/>
      <c r="BM121" s="518"/>
      <c r="BN121" s="518"/>
      <c r="BO121" s="518"/>
      <c r="BP121" s="518"/>
      <c r="BQ121" s="518"/>
      <c r="BR121" s="518"/>
      <c r="BS121" s="518"/>
      <c r="BT121" s="518"/>
      <c r="BU121" s="518"/>
      <c r="BV121" s="518"/>
      <c r="BX121" s="518"/>
      <c r="BY121" s="518"/>
      <c r="BZ121" s="518"/>
      <c r="CA121" s="518"/>
      <c r="CB121" s="518"/>
      <c r="CC121" s="518"/>
      <c r="CD121" s="518"/>
      <c r="CE121" s="518"/>
      <c r="CF121" s="518"/>
      <c r="CG121" s="518"/>
      <c r="CH121" s="518"/>
      <c r="CI121" s="518"/>
      <c r="CJ121" s="518"/>
      <c r="CK121" s="518"/>
      <c r="CL121" s="518"/>
      <c r="CM121" s="518"/>
      <c r="CN121" s="518"/>
      <c r="CO121" s="518"/>
      <c r="CP121" s="518"/>
      <c r="CQ121" s="518"/>
      <c r="CR121" s="518"/>
      <c r="CS121" s="518"/>
      <c r="CT121" s="518"/>
      <c r="CU121" s="860">
        <v>4.4970000000000003E-2</v>
      </c>
      <c r="CV121" s="860">
        <v>4.4970000000000003E-2</v>
      </c>
      <c r="CW121" s="860">
        <v>4.4970000000000003E-2</v>
      </c>
      <c r="CX121" s="860"/>
      <c r="CY121" s="860">
        <v>4.4970000000000003E-2</v>
      </c>
      <c r="CZ121" s="860">
        <v>4.4970000000000003E-2</v>
      </c>
      <c r="DA121" s="860">
        <v>4.4970000000000003E-2</v>
      </c>
      <c r="DB121" s="860">
        <v>4.4970000000000003E-2</v>
      </c>
      <c r="DC121" s="860"/>
      <c r="DD121" s="860">
        <v>4.4970000000000003E-2</v>
      </c>
      <c r="DE121" s="860">
        <v>4.4970000000000003E-2</v>
      </c>
      <c r="DF121" s="860">
        <v>4.4970000000000003E-2</v>
      </c>
      <c r="DH121" s="45"/>
      <c r="DM121" s="45"/>
      <c r="DR121" s="45"/>
      <c r="DW121" s="47"/>
    </row>
    <row r="122" spans="1:128" ht="15">
      <c r="A122" s="44" t="s">
        <v>548</v>
      </c>
      <c r="AY122" s="45"/>
      <c r="AZ122" s="45"/>
      <c r="BE122" s="45"/>
      <c r="BJ122" s="45"/>
      <c r="BK122" s="518"/>
      <c r="BL122" s="518"/>
      <c r="BM122" s="518"/>
      <c r="BN122" s="518"/>
      <c r="BO122" s="518"/>
      <c r="BP122" s="518"/>
      <c r="BQ122" s="518"/>
      <c r="BR122" s="518"/>
      <c r="BS122" s="518"/>
      <c r="BT122" s="518"/>
      <c r="BU122" s="518"/>
      <c r="BV122" s="518"/>
      <c r="BX122" s="518"/>
      <c r="BY122" s="518"/>
      <c r="BZ122" s="518"/>
      <c r="CA122" s="518"/>
      <c r="CB122" s="518"/>
      <c r="CC122" s="518"/>
      <c r="CD122" s="518"/>
      <c r="CE122" s="518"/>
      <c r="CF122" s="518"/>
      <c r="CG122" s="518"/>
      <c r="CH122" s="518"/>
      <c r="CI122" s="518"/>
      <c r="CJ122" s="518"/>
      <c r="CK122" s="518"/>
      <c r="CL122" s="518"/>
      <c r="CM122" s="518"/>
      <c r="CN122" s="518"/>
      <c r="CO122" s="518"/>
      <c r="CP122" s="518"/>
      <c r="CQ122" s="518"/>
      <c r="CR122" s="518"/>
      <c r="CS122" s="518"/>
      <c r="CT122" s="518"/>
      <c r="CU122" s="1175">
        <v>7.0000000000000007E-2</v>
      </c>
      <c r="CV122" s="1175">
        <v>7.0000000000000007E-2</v>
      </c>
      <c r="CW122" s="1175">
        <v>7.0000000000000007E-2</v>
      </c>
      <c r="CX122" s="860"/>
      <c r="CY122" s="1175">
        <v>7.0000000000000007E-2</v>
      </c>
      <c r="CZ122" s="1175">
        <v>7.0000000000000007E-2</v>
      </c>
      <c r="DA122" s="1175">
        <v>7.0000000000000007E-2</v>
      </c>
      <c r="DB122" s="1175">
        <v>7.0000000000000007E-2</v>
      </c>
      <c r="DC122" s="860"/>
      <c r="DD122" s="1175">
        <v>7.0000000000000007E-2</v>
      </c>
      <c r="DE122" s="1175">
        <v>7.0000000000000007E-2</v>
      </c>
      <c r="DF122" s="1175">
        <v>7.0000000000000007E-2</v>
      </c>
      <c r="DH122" s="45"/>
      <c r="DM122" s="45"/>
      <c r="DR122" s="45"/>
      <c r="DW122" s="47"/>
    </row>
    <row r="123" spans="1:128" ht="9.75" customHeight="1">
      <c r="A123" s="44"/>
      <c r="AY123" s="45"/>
      <c r="AZ123" s="45"/>
      <c r="BE123" s="45"/>
      <c r="BJ123" s="45"/>
      <c r="BK123" s="518"/>
      <c r="BL123" s="518"/>
      <c r="BM123" s="518"/>
      <c r="BN123" s="518"/>
      <c r="BO123" s="518"/>
      <c r="BP123" s="518"/>
      <c r="BQ123" s="518"/>
      <c r="BR123" s="518"/>
      <c r="BS123" s="518"/>
      <c r="BT123" s="518"/>
      <c r="BU123" s="518"/>
      <c r="BV123" s="518"/>
      <c r="BX123" s="518"/>
      <c r="BY123" s="518"/>
      <c r="BZ123" s="518"/>
      <c r="CA123" s="518"/>
      <c r="CB123" s="518"/>
      <c r="CC123" s="518"/>
      <c r="CD123" s="518"/>
      <c r="CE123" s="518"/>
      <c r="CF123" s="518"/>
      <c r="CG123" s="518"/>
      <c r="CH123" s="518"/>
      <c r="CI123" s="518"/>
      <c r="CJ123" s="518"/>
      <c r="CK123" s="518"/>
      <c r="CL123" s="518"/>
      <c r="CM123" s="518"/>
      <c r="CN123" s="518"/>
      <c r="CO123" s="518"/>
      <c r="CP123" s="518"/>
      <c r="CQ123" s="518"/>
      <c r="CR123" s="518"/>
      <c r="CS123" s="518"/>
      <c r="CT123" s="518"/>
      <c r="CU123" s="1175"/>
      <c r="CV123" s="1175"/>
      <c r="CW123" s="1175"/>
      <c r="CX123" s="860"/>
      <c r="CY123" s="860"/>
      <c r="CZ123" s="860"/>
      <c r="DA123" s="860"/>
      <c r="DB123" s="860"/>
      <c r="DC123" s="860"/>
      <c r="DD123" s="860"/>
      <c r="DE123" s="860"/>
      <c r="DF123" s="860"/>
      <c r="DH123" s="45"/>
      <c r="DM123" s="45"/>
      <c r="DR123" s="45"/>
      <c r="DW123" s="47"/>
    </row>
    <row r="124" spans="1:128" ht="15">
      <c r="A124" s="56" t="s">
        <v>428</v>
      </c>
      <c r="AY124" s="45"/>
      <c r="AZ124" s="45"/>
      <c r="BE124" s="45"/>
      <c r="BJ124" s="45"/>
      <c r="BK124" s="518"/>
      <c r="BL124" s="518"/>
      <c r="BM124" s="518"/>
      <c r="BN124" s="518"/>
      <c r="BO124" s="518"/>
      <c r="BP124" s="518"/>
      <c r="BQ124" s="518"/>
      <c r="BR124" s="518"/>
      <c r="BS124" s="518"/>
      <c r="BT124" s="518"/>
      <c r="BU124" s="518"/>
      <c r="BV124" s="518"/>
      <c r="BX124" s="518"/>
      <c r="BY124" s="518"/>
      <c r="BZ124" s="518"/>
      <c r="CA124" s="518"/>
      <c r="CB124" s="518"/>
      <c r="CC124" s="518"/>
      <c r="CD124" s="518"/>
      <c r="CE124" s="518"/>
      <c r="CF124" s="518"/>
      <c r="CG124" s="518"/>
      <c r="CH124" s="518"/>
      <c r="CI124" s="518"/>
      <c r="CJ124" s="518"/>
      <c r="CK124" s="518"/>
      <c r="CL124" s="518"/>
      <c r="CM124" s="518"/>
      <c r="CN124" s="518"/>
      <c r="CO124" s="518"/>
      <c r="CP124" s="518"/>
      <c r="CQ124" s="518"/>
      <c r="CR124" s="518"/>
      <c r="CS124" s="518"/>
      <c r="CT124" s="518"/>
      <c r="CU124" s="1175"/>
      <c r="CV124" s="1175"/>
      <c r="CW124" s="1175"/>
      <c r="CX124" s="860"/>
      <c r="CY124" s="860"/>
      <c r="CZ124" s="860"/>
      <c r="DA124" s="860"/>
      <c r="DB124" s="860"/>
      <c r="DC124" s="860"/>
      <c r="DD124" s="860"/>
      <c r="DE124" s="860"/>
      <c r="DF124" s="860"/>
      <c r="DH124" s="45"/>
      <c r="DM124" s="45"/>
      <c r="DR124" s="45"/>
      <c r="DW124" s="47"/>
    </row>
    <row r="125" spans="1:128" ht="15">
      <c r="A125" s="89" t="s">
        <v>543</v>
      </c>
      <c r="AY125" s="45"/>
      <c r="AZ125" s="45"/>
      <c r="BE125" s="45"/>
      <c r="BJ125" s="45"/>
      <c r="BK125" s="518"/>
      <c r="BL125" s="518"/>
      <c r="BM125" s="518"/>
      <c r="BN125" s="518"/>
      <c r="BO125" s="518"/>
      <c r="BP125" s="518"/>
      <c r="BQ125" s="518"/>
      <c r="BR125" s="518"/>
      <c r="BS125" s="518"/>
      <c r="BT125" s="518"/>
      <c r="BU125" s="518"/>
      <c r="BV125" s="518"/>
      <c r="BX125" s="518"/>
      <c r="BY125" s="518"/>
      <c r="BZ125" s="518"/>
      <c r="CA125" s="518"/>
      <c r="CB125" s="518"/>
      <c r="CC125" s="518"/>
      <c r="CD125" s="518"/>
      <c r="CE125" s="518"/>
      <c r="CF125" s="518"/>
      <c r="CG125" s="518"/>
      <c r="CH125" s="518"/>
      <c r="CI125" s="518"/>
      <c r="CJ125" s="518"/>
      <c r="CK125" s="518"/>
      <c r="CL125" s="518"/>
      <c r="CM125" s="518"/>
      <c r="CN125" s="518"/>
      <c r="CO125" s="518"/>
      <c r="CP125" s="518"/>
      <c r="CQ125" s="518"/>
      <c r="CR125" s="518"/>
      <c r="CS125" s="518"/>
      <c r="CT125" s="518"/>
      <c r="CU125" s="1176"/>
      <c r="CV125" s="88">
        <f>CV106*CV119/4</f>
        <v>7.6562500000000009</v>
      </c>
      <c r="CW125" s="88">
        <f>CW106*CW119/4</f>
        <v>7.637113750000001</v>
      </c>
      <c r="CX125" s="391"/>
      <c r="CY125" s="88">
        <f>CY106*CY119/4</f>
        <v>7.637113750000001</v>
      </c>
      <c r="CZ125" s="88">
        <f>CZ106*CZ119/4</f>
        <v>7.637113750000001</v>
      </c>
      <c r="DA125" s="88">
        <f>DA106*DA119/4</f>
        <v>7.637113750000001</v>
      </c>
      <c r="DB125" s="88">
        <f>DB106*DB119/4</f>
        <v>7.5605512500000005</v>
      </c>
      <c r="DC125" s="391"/>
      <c r="DD125" s="88">
        <f>DD106*DD119/4</f>
        <v>7.5605512500000005</v>
      </c>
      <c r="DE125" s="88">
        <f>DE106*DE119/4</f>
        <v>7.5605512500000005</v>
      </c>
      <c r="DF125" s="88">
        <f>DF106*DF119/4</f>
        <v>7.5605512500000005</v>
      </c>
      <c r="DG125" s="391"/>
      <c r="DH125" s="391"/>
      <c r="DI125" s="391"/>
      <c r="DJ125" s="391"/>
      <c r="DK125" s="391"/>
      <c r="DL125" s="391"/>
      <c r="DM125" s="391"/>
      <c r="DN125" s="391"/>
      <c r="DO125" s="391"/>
      <c r="DP125" s="391"/>
      <c r="DQ125" s="391"/>
      <c r="DR125" s="391"/>
      <c r="DS125" s="391"/>
      <c r="DT125" s="391"/>
      <c r="DU125" s="391"/>
      <c r="DV125" s="391"/>
      <c r="DW125" s="281"/>
      <c r="DX125" s="1177"/>
    </row>
    <row r="126" spans="1:128" ht="15">
      <c r="A126" s="89" t="s">
        <v>544</v>
      </c>
      <c r="AY126" s="45"/>
      <c r="AZ126" s="45"/>
      <c r="BE126" s="45"/>
      <c r="BJ126" s="45"/>
      <c r="BK126" s="518"/>
      <c r="BL126" s="518"/>
      <c r="BM126" s="518"/>
      <c r="BN126" s="518"/>
      <c r="BO126" s="518"/>
      <c r="BP126" s="518"/>
      <c r="BQ126" s="518"/>
      <c r="BR126" s="518"/>
      <c r="BS126" s="518"/>
      <c r="BT126" s="518"/>
      <c r="BU126" s="518"/>
      <c r="BV126" s="518"/>
      <c r="BX126" s="518"/>
      <c r="BY126" s="518"/>
      <c r="BZ126" s="518"/>
      <c r="CA126" s="518"/>
      <c r="CB126" s="518"/>
      <c r="CC126" s="518"/>
      <c r="CD126" s="518"/>
      <c r="CE126" s="518"/>
      <c r="CF126" s="518"/>
      <c r="CG126" s="518"/>
      <c r="CH126" s="518"/>
      <c r="CI126" s="518"/>
      <c r="CJ126" s="518"/>
      <c r="CK126" s="518"/>
      <c r="CL126" s="518"/>
      <c r="CM126" s="518"/>
      <c r="CN126" s="518"/>
      <c r="CO126" s="518"/>
      <c r="CP126" s="518"/>
      <c r="CQ126" s="518"/>
      <c r="CR126" s="518"/>
      <c r="CS126" s="518"/>
      <c r="CT126" s="518"/>
      <c r="CU126" s="1176"/>
      <c r="CV126" s="88">
        <f>CV120*CV107/4</f>
        <v>9.3375000000000004</v>
      </c>
      <c r="CW126" s="88">
        <f>CW120*CW107/4</f>
        <v>9.3141562499999999</v>
      </c>
      <c r="CX126" s="391"/>
      <c r="CY126" s="88">
        <f t="shared" ref="CY126:DB127" si="180">CY120*CY107/4</f>
        <v>9.3141562499999999</v>
      </c>
      <c r="CZ126" s="88">
        <f t="shared" si="180"/>
        <v>9.3141562499999999</v>
      </c>
      <c r="DA126" s="88">
        <f t="shared" si="180"/>
        <v>9.3141562499999999</v>
      </c>
      <c r="DB126" s="88">
        <f t="shared" si="180"/>
        <v>9.2207812499999999</v>
      </c>
      <c r="DC126" s="391"/>
      <c r="DD126" s="88">
        <f t="shared" ref="DD126:DF127" si="181">DD120*DD107/4</f>
        <v>9.2207812499999999</v>
      </c>
      <c r="DE126" s="88">
        <f t="shared" si="181"/>
        <v>9.2207812499999999</v>
      </c>
      <c r="DF126" s="88">
        <f t="shared" si="181"/>
        <v>9.2207812499999999</v>
      </c>
      <c r="DG126" s="391"/>
      <c r="DH126" s="391"/>
      <c r="DI126" s="391"/>
      <c r="DJ126" s="391"/>
      <c r="DK126" s="391"/>
      <c r="DL126" s="391"/>
      <c r="DM126" s="391"/>
      <c r="DN126" s="391"/>
      <c r="DO126" s="391"/>
      <c r="DP126" s="391"/>
      <c r="DQ126" s="391"/>
      <c r="DR126" s="391"/>
      <c r="DS126" s="391"/>
      <c r="DT126" s="391"/>
      <c r="DU126" s="391"/>
      <c r="DV126" s="391"/>
      <c r="DW126" s="281"/>
      <c r="DX126" s="1177"/>
    </row>
    <row r="127" spans="1:128" ht="15">
      <c r="A127" s="89" t="s">
        <v>545</v>
      </c>
      <c r="AY127" s="45"/>
      <c r="AZ127" s="45"/>
      <c r="BE127" s="45"/>
      <c r="BJ127" s="45"/>
      <c r="BK127" s="518"/>
      <c r="BL127" s="518"/>
      <c r="BM127" s="518"/>
      <c r="BN127" s="518"/>
      <c r="BO127" s="518"/>
      <c r="BP127" s="518"/>
      <c r="BQ127" s="518"/>
      <c r="BR127" s="518"/>
      <c r="BS127" s="518"/>
      <c r="BT127" s="518"/>
      <c r="BU127" s="518"/>
      <c r="BV127" s="518"/>
      <c r="BX127" s="518"/>
      <c r="BY127" s="518"/>
      <c r="BZ127" s="518"/>
      <c r="CA127" s="518"/>
      <c r="CB127" s="518"/>
      <c r="CC127" s="518"/>
      <c r="CD127" s="518"/>
      <c r="CE127" s="518"/>
      <c r="CF127" s="518"/>
      <c r="CG127" s="518"/>
      <c r="CH127" s="518"/>
      <c r="CI127" s="518"/>
      <c r="CJ127" s="518"/>
      <c r="CK127" s="518"/>
      <c r="CL127" s="518"/>
      <c r="CM127" s="518"/>
      <c r="CN127" s="518"/>
      <c r="CO127" s="518"/>
      <c r="CP127" s="518"/>
      <c r="CQ127" s="518"/>
      <c r="CR127" s="518"/>
      <c r="CS127" s="518"/>
      <c r="CT127" s="518"/>
      <c r="CU127" s="1176"/>
      <c r="CV127" s="88">
        <f>CV121*CV108/4</f>
        <v>5.6212500000000007</v>
      </c>
      <c r="CW127" s="88">
        <f>CW121*CW108/4</f>
        <v>5.6071968750000005</v>
      </c>
      <c r="CX127" s="391"/>
      <c r="CY127" s="88">
        <f t="shared" si="180"/>
        <v>5.6071968750000005</v>
      </c>
      <c r="CZ127" s="88">
        <f t="shared" si="180"/>
        <v>5.6071968750000005</v>
      </c>
      <c r="DA127" s="88">
        <f t="shared" si="180"/>
        <v>5.6071968750000005</v>
      </c>
      <c r="DB127" s="88">
        <f t="shared" si="180"/>
        <v>5.5509843750000005</v>
      </c>
      <c r="DC127" s="391"/>
      <c r="DD127" s="88">
        <f t="shared" si="181"/>
        <v>5.5509843750000005</v>
      </c>
      <c r="DE127" s="88">
        <f t="shared" si="181"/>
        <v>5.5509843750000005</v>
      </c>
      <c r="DF127" s="88">
        <f t="shared" si="181"/>
        <v>5.5509843750000005</v>
      </c>
      <c r="DG127" s="391"/>
      <c r="DH127" s="391"/>
      <c r="DI127" s="391"/>
      <c r="DJ127" s="391"/>
      <c r="DK127" s="391"/>
      <c r="DL127" s="391"/>
      <c r="DM127" s="391"/>
      <c r="DN127" s="391"/>
      <c r="DO127" s="391"/>
      <c r="DP127" s="391"/>
      <c r="DQ127" s="391"/>
      <c r="DR127" s="391"/>
      <c r="DS127" s="391"/>
      <c r="DT127" s="391"/>
      <c r="DU127" s="391"/>
      <c r="DV127" s="391"/>
      <c r="DW127" s="281"/>
      <c r="DX127" s="1177"/>
    </row>
    <row r="128" spans="1:128" ht="15">
      <c r="A128" s="44" t="s">
        <v>186</v>
      </c>
      <c r="AY128" s="45"/>
      <c r="AZ128" s="45"/>
      <c r="BE128" s="45"/>
      <c r="BJ128" s="45"/>
      <c r="BK128" s="518"/>
      <c r="BL128" s="518"/>
      <c r="BM128" s="518"/>
      <c r="BN128" s="518"/>
      <c r="BO128" s="518"/>
      <c r="BP128" s="518"/>
      <c r="BQ128" s="518"/>
      <c r="BR128" s="518"/>
      <c r="BS128" s="518"/>
      <c r="BT128" s="518"/>
      <c r="BU128" s="518"/>
      <c r="BV128" s="518"/>
      <c r="BX128" s="518"/>
      <c r="BY128" s="518"/>
      <c r="BZ128" s="518"/>
      <c r="CA128" s="518"/>
      <c r="CB128" s="518"/>
      <c r="CC128" s="518"/>
      <c r="CD128" s="518"/>
      <c r="CE128" s="518"/>
      <c r="CF128" s="518"/>
      <c r="CG128" s="518"/>
      <c r="CH128" s="518"/>
      <c r="CI128" s="518"/>
      <c r="CJ128" s="518"/>
      <c r="CK128" s="518"/>
      <c r="CL128" s="518"/>
      <c r="CM128" s="518"/>
      <c r="CN128" s="518"/>
      <c r="CO128" s="518"/>
      <c r="CP128" s="518"/>
      <c r="CQ128" s="518"/>
      <c r="CR128" s="518"/>
      <c r="CS128" s="518"/>
      <c r="CT128" s="518"/>
      <c r="CU128" s="1176"/>
      <c r="CV128" s="88">
        <f>CV122*CV112/4</f>
        <v>1.5015000000000001</v>
      </c>
      <c r="CW128" s="88">
        <f>CW122*CW112/4</f>
        <v>1.5234975000000002</v>
      </c>
      <c r="CX128" s="391"/>
      <c r="CY128" s="88">
        <f>CY122*CY112/4</f>
        <v>1.5234975000000002</v>
      </c>
      <c r="CZ128" s="88">
        <f>CZ122*CZ112/4</f>
        <v>1.5234975000000002</v>
      </c>
      <c r="DA128" s="88">
        <f>DA122*DA112/4</f>
        <v>1.5234975000000002</v>
      </c>
      <c r="DB128" s="88">
        <f>DB122*DB112/4</f>
        <v>1.5448475000000002</v>
      </c>
      <c r="DC128" s="391"/>
      <c r="DD128" s="88">
        <f>DD122*DD112/4</f>
        <v>1.5448475000000002</v>
      </c>
      <c r="DE128" s="88">
        <f>DE122*DE112/4</f>
        <v>1.5448475000000002</v>
      </c>
      <c r="DF128" s="88">
        <f>DF122*DF112/4</f>
        <v>1.5448475000000002</v>
      </c>
      <c r="DG128" s="391"/>
      <c r="DH128" s="391"/>
      <c r="DI128" s="391"/>
      <c r="DJ128" s="391"/>
      <c r="DK128" s="391"/>
      <c r="DL128" s="391"/>
      <c r="DM128" s="391"/>
      <c r="DN128" s="391"/>
      <c r="DO128" s="391"/>
      <c r="DP128" s="391"/>
      <c r="DQ128" s="391"/>
      <c r="DR128" s="391"/>
      <c r="DS128" s="391"/>
      <c r="DT128" s="391"/>
      <c r="DU128" s="391"/>
      <c r="DV128" s="391"/>
      <c r="DW128" s="281"/>
      <c r="DX128" s="1177"/>
    </row>
    <row r="129" spans="1:137" ht="15">
      <c r="A129" s="44" t="str">
        <f>A101</f>
        <v>Capital lease obligations, due through 2040</v>
      </c>
      <c r="AY129" s="45"/>
      <c r="AZ129" s="45"/>
      <c r="BE129" s="45"/>
      <c r="BJ129" s="45"/>
      <c r="BK129" s="518"/>
      <c r="BL129" s="518"/>
      <c r="BM129" s="518"/>
      <c r="BN129" s="518"/>
      <c r="BO129" s="518"/>
      <c r="BP129" s="518"/>
      <c r="BQ129" s="518"/>
      <c r="BR129" s="518"/>
      <c r="BS129" s="518"/>
      <c r="BT129" s="518"/>
      <c r="BU129" s="518"/>
      <c r="BV129" s="518"/>
      <c r="BX129" s="518"/>
      <c r="BY129" s="518"/>
      <c r="BZ129" s="518"/>
      <c r="CA129" s="518"/>
      <c r="CB129" s="518"/>
      <c r="CC129" s="518"/>
      <c r="CD129" s="518"/>
      <c r="CE129" s="518"/>
      <c r="CF129" s="518"/>
      <c r="CG129" s="518"/>
      <c r="CH129" s="518"/>
      <c r="CI129" s="518"/>
      <c r="CJ129" s="518"/>
      <c r="CK129" s="518"/>
      <c r="CL129" s="518"/>
      <c r="CM129" s="518"/>
      <c r="CN129" s="518"/>
      <c r="CO129" s="518"/>
      <c r="CP129" s="518"/>
      <c r="CQ129" s="518"/>
      <c r="CR129" s="518"/>
      <c r="CS129" s="518"/>
      <c r="CT129" s="518"/>
      <c r="CU129" s="1175"/>
      <c r="CV129" s="1179">
        <f>2/4</f>
        <v>0.5</v>
      </c>
      <c r="CW129" s="1179">
        <f>2/4</f>
        <v>0.5</v>
      </c>
      <c r="CX129" s="1179"/>
      <c r="CY129" s="1179">
        <f>2/4</f>
        <v>0.5</v>
      </c>
      <c r="CZ129" s="1179">
        <f>2/4</f>
        <v>0.5</v>
      </c>
      <c r="DA129" s="1179">
        <f>2/4</f>
        <v>0.5</v>
      </c>
      <c r="DB129" s="1179">
        <f>2/4</f>
        <v>0.5</v>
      </c>
      <c r="DC129" s="1179"/>
      <c r="DD129" s="1179">
        <f>2/4</f>
        <v>0.5</v>
      </c>
      <c r="DE129" s="1179">
        <f>2/4</f>
        <v>0.5</v>
      </c>
      <c r="DF129" s="1179">
        <f>2/4</f>
        <v>0.5</v>
      </c>
      <c r="DH129" s="45"/>
      <c r="DM129" s="45"/>
      <c r="DR129" s="45"/>
      <c r="DW129" s="47"/>
    </row>
    <row r="130" spans="1:137" ht="15">
      <c r="A130" s="44" t="s">
        <v>549</v>
      </c>
      <c r="AY130" s="45"/>
      <c r="AZ130" s="45"/>
      <c r="BE130" s="45"/>
      <c r="BJ130" s="45"/>
      <c r="BK130" s="518"/>
      <c r="BL130" s="518"/>
      <c r="BM130" s="518"/>
      <c r="BN130" s="518"/>
      <c r="BO130" s="518"/>
      <c r="BP130" s="518"/>
      <c r="BQ130" s="518"/>
      <c r="BR130" s="518"/>
      <c r="BS130" s="518"/>
      <c r="BT130" s="518"/>
      <c r="BU130" s="518"/>
      <c r="BV130" s="518"/>
      <c r="BX130" s="518"/>
      <c r="BY130" s="518"/>
      <c r="BZ130" s="518"/>
      <c r="CA130" s="518"/>
      <c r="CB130" s="518"/>
      <c r="CC130" s="518"/>
      <c r="CD130" s="518"/>
      <c r="CE130" s="518"/>
      <c r="CF130" s="518"/>
      <c r="CG130" s="518"/>
      <c r="CH130" s="518"/>
      <c r="CI130" s="518"/>
      <c r="CJ130" s="518"/>
      <c r="CK130" s="518"/>
      <c r="CL130" s="518"/>
      <c r="CM130" s="518"/>
      <c r="CN130" s="518"/>
      <c r="CO130" s="518"/>
      <c r="CP130" s="518"/>
      <c r="CQ130" s="518"/>
      <c r="CR130" s="518"/>
      <c r="CS130" s="518"/>
      <c r="CT130" s="518"/>
      <c r="CU130" s="1175"/>
      <c r="CV130" s="1178">
        <f>13/4</f>
        <v>3.25</v>
      </c>
      <c r="CW130" s="1178">
        <f>13/4</f>
        <v>3.25</v>
      </c>
      <c r="CX130" s="1179"/>
      <c r="CY130" s="1178">
        <f>12/4</f>
        <v>3</v>
      </c>
      <c r="CZ130" s="1178">
        <f>12/4</f>
        <v>3</v>
      </c>
      <c r="DA130" s="1178">
        <f>12/4</f>
        <v>3</v>
      </c>
      <c r="DB130" s="1178">
        <f>12/4</f>
        <v>3</v>
      </c>
      <c r="DC130" s="1179"/>
      <c r="DD130" s="1178">
        <f>12/4</f>
        <v>3</v>
      </c>
      <c r="DE130" s="1178">
        <f>12/4</f>
        <v>3</v>
      </c>
      <c r="DF130" s="1178">
        <f>12/4</f>
        <v>3</v>
      </c>
      <c r="DH130" s="45"/>
      <c r="DM130" s="45"/>
      <c r="DR130" s="45"/>
      <c r="DW130" s="47"/>
    </row>
    <row r="131" spans="1:137" s="49" customFormat="1" ht="15">
      <c r="A131" s="56" t="s">
        <v>550</v>
      </c>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c r="AK131" s="80"/>
      <c r="AL131" s="80"/>
      <c r="AM131" s="80"/>
      <c r="AN131" s="80"/>
      <c r="AO131" s="80"/>
      <c r="AP131" s="80"/>
      <c r="AQ131" s="80"/>
      <c r="AR131" s="80"/>
      <c r="AS131" s="80"/>
      <c r="AT131" s="80"/>
      <c r="AU131" s="80"/>
      <c r="AV131" s="80"/>
      <c r="AW131" s="80"/>
      <c r="AX131" s="80"/>
      <c r="AY131" s="80"/>
      <c r="AZ131" s="80"/>
      <c r="BA131" s="80"/>
      <c r="BB131" s="80"/>
      <c r="BC131" s="80"/>
      <c r="BD131" s="80"/>
      <c r="BE131" s="80"/>
      <c r="BF131" s="80"/>
      <c r="BG131" s="80"/>
      <c r="BH131" s="80"/>
      <c r="BI131" s="80"/>
      <c r="BJ131" s="80"/>
      <c r="BK131" s="516"/>
      <c r="BL131" s="516"/>
      <c r="BM131" s="516"/>
      <c r="BN131" s="516"/>
      <c r="BO131" s="516"/>
      <c r="BP131" s="516"/>
      <c r="BQ131" s="516"/>
      <c r="BR131" s="516"/>
      <c r="BS131" s="516"/>
      <c r="BT131" s="516"/>
      <c r="BU131" s="516"/>
      <c r="BV131" s="516"/>
      <c r="BW131" s="516"/>
      <c r="BX131" s="516"/>
      <c r="BY131" s="516"/>
      <c r="BZ131" s="516"/>
      <c r="CA131" s="516"/>
      <c r="CB131" s="516"/>
      <c r="CC131" s="516"/>
      <c r="CD131" s="516"/>
      <c r="CE131" s="516"/>
      <c r="CF131" s="516"/>
      <c r="CG131" s="516"/>
      <c r="CH131" s="516"/>
      <c r="CI131" s="516"/>
      <c r="CJ131" s="516"/>
      <c r="CK131" s="516"/>
      <c r="CL131" s="516"/>
      <c r="CM131" s="516"/>
      <c r="CN131" s="516"/>
      <c r="CO131" s="516"/>
      <c r="CP131" s="516"/>
      <c r="CQ131" s="516"/>
      <c r="CR131" s="516"/>
      <c r="CS131" s="516"/>
      <c r="CT131" s="516"/>
      <c r="CU131" s="1180"/>
      <c r="CV131" s="1181">
        <f>SUM(CV125:CV130)</f>
        <v>27.866500000000002</v>
      </c>
      <c r="CW131" s="1181">
        <f>SUM(CW125:CW130)</f>
        <v>27.831964375000002</v>
      </c>
      <c r="CX131" s="1181"/>
      <c r="CY131" s="1181">
        <f>IncomeStatement!BP44</f>
        <v>28.109000000000002</v>
      </c>
      <c r="CZ131" s="1181">
        <f>IncomeStatement!BQ44</f>
        <v>28.643000000000001</v>
      </c>
      <c r="DA131" s="1181">
        <f>IncomeStatement!BR44</f>
        <v>28.731000000000002</v>
      </c>
      <c r="DB131" s="1181">
        <f>IncomeStatement!BS44</f>
        <v>29.318999999999999</v>
      </c>
      <c r="DC131" s="1181"/>
      <c r="DD131" s="1181">
        <f>IncomeStatement!BU44</f>
        <v>28.975000000000001</v>
      </c>
      <c r="DE131" s="1181">
        <f>IncomeStatement!BV44</f>
        <v>28.934999999999999</v>
      </c>
      <c r="DF131" s="1181">
        <f>IncomeStatement!BW44</f>
        <v>29.977</v>
      </c>
      <c r="DG131" s="80"/>
      <c r="DH131" s="80"/>
      <c r="DI131" s="80"/>
      <c r="DJ131" s="80"/>
      <c r="DK131" s="80"/>
      <c r="DL131" s="80"/>
      <c r="DM131" s="80"/>
      <c r="DN131" s="80"/>
      <c r="DO131" s="80"/>
      <c r="DP131" s="80"/>
      <c r="DQ131" s="80"/>
      <c r="DR131" s="80"/>
      <c r="DS131" s="80"/>
      <c r="DT131" s="80"/>
      <c r="DU131" s="80"/>
      <c r="DV131" s="80"/>
      <c r="DW131" s="574"/>
      <c r="EB131"/>
      <c r="EC131"/>
      <c r="ED131"/>
      <c r="EE131"/>
      <c r="EF131"/>
      <c r="EG131"/>
    </row>
    <row r="132" spans="1:137" ht="15">
      <c r="A132" s="51" t="s">
        <v>590</v>
      </c>
      <c r="B132" s="52"/>
      <c r="C132" s="52"/>
      <c r="D132" s="52"/>
      <c r="E132" s="52"/>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1129"/>
      <c r="BL132" s="1129"/>
      <c r="BM132" s="1129"/>
      <c r="BN132" s="1129"/>
      <c r="BO132" s="1129"/>
      <c r="BP132" s="1129"/>
      <c r="BQ132" s="1129"/>
      <c r="BR132" s="1129"/>
      <c r="BS132" s="1129"/>
      <c r="BT132" s="1129"/>
      <c r="BU132" s="1129"/>
      <c r="BV132" s="1129"/>
      <c r="BW132" s="1129"/>
      <c r="BX132" s="1129"/>
      <c r="BY132" s="1129"/>
      <c r="BZ132" s="1129"/>
      <c r="CA132" s="1129"/>
      <c r="CB132" s="1129"/>
      <c r="CC132" s="1129"/>
      <c r="CD132" s="1129"/>
      <c r="CE132" s="1129"/>
      <c r="CF132" s="1129"/>
      <c r="CG132" s="1129"/>
      <c r="CH132" s="1129"/>
      <c r="CI132" s="1129"/>
      <c r="CJ132" s="1129"/>
      <c r="CK132" s="1129"/>
      <c r="CL132" s="1129"/>
      <c r="CM132" s="1129"/>
      <c r="CN132" s="1129"/>
      <c r="CO132" s="1129"/>
      <c r="CP132" s="1129"/>
      <c r="CQ132" s="1129"/>
      <c r="CR132" s="1129"/>
      <c r="CS132" s="1129"/>
      <c r="CT132" s="1129"/>
      <c r="CU132" s="1290"/>
      <c r="CV132" s="1290">
        <f>(CV131/CV116)*4</f>
        <v>4.6029897588371331E-2</v>
      </c>
      <c r="CW132" s="1290">
        <f>(CW131/CW116)*4</f>
        <v>4.6332109148280995E-2</v>
      </c>
      <c r="CX132" s="1290"/>
      <c r="CY132" s="1290">
        <f>(CY131/CY116)*4</f>
        <v>4.5602936148345416E-2</v>
      </c>
      <c r="CZ132" s="1290">
        <f>(CZ131/CZ116)*4</f>
        <v>4.6469276747556215E-2</v>
      </c>
      <c r="DA132" s="1290">
        <f>(DA131/DA116)*4</f>
        <v>4.6612044486752005E-2</v>
      </c>
      <c r="DB132" s="1290">
        <f>(DB131/DB116)*4</f>
        <v>4.7143666863641291E-2</v>
      </c>
      <c r="DC132" s="1285"/>
      <c r="DD132" s="1290">
        <f>(DD131/DD116)*4</f>
        <v>4.5512484714637896E-2</v>
      </c>
      <c r="DE132" s="1290">
        <f>(DE131/DE116)*4</f>
        <v>4.5449654709854959E-2</v>
      </c>
      <c r="DF132" s="1290">
        <f>(DF131/DF116)*4</f>
        <v>4.7086376334450397E-2</v>
      </c>
      <c r="DG132" s="52"/>
      <c r="DH132" s="52"/>
      <c r="DI132" s="52"/>
      <c r="DJ132" s="52"/>
      <c r="DK132" s="52"/>
      <c r="DL132" s="52"/>
      <c r="DM132" s="52"/>
      <c r="DN132" s="52"/>
      <c r="DO132" s="52"/>
      <c r="DP132" s="52"/>
      <c r="DQ132" s="52"/>
      <c r="DR132" s="52"/>
      <c r="DS132" s="52"/>
      <c r="DT132" s="52"/>
      <c r="DU132" s="52"/>
      <c r="DV132" s="52"/>
      <c r="DW132" s="417"/>
    </row>
    <row r="133" spans="1:137" ht="15.75" hidden="1" customHeight="1" outlineLevel="1">
      <c r="A133" s="684"/>
      <c r="AM133" s="68"/>
    </row>
    <row r="134" spans="1:137" ht="15.75" hidden="1" customHeight="1" outlineLevel="1">
      <c r="A134" s="684"/>
      <c r="AM134" s="68"/>
      <c r="BE134" s="750">
        <v>39082</v>
      </c>
      <c r="BJ134" s="750">
        <v>39446</v>
      </c>
      <c r="BK134" s="750">
        <v>39537</v>
      </c>
      <c r="BL134" s="750">
        <v>39628</v>
      </c>
      <c r="BM134" s="750">
        <v>39719</v>
      </c>
      <c r="BO134" s="45"/>
      <c r="BT134" s="45"/>
      <c r="BY134" s="45"/>
      <c r="CD134" s="45"/>
      <c r="CI134" s="45"/>
      <c r="CN134" s="45"/>
      <c r="CS134" s="45"/>
      <c r="CX134" s="45"/>
      <c r="DC134" s="45"/>
      <c r="DH134" s="45"/>
      <c r="DM134" s="45"/>
      <c r="DR134" s="45"/>
      <c r="DW134" s="45"/>
    </row>
    <row r="135" spans="1:137" ht="15.75" hidden="1" customHeight="1" outlineLevel="1">
      <c r="A135" s="683"/>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813"/>
      <c r="AN135" s="11"/>
      <c r="AO135" s="11"/>
      <c r="AP135" s="11"/>
      <c r="AQ135" s="11"/>
      <c r="AR135" s="11"/>
      <c r="AS135" s="11"/>
      <c r="AT135" s="11"/>
      <c r="AU135" s="11"/>
      <c r="AV135" s="11"/>
      <c r="AW135" s="11"/>
      <c r="AX135" s="11"/>
      <c r="AY135" s="30"/>
      <c r="AZ135" s="563" t="s">
        <v>80</v>
      </c>
      <c r="BA135" s="11"/>
      <c r="BB135" s="11"/>
      <c r="BC135" s="11"/>
      <c r="BD135" s="11"/>
      <c r="BE135" s="647" t="s">
        <v>287</v>
      </c>
      <c r="BF135" s="814" t="s">
        <v>533</v>
      </c>
      <c r="BG135" s="676" t="s">
        <v>408</v>
      </c>
      <c r="BH135" s="676" t="s">
        <v>77</v>
      </c>
      <c r="BI135" s="646" t="s">
        <v>437</v>
      </c>
      <c r="BJ135" s="646" t="s">
        <v>438</v>
      </c>
      <c r="BK135" s="1" t="s">
        <v>25</v>
      </c>
      <c r="BL135" s="1" t="s">
        <v>326</v>
      </c>
      <c r="BM135" s="1" t="s">
        <v>231</v>
      </c>
      <c r="BN135" s="1" t="s">
        <v>142</v>
      </c>
      <c r="BO135" s="31" t="s">
        <v>50</v>
      </c>
      <c r="BP135" s="64" t="s">
        <v>60</v>
      </c>
      <c r="BQ135" s="64" t="s">
        <v>61</v>
      </c>
      <c r="BR135" s="64" t="s">
        <v>62</v>
      </c>
      <c r="BS135" s="64" t="s">
        <v>63</v>
      </c>
      <c r="BT135" s="65" t="s">
        <v>526</v>
      </c>
      <c r="BU135" s="64" t="s">
        <v>298</v>
      </c>
      <c r="BV135" s="1" t="s">
        <v>299</v>
      </c>
      <c r="BW135" s="942" t="s">
        <v>518</v>
      </c>
      <c r="BX135" s="64" t="s">
        <v>519</v>
      </c>
      <c r="BY135" s="65" t="s">
        <v>169</v>
      </c>
      <c r="BZ135" s="64" t="s">
        <v>170</v>
      </c>
      <c r="CA135" s="64" t="s">
        <v>171</v>
      </c>
      <c r="CB135" s="64" t="s">
        <v>172</v>
      </c>
      <c r="CC135" s="64" t="s">
        <v>173</v>
      </c>
      <c r="CD135" s="65" t="s">
        <v>174</v>
      </c>
      <c r="CE135" s="66"/>
      <c r="CF135" s="66"/>
      <c r="CG135" s="66"/>
      <c r="CH135" s="66"/>
      <c r="CI135" s="66"/>
      <c r="CJ135" s="66"/>
      <c r="CK135" s="66"/>
      <c r="CL135" s="66"/>
      <c r="CM135" s="66"/>
      <c r="CN135" s="66"/>
      <c r="CO135" s="66"/>
      <c r="CP135" s="66"/>
      <c r="CQ135" s="66"/>
      <c r="CR135" s="66"/>
      <c r="CS135" s="66"/>
      <c r="CT135" s="117"/>
      <c r="CU135" s="117"/>
      <c r="CV135" s="117"/>
      <c r="CW135" s="66"/>
      <c r="CX135" s="66"/>
      <c r="CY135" s="117"/>
      <c r="CZ135" s="117"/>
      <c r="DA135" s="117"/>
      <c r="DB135" s="66"/>
      <c r="DC135" s="66"/>
      <c r="DD135" s="117"/>
      <c r="DE135" s="117"/>
      <c r="DF135" s="117"/>
      <c r="DG135" s="117"/>
      <c r="DH135" s="117"/>
      <c r="DI135" s="66"/>
      <c r="DJ135" s="66"/>
      <c r="DK135" s="66"/>
      <c r="DL135" s="66"/>
      <c r="DM135" s="66"/>
      <c r="DN135" s="66"/>
      <c r="DO135" s="66"/>
      <c r="DP135" s="66"/>
      <c r="DQ135" s="66"/>
      <c r="DR135" s="66"/>
      <c r="DS135" s="66"/>
      <c r="DT135" s="66"/>
      <c r="DU135" s="66"/>
      <c r="DV135" s="66"/>
      <c r="DW135" s="66"/>
    </row>
    <row r="136" spans="1:137" ht="12.75" hidden="1" customHeight="1" outlineLevel="1">
      <c r="A136" s="597" t="s">
        <v>119</v>
      </c>
      <c r="AM136" s="68"/>
      <c r="AZ136" s="253"/>
      <c r="BE136" s="179"/>
      <c r="BF136" s="176"/>
      <c r="BG136" s="176"/>
      <c r="BH136" s="176"/>
      <c r="BI136" s="179"/>
      <c r="BJ136" s="739"/>
      <c r="BK136" s="740"/>
      <c r="BL136" s="740"/>
      <c r="BM136" s="740"/>
      <c r="BN136" s="741"/>
      <c r="BO136" s="739"/>
      <c r="BP136" s="740"/>
      <c r="BQ136" s="740"/>
      <c r="BR136" s="740"/>
      <c r="BS136" s="741"/>
      <c r="BT136" s="742"/>
      <c r="BU136" s="740"/>
      <c r="BV136" s="740"/>
      <c r="BW136" s="740"/>
      <c r="BX136" s="741"/>
      <c r="BY136" s="742"/>
      <c r="BZ136" s="740"/>
      <c r="CA136" s="740"/>
      <c r="CB136" s="740"/>
      <c r="CC136" s="741"/>
      <c r="CD136" s="739"/>
      <c r="CE136" s="66"/>
      <c r="CF136" s="66"/>
      <c r="CG136" s="66"/>
      <c r="CH136" s="66"/>
      <c r="CI136" s="66"/>
      <c r="CJ136" s="66"/>
      <c r="CK136" s="66"/>
      <c r="CL136" s="66"/>
      <c r="CM136" s="66"/>
      <c r="CN136" s="66"/>
      <c r="CO136" s="66"/>
      <c r="CP136" s="66"/>
      <c r="CQ136" s="66"/>
      <c r="CR136" s="66"/>
      <c r="CS136" s="66"/>
      <c r="CT136" s="117"/>
      <c r="CU136" s="117"/>
      <c r="CV136" s="117"/>
      <c r="CW136" s="66"/>
      <c r="CX136" s="66"/>
      <c r="CY136" s="117"/>
      <c r="CZ136" s="117"/>
      <c r="DA136" s="117"/>
      <c r="DB136" s="66"/>
      <c r="DC136" s="66"/>
      <c r="DD136" s="117"/>
      <c r="DE136" s="117"/>
      <c r="DF136" s="117"/>
      <c r="DG136" s="117"/>
      <c r="DH136" s="117"/>
      <c r="DI136" s="66"/>
      <c r="DJ136" s="66"/>
      <c r="DK136" s="66"/>
      <c r="DL136" s="66"/>
      <c r="DM136" s="66"/>
      <c r="DN136" s="66"/>
      <c r="DO136" s="66"/>
      <c r="DP136" s="66"/>
      <c r="DQ136" s="66"/>
      <c r="DR136" s="66"/>
      <c r="DS136" s="66"/>
      <c r="DT136" s="66"/>
      <c r="DU136" s="66"/>
      <c r="DV136" s="66"/>
      <c r="DW136" s="66"/>
    </row>
    <row r="137" spans="1:137" ht="12.75" hidden="1" customHeight="1" outlineLevel="1">
      <c r="A137" s="743" t="s">
        <v>120</v>
      </c>
      <c r="AM137" s="68"/>
      <c r="AZ137" s="95"/>
      <c r="BE137" s="744">
        <v>148.15199999999999</v>
      </c>
      <c r="BF137" s="180"/>
      <c r="BG137" s="180"/>
      <c r="BH137" s="180"/>
      <c r="BI137" s="180"/>
      <c r="BJ137" s="744">
        <v>78.116</v>
      </c>
      <c r="BK137" s="745">
        <v>59.026000000000003</v>
      </c>
      <c r="BL137" s="745">
        <v>19.093</v>
      </c>
      <c r="BM137" s="745">
        <v>26.032</v>
      </c>
      <c r="BN137" s="745">
        <v>90.09</v>
      </c>
      <c r="BO137" s="744">
        <v>90.09</v>
      </c>
      <c r="BP137" s="745"/>
      <c r="BQ137" s="745"/>
      <c r="BR137" s="745"/>
      <c r="BS137" s="745"/>
      <c r="BT137" s="746"/>
      <c r="BU137" s="745"/>
      <c r="BV137" s="745"/>
      <c r="BW137" s="745"/>
      <c r="BX137" s="745"/>
      <c r="BY137" s="746"/>
      <c r="BZ137" s="745"/>
      <c r="CA137" s="745"/>
      <c r="CB137" s="745"/>
      <c r="CC137" s="745"/>
      <c r="CD137" s="744"/>
      <c r="CE137" s="66"/>
      <c r="CF137" s="66"/>
      <c r="CG137" s="66"/>
      <c r="CH137" s="66"/>
      <c r="CI137" s="66"/>
      <c r="CJ137" s="66"/>
      <c r="CK137" s="66"/>
      <c r="CL137" s="66"/>
      <c r="CM137" s="66"/>
      <c r="CN137" s="66"/>
      <c r="CO137" s="66"/>
      <c r="CP137" s="66"/>
      <c r="CQ137" s="66"/>
      <c r="CR137" s="66"/>
      <c r="CS137" s="66"/>
      <c r="CT137" s="117"/>
      <c r="CU137" s="117"/>
      <c r="CV137" s="117"/>
      <c r="CW137" s="66"/>
      <c r="CX137" s="66"/>
      <c r="CY137" s="117"/>
      <c r="CZ137" s="117"/>
      <c r="DA137" s="117"/>
      <c r="DB137" s="66"/>
      <c r="DC137" s="66"/>
      <c r="DD137" s="117"/>
      <c r="DE137" s="117"/>
      <c r="DF137" s="117"/>
      <c r="DG137" s="117"/>
      <c r="DH137" s="117"/>
      <c r="DI137" s="66"/>
      <c r="DJ137" s="66"/>
      <c r="DK137" s="66"/>
      <c r="DL137" s="66"/>
      <c r="DM137" s="66"/>
      <c r="DN137" s="66"/>
      <c r="DO137" s="66"/>
      <c r="DP137" s="66"/>
      <c r="DQ137" s="66"/>
      <c r="DR137" s="66"/>
      <c r="DS137" s="66"/>
      <c r="DT137" s="66"/>
      <c r="DU137" s="66"/>
      <c r="DV137" s="66"/>
      <c r="DW137" s="66"/>
    </row>
    <row r="138" spans="1:137" ht="12.75" hidden="1" customHeight="1" outlineLevel="1">
      <c r="A138" s="743" t="s">
        <v>499</v>
      </c>
      <c r="AM138" s="68"/>
      <c r="AZ138" s="95"/>
      <c r="BE138" s="744">
        <v>9.0589999999999993</v>
      </c>
      <c r="BF138" s="180"/>
      <c r="BG138" s="180"/>
      <c r="BH138" s="180"/>
      <c r="BI138" s="180"/>
      <c r="BJ138" s="744"/>
      <c r="BK138" s="745"/>
      <c r="BL138" s="745"/>
      <c r="BM138" s="745"/>
      <c r="BN138" s="745">
        <v>20.792000000000002</v>
      </c>
      <c r="BO138" s="744">
        <v>20.792000000000002</v>
      </c>
      <c r="BP138" s="745"/>
      <c r="BQ138" s="745"/>
      <c r="BR138" s="745"/>
      <c r="BS138" s="745"/>
      <c r="BT138" s="746"/>
      <c r="BU138" s="745"/>
      <c r="BV138" s="745"/>
      <c r="BW138" s="745"/>
      <c r="BX138" s="745"/>
      <c r="BY138" s="746"/>
      <c r="BZ138" s="745"/>
      <c r="CA138" s="745"/>
      <c r="CB138" s="745"/>
      <c r="CC138" s="745"/>
      <c r="CD138" s="744"/>
      <c r="CE138" s="66"/>
      <c r="CF138" s="66"/>
      <c r="CG138" s="66"/>
      <c r="CH138" s="66"/>
      <c r="CI138" s="66"/>
      <c r="CJ138" s="66"/>
      <c r="CK138" s="66"/>
      <c r="CL138" s="66"/>
      <c r="CM138" s="66"/>
      <c r="CN138" s="66"/>
      <c r="CO138" s="66"/>
      <c r="CP138" s="66"/>
      <c r="CQ138" s="66"/>
      <c r="CR138" s="66"/>
      <c r="CS138" s="66"/>
      <c r="CT138" s="117"/>
      <c r="CU138" s="117"/>
      <c r="CV138" s="117"/>
      <c r="CW138" s="66"/>
      <c r="CX138" s="66"/>
      <c r="CY138" s="117"/>
      <c r="CZ138" s="117"/>
      <c r="DA138" s="117"/>
      <c r="DB138" s="66"/>
      <c r="DC138" s="66"/>
      <c r="DD138" s="117"/>
      <c r="DE138" s="117"/>
      <c r="DF138" s="117"/>
      <c r="DG138" s="117"/>
      <c r="DH138" s="117"/>
      <c r="DI138" s="66"/>
      <c r="DJ138" s="66"/>
      <c r="DK138" s="66"/>
      <c r="DL138" s="66"/>
      <c r="DM138" s="66"/>
      <c r="DN138" s="66"/>
      <c r="DO138" s="66"/>
      <c r="DP138" s="66"/>
      <c r="DQ138" s="66"/>
      <c r="DR138" s="66"/>
      <c r="DS138" s="66"/>
      <c r="DT138" s="66"/>
      <c r="DU138" s="66"/>
      <c r="DV138" s="66"/>
      <c r="DW138" s="66"/>
    </row>
    <row r="139" spans="1:137" ht="12.75" hidden="1" customHeight="1" outlineLevel="1">
      <c r="A139" s="743" t="s">
        <v>494</v>
      </c>
      <c r="AM139" s="68"/>
      <c r="AZ139" s="95"/>
      <c r="BE139" s="744">
        <v>122.11799999999999</v>
      </c>
      <c r="BF139" s="180"/>
      <c r="BG139" s="180"/>
      <c r="BH139" s="180"/>
      <c r="BI139" s="183"/>
      <c r="BJ139" s="744">
        <v>2.6080000000000001</v>
      </c>
      <c r="BK139" s="745">
        <v>16.536999999999999</v>
      </c>
      <c r="BL139" s="745">
        <v>2.3490000000000002</v>
      </c>
      <c r="BM139" s="745">
        <v>0</v>
      </c>
      <c r="BN139" s="745">
        <v>0</v>
      </c>
      <c r="BO139" s="744">
        <v>0</v>
      </c>
      <c r="BP139" s="745"/>
      <c r="BQ139" s="745"/>
      <c r="BR139" s="745"/>
      <c r="BS139" s="747"/>
      <c r="BT139" s="746"/>
      <c r="BU139" s="745"/>
      <c r="BV139" s="745"/>
      <c r="BW139" s="745"/>
      <c r="BX139" s="747"/>
      <c r="BY139" s="746"/>
      <c r="BZ139" s="745"/>
      <c r="CA139" s="745"/>
      <c r="CB139" s="745"/>
      <c r="CC139" s="747"/>
      <c r="CD139" s="744"/>
      <c r="CE139" s="66"/>
      <c r="CF139" s="66"/>
      <c r="CG139" s="66"/>
      <c r="CH139" s="66"/>
      <c r="CI139" s="66"/>
      <c r="CJ139" s="66"/>
      <c r="CK139" s="66"/>
      <c r="CL139" s="66"/>
      <c r="CM139" s="66"/>
      <c r="CN139" s="66"/>
      <c r="CO139" s="66"/>
      <c r="CP139" s="66"/>
      <c r="CQ139" s="66"/>
      <c r="CR139" s="66"/>
      <c r="CS139" s="66"/>
      <c r="CT139" s="117"/>
      <c r="CU139" s="117"/>
      <c r="CV139" s="117"/>
      <c r="CW139" s="66"/>
      <c r="CX139" s="66"/>
      <c r="CY139" s="117"/>
      <c r="CZ139" s="117"/>
      <c r="DA139" s="117"/>
      <c r="DB139" s="66"/>
      <c r="DC139" s="66"/>
      <c r="DD139" s="117"/>
      <c r="DE139" s="117"/>
      <c r="DF139" s="117"/>
      <c r="DG139" s="117"/>
      <c r="DH139" s="117"/>
      <c r="DI139" s="66"/>
      <c r="DJ139" s="66"/>
      <c r="DK139" s="66"/>
      <c r="DL139" s="66"/>
      <c r="DM139" s="66"/>
      <c r="DN139" s="66"/>
      <c r="DO139" s="66"/>
      <c r="DP139" s="66"/>
      <c r="DQ139" s="66"/>
      <c r="DR139" s="66"/>
      <c r="DS139" s="66"/>
      <c r="DT139" s="66"/>
      <c r="DU139" s="66"/>
      <c r="DV139" s="66"/>
      <c r="DW139" s="66"/>
    </row>
    <row r="140" spans="1:137" ht="12.75" hidden="1" customHeight="1" outlineLevel="1">
      <c r="A140" s="743" t="s">
        <v>167</v>
      </c>
      <c r="AM140" s="68"/>
      <c r="AZ140" s="95"/>
      <c r="BE140" s="744">
        <v>16.599</v>
      </c>
      <c r="BF140" s="180"/>
      <c r="BG140" s="180"/>
      <c r="BH140" s="180"/>
      <c r="BI140" s="180"/>
      <c r="BJ140" s="744"/>
      <c r="BK140" s="745"/>
      <c r="BL140" s="745"/>
      <c r="BM140" s="745"/>
      <c r="BN140" s="745">
        <v>0</v>
      </c>
      <c r="BO140" s="744">
        <v>0</v>
      </c>
      <c r="BP140" s="745"/>
      <c r="BQ140" s="745"/>
      <c r="BR140" s="745"/>
      <c r="BS140" s="745"/>
      <c r="BT140" s="746"/>
      <c r="BU140" s="745"/>
      <c r="BV140" s="745"/>
      <c r="BW140" s="745"/>
      <c r="BX140" s="745"/>
      <c r="BY140" s="746"/>
      <c r="BZ140" s="745"/>
      <c r="CA140" s="745"/>
      <c r="CB140" s="745"/>
      <c r="CC140" s="745"/>
      <c r="CD140" s="744"/>
      <c r="CE140" s="66"/>
      <c r="CF140" s="66"/>
      <c r="CG140" s="66"/>
      <c r="CH140" s="66"/>
      <c r="CI140" s="66"/>
      <c r="CJ140" s="66"/>
      <c r="CK140" s="66"/>
      <c r="CL140" s="66"/>
      <c r="CM140" s="66"/>
      <c r="CN140" s="66"/>
      <c r="CO140" s="66"/>
      <c r="CP140" s="66"/>
      <c r="CQ140" s="66"/>
      <c r="CR140" s="66"/>
      <c r="CS140" s="66"/>
      <c r="CT140" s="117"/>
      <c r="CU140" s="117"/>
      <c r="CV140" s="117"/>
      <c r="CW140" s="66"/>
      <c r="CX140" s="66"/>
      <c r="CY140" s="117"/>
      <c r="CZ140" s="117"/>
      <c r="DA140" s="117"/>
      <c r="DB140" s="66"/>
      <c r="DC140" s="66"/>
      <c r="DD140" s="117"/>
      <c r="DE140" s="117"/>
      <c r="DF140" s="117"/>
      <c r="DG140" s="117"/>
      <c r="DH140" s="117"/>
      <c r="DI140" s="66"/>
      <c r="DJ140" s="66"/>
      <c r="DK140" s="66"/>
      <c r="DL140" s="66"/>
      <c r="DM140" s="66"/>
      <c r="DN140" s="66"/>
      <c r="DO140" s="66"/>
      <c r="DP140" s="66"/>
      <c r="DQ140" s="66"/>
      <c r="DR140" s="66"/>
      <c r="DS140" s="66"/>
      <c r="DT140" s="66"/>
      <c r="DU140" s="66"/>
      <c r="DV140" s="66"/>
      <c r="DW140" s="66"/>
    </row>
    <row r="141" spans="1:137" ht="12.75" hidden="1" customHeight="1" outlineLevel="1">
      <c r="A141" s="743" t="s">
        <v>121</v>
      </c>
      <c r="AM141" s="68"/>
      <c r="AZ141" s="95"/>
      <c r="BE141" s="744">
        <v>43.421999999999997</v>
      </c>
      <c r="BF141" s="180"/>
      <c r="BG141" s="180"/>
      <c r="BH141" s="180"/>
      <c r="BI141" s="180"/>
      <c r="BJ141" s="744">
        <v>27.61</v>
      </c>
      <c r="BK141" s="745">
        <v>28.196999999999999</v>
      </c>
      <c r="BL141" s="745">
        <v>27.891999999999999</v>
      </c>
      <c r="BM141" s="745">
        <v>21.489000000000001</v>
      </c>
      <c r="BN141" s="745">
        <v>97.257999999999996</v>
      </c>
      <c r="BO141" s="744">
        <v>97.257999999999996</v>
      </c>
      <c r="BP141" s="745"/>
      <c r="BQ141" s="745"/>
      <c r="BR141" s="745"/>
      <c r="BS141" s="745"/>
      <c r="BT141" s="746"/>
      <c r="BU141" s="745"/>
      <c r="BV141" s="745"/>
      <c r="BW141" s="745"/>
      <c r="BX141" s="745"/>
      <c r="BY141" s="746"/>
      <c r="BZ141" s="745"/>
      <c r="CA141" s="745"/>
      <c r="CB141" s="745"/>
      <c r="CC141" s="745"/>
      <c r="CD141" s="744"/>
      <c r="CE141" s="66"/>
      <c r="CF141" s="66"/>
      <c r="CG141" s="66"/>
      <c r="CH141" s="66"/>
      <c r="CI141" s="66"/>
      <c r="CJ141" s="66"/>
      <c r="CK141" s="66"/>
      <c r="CL141" s="66"/>
      <c r="CM141" s="66"/>
      <c r="CN141" s="66"/>
      <c r="CO141" s="66"/>
      <c r="CP141" s="66"/>
      <c r="CQ141" s="66"/>
      <c r="CR141" s="66"/>
      <c r="CS141" s="66"/>
      <c r="CT141" s="117"/>
      <c r="CU141" s="117"/>
      <c r="CV141" s="117"/>
      <c r="CW141" s="66"/>
      <c r="CX141" s="66"/>
      <c r="CY141" s="117"/>
      <c r="CZ141" s="117"/>
      <c r="DA141" s="117"/>
      <c r="DB141" s="66"/>
      <c r="DC141" s="66"/>
      <c r="DD141" s="117"/>
      <c r="DE141" s="117"/>
      <c r="DF141" s="117"/>
      <c r="DG141" s="117"/>
      <c r="DH141" s="117"/>
      <c r="DI141" s="66"/>
      <c r="DJ141" s="66"/>
      <c r="DK141" s="66"/>
      <c r="DL141" s="66"/>
      <c r="DM141" s="66"/>
      <c r="DN141" s="66"/>
      <c r="DO141" s="66"/>
      <c r="DP141" s="66"/>
      <c r="DQ141" s="66"/>
      <c r="DR141" s="66"/>
      <c r="DS141" s="66"/>
      <c r="DT141" s="66"/>
      <c r="DU141" s="66"/>
      <c r="DV141" s="66"/>
      <c r="DW141" s="66"/>
    </row>
    <row r="142" spans="1:137" ht="12.75" hidden="1" customHeight="1" outlineLevel="1">
      <c r="A142" s="743" t="s">
        <v>305</v>
      </c>
      <c r="AM142" s="68"/>
      <c r="AZ142" s="95"/>
      <c r="BE142" s="744">
        <v>10.019</v>
      </c>
      <c r="BF142" s="180"/>
      <c r="BG142" s="180"/>
      <c r="BH142" s="180"/>
      <c r="BI142" s="183"/>
      <c r="BJ142" s="744">
        <v>11.067</v>
      </c>
      <c r="BK142" s="745">
        <v>10.516999999999999</v>
      </c>
      <c r="BL142" s="745">
        <v>10.694000000000001</v>
      </c>
      <c r="BM142" s="745">
        <v>11.417</v>
      </c>
      <c r="BN142" s="745">
        <v>24.646000000000001</v>
      </c>
      <c r="BO142" s="744">
        <v>24.646000000000001</v>
      </c>
      <c r="BP142" s="745"/>
      <c r="BQ142" s="745"/>
      <c r="BR142" s="745"/>
      <c r="BS142" s="747"/>
      <c r="BT142" s="746"/>
      <c r="BU142" s="745"/>
      <c r="BV142" s="745"/>
      <c r="BW142" s="745"/>
      <c r="BX142" s="747"/>
      <c r="BY142" s="746"/>
      <c r="BZ142" s="745"/>
      <c r="CA142" s="745"/>
      <c r="CB142" s="745"/>
      <c r="CC142" s="747"/>
      <c r="CD142" s="744"/>
      <c r="CE142" s="66"/>
      <c r="CF142" s="66"/>
      <c r="CG142" s="66"/>
      <c r="CH142" s="66"/>
      <c r="CI142" s="66"/>
      <c r="CJ142" s="66"/>
      <c r="CK142" s="66"/>
      <c r="CL142" s="66"/>
      <c r="CM142" s="66"/>
      <c r="CN142" s="66"/>
      <c r="CO142" s="66"/>
      <c r="CP142" s="66"/>
      <c r="CQ142" s="66"/>
      <c r="CR142" s="66"/>
      <c r="CS142" s="66"/>
      <c r="CT142" s="117"/>
      <c r="CU142" s="117"/>
      <c r="CV142" s="117"/>
      <c r="CW142" s="66"/>
      <c r="CX142" s="66"/>
      <c r="CY142" s="117"/>
      <c r="CZ142" s="117"/>
      <c r="DA142" s="117"/>
      <c r="DB142" s="66"/>
      <c r="DC142" s="66"/>
      <c r="DD142" s="117"/>
      <c r="DE142" s="117"/>
      <c r="DF142" s="117"/>
      <c r="DG142" s="117"/>
      <c r="DH142" s="117"/>
      <c r="DI142" s="66"/>
      <c r="DJ142" s="66"/>
      <c r="DK142" s="66"/>
      <c r="DL142" s="66"/>
      <c r="DM142" s="66"/>
      <c r="DN142" s="66"/>
      <c r="DO142" s="66"/>
      <c r="DP142" s="66"/>
      <c r="DQ142" s="66"/>
      <c r="DR142" s="66"/>
      <c r="DS142" s="66"/>
      <c r="DT142" s="66"/>
      <c r="DU142" s="66"/>
      <c r="DV142" s="66"/>
      <c r="DW142" s="66"/>
    </row>
    <row r="143" spans="1:137" ht="12.75" hidden="1" customHeight="1" outlineLevel="1">
      <c r="A143" s="743" t="s">
        <v>503</v>
      </c>
      <c r="AM143" s="68"/>
      <c r="AZ143" s="95"/>
      <c r="BE143" s="744">
        <v>18.414000000000001</v>
      </c>
      <c r="BF143" s="180"/>
      <c r="BG143" s="180"/>
      <c r="BH143" s="180"/>
      <c r="BI143" s="180"/>
      <c r="BJ143" s="744">
        <v>24.920999999999999</v>
      </c>
      <c r="BK143" s="745">
        <v>20.513999999999999</v>
      </c>
      <c r="BL143" s="745">
        <v>20.486999999999998</v>
      </c>
      <c r="BM143" s="745">
        <v>15.045999999999999</v>
      </c>
      <c r="BN143" s="745">
        <v>37.923000000000002</v>
      </c>
      <c r="BO143" s="744">
        <v>37.923000000000002</v>
      </c>
      <c r="BP143" s="745"/>
      <c r="BQ143" s="745"/>
      <c r="BR143" s="745"/>
      <c r="BS143" s="745"/>
      <c r="BT143" s="746"/>
      <c r="BU143" s="745"/>
      <c r="BV143" s="745"/>
      <c r="BW143" s="745"/>
      <c r="BX143" s="745"/>
      <c r="BY143" s="746"/>
      <c r="BZ143" s="745"/>
      <c r="CA143" s="745"/>
      <c r="CB143" s="745"/>
      <c r="CC143" s="745"/>
      <c r="CD143" s="744"/>
      <c r="CE143" s="66"/>
      <c r="CF143" s="66"/>
      <c r="CG143" s="66"/>
      <c r="CH143" s="66"/>
      <c r="CI143" s="66"/>
      <c r="CJ143" s="66"/>
      <c r="CK143" s="66"/>
      <c r="CL143" s="66"/>
      <c r="CM143" s="66"/>
      <c r="CN143" s="66"/>
      <c r="CO143" s="66"/>
      <c r="CP143" s="66"/>
      <c r="CQ143" s="66"/>
      <c r="CR143" s="66"/>
      <c r="CS143" s="66"/>
      <c r="CT143" s="117"/>
      <c r="CU143" s="117"/>
      <c r="CV143" s="117"/>
      <c r="CW143" s="66"/>
      <c r="CX143" s="66"/>
      <c r="CY143" s="117"/>
      <c r="CZ143" s="117"/>
      <c r="DA143" s="117"/>
      <c r="DB143" s="66"/>
      <c r="DC143" s="66"/>
      <c r="DD143" s="117"/>
      <c r="DE143" s="117"/>
      <c r="DF143" s="117"/>
      <c r="DG143" s="117"/>
      <c r="DH143" s="117"/>
      <c r="DI143" s="66"/>
      <c r="DJ143" s="66"/>
      <c r="DK143" s="66"/>
      <c r="DL143" s="66"/>
      <c r="DM143" s="66"/>
      <c r="DN143" s="66"/>
      <c r="DO143" s="66"/>
      <c r="DP143" s="66"/>
      <c r="DQ143" s="66"/>
      <c r="DR143" s="66"/>
      <c r="DS143" s="66"/>
      <c r="DT143" s="66"/>
      <c r="DU143" s="66"/>
      <c r="DV143" s="66"/>
      <c r="DW143" s="66"/>
    </row>
    <row r="144" spans="1:137" ht="12.75" hidden="1" customHeight="1" outlineLevel="1">
      <c r="A144" s="743" t="s">
        <v>122</v>
      </c>
      <c r="AM144" s="68"/>
      <c r="AZ144" s="95"/>
      <c r="BE144" s="744">
        <v>23.986999999999998</v>
      </c>
      <c r="BF144" s="180"/>
      <c r="BG144" s="180"/>
      <c r="BH144" s="180"/>
      <c r="BI144" s="183"/>
      <c r="BJ144" s="744">
        <v>25.931999999999999</v>
      </c>
      <c r="BK144" s="745">
        <v>21.146999999999998</v>
      </c>
      <c r="BL144" s="745">
        <v>17.568999999999999</v>
      </c>
      <c r="BM144" s="745">
        <v>30.626000000000001</v>
      </c>
      <c r="BN144" s="745">
        <v>28.99</v>
      </c>
      <c r="BO144" s="744">
        <v>28.99</v>
      </c>
      <c r="BP144" s="745"/>
      <c r="BQ144" s="745"/>
      <c r="BR144" s="745"/>
      <c r="BS144" s="747"/>
      <c r="BT144" s="746"/>
      <c r="BU144" s="745"/>
      <c r="BV144" s="745"/>
      <c r="BW144" s="745"/>
      <c r="BX144" s="747"/>
      <c r="BY144" s="746"/>
      <c r="BZ144" s="745"/>
      <c r="CA144" s="745"/>
      <c r="CB144" s="745"/>
      <c r="CC144" s="747"/>
      <c r="CD144" s="744"/>
      <c r="CE144" s="66"/>
      <c r="CF144" s="66"/>
      <c r="CG144" s="66"/>
      <c r="CH144" s="66"/>
      <c r="CI144" s="66"/>
      <c r="CJ144" s="66"/>
      <c r="CK144" s="66"/>
      <c r="CL144" s="66"/>
      <c r="CM144" s="66"/>
      <c r="CN144" s="66"/>
      <c r="CO144" s="66"/>
      <c r="CP144" s="66"/>
      <c r="CQ144" s="66"/>
      <c r="CR144" s="66"/>
      <c r="CS144" s="66"/>
      <c r="CT144" s="117"/>
      <c r="CU144" s="117"/>
      <c r="CV144" s="117"/>
      <c r="CW144" s="66"/>
      <c r="CX144" s="66"/>
      <c r="CY144" s="117"/>
      <c r="CZ144" s="117"/>
      <c r="DA144" s="117"/>
      <c r="DB144" s="66"/>
      <c r="DC144" s="66"/>
      <c r="DD144" s="117"/>
      <c r="DE144" s="117"/>
      <c r="DF144" s="117"/>
      <c r="DG144" s="117"/>
      <c r="DH144" s="117"/>
      <c r="DI144" s="66"/>
      <c r="DJ144" s="66"/>
      <c r="DK144" s="66"/>
      <c r="DL144" s="66"/>
      <c r="DM144" s="66"/>
      <c r="DN144" s="66"/>
      <c r="DO144" s="66"/>
      <c r="DP144" s="66"/>
      <c r="DQ144" s="66"/>
      <c r="DR144" s="66"/>
      <c r="DS144" s="66"/>
      <c r="DT144" s="66"/>
      <c r="DU144" s="66"/>
      <c r="DV144" s="66"/>
      <c r="DW144" s="66"/>
    </row>
    <row r="145" spans="1:127" ht="12.75" hidden="1" customHeight="1" outlineLevel="1">
      <c r="A145" s="743" t="s">
        <v>495</v>
      </c>
      <c r="AM145" s="68"/>
      <c r="AZ145" s="95"/>
      <c r="BE145" s="744"/>
      <c r="BF145" s="180"/>
      <c r="BG145" s="180"/>
      <c r="BH145" s="180"/>
      <c r="BI145" s="180"/>
      <c r="BJ145" s="744"/>
      <c r="BK145" s="745"/>
      <c r="BL145" s="745"/>
      <c r="BM145" s="745"/>
      <c r="BN145" s="745">
        <v>81.138999999999996</v>
      </c>
      <c r="BO145" s="744">
        <v>81.138999999999996</v>
      </c>
      <c r="BP145" s="745"/>
      <c r="BQ145" s="745"/>
      <c r="BR145" s="745"/>
      <c r="BS145" s="745"/>
      <c r="BT145" s="746"/>
      <c r="BU145" s="745"/>
      <c r="BV145" s="745"/>
      <c r="BW145" s="745"/>
      <c r="BX145" s="745"/>
      <c r="BY145" s="746"/>
      <c r="BZ145" s="745"/>
      <c r="CA145" s="745"/>
      <c r="CB145" s="745"/>
      <c r="CC145" s="745"/>
      <c r="CD145" s="744"/>
      <c r="CE145" s="66"/>
      <c r="CF145" s="66"/>
      <c r="CG145" s="66"/>
      <c r="CH145" s="66"/>
      <c r="CI145" s="66"/>
      <c r="CJ145" s="66"/>
      <c r="CK145" s="66"/>
      <c r="CL145" s="66"/>
      <c r="CM145" s="66"/>
      <c r="CN145" s="66"/>
      <c r="CO145" s="66"/>
      <c r="CP145" s="66"/>
      <c r="CQ145" s="66"/>
      <c r="CR145" s="66"/>
      <c r="CS145" s="66"/>
      <c r="CT145" s="117"/>
      <c r="CU145" s="117"/>
      <c r="CV145" s="117"/>
      <c r="CW145" s="66"/>
      <c r="CX145" s="66"/>
      <c r="CY145" s="117"/>
      <c r="CZ145" s="117"/>
      <c r="DA145" s="117"/>
      <c r="DB145" s="66"/>
      <c r="DC145" s="66"/>
      <c r="DD145" s="117"/>
      <c r="DE145" s="117"/>
      <c r="DF145" s="117"/>
      <c r="DG145" s="117"/>
      <c r="DH145" s="117"/>
      <c r="DI145" s="66"/>
      <c r="DJ145" s="66"/>
      <c r="DK145" s="66"/>
      <c r="DL145" s="66"/>
      <c r="DM145" s="66"/>
      <c r="DN145" s="66"/>
      <c r="DO145" s="66"/>
      <c r="DP145" s="66"/>
      <c r="DQ145" s="66"/>
      <c r="DR145" s="66"/>
      <c r="DS145" s="66"/>
      <c r="DT145" s="66"/>
      <c r="DU145" s="66"/>
      <c r="DV145" s="66"/>
      <c r="DW145" s="66"/>
    </row>
    <row r="146" spans="1:127" ht="12.75" hidden="1" customHeight="1" outlineLevel="1">
      <c r="A146" s="743" t="s">
        <v>123</v>
      </c>
      <c r="AM146" s="68"/>
      <c r="AZ146" s="95"/>
      <c r="BE146" s="744">
        <f>SUM(BE136:BE144)</f>
        <v>391.76999999999992</v>
      </c>
      <c r="BF146" s="180"/>
      <c r="BG146" s="180"/>
      <c r="BH146" s="180"/>
      <c r="BI146" s="180"/>
      <c r="BJ146" s="744">
        <f>SUM(BJ136:BJ144)</f>
        <v>170.25399999999999</v>
      </c>
      <c r="BK146" s="745">
        <f>SUM(BK136:BK144)</f>
        <v>155.93799999999999</v>
      </c>
      <c r="BL146" s="745">
        <f>SUM(BL136:BL144)</f>
        <v>98.084000000000003</v>
      </c>
      <c r="BM146" s="745">
        <f>SUM(BM136:BM144)</f>
        <v>104.61000000000001</v>
      </c>
      <c r="BN146" s="745">
        <f>SUM(BN136:BN145)</f>
        <v>380.83800000000002</v>
      </c>
      <c r="BO146" s="744">
        <f>SUM(BO136:BO145)</f>
        <v>380.83800000000002</v>
      </c>
      <c r="BP146" s="745">
        <f t="shared" ref="BP146:CD146" si="182">SUM(BP136:BP144)</f>
        <v>0</v>
      </c>
      <c r="BQ146" s="745">
        <f t="shared" si="182"/>
        <v>0</v>
      </c>
      <c r="BR146" s="745">
        <f t="shared" si="182"/>
        <v>0</v>
      </c>
      <c r="BS146" s="745">
        <f t="shared" si="182"/>
        <v>0</v>
      </c>
      <c r="BT146" s="746">
        <f t="shared" si="182"/>
        <v>0</v>
      </c>
      <c r="BU146" s="745">
        <f t="shared" si="182"/>
        <v>0</v>
      </c>
      <c r="BV146" s="745">
        <f t="shared" si="182"/>
        <v>0</v>
      </c>
      <c r="BW146" s="745">
        <f t="shared" si="182"/>
        <v>0</v>
      </c>
      <c r="BX146" s="745">
        <f t="shared" si="182"/>
        <v>0</v>
      </c>
      <c r="BY146" s="746">
        <f t="shared" si="182"/>
        <v>0</v>
      </c>
      <c r="BZ146" s="745">
        <f t="shared" si="182"/>
        <v>0</v>
      </c>
      <c r="CA146" s="745">
        <f t="shared" si="182"/>
        <v>0</v>
      </c>
      <c r="CB146" s="745">
        <f t="shared" si="182"/>
        <v>0</v>
      </c>
      <c r="CC146" s="745">
        <f t="shared" si="182"/>
        <v>0</v>
      </c>
      <c r="CD146" s="744">
        <f t="shared" si="182"/>
        <v>0</v>
      </c>
      <c r="CE146" s="66"/>
      <c r="CF146" s="66"/>
      <c r="CG146" s="66"/>
      <c r="CH146" s="66"/>
      <c r="CI146" s="66"/>
      <c r="CJ146" s="66"/>
      <c r="CK146" s="66"/>
      <c r="CL146" s="66"/>
      <c r="CM146" s="66"/>
      <c r="CN146" s="66"/>
      <c r="CO146" s="66"/>
      <c r="CP146" s="66"/>
      <c r="CQ146" s="66"/>
      <c r="CR146" s="66"/>
      <c r="CS146" s="66"/>
      <c r="CT146" s="117"/>
      <c r="CU146" s="117"/>
      <c r="CV146" s="117"/>
      <c r="CW146" s="66"/>
      <c r="CX146" s="66"/>
      <c r="CY146" s="117"/>
      <c r="CZ146" s="117"/>
      <c r="DA146" s="117"/>
      <c r="DB146" s="66"/>
      <c r="DC146" s="66"/>
      <c r="DD146" s="117"/>
      <c r="DE146" s="117"/>
      <c r="DF146" s="117"/>
      <c r="DG146" s="117"/>
      <c r="DH146" s="117"/>
      <c r="DI146" s="66"/>
      <c r="DJ146" s="66"/>
      <c r="DK146" s="66"/>
      <c r="DL146" s="66"/>
      <c r="DM146" s="66"/>
      <c r="DN146" s="66"/>
      <c r="DO146" s="66"/>
      <c r="DP146" s="66"/>
      <c r="DQ146" s="66"/>
      <c r="DR146" s="66"/>
      <c r="DS146" s="66"/>
      <c r="DT146" s="66"/>
      <c r="DU146" s="66"/>
      <c r="DV146" s="66"/>
      <c r="DW146" s="66"/>
    </row>
    <row r="147" spans="1:127" ht="12.75" hidden="1" customHeight="1" outlineLevel="1">
      <c r="A147" s="598" t="s">
        <v>499</v>
      </c>
      <c r="AM147" s="68"/>
      <c r="AZ147" s="95"/>
      <c r="BE147" s="744">
        <v>1.9390000000000001</v>
      </c>
      <c r="BF147" s="180"/>
      <c r="BG147" s="180"/>
      <c r="BH147" s="180"/>
      <c r="BI147" s="183"/>
      <c r="BJ147" s="744">
        <v>45.295000000000002</v>
      </c>
      <c r="BK147" s="745">
        <v>18.077000000000002</v>
      </c>
      <c r="BL147" s="745">
        <v>4.0750000000000002</v>
      </c>
      <c r="BM147" s="745">
        <v>3.9580000000000002</v>
      </c>
      <c r="BN147" s="747">
        <v>34.031999999999996</v>
      </c>
      <c r="BO147" s="744">
        <v>34.031999999999996</v>
      </c>
      <c r="BP147" s="745"/>
      <c r="BQ147" s="745"/>
      <c r="BR147" s="745"/>
      <c r="BS147" s="747"/>
      <c r="BT147" s="746"/>
      <c r="BU147" s="745"/>
      <c r="BV147" s="745"/>
      <c r="BW147" s="745"/>
      <c r="BX147" s="747"/>
      <c r="BY147" s="746"/>
      <c r="BZ147" s="745"/>
      <c r="CA147" s="745"/>
      <c r="CB147" s="745"/>
      <c r="CC147" s="747"/>
      <c r="CD147" s="744"/>
      <c r="CE147" s="66"/>
      <c r="CF147" s="66"/>
      <c r="CG147" s="66"/>
      <c r="CH147" s="66"/>
      <c r="CI147" s="66"/>
      <c r="CJ147" s="66"/>
      <c r="CK147" s="66"/>
      <c r="CL147" s="66"/>
      <c r="CM147" s="66"/>
      <c r="CN147" s="66"/>
      <c r="CO147" s="66"/>
      <c r="CP147" s="66"/>
      <c r="CQ147" s="66"/>
      <c r="CR147" s="66"/>
      <c r="CS147" s="66"/>
      <c r="CT147" s="117"/>
      <c r="CU147" s="117"/>
      <c r="CV147" s="117"/>
      <c r="CW147" s="66"/>
      <c r="CX147" s="66"/>
      <c r="CY147" s="117"/>
      <c r="CZ147" s="117"/>
      <c r="DA147" s="117"/>
      <c r="DB147" s="66"/>
      <c r="DC147" s="66"/>
      <c r="DD147" s="117"/>
      <c r="DE147" s="117"/>
      <c r="DF147" s="117"/>
      <c r="DG147" s="117"/>
      <c r="DH147" s="117"/>
      <c r="DI147" s="66"/>
      <c r="DJ147" s="66"/>
      <c r="DK147" s="66"/>
      <c r="DL147" s="66"/>
      <c r="DM147" s="66"/>
      <c r="DN147" s="66"/>
      <c r="DO147" s="66"/>
      <c r="DP147" s="66"/>
      <c r="DQ147" s="66"/>
      <c r="DR147" s="66"/>
      <c r="DS147" s="66"/>
      <c r="DT147" s="66"/>
      <c r="DU147" s="66"/>
      <c r="DV147" s="66"/>
      <c r="DW147" s="66"/>
    </row>
    <row r="148" spans="1:127" ht="12.75" hidden="1" customHeight="1" outlineLevel="1">
      <c r="A148" s="598" t="s">
        <v>320</v>
      </c>
      <c r="AM148" s="68"/>
      <c r="AZ148" s="95"/>
      <c r="BE148" s="744">
        <v>0</v>
      </c>
      <c r="BF148" s="180"/>
      <c r="BG148" s="180"/>
      <c r="BH148" s="180"/>
      <c r="BI148" s="180"/>
      <c r="BJ148" s="744">
        <v>46.219000000000001</v>
      </c>
      <c r="BK148" s="745">
        <v>46.308</v>
      </c>
      <c r="BL148" s="745">
        <v>46.396999999999998</v>
      </c>
      <c r="BM148" s="745">
        <v>46.485999999999997</v>
      </c>
      <c r="BN148" s="745">
        <v>34.607999999999997</v>
      </c>
      <c r="BO148" s="744">
        <v>34.607999999999997</v>
      </c>
      <c r="BP148" s="745"/>
      <c r="BQ148" s="745"/>
      <c r="BR148" s="745"/>
      <c r="BS148" s="745"/>
      <c r="BT148" s="746"/>
      <c r="BU148" s="745"/>
      <c r="BV148" s="745"/>
      <c r="BW148" s="745"/>
      <c r="BX148" s="745"/>
      <c r="BY148" s="746"/>
      <c r="BZ148" s="745"/>
      <c r="CA148" s="745"/>
      <c r="CB148" s="745"/>
      <c r="CC148" s="745"/>
      <c r="CD148" s="744"/>
      <c r="CE148" s="66"/>
      <c r="CF148" s="66"/>
      <c r="CG148" s="66"/>
      <c r="CH148" s="66"/>
      <c r="CI148" s="66"/>
      <c r="CJ148" s="66"/>
      <c r="CK148" s="66"/>
      <c r="CL148" s="66"/>
      <c r="CM148" s="66"/>
      <c r="CN148" s="66"/>
      <c r="CO148" s="66"/>
      <c r="CP148" s="66"/>
      <c r="CQ148" s="66"/>
      <c r="CR148" s="66"/>
      <c r="CS148" s="66"/>
      <c r="CT148" s="117"/>
      <c r="CU148" s="117"/>
      <c r="CV148" s="117"/>
      <c r="CW148" s="66"/>
      <c r="CX148" s="66"/>
      <c r="CY148" s="117"/>
      <c r="CZ148" s="117"/>
      <c r="DA148" s="117"/>
      <c r="DB148" s="66"/>
      <c r="DC148" s="66"/>
      <c r="DD148" s="117"/>
      <c r="DE148" s="117"/>
      <c r="DF148" s="117"/>
      <c r="DG148" s="117"/>
      <c r="DH148" s="117"/>
      <c r="DI148" s="66"/>
      <c r="DJ148" s="66"/>
      <c r="DK148" s="66"/>
      <c r="DL148" s="66"/>
      <c r="DM148" s="66"/>
      <c r="DN148" s="66"/>
      <c r="DO148" s="66"/>
      <c r="DP148" s="66"/>
      <c r="DQ148" s="66"/>
      <c r="DR148" s="66"/>
      <c r="DS148" s="66"/>
      <c r="DT148" s="66"/>
      <c r="DU148" s="66"/>
      <c r="DV148" s="66"/>
      <c r="DW148" s="66"/>
    </row>
    <row r="149" spans="1:127" ht="12.75" hidden="1" customHeight="1" outlineLevel="1">
      <c r="A149" s="598" t="s">
        <v>500</v>
      </c>
      <c r="AM149" s="68"/>
      <c r="AZ149" s="95"/>
      <c r="BE149" s="744">
        <v>60.197000000000003</v>
      </c>
      <c r="BF149" s="180"/>
      <c r="BG149" s="180"/>
      <c r="BH149" s="180"/>
      <c r="BI149" s="183"/>
      <c r="BJ149" s="744">
        <v>141.90899999999999</v>
      </c>
      <c r="BK149" s="745">
        <v>97.453000000000003</v>
      </c>
      <c r="BL149" s="745">
        <v>101.85299999999999</v>
      </c>
      <c r="BM149" s="745">
        <v>70.451999999999998</v>
      </c>
      <c r="BN149" s="747">
        <v>133.05199999999999</v>
      </c>
      <c r="BO149" s="744">
        <v>133.05199999999999</v>
      </c>
      <c r="BP149" s="745"/>
      <c r="BQ149" s="745"/>
      <c r="BR149" s="745"/>
      <c r="BS149" s="747"/>
      <c r="BT149" s="746"/>
      <c r="BU149" s="745"/>
      <c r="BV149" s="745"/>
      <c r="BW149" s="745"/>
      <c r="BX149" s="747"/>
      <c r="BY149" s="746"/>
      <c r="BZ149" s="745"/>
      <c r="CA149" s="745"/>
      <c r="CB149" s="745"/>
      <c r="CC149" s="747"/>
      <c r="CD149" s="744"/>
      <c r="CE149" s="66"/>
      <c r="CF149" s="66"/>
      <c r="CG149" s="66"/>
      <c r="CH149" s="66"/>
      <c r="CI149" s="66"/>
      <c r="CJ149" s="66"/>
      <c r="CK149" s="66"/>
      <c r="CL149" s="66"/>
      <c r="CM149" s="66"/>
      <c r="CN149" s="66"/>
      <c r="CO149" s="66"/>
      <c r="CP149" s="66"/>
      <c r="CQ149" s="66"/>
      <c r="CR149" s="66"/>
      <c r="CS149" s="66"/>
      <c r="CT149" s="117"/>
      <c r="CU149" s="117"/>
      <c r="CV149" s="117"/>
      <c r="CW149" s="66"/>
      <c r="CX149" s="66"/>
      <c r="CY149" s="117"/>
      <c r="CZ149" s="117"/>
      <c r="DA149" s="117"/>
      <c r="DB149" s="66"/>
      <c r="DC149" s="66"/>
      <c r="DD149" s="117"/>
      <c r="DE149" s="117"/>
      <c r="DF149" s="117"/>
      <c r="DG149" s="117"/>
      <c r="DH149" s="117"/>
      <c r="DI149" s="66"/>
      <c r="DJ149" s="66"/>
      <c r="DK149" s="66"/>
      <c r="DL149" s="66"/>
      <c r="DM149" s="66"/>
      <c r="DN149" s="66"/>
      <c r="DO149" s="66"/>
      <c r="DP149" s="66"/>
      <c r="DQ149" s="66"/>
      <c r="DR149" s="66"/>
      <c r="DS149" s="66"/>
      <c r="DT149" s="66"/>
      <c r="DU149" s="66"/>
      <c r="DV149" s="66"/>
      <c r="DW149" s="66"/>
    </row>
    <row r="150" spans="1:127" ht="12.75" hidden="1" customHeight="1" outlineLevel="1">
      <c r="A150" s="598" t="s">
        <v>501</v>
      </c>
      <c r="AM150" s="68"/>
      <c r="AZ150" s="95"/>
      <c r="BE150" s="744">
        <v>488.48399999999998</v>
      </c>
      <c r="BF150" s="180"/>
      <c r="BG150" s="180"/>
      <c r="BH150" s="180"/>
      <c r="BI150" s="180"/>
      <c r="BJ150" s="744">
        <v>504.87400000000002</v>
      </c>
      <c r="BK150" s="745">
        <v>519.52599999999995</v>
      </c>
      <c r="BL150" s="745">
        <v>528.19399999999996</v>
      </c>
      <c r="BM150" s="745">
        <v>513.02200000000005</v>
      </c>
      <c r="BN150" s="745">
        <v>1770.3720000000001</v>
      </c>
      <c r="BO150" s="744">
        <v>1770.3720000000001</v>
      </c>
      <c r="BP150" s="745"/>
      <c r="BQ150" s="745"/>
      <c r="BR150" s="745"/>
      <c r="BS150" s="745"/>
      <c r="BT150" s="746"/>
      <c r="BU150" s="745"/>
      <c r="BV150" s="745"/>
      <c r="BW150" s="745"/>
      <c r="BX150" s="745"/>
      <c r="BY150" s="746"/>
      <c r="BZ150" s="745"/>
      <c r="CA150" s="745"/>
      <c r="CB150" s="745"/>
      <c r="CC150" s="745"/>
      <c r="CD150" s="744"/>
      <c r="CE150" s="66"/>
      <c r="CF150" s="66"/>
      <c r="CG150" s="66"/>
      <c r="CH150" s="66"/>
      <c r="CI150" s="66"/>
      <c r="CJ150" s="66"/>
      <c r="CK150" s="66"/>
      <c r="CL150" s="66"/>
      <c r="CM150" s="66"/>
      <c r="CN150" s="66"/>
      <c r="CO150" s="66"/>
      <c r="CP150" s="66"/>
      <c r="CQ150" s="66"/>
      <c r="CR150" s="66"/>
      <c r="CS150" s="66"/>
      <c r="CT150" s="117"/>
      <c r="CU150" s="117"/>
      <c r="CV150" s="117"/>
      <c r="CW150" s="66"/>
      <c r="CX150" s="66"/>
      <c r="CY150" s="117"/>
      <c r="CZ150" s="117"/>
      <c r="DA150" s="117"/>
      <c r="DB150" s="66"/>
      <c r="DC150" s="66"/>
      <c r="DD150" s="117"/>
      <c r="DE150" s="117"/>
      <c r="DF150" s="117"/>
      <c r="DG150" s="117"/>
      <c r="DH150" s="117"/>
      <c r="DI150" s="66"/>
      <c r="DJ150" s="66"/>
      <c r="DK150" s="66"/>
      <c r="DL150" s="66"/>
      <c r="DM150" s="66"/>
      <c r="DN150" s="66"/>
      <c r="DO150" s="66"/>
      <c r="DP150" s="66"/>
      <c r="DQ150" s="66"/>
      <c r="DR150" s="66"/>
      <c r="DS150" s="66"/>
      <c r="DT150" s="66"/>
      <c r="DU150" s="66"/>
      <c r="DV150" s="66"/>
      <c r="DW150" s="66"/>
    </row>
    <row r="151" spans="1:127" ht="12.75" hidden="1" customHeight="1" outlineLevel="1">
      <c r="A151" s="598" t="s">
        <v>404</v>
      </c>
      <c r="AM151" s="68"/>
      <c r="AZ151" s="95"/>
      <c r="BE151" s="744">
        <v>521.05499999999995</v>
      </c>
      <c r="BF151" s="180"/>
      <c r="BG151" s="180"/>
      <c r="BH151" s="180"/>
      <c r="BI151" s="183"/>
      <c r="BJ151" s="744">
        <v>468.77800000000002</v>
      </c>
      <c r="BK151" s="745">
        <v>478.58</v>
      </c>
      <c r="BL151" s="745">
        <v>477.29899999999998</v>
      </c>
      <c r="BM151" s="745">
        <v>477.387</v>
      </c>
      <c r="BN151" s="747">
        <v>853.77499999999998</v>
      </c>
      <c r="BO151" s="744">
        <v>853.77499999999998</v>
      </c>
      <c r="BP151" s="745"/>
      <c r="BQ151" s="745"/>
      <c r="BR151" s="745"/>
      <c r="BS151" s="747"/>
      <c r="BT151" s="746"/>
      <c r="BU151" s="745"/>
      <c r="BV151" s="745"/>
      <c r="BW151" s="745"/>
      <c r="BX151" s="747"/>
      <c r="BY151" s="746"/>
      <c r="BZ151" s="745"/>
      <c r="CA151" s="745"/>
      <c r="CB151" s="745"/>
      <c r="CC151" s="747"/>
      <c r="CD151" s="744"/>
      <c r="CE151" s="66"/>
      <c r="CF151" s="66"/>
      <c r="CG151" s="66"/>
      <c r="CH151" s="66"/>
      <c r="CI151" s="66"/>
      <c r="CJ151" s="66"/>
      <c r="CK151" s="66"/>
      <c r="CL151" s="66"/>
      <c r="CM151" s="66"/>
      <c r="CN151" s="66"/>
      <c r="CO151" s="66"/>
      <c r="CP151" s="66"/>
      <c r="CQ151" s="66"/>
      <c r="CR151" s="66"/>
      <c r="CS151" s="66"/>
      <c r="CT151" s="117"/>
      <c r="CU151" s="117"/>
      <c r="CV151" s="117"/>
      <c r="CW151" s="66"/>
      <c r="CX151" s="66"/>
      <c r="CY151" s="117"/>
      <c r="CZ151" s="117"/>
      <c r="DA151" s="117"/>
      <c r="DB151" s="66"/>
      <c r="DC151" s="66"/>
      <c r="DD151" s="117"/>
      <c r="DE151" s="117"/>
      <c r="DF151" s="117"/>
      <c r="DG151" s="117"/>
      <c r="DH151" s="117"/>
      <c r="DI151" s="66"/>
      <c r="DJ151" s="66"/>
      <c r="DK151" s="66"/>
      <c r="DL151" s="66"/>
      <c r="DM151" s="66"/>
      <c r="DN151" s="66"/>
      <c r="DO151" s="66"/>
      <c r="DP151" s="66"/>
      <c r="DQ151" s="66"/>
      <c r="DR151" s="66"/>
      <c r="DS151" s="66"/>
      <c r="DT151" s="66"/>
      <c r="DU151" s="66"/>
      <c r="DV151" s="66"/>
      <c r="DW151" s="66"/>
    </row>
    <row r="152" spans="1:127" ht="12.75" hidden="1" customHeight="1" outlineLevel="1">
      <c r="A152" s="598" t="s">
        <v>502</v>
      </c>
      <c r="AM152" s="68"/>
      <c r="AZ152" s="95"/>
      <c r="BE152" s="744">
        <v>70.923000000000002</v>
      </c>
      <c r="BF152" s="180"/>
      <c r="BG152" s="180"/>
      <c r="BH152" s="180"/>
      <c r="BI152" s="180"/>
      <c r="BJ152" s="744">
        <v>45.317999999999998</v>
      </c>
      <c r="BK152" s="745">
        <v>50.575000000000003</v>
      </c>
      <c r="BL152" s="745">
        <v>49.587000000000003</v>
      </c>
      <c r="BM152" s="745">
        <v>47.616999999999997</v>
      </c>
      <c r="BN152" s="745">
        <v>1411.473</v>
      </c>
      <c r="BO152" s="744">
        <v>1411.473</v>
      </c>
      <c r="BP152" s="745"/>
      <c r="BQ152" s="745"/>
      <c r="BR152" s="745"/>
      <c r="BS152" s="745"/>
      <c r="BT152" s="746"/>
      <c r="BU152" s="745"/>
      <c r="BV152" s="745"/>
      <c r="BW152" s="745"/>
      <c r="BX152" s="745"/>
      <c r="BY152" s="746"/>
      <c r="BZ152" s="745"/>
      <c r="CA152" s="745"/>
      <c r="CB152" s="745"/>
      <c r="CC152" s="745"/>
      <c r="CD152" s="744"/>
      <c r="CE152" s="66"/>
      <c r="CF152" s="66"/>
      <c r="CG152" s="66"/>
      <c r="CH152" s="66"/>
      <c r="CI152" s="66"/>
      <c r="CJ152" s="66"/>
      <c r="CK152" s="66"/>
      <c r="CL152" s="66"/>
      <c r="CM152" s="66"/>
      <c r="CN152" s="66"/>
      <c r="CO152" s="66"/>
      <c r="CP152" s="66"/>
      <c r="CQ152" s="66"/>
      <c r="CR152" s="66"/>
      <c r="CS152" s="66"/>
      <c r="CT152" s="117"/>
      <c r="CU152" s="117"/>
      <c r="CV152" s="117"/>
      <c r="CW152" s="66"/>
      <c r="CX152" s="66"/>
      <c r="CY152" s="117"/>
      <c r="CZ152" s="117"/>
      <c r="DA152" s="117"/>
      <c r="DB152" s="66"/>
      <c r="DC152" s="66"/>
      <c r="DD152" s="117"/>
      <c r="DE152" s="117"/>
      <c r="DF152" s="117"/>
      <c r="DG152" s="117"/>
      <c r="DH152" s="117"/>
      <c r="DI152" s="66"/>
      <c r="DJ152" s="66"/>
      <c r="DK152" s="66"/>
      <c r="DL152" s="66"/>
      <c r="DM152" s="66"/>
      <c r="DN152" s="66"/>
      <c r="DO152" s="66"/>
      <c r="DP152" s="66"/>
      <c r="DQ152" s="66"/>
      <c r="DR152" s="66"/>
      <c r="DS152" s="66"/>
      <c r="DT152" s="66"/>
      <c r="DU152" s="66"/>
      <c r="DV152" s="66"/>
      <c r="DW152" s="66"/>
    </row>
    <row r="153" spans="1:127" ht="12.75" hidden="1" customHeight="1" outlineLevel="1">
      <c r="A153" s="598" t="s">
        <v>503</v>
      </c>
      <c r="AM153" s="68"/>
      <c r="AZ153" s="95"/>
      <c r="BE153" s="744">
        <v>0</v>
      </c>
      <c r="BF153" s="180"/>
      <c r="BG153" s="180"/>
      <c r="BH153" s="180"/>
      <c r="BI153" s="183"/>
      <c r="BJ153" s="744">
        <v>4.05</v>
      </c>
      <c r="BK153" s="745">
        <v>14.677</v>
      </c>
      <c r="BL153" s="745">
        <v>21.702999999999999</v>
      </c>
      <c r="BM153" s="745">
        <v>25.745999999999999</v>
      </c>
      <c r="BN153" s="747">
        <v>0</v>
      </c>
      <c r="BO153" s="744">
        <v>0</v>
      </c>
      <c r="BP153" s="745"/>
      <c r="BQ153" s="745"/>
      <c r="BR153" s="745"/>
      <c r="BS153" s="747"/>
      <c r="BT153" s="746"/>
      <c r="BU153" s="745"/>
      <c r="BV153" s="745"/>
      <c r="BW153" s="745"/>
      <c r="BX153" s="747"/>
      <c r="BY153" s="746"/>
      <c r="BZ153" s="745"/>
      <c r="CA153" s="745"/>
      <c r="CB153" s="745"/>
      <c r="CC153" s="747"/>
      <c r="CD153" s="744"/>
      <c r="CE153" s="66"/>
      <c r="CF153" s="66"/>
      <c r="CG153" s="66"/>
      <c r="CH153" s="66"/>
      <c r="CI153" s="66"/>
      <c r="CJ153" s="66"/>
      <c r="CK153" s="66"/>
      <c r="CL153" s="66"/>
      <c r="CM153" s="66"/>
      <c r="CN153" s="66"/>
      <c r="CO153" s="66"/>
      <c r="CP153" s="66"/>
      <c r="CQ153" s="66"/>
      <c r="CR153" s="66"/>
      <c r="CS153" s="66"/>
      <c r="CT153" s="117"/>
      <c r="CU153" s="117"/>
      <c r="CV153" s="117"/>
      <c r="CW153" s="66"/>
      <c r="CX153" s="66"/>
      <c r="CY153" s="117"/>
      <c r="CZ153" s="117"/>
      <c r="DA153" s="117"/>
      <c r="DB153" s="66"/>
      <c r="DC153" s="66"/>
      <c r="DD153" s="117"/>
      <c r="DE153" s="117"/>
      <c r="DF153" s="117"/>
      <c r="DG153" s="117"/>
      <c r="DH153" s="117"/>
      <c r="DI153" s="66"/>
      <c r="DJ153" s="66"/>
      <c r="DK153" s="66"/>
      <c r="DL153" s="66"/>
      <c r="DM153" s="66"/>
      <c r="DN153" s="66"/>
      <c r="DO153" s="66"/>
      <c r="DP153" s="66"/>
      <c r="DQ153" s="66"/>
      <c r="DR153" s="66"/>
      <c r="DS153" s="66"/>
      <c r="DT153" s="66"/>
      <c r="DU153" s="66"/>
      <c r="DV153" s="66"/>
      <c r="DW153" s="66"/>
    </row>
    <row r="154" spans="1:127" ht="12.75" hidden="1" customHeight="1" outlineLevel="1">
      <c r="A154" s="598" t="s">
        <v>291</v>
      </c>
      <c r="AM154" s="68"/>
      <c r="AZ154" s="95"/>
      <c r="BE154" s="744">
        <v>26.081</v>
      </c>
      <c r="BF154" s="180"/>
      <c r="BG154" s="180"/>
      <c r="BH154" s="180"/>
      <c r="BI154" s="180"/>
      <c r="BJ154" s="744">
        <v>27.87</v>
      </c>
      <c r="BK154" s="745">
        <v>24.277999999999999</v>
      </c>
      <c r="BL154" s="745">
        <v>28.742999999999999</v>
      </c>
      <c r="BM154" s="745">
        <v>32.892000000000003</v>
      </c>
      <c r="BN154" s="745">
        <v>27.47</v>
      </c>
      <c r="BO154" s="744">
        <v>27.47</v>
      </c>
      <c r="BP154" s="745"/>
      <c r="BQ154" s="745"/>
      <c r="BR154" s="745"/>
      <c r="BS154" s="745"/>
      <c r="BT154" s="746"/>
      <c r="BU154" s="745"/>
      <c r="BV154" s="745"/>
      <c r="BW154" s="745"/>
      <c r="BX154" s="745"/>
      <c r="BY154" s="746"/>
      <c r="BZ154" s="745"/>
      <c r="CA154" s="745"/>
      <c r="CB154" s="745"/>
      <c r="CC154" s="745"/>
      <c r="CD154" s="744"/>
      <c r="CE154" s="66"/>
      <c r="CF154" s="66"/>
      <c r="CG154" s="66"/>
      <c r="CH154" s="66"/>
      <c r="CI154" s="66"/>
      <c r="CJ154" s="66"/>
      <c r="CK154" s="66"/>
      <c r="CL154" s="66"/>
      <c r="CM154" s="66"/>
      <c r="CN154" s="66"/>
      <c r="CO154" s="66"/>
      <c r="CP154" s="66"/>
      <c r="CQ154" s="66"/>
      <c r="CR154" s="66"/>
      <c r="CS154" s="66"/>
      <c r="CT154" s="117"/>
      <c r="CU154" s="117"/>
      <c r="CV154" s="117"/>
      <c r="CW154" s="66"/>
      <c r="CX154" s="66"/>
      <c r="CY154" s="117"/>
      <c r="CZ154" s="117"/>
      <c r="DA154" s="117"/>
      <c r="DB154" s="66"/>
      <c r="DC154" s="66"/>
      <c r="DD154" s="117"/>
      <c r="DE154" s="117"/>
      <c r="DF154" s="117"/>
      <c r="DG154" s="117"/>
      <c r="DH154" s="117"/>
      <c r="DI154" s="66"/>
      <c r="DJ154" s="66"/>
      <c r="DK154" s="66"/>
      <c r="DL154" s="66"/>
      <c r="DM154" s="66"/>
      <c r="DN154" s="66"/>
      <c r="DO154" s="66"/>
      <c r="DP154" s="66"/>
      <c r="DQ154" s="66"/>
      <c r="DR154" s="66"/>
      <c r="DS154" s="66"/>
      <c r="DT154" s="66"/>
      <c r="DU154" s="66"/>
      <c r="DV154" s="66"/>
      <c r="DW154" s="66"/>
    </row>
    <row r="155" spans="1:127" ht="12.75" hidden="1" customHeight="1" outlineLevel="1">
      <c r="A155" s="597" t="s">
        <v>292</v>
      </c>
      <c r="AM155" s="68"/>
      <c r="AZ155" s="95"/>
      <c r="BE155" s="739">
        <f>SUM(BE146:BE154)</f>
        <v>1560.4489999999996</v>
      </c>
      <c r="BF155" s="176"/>
      <c r="BG155" s="176"/>
      <c r="BH155" s="176"/>
      <c r="BI155" s="179"/>
      <c r="BJ155" s="739">
        <f>SUM(BJ146:BJ154)</f>
        <v>1454.5669999999998</v>
      </c>
      <c r="BK155" s="740">
        <f t="shared" ref="BK155:CD155" si="183">SUM(BK146:BK154)</f>
        <v>1405.4119999999998</v>
      </c>
      <c r="BL155" s="740">
        <f t="shared" si="183"/>
        <v>1355.9349999999999</v>
      </c>
      <c r="BM155" s="740">
        <f t="shared" si="183"/>
        <v>1322.17</v>
      </c>
      <c r="BN155" s="741">
        <f t="shared" si="183"/>
        <v>4645.62</v>
      </c>
      <c r="BO155" s="739">
        <f t="shared" si="183"/>
        <v>4645.62</v>
      </c>
      <c r="BP155" s="740">
        <f t="shared" si="183"/>
        <v>0</v>
      </c>
      <c r="BQ155" s="740">
        <f t="shared" si="183"/>
        <v>0</v>
      </c>
      <c r="BR155" s="740">
        <f t="shared" si="183"/>
        <v>0</v>
      </c>
      <c r="BS155" s="741">
        <f t="shared" si="183"/>
        <v>0</v>
      </c>
      <c r="BT155" s="742">
        <f t="shared" si="183"/>
        <v>0</v>
      </c>
      <c r="BU155" s="740">
        <f t="shared" si="183"/>
        <v>0</v>
      </c>
      <c r="BV155" s="740">
        <f t="shared" si="183"/>
        <v>0</v>
      </c>
      <c r="BW155" s="740">
        <f t="shared" si="183"/>
        <v>0</v>
      </c>
      <c r="BX155" s="741">
        <f t="shared" si="183"/>
        <v>0</v>
      </c>
      <c r="BY155" s="742">
        <f t="shared" si="183"/>
        <v>0</v>
      </c>
      <c r="BZ155" s="740">
        <f t="shared" si="183"/>
        <v>0</v>
      </c>
      <c r="CA155" s="740">
        <f t="shared" si="183"/>
        <v>0</v>
      </c>
      <c r="CB155" s="740">
        <f t="shared" si="183"/>
        <v>0</v>
      </c>
      <c r="CC155" s="741">
        <f t="shared" si="183"/>
        <v>0</v>
      </c>
      <c r="CD155" s="739">
        <f t="shared" si="183"/>
        <v>0</v>
      </c>
      <c r="CE155" s="66"/>
      <c r="CF155" s="66"/>
      <c r="CG155" s="66"/>
      <c r="CH155" s="66"/>
      <c r="CI155" s="66"/>
      <c r="CJ155" s="66"/>
      <c r="CK155" s="66"/>
      <c r="CL155" s="66"/>
      <c r="CM155" s="66"/>
      <c r="CN155" s="66"/>
      <c r="CO155" s="66"/>
      <c r="CP155" s="66"/>
      <c r="CQ155" s="66"/>
      <c r="CR155" s="66"/>
      <c r="CS155" s="66"/>
      <c r="CT155" s="117"/>
      <c r="CU155" s="117"/>
      <c r="CV155" s="117"/>
      <c r="CW155" s="66"/>
      <c r="CX155" s="66"/>
      <c r="CY155" s="117"/>
      <c r="CZ155" s="117"/>
      <c r="DA155" s="117"/>
      <c r="DB155" s="66"/>
      <c r="DC155" s="66"/>
      <c r="DD155" s="117"/>
      <c r="DE155" s="117"/>
      <c r="DF155" s="117"/>
      <c r="DG155" s="117"/>
      <c r="DH155" s="117"/>
      <c r="DI155" s="66"/>
      <c r="DJ155" s="66"/>
      <c r="DK155" s="66"/>
      <c r="DL155" s="66"/>
      <c r="DM155" s="66"/>
      <c r="DN155" s="66"/>
      <c r="DO155" s="66"/>
      <c r="DP155" s="66"/>
      <c r="DQ155" s="66"/>
      <c r="DR155" s="66"/>
      <c r="DS155" s="66"/>
      <c r="DT155" s="66"/>
      <c r="DU155" s="66"/>
      <c r="DV155" s="66"/>
      <c r="DW155" s="66"/>
    </row>
    <row r="156" spans="1:127" ht="12.75" hidden="1" customHeight="1" outlineLevel="1">
      <c r="A156" s="598"/>
      <c r="AM156" s="68"/>
      <c r="AZ156" s="95"/>
      <c r="BE156" s="744"/>
      <c r="BF156" s="180"/>
      <c r="BG156" s="180"/>
      <c r="BH156" s="180"/>
      <c r="BI156" s="180"/>
      <c r="BJ156" s="744"/>
      <c r="BK156" s="745"/>
      <c r="BL156" s="745"/>
      <c r="BM156" s="745"/>
      <c r="BN156" s="745"/>
      <c r="BO156" s="744"/>
      <c r="BP156" s="745"/>
      <c r="BQ156" s="745"/>
      <c r="BR156" s="745"/>
      <c r="BS156" s="745"/>
      <c r="BT156" s="746"/>
      <c r="BU156" s="745"/>
      <c r="BV156" s="745"/>
      <c r="BW156" s="745"/>
      <c r="BX156" s="745"/>
      <c r="BY156" s="746"/>
      <c r="BZ156" s="745"/>
      <c r="CA156" s="745"/>
      <c r="CB156" s="745"/>
      <c r="CC156" s="745"/>
      <c r="CD156" s="744"/>
      <c r="CE156" s="66"/>
      <c r="CF156" s="66"/>
      <c r="CG156" s="66"/>
      <c r="CH156" s="66"/>
      <c r="CI156" s="66"/>
      <c r="CJ156" s="66"/>
      <c r="CK156" s="66"/>
      <c r="CL156" s="66"/>
      <c r="CM156" s="66"/>
      <c r="CN156" s="66"/>
      <c r="CO156" s="66"/>
      <c r="CP156" s="66"/>
      <c r="CQ156" s="66"/>
      <c r="CR156" s="66"/>
      <c r="CS156" s="66"/>
      <c r="CT156" s="117"/>
      <c r="CU156" s="117"/>
      <c r="CV156" s="117"/>
      <c r="CW156" s="66"/>
      <c r="CX156" s="66"/>
      <c r="CY156" s="117"/>
      <c r="CZ156" s="117"/>
      <c r="DA156" s="117"/>
      <c r="DB156" s="66"/>
      <c r="DC156" s="66"/>
      <c r="DD156" s="117"/>
      <c r="DE156" s="117"/>
      <c r="DF156" s="117"/>
      <c r="DG156" s="117"/>
      <c r="DH156" s="117"/>
      <c r="DI156" s="66"/>
      <c r="DJ156" s="66"/>
      <c r="DK156" s="66"/>
      <c r="DL156" s="66"/>
      <c r="DM156" s="66"/>
      <c r="DN156" s="66"/>
      <c r="DO156" s="66"/>
      <c r="DP156" s="66"/>
      <c r="DQ156" s="66"/>
      <c r="DR156" s="66"/>
      <c r="DS156" s="66"/>
      <c r="DT156" s="66"/>
      <c r="DU156" s="66"/>
      <c r="DV156" s="66"/>
      <c r="DW156" s="66"/>
    </row>
    <row r="157" spans="1:127" ht="12.75" hidden="1" customHeight="1" outlineLevel="1">
      <c r="A157" s="597" t="s">
        <v>293</v>
      </c>
      <c r="AM157" s="68"/>
      <c r="AZ157" s="95"/>
      <c r="BE157" s="739"/>
      <c r="BF157" s="176"/>
      <c r="BG157" s="176"/>
      <c r="BH157" s="176"/>
      <c r="BI157" s="179"/>
      <c r="BJ157" s="739"/>
      <c r="BK157" s="740"/>
      <c r="BL157" s="740"/>
      <c r="BM157" s="740"/>
      <c r="BN157" s="741"/>
      <c r="BO157" s="739"/>
      <c r="BP157" s="740"/>
      <c r="BQ157" s="740"/>
      <c r="BR157" s="740"/>
      <c r="BS157" s="741"/>
      <c r="BT157" s="742"/>
      <c r="BU157" s="740"/>
      <c r="BV157" s="740"/>
      <c r="BW157" s="740"/>
      <c r="BX157" s="741"/>
      <c r="BY157" s="742"/>
      <c r="BZ157" s="740"/>
      <c r="CA157" s="740"/>
      <c r="CB157" s="740"/>
      <c r="CC157" s="741"/>
      <c r="CD157" s="739"/>
      <c r="CE157" s="66"/>
      <c r="CF157" s="66"/>
      <c r="CG157" s="66"/>
      <c r="CH157" s="66"/>
      <c r="CI157" s="66"/>
      <c r="CJ157" s="66"/>
      <c r="CK157" s="66"/>
      <c r="CL157" s="66"/>
      <c r="CM157" s="66"/>
      <c r="CN157" s="66"/>
      <c r="CO157" s="66"/>
      <c r="CP157" s="66"/>
      <c r="CQ157" s="66"/>
      <c r="CR157" s="66"/>
      <c r="CS157" s="66"/>
      <c r="CT157" s="117"/>
      <c r="CU157" s="117"/>
      <c r="CV157" s="117"/>
      <c r="CW157" s="66"/>
      <c r="CX157" s="66"/>
      <c r="CY157" s="117"/>
      <c r="CZ157" s="117"/>
      <c r="DA157" s="117"/>
      <c r="DB157" s="66"/>
      <c r="DC157" s="66"/>
      <c r="DD157" s="117"/>
      <c r="DE157" s="117"/>
      <c r="DF157" s="117"/>
      <c r="DG157" s="117"/>
      <c r="DH157" s="117"/>
      <c r="DI157" s="66"/>
      <c r="DJ157" s="66"/>
      <c r="DK157" s="66"/>
      <c r="DL157" s="66"/>
      <c r="DM157" s="66"/>
      <c r="DN157" s="66"/>
      <c r="DO157" s="66"/>
      <c r="DP157" s="66"/>
      <c r="DQ157" s="66"/>
      <c r="DR157" s="66"/>
      <c r="DS157" s="66"/>
      <c r="DT157" s="66"/>
      <c r="DU157" s="66"/>
      <c r="DV157" s="66"/>
      <c r="DW157" s="66"/>
    </row>
    <row r="158" spans="1:127" ht="12.75" hidden="1" customHeight="1" outlineLevel="1">
      <c r="A158" s="743" t="s">
        <v>134</v>
      </c>
      <c r="AM158" s="68"/>
      <c r="AZ158" s="95"/>
      <c r="BE158" s="744">
        <v>4.5640000000000001</v>
      </c>
      <c r="BF158" s="176"/>
      <c r="BG158" s="176"/>
      <c r="BH158" s="176"/>
      <c r="BI158" s="176"/>
      <c r="BJ158" s="739"/>
      <c r="BK158" s="740"/>
      <c r="BL158" s="740"/>
      <c r="BM158" s="740"/>
      <c r="BN158" s="740"/>
      <c r="BO158" s="739"/>
      <c r="BP158" s="740"/>
      <c r="BQ158" s="740"/>
      <c r="BR158" s="740"/>
      <c r="BS158" s="740"/>
      <c r="BT158" s="742"/>
      <c r="BU158" s="740"/>
      <c r="BV158" s="740"/>
      <c r="BW158" s="740"/>
      <c r="BX158" s="740"/>
      <c r="BY158" s="742"/>
      <c r="BZ158" s="740"/>
      <c r="CA158" s="740"/>
      <c r="CB158" s="740"/>
      <c r="CC158" s="740"/>
      <c r="CD158" s="739"/>
      <c r="CE158" s="66"/>
      <c r="CF158" s="66"/>
      <c r="CG158" s="66"/>
      <c r="CH158" s="66"/>
      <c r="CI158" s="66"/>
      <c r="CJ158" s="66"/>
      <c r="CK158" s="66"/>
      <c r="CL158" s="66"/>
      <c r="CM158" s="66"/>
      <c r="CN158" s="66"/>
      <c r="CO158" s="66"/>
      <c r="CP158" s="66"/>
      <c r="CQ158" s="66"/>
      <c r="CR158" s="66"/>
      <c r="CS158" s="66"/>
      <c r="CT158" s="117"/>
      <c r="CU158" s="117"/>
      <c r="CV158" s="117"/>
      <c r="CW158" s="66"/>
      <c r="CX158" s="66"/>
      <c r="CY158" s="117"/>
      <c r="CZ158" s="117"/>
      <c r="DA158" s="117"/>
      <c r="DB158" s="66"/>
      <c r="DC158" s="66"/>
      <c r="DD158" s="117"/>
      <c r="DE158" s="117"/>
      <c r="DF158" s="117"/>
      <c r="DG158" s="117"/>
      <c r="DH158" s="117"/>
      <c r="DI158" s="66"/>
      <c r="DJ158" s="66"/>
      <c r="DK158" s="66"/>
      <c r="DL158" s="66"/>
      <c r="DM158" s="66"/>
      <c r="DN158" s="66"/>
      <c r="DO158" s="66"/>
      <c r="DP158" s="66"/>
      <c r="DQ158" s="66"/>
      <c r="DR158" s="66"/>
      <c r="DS158" s="66"/>
      <c r="DT158" s="66"/>
      <c r="DU158" s="66"/>
      <c r="DV158" s="66"/>
      <c r="DW158" s="66"/>
    </row>
    <row r="159" spans="1:127" ht="12.75" hidden="1" customHeight="1" outlineLevel="1">
      <c r="A159" s="743" t="s">
        <v>201</v>
      </c>
      <c r="AM159" s="68"/>
      <c r="AZ159" s="95"/>
      <c r="BE159" s="744">
        <v>18.117999999999999</v>
      </c>
      <c r="BF159" s="180"/>
      <c r="BG159" s="180"/>
      <c r="BH159" s="180"/>
      <c r="BI159" s="180"/>
      <c r="BJ159" s="744">
        <v>27.802</v>
      </c>
      <c r="BK159" s="745">
        <v>26.321999999999999</v>
      </c>
      <c r="BL159" s="745">
        <v>15.355</v>
      </c>
      <c r="BM159" s="745">
        <v>54.914999999999999</v>
      </c>
      <c r="BN159" s="745">
        <v>30.425999999999998</v>
      </c>
      <c r="BO159" s="744">
        <v>30.425999999999998</v>
      </c>
      <c r="BP159" s="745"/>
      <c r="BQ159" s="745"/>
      <c r="BR159" s="745"/>
      <c r="BS159" s="745"/>
      <c r="BT159" s="746"/>
      <c r="BU159" s="745"/>
      <c r="BV159" s="745"/>
      <c r="BW159" s="745"/>
      <c r="BX159" s="745"/>
      <c r="BY159" s="746"/>
      <c r="BZ159" s="745"/>
      <c r="CA159" s="745"/>
      <c r="CB159" s="745"/>
      <c r="CC159" s="745"/>
      <c r="CD159" s="744"/>
      <c r="CE159" s="66"/>
      <c r="CF159" s="66"/>
      <c r="CG159" s="66"/>
      <c r="CH159" s="66"/>
      <c r="CI159" s="66"/>
      <c r="CJ159" s="66"/>
      <c r="CK159" s="66"/>
      <c r="CL159" s="66"/>
      <c r="CM159" s="66"/>
      <c r="CN159" s="66"/>
      <c r="CO159" s="66"/>
      <c r="CP159" s="66"/>
      <c r="CQ159" s="66"/>
      <c r="CR159" s="66"/>
      <c r="CS159" s="66"/>
      <c r="CT159" s="117"/>
      <c r="CU159" s="117"/>
      <c r="CV159" s="117"/>
      <c r="CW159" s="66"/>
      <c r="CX159" s="66"/>
      <c r="CY159" s="117"/>
      <c r="CZ159" s="117"/>
      <c r="DA159" s="117"/>
      <c r="DB159" s="66"/>
      <c r="DC159" s="66"/>
      <c r="DD159" s="117"/>
      <c r="DE159" s="117"/>
      <c r="DF159" s="117"/>
      <c r="DG159" s="117"/>
      <c r="DH159" s="117"/>
      <c r="DI159" s="66"/>
      <c r="DJ159" s="66"/>
      <c r="DK159" s="66"/>
      <c r="DL159" s="66"/>
      <c r="DM159" s="66"/>
      <c r="DN159" s="66"/>
      <c r="DO159" s="66"/>
      <c r="DP159" s="66"/>
      <c r="DQ159" s="66"/>
      <c r="DR159" s="66"/>
      <c r="DS159" s="66"/>
      <c r="DT159" s="66"/>
      <c r="DU159" s="66"/>
      <c r="DV159" s="66"/>
      <c r="DW159" s="66"/>
    </row>
    <row r="160" spans="1:127" ht="12.75" hidden="1" customHeight="1" outlineLevel="1">
      <c r="A160" s="743" t="s">
        <v>504</v>
      </c>
      <c r="AM160" s="68"/>
      <c r="AZ160" s="95"/>
      <c r="BE160" s="744">
        <v>48.594999999999999</v>
      </c>
      <c r="BF160" s="180"/>
      <c r="BG160" s="180"/>
      <c r="BH160" s="180"/>
      <c r="BI160" s="183"/>
      <c r="BJ160" s="744">
        <v>54.296999999999997</v>
      </c>
      <c r="BK160" s="745">
        <v>53.585000000000001</v>
      </c>
      <c r="BL160" s="745">
        <v>48.225000000000001</v>
      </c>
      <c r="BM160" s="745">
        <v>52.683999999999997</v>
      </c>
      <c r="BN160" s="747">
        <v>139.34</v>
      </c>
      <c r="BO160" s="744">
        <v>139.34</v>
      </c>
      <c r="BP160" s="745"/>
      <c r="BQ160" s="745"/>
      <c r="BR160" s="745"/>
      <c r="BS160" s="747"/>
      <c r="BT160" s="746"/>
      <c r="BU160" s="745"/>
      <c r="BV160" s="745"/>
      <c r="BW160" s="745"/>
      <c r="BX160" s="747"/>
      <c r="BY160" s="746"/>
      <c r="BZ160" s="745"/>
      <c r="CA160" s="745"/>
      <c r="CB160" s="745"/>
      <c r="CC160" s="747"/>
      <c r="CD160" s="744"/>
      <c r="CE160" s="66"/>
      <c r="CF160" s="66"/>
      <c r="CG160" s="66"/>
      <c r="CH160" s="66"/>
      <c r="CI160" s="66"/>
      <c r="CJ160" s="66"/>
      <c r="CK160" s="66"/>
      <c r="CL160" s="66"/>
      <c r="CM160" s="66"/>
      <c r="CN160" s="66"/>
      <c r="CO160" s="66"/>
      <c r="CP160" s="66"/>
      <c r="CQ160" s="66"/>
      <c r="CR160" s="66"/>
      <c r="CS160" s="66"/>
      <c r="CT160" s="117"/>
      <c r="CU160" s="117"/>
      <c r="CV160" s="117"/>
      <c r="CW160" s="66"/>
      <c r="CX160" s="66"/>
      <c r="CY160" s="117"/>
      <c r="CZ160" s="117"/>
      <c r="DA160" s="117"/>
      <c r="DB160" s="66"/>
      <c r="DC160" s="66"/>
      <c r="DD160" s="117"/>
      <c r="DE160" s="117"/>
      <c r="DF160" s="117"/>
      <c r="DG160" s="117"/>
      <c r="DH160" s="117"/>
      <c r="DI160" s="66"/>
      <c r="DJ160" s="66"/>
      <c r="DK160" s="66"/>
      <c r="DL160" s="66"/>
      <c r="DM160" s="66"/>
      <c r="DN160" s="66"/>
      <c r="DO160" s="66"/>
      <c r="DP160" s="66"/>
      <c r="DQ160" s="66"/>
      <c r="DR160" s="66"/>
      <c r="DS160" s="66"/>
      <c r="DT160" s="66"/>
      <c r="DU160" s="66"/>
      <c r="DV160" s="66"/>
      <c r="DW160" s="66"/>
    </row>
    <row r="161" spans="1:127" ht="12.75" hidden="1" customHeight="1" outlineLevel="1">
      <c r="A161" s="743" t="s">
        <v>202</v>
      </c>
      <c r="AM161" s="68"/>
      <c r="AZ161" s="95"/>
      <c r="BE161" s="744">
        <v>150.04499999999999</v>
      </c>
      <c r="BF161" s="180"/>
      <c r="BG161" s="180"/>
      <c r="BH161" s="180"/>
      <c r="BI161" s="180"/>
      <c r="BJ161" s="744">
        <v>117.785</v>
      </c>
      <c r="BK161" s="745">
        <v>125.908</v>
      </c>
      <c r="BL161" s="745">
        <v>109.069</v>
      </c>
      <c r="BM161" s="745">
        <v>115.499</v>
      </c>
      <c r="BN161" s="745">
        <v>247.334</v>
      </c>
      <c r="BO161" s="744">
        <v>247.334</v>
      </c>
      <c r="BP161" s="745"/>
      <c r="BQ161" s="745"/>
      <c r="BR161" s="745"/>
      <c r="BS161" s="745"/>
      <c r="BT161" s="746"/>
      <c r="BU161" s="745"/>
      <c r="BV161" s="745"/>
      <c r="BW161" s="745"/>
      <c r="BX161" s="745"/>
      <c r="BY161" s="746"/>
      <c r="BZ161" s="745"/>
      <c r="CA161" s="745"/>
      <c r="CB161" s="745"/>
      <c r="CC161" s="745"/>
      <c r="CD161" s="744"/>
      <c r="CE161" s="66"/>
      <c r="CF161" s="66"/>
      <c r="CG161" s="66"/>
      <c r="CH161" s="66"/>
      <c r="CI161" s="66"/>
      <c r="CJ161" s="66"/>
      <c r="CK161" s="66"/>
      <c r="CL161" s="66"/>
      <c r="CM161" s="66"/>
      <c r="CN161" s="66"/>
      <c r="CO161" s="66"/>
      <c r="CP161" s="66"/>
      <c r="CQ161" s="66"/>
      <c r="CR161" s="66"/>
      <c r="CS161" s="66"/>
      <c r="CT161" s="117"/>
      <c r="CU161" s="117"/>
      <c r="CV161" s="117"/>
      <c r="CW161" s="66"/>
      <c r="CX161" s="66"/>
      <c r="CY161" s="117"/>
      <c r="CZ161" s="117"/>
      <c r="DA161" s="117"/>
      <c r="DB161" s="66"/>
      <c r="DC161" s="66"/>
      <c r="DD161" s="117"/>
      <c r="DE161" s="117"/>
      <c r="DF161" s="117"/>
      <c r="DG161" s="117"/>
      <c r="DH161" s="117"/>
      <c r="DI161" s="66"/>
      <c r="DJ161" s="66"/>
      <c r="DK161" s="66"/>
      <c r="DL161" s="66"/>
      <c r="DM161" s="66"/>
      <c r="DN161" s="66"/>
      <c r="DO161" s="66"/>
      <c r="DP161" s="66"/>
      <c r="DQ161" s="66"/>
      <c r="DR161" s="66"/>
      <c r="DS161" s="66"/>
      <c r="DT161" s="66"/>
      <c r="DU161" s="66"/>
      <c r="DV161" s="66"/>
      <c r="DW161" s="66"/>
    </row>
    <row r="162" spans="1:127" ht="12.75" hidden="1" customHeight="1" outlineLevel="1">
      <c r="A162" s="743" t="s">
        <v>505</v>
      </c>
      <c r="AM162" s="68"/>
      <c r="AZ162" s="95"/>
      <c r="BE162" s="744"/>
      <c r="BF162" s="180"/>
      <c r="BG162" s="180"/>
      <c r="BH162" s="180"/>
      <c r="BI162" s="180"/>
      <c r="BJ162" s="744"/>
      <c r="BK162" s="745"/>
      <c r="BL162" s="745"/>
      <c r="BM162" s="745"/>
      <c r="BN162" s="745">
        <v>81.138999999999996</v>
      </c>
      <c r="BO162" s="744">
        <v>81.138999999999996</v>
      </c>
      <c r="BP162" s="745"/>
      <c r="BQ162" s="745"/>
      <c r="BR162" s="745"/>
      <c r="BS162" s="745"/>
      <c r="BT162" s="746"/>
      <c r="BU162" s="745"/>
      <c r="BV162" s="745"/>
      <c r="BW162" s="745"/>
      <c r="BX162" s="745"/>
      <c r="BY162" s="746"/>
      <c r="BZ162" s="745"/>
      <c r="CA162" s="745"/>
      <c r="CB162" s="745"/>
      <c r="CC162" s="745"/>
      <c r="CD162" s="744"/>
      <c r="CE162" s="66"/>
      <c r="CF162" s="66"/>
      <c r="CG162" s="66"/>
      <c r="CH162" s="66"/>
      <c r="CI162" s="66"/>
      <c r="CJ162" s="66"/>
      <c r="CK162" s="66"/>
      <c r="CL162" s="66"/>
      <c r="CM162" s="66"/>
      <c r="CN162" s="66"/>
      <c r="CO162" s="66"/>
      <c r="CP162" s="66"/>
      <c r="CQ162" s="66"/>
      <c r="CR162" s="66"/>
      <c r="CS162" s="66"/>
      <c r="CT162" s="117"/>
      <c r="CU162" s="117"/>
      <c r="CV162" s="117"/>
      <c r="CW162" s="66"/>
      <c r="CX162" s="66"/>
      <c r="CY162" s="117"/>
      <c r="CZ162" s="117"/>
      <c r="DA162" s="117"/>
      <c r="DB162" s="66"/>
      <c r="DC162" s="66"/>
      <c r="DD162" s="117"/>
      <c r="DE162" s="117"/>
      <c r="DF162" s="117"/>
      <c r="DG162" s="117"/>
      <c r="DH162" s="117"/>
      <c r="DI162" s="66"/>
      <c r="DJ162" s="66"/>
      <c r="DK162" s="66"/>
      <c r="DL162" s="66"/>
      <c r="DM162" s="66"/>
      <c r="DN162" s="66"/>
      <c r="DO162" s="66"/>
      <c r="DP162" s="66"/>
      <c r="DQ162" s="66"/>
      <c r="DR162" s="66"/>
      <c r="DS162" s="66"/>
      <c r="DT162" s="66"/>
      <c r="DU162" s="66"/>
      <c r="DV162" s="66"/>
      <c r="DW162" s="66"/>
    </row>
    <row r="163" spans="1:127" ht="12.75" hidden="1" customHeight="1" outlineLevel="1">
      <c r="A163" s="743" t="s">
        <v>203</v>
      </c>
      <c r="AM163" s="68"/>
      <c r="AZ163" s="95"/>
      <c r="BE163" s="744">
        <v>9.2539999999999996</v>
      </c>
      <c r="BF163" s="180"/>
      <c r="BG163" s="180"/>
      <c r="BH163" s="180"/>
      <c r="BI163" s="183"/>
      <c r="BJ163" s="744">
        <v>7.2789999999999999</v>
      </c>
      <c r="BK163" s="745">
        <v>7.2750000000000004</v>
      </c>
      <c r="BL163" s="745">
        <v>7.26</v>
      </c>
      <c r="BM163" s="745">
        <v>5.6509999999999998</v>
      </c>
      <c r="BN163" s="747">
        <v>4.25</v>
      </c>
      <c r="BO163" s="744">
        <v>4.25</v>
      </c>
      <c r="BP163" s="745"/>
      <c r="BQ163" s="745"/>
      <c r="BR163" s="745"/>
      <c r="BS163" s="747"/>
      <c r="BT163" s="746"/>
      <c r="BU163" s="745"/>
      <c r="BV163" s="745"/>
      <c r="BW163" s="745"/>
      <c r="BX163" s="747"/>
      <c r="BY163" s="746"/>
      <c r="BZ163" s="745"/>
      <c r="CA163" s="745"/>
      <c r="CB163" s="745"/>
      <c r="CC163" s="747"/>
      <c r="CD163" s="744"/>
      <c r="CE163" s="66"/>
      <c r="CF163" s="66"/>
      <c r="CG163" s="66"/>
      <c r="CH163" s="66"/>
      <c r="CI163" s="66"/>
      <c r="CJ163" s="66"/>
      <c r="CK163" s="66"/>
      <c r="CL163" s="66"/>
      <c r="CM163" s="66"/>
      <c r="CN163" s="66"/>
      <c r="CO163" s="66"/>
      <c r="CP163" s="66"/>
      <c r="CQ163" s="66"/>
      <c r="CR163" s="66"/>
      <c r="CS163" s="66"/>
      <c r="CT163" s="117"/>
      <c r="CU163" s="117"/>
      <c r="CV163" s="117"/>
      <c r="CW163" s="66"/>
      <c r="CX163" s="66"/>
      <c r="CY163" s="117"/>
      <c r="CZ163" s="117"/>
      <c r="DA163" s="117"/>
      <c r="DB163" s="66"/>
      <c r="DC163" s="66"/>
      <c r="DD163" s="117"/>
      <c r="DE163" s="117"/>
      <c r="DF163" s="117"/>
      <c r="DG163" s="117"/>
      <c r="DH163" s="117"/>
      <c r="DI163" s="66"/>
      <c r="DJ163" s="66"/>
      <c r="DK163" s="66"/>
      <c r="DL163" s="66"/>
      <c r="DM163" s="66"/>
      <c r="DN163" s="66"/>
      <c r="DO163" s="66"/>
      <c r="DP163" s="66"/>
      <c r="DQ163" s="66"/>
      <c r="DR163" s="66"/>
      <c r="DS163" s="66"/>
      <c r="DT163" s="66"/>
      <c r="DU163" s="66"/>
      <c r="DV163" s="66"/>
      <c r="DW163" s="66"/>
    </row>
    <row r="164" spans="1:127" ht="12.75" hidden="1" customHeight="1" outlineLevel="1">
      <c r="A164" s="743" t="s">
        <v>204</v>
      </c>
      <c r="AM164" s="68"/>
      <c r="AZ164" s="95"/>
      <c r="BE164" s="744">
        <f>SUM(BE158:BE163)</f>
        <v>230.57599999999999</v>
      </c>
      <c r="BF164" s="180"/>
      <c r="BG164" s="180"/>
      <c r="BH164" s="180"/>
      <c r="BI164" s="180"/>
      <c r="BJ164" s="744">
        <f>SUM(BJ159:BJ163)</f>
        <v>207.16299999999998</v>
      </c>
      <c r="BK164" s="745">
        <v>213.09</v>
      </c>
      <c r="BL164" s="745">
        <f t="shared" ref="BL164:CD164" si="184">SUM(BL159:BL163)</f>
        <v>179.90899999999999</v>
      </c>
      <c r="BM164" s="745">
        <f t="shared" si="184"/>
        <v>228.749</v>
      </c>
      <c r="BN164" s="745">
        <f t="shared" si="184"/>
        <v>502.48900000000003</v>
      </c>
      <c r="BO164" s="744">
        <f t="shared" si="184"/>
        <v>502.48900000000003</v>
      </c>
      <c r="BP164" s="745">
        <f t="shared" si="184"/>
        <v>0</v>
      </c>
      <c r="BQ164" s="745">
        <f t="shared" si="184"/>
        <v>0</v>
      </c>
      <c r="BR164" s="745">
        <f t="shared" si="184"/>
        <v>0</v>
      </c>
      <c r="BS164" s="745">
        <f t="shared" si="184"/>
        <v>0</v>
      </c>
      <c r="BT164" s="746">
        <f t="shared" si="184"/>
        <v>0</v>
      </c>
      <c r="BU164" s="745">
        <f t="shared" si="184"/>
        <v>0</v>
      </c>
      <c r="BV164" s="745">
        <f t="shared" si="184"/>
        <v>0</v>
      </c>
      <c r="BW164" s="745">
        <f t="shared" si="184"/>
        <v>0</v>
      </c>
      <c r="BX164" s="745">
        <f t="shared" si="184"/>
        <v>0</v>
      </c>
      <c r="BY164" s="746">
        <f t="shared" si="184"/>
        <v>0</v>
      </c>
      <c r="BZ164" s="745">
        <f t="shared" si="184"/>
        <v>0</v>
      </c>
      <c r="CA164" s="745">
        <f t="shared" si="184"/>
        <v>0</v>
      </c>
      <c r="CB164" s="745">
        <f t="shared" si="184"/>
        <v>0</v>
      </c>
      <c r="CC164" s="745">
        <f t="shared" si="184"/>
        <v>0</v>
      </c>
      <c r="CD164" s="744">
        <f t="shared" si="184"/>
        <v>0</v>
      </c>
      <c r="CE164" s="66"/>
      <c r="CF164" s="66"/>
      <c r="CG164" s="66"/>
      <c r="CH164" s="66"/>
      <c r="CI164" s="66"/>
      <c r="CJ164" s="66"/>
      <c r="CK164" s="66"/>
      <c r="CL164" s="66"/>
      <c r="CM164" s="66"/>
      <c r="CN164" s="66"/>
      <c r="CO164" s="66"/>
      <c r="CP164" s="66"/>
      <c r="CQ164" s="66"/>
      <c r="CR164" s="66"/>
      <c r="CS164" s="66"/>
      <c r="CT164" s="117"/>
      <c r="CU164" s="117"/>
      <c r="CV164" s="117"/>
      <c r="CW164" s="66"/>
      <c r="CX164" s="66"/>
      <c r="CY164" s="117"/>
      <c r="CZ164" s="117"/>
      <c r="DA164" s="117"/>
      <c r="DB164" s="66"/>
      <c r="DC164" s="66"/>
      <c r="DD164" s="117"/>
      <c r="DE164" s="117"/>
      <c r="DF164" s="117"/>
      <c r="DG164" s="117"/>
      <c r="DH164" s="117"/>
      <c r="DI164" s="66"/>
      <c r="DJ164" s="66"/>
      <c r="DK164" s="66"/>
      <c r="DL164" s="66"/>
      <c r="DM164" s="66"/>
      <c r="DN164" s="66"/>
      <c r="DO164" s="66"/>
      <c r="DP164" s="66"/>
      <c r="DQ164" s="66"/>
      <c r="DR164" s="66"/>
      <c r="DS164" s="66"/>
      <c r="DT164" s="66"/>
      <c r="DU164" s="66"/>
      <c r="DV164" s="66"/>
      <c r="DW164" s="66"/>
    </row>
    <row r="165" spans="1:127" ht="12.75" hidden="1" customHeight="1" outlineLevel="1">
      <c r="A165" s="598" t="s">
        <v>194</v>
      </c>
      <c r="AM165" s="68"/>
      <c r="AZ165" s="95"/>
      <c r="BE165" s="744">
        <v>701.91600000000005</v>
      </c>
      <c r="BF165" s="180"/>
      <c r="BG165" s="180"/>
      <c r="BH165" s="180"/>
      <c r="BI165" s="183"/>
      <c r="BJ165" s="744">
        <v>711.53099999999995</v>
      </c>
      <c r="BK165" s="745">
        <v>728.23500000000001</v>
      </c>
      <c r="BL165" s="745">
        <v>729.95500000000004</v>
      </c>
      <c r="BM165" s="745">
        <v>666.24</v>
      </c>
      <c r="BN165" s="747">
        <v>1081.1510000000001</v>
      </c>
      <c r="BO165" s="744">
        <v>1081.1510000000001</v>
      </c>
      <c r="BP165" s="745"/>
      <c r="BQ165" s="745"/>
      <c r="BR165" s="745"/>
      <c r="BS165" s="747"/>
      <c r="BT165" s="746"/>
      <c r="BU165" s="745"/>
      <c r="BV165" s="745"/>
      <c r="BW165" s="745"/>
      <c r="BX165" s="747"/>
      <c r="BY165" s="746"/>
      <c r="BZ165" s="745"/>
      <c r="CA165" s="745"/>
      <c r="CB165" s="745"/>
      <c r="CC165" s="747"/>
      <c r="CD165" s="744"/>
      <c r="CE165" s="66"/>
      <c r="CF165" s="66"/>
      <c r="CG165" s="66"/>
      <c r="CH165" s="66"/>
      <c r="CI165" s="66"/>
      <c r="CJ165" s="66"/>
      <c r="CK165" s="66"/>
      <c r="CL165" s="66"/>
      <c r="CM165" s="66"/>
      <c r="CN165" s="66"/>
      <c r="CO165" s="66"/>
      <c r="CP165" s="66"/>
      <c r="CQ165" s="66"/>
      <c r="CR165" s="66"/>
      <c r="CS165" s="66"/>
      <c r="CT165" s="117"/>
      <c r="CU165" s="117"/>
      <c r="CV165" s="117"/>
      <c r="CW165" s="66"/>
      <c r="CX165" s="66"/>
      <c r="CY165" s="117"/>
      <c r="CZ165" s="117"/>
      <c r="DA165" s="117"/>
      <c r="DB165" s="66"/>
      <c r="DC165" s="66"/>
      <c r="DD165" s="117"/>
      <c r="DE165" s="117"/>
      <c r="DF165" s="117"/>
      <c r="DG165" s="117"/>
      <c r="DH165" s="117"/>
      <c r="DI165" s="66"/>
      <c r="DJ165" s="66"/>
      <c r="DK165" s="66"/>
      <c r="DL165" s="66"/>
      <c r="DM165" s="66"/>
      <c r="DN165" s="66"/>
      <c r="DO165" s="66"/>
      <c r="DP165" s="66"/>
      <c r="DQ165" s="66"/>
      <c r="DR165" s="66"/>
      <c r="DS165" s="66"/>
      <c r="DT165" s="66"/>
      <c r="DU165" s="66"/>
      <c r="DV165" s="66"/>
      <c r="DW165" s="66"/>
    </row>
    <row r="166" spans="1:127" ht="12.75" hidden="1" customHeight="1" outlineLevel="1">
      <c r="A166" s="598" t="s">
        <v>195</v>
      </c>
      <c r="AM166" s="68"/>
      <c r="AZ166" s="95"/>
      <c r="BE166" s="744">
        <v>11.563000000000001</v>
      </c>
      <c r="BF166" s="180"/>
      <c r="BG166" s="180"/>
      <c r="BH166" s="180"/>
      <c r="BI166" s="180"/>
      <c r="BJ166" s="744">
        <v>10.861000000000001</v>
      </c>
      <c r="BK166" s="745">
        <v>21.459</v>
      </c>
      <c r="BL166" s="745">
        <v>18.167999999999999</v>
      </c>
      <c r="BM166" s="745">
        <v>14.138999999999999</v>
      </c>
      <c r="BN166" s="745">
        <v>16.859000000000002</v>
      </c>
      <c r="BO166" s="744">
        <v>16.859000000000002</v>
      </c>
      <c r="BP166" s="745"/>
      <c r="BQ166" s="745"/>
      <c r="BR166" s="745"/>
      <c r="BS166" s="745"/>
      <c r="BT166" s="746"/>
      <c r="BU166" s="745"/>
      <c r="BV166" s="745"/>
      <c r="BW166" s="745"/>
      <c r="BX166" s="745"/>
      <c r="BY166" s="746"/>
      <c r="BZ166" s="745"/>
      <c r="CA166" s="745"/>
      <c r="CB166" s="745"/>
      <c r="CC166" s="745"/>
      <c r="CD166" s="744"/>
      <c r="CE166" s="66"/>
      <c r="CF166" s="66"/>
      <c r="CG166" s="66"/>
      <c r="CH166" s="66"/>
      <c r="CI166" s="66"/>
      <c r="CJ166" s="66"/>
      <c r="CK166" s="66"/>
      <c r="CL166" s="66"/>
      <c r="CM166" s="66"/>
      <c r="CN166" s="66"/>
      <c r="CO166" s="66"/>
      <c r="CP166" s="66"/>
      <c r="CQ166" s="66"/>
      <c r="CR166" s="66"/>
      <c r="CS166" s="66"/>
      <c r="CT166" s="117"/>
      <c r="CU166" s="117"/>
      <c r="CV166" s="117"/>
      <c r="CW166" s="66"/>
      <c r="CX166" s="66"/>
      <c r="CY166" s="117"/>
      <c r="CZ166" s="117"/>
      <c r="DA166" s="117"/>
      <c r="DB166" s="66"/>
      <c r="DC166" s="66"/>
      <c r="DD166" s="117"/>
      <c r="DE166" s="117"/>
      <c r="DF166" s="117"/>
      <c r="DG166" s="117"/>
      <c r="DH166" s="117"/>
      <c r="DI166" s="66"/>
      <c r="DJ166" s="66"/>
      <c r="DK166" s="66"/>
      <c r="DL166" s="66"/>
      <c r="DM166" s="66"/>
      <c r="DN166" s="66"/>
      <c r="DO166" s="66"/>
      <c r="DP166" s="66"/>
      <c r="DQ166" s="66"/>
      <c r="DR166" s="66"/>
      <c r="DS166" s="66"/>
      <c r="DT166" s="66"/>
      <c r="DU166" s="66"/>
      <c r="DV166" s="66"/>
      <c r="DW166" s="66"/>
    </row>
    <row r="167" spans="1:127" ht="12.75" hidden="1" customHeight="1" outlineLevel="1">
      <c r="A167" s="598" t="s">
        <v>135</v>
      </c>
      <c r="AM167" s="68"/>
      <c r="AZ167" s="95"/>
      <c r="BE167" s="744">
        <v>35.679000000000002</v>
      </c>
      <c r="BF167" s="180"/>
      <c r="BG167" s="180"/>
      <c r="BH167" s="180"/>
      <c r="BI167" s="180"/>
      <c r="BJ167" s="744"/>
      <c r="BK167" s="745"/>
      <c r="BL167" s="745"/>
      <c r="BM167" s="745"/>
      <c r="BN167" s="745">
        <v>0</v>
      </c>
      <c r="BO167" s="744">
        <v>0</v>
      </c>
      <c r="BP167" s="745"/>
      <c r="BQ167" s="745"/>
      <c r="BR167" s="745"/>
      <c r="BS167" s="745"/>
      <c r="BT167" s="746"/>
      <c r="BU167" s="745"/>
      <c r="BV167" s="745"/>
      <c r="BW167" s="745"/>
      <c r="BX167" s="745"/>
      <c r="BY167" s="746"/>
      <c r="BZ167" s="745"/>
      <c r="CA167" s="745"/>
      <c r="CB167" s="745"/>
      <c r="CC167" s="745"/>
      <c r="CD167" s="744"/>
      <c r="CE167" s="66"/>
      <c r="CF167" s="66"/>
      <c r="CG167" s="66"/>
      <c r="CH167" s="66"/>
      <c r="CI167" s="66"/>
      <c r="CJ167" s="66"/>
      <c r="CK167" s="66"/>
      <c r="CL167" s="66"/>
      <c r="CM167" s="66"/>
      <c r="CN167" s="66"/>
      <c r="CO167" s="66"/>
      <c r="CP167" s="66"/>
      <c r="CQ167" s="66"/>
      <c r="CR167" s="66"/>
      <c r="CS167" s="66"/>
      <c r="CT167" s="117"/>
      <c r="CU167" s="117"/>
      <c r="CV167" s="117"/>
      <c r="CW167" s="66"/>
      <c r="CX167" s="66"/>
      <c r="CY167" s="117"/>
      <c r="CZ167" s="117"/>
      <c r="DA167" s="117"/>
      <c r="DB167" s="66"/>
      <c r="DC167" s="66"/>
      <c r="DD167" s="117"/>
      <c r="DE167" s="117"/>
      <c r="DF167" s="117"/>
      <c r="DG167" s="117"/>
      <c r="DH167" s="117"/>
      <c r="DI167" s="66"/>
      <c r="DJ167" s="66"/>
      <c r="DK167" s="66"/>
      <c r="DL167" s="66"/>
      <c r="DM167" s="66"/>
      <c r="DN167" s="66"/>
      <c r="DO167" s="66"/>
      <c r="DP167" s="66"/>
      <c r="DQ167" s="66"/>
      <c r="DR167" s="66"/>
      <c r="DS167" s="66"/>
      <c r="DT167" s="66"/>
      <c r="DU167" s="66"/>
      <c r="DV167" s="66"/>
      <c r="DW167" s="66"/>
    </row>
    <row r="168" spans="1:127" ht="12.75" hidden="1" customHeight="1" outlineLevel="1">
      <c r="A168" s="598" t="s">
        <v>492</v>
      </c>
      <c r="AM168" s="68"/>
      <c r="AZ168" s="95"/>
      <c r="BE168" s="744">
        <v>15.532</v>
      </c>
      <c r="BF168" s="180"/>
      <c r="BG168" s="180"/>
      <c r="BH168" s="180"/>
      <c r="BI168" s="180"/>
      <c r="BJ168" s="744"/>
      <c r="BK168" s="745"/>
      <c r="BL168" s="745"/>
      <c r="BM168" s="745"/>
      <c r="BN168" s="745">
        <v>475.24299999999999</v>
      </c>
      <c r="BO168" s="744">
        <v>475.24299999999999</v>
      </c>
      <c r="BP168" s="745"/>
      <c r="BQ168" s="745"/>
      <c r="BR168" s="745"/>
      <c r="BS168" s="745"/>
      <c r="BT168" s="746"/>
      <c r="BU168" s="745"/>
      <c r="BV168" s="745"/>
      <c r="BW168" s="745"/>
      <c r="BX168" s="745"/>
      <c r="BY168" s="746"/>
      <c r="BZ168" s="745"/>
      <c r="CA168" s="745"/>
      <c r="CB168" s="745"/>
      <c r="CC168" s="745"/>
      <c r="CD168" s="744"/>
      <c r="CE168" s="66"/>
      <c r="CF168" s="66"/>
      <c r="CG168" s="66"/>
      <c r="CH168" s="66"/>
      <c r="CI168" s="66"/>
      <c r="CJ168" s="66"/>
      <c r="CK168" s="66"/>
      <c r="CL168" s="66"/>
      <c r="CM168" s="66"/>
      <c r="CN168" s="66"/>
      <c r="CO168" s="66"/>
      <c r="CP168" s="66"/>
      <c r="CQ168" s="66"/>
      <c r="CR168" s="66"/>
      <c r="CS168" s="66"/>
      <c r="CT168" s="117"/>
      <c r="CU168" s="117"/>
      <c r="CV168" s="117"/>
      <c r="CW168" s="66"/>
      <c r="CX168" s="66"/>
      <c r="CY168" s="117"/>
      <c r="CZ168" s="117"/>
      <c r="DA168" s="117"/>
      <c r="DB168" s="66"/>
      <c r="DC168" s="66"/>
      <c r="DD168" s="117"/>
      <c r="DE168" s="117"/>
      <c r="DF168" s="117"/>
      <c r="DG168" s="117"/>
      <c r="DH168" s="117"/>
      <c r="DI168" s="66"/>
      <c r="DJ168" s="66"/>
      <c r="DK168" s="66"/>
      <c r="DL168" s="66"/>
      <c r="DM168" s="66"/>
      <c r="DN168" s="66"/>
      <c r="DO168" s="66"/>
      <c r="DP168" s="66"/>
      <c r="DQ168" s="66"/>
      <c r="DR168" s="66"/>
      <c r="DS168" s="66"/>
      <c r="DT168" s="66"/>
      <c r="DU168" s="66"/>
      <c r="DV168" s="66"/>
      <c r="DW168" s="66"/>
    </row>
    <row r="169" spans="1:127" ht="12.75" hidden="1" customHeight="1" outlineLevel="1">
      <c r="A169" s="598" t="s">
        <v>197</v>
      </c>
      <c r="AM169" s="68"/>
      <c r="AZ169" s="95"/>
      <c r="BE169" s="744">
        <v>73.144999999999996</v>
      </c>
      <c r="BF169" s="180"/>
      <c r="BG169" s="180"/>
      <c r="BH169" s="180"/>
      <c r="BI169" s="183"/>
      <c r="BJ169" s="744">
        <v>75.180000000000007</v>
      </c>
      <c r="BK169" s="745">
        <v>78.069999999999993</v>
      </c>
      <c r="BL169" s="745">
        <v>78</v>
      </c>
      <c r="BM169" s="745">
        <v>78.653000000000006</v>
      </c>
      <c r="BN169" s="747">
        <v>186.58699999999999</v>
      </c>
      <c r="BO169" s="744">
        <v>186.58699999999999</v>
      </c>
      <c r="BP169" s="745"/>
      <c r="BQ169" s="745"/>
      <c r="BR169" s="745"/>
      <c r="BS169" s="747"/>
      <c r="BT169" s="746"/>
      <c r="BU169" s="745"/>
      <c r="BV169" s="745"/>
      <c r="BW169" s="745"/>
      <c r="BX169" s="747"/>
      <c r="BY169" s="746"/>
      <c r="BZ169" s="745"/>
      <c r="CA169" s="745"/>
      <c r="CB169" s="745"/>
      <c r="CC169" s="747"/>
      <c r="CD169" s="744"/>
      <c r="CE169" s="66"/>
      <c r="CF169" s="66"/>
      <c r="CG169" s="66"/>
      <c r="CH169" s="66"/>
      <c r="CI169" s="66"/>
      <c r="CJ169" s="66"/>
      <c r="CK169" s="66"/>
      <c r="CL169" s="66"/>
      <c r="CM169" s="66"/>
      <c r="CN169" s="66"/>
      <c r="CO169" s="66"/>
      <c r="CP169" s="66"/>
      <c r="CQ169" s="66"/>
      <c r="CR169" s="66"/>
      <c r="CS169" s="66"/>
      <c r="CT169" s="117"/>
      <c r="CU169" s="117"/>
      <c r="CV169" s="117"/>
      <c r="CW169" s="66"/>
      <c r="CX169" s="66"/>
      <c r="CY169" s="117"/>
      <c r="CZ169" s="117"/>
      <c r="DA169" s="117"/>
      <c r="DB169" s="66"/>
      <c r="DC169" s="66"/>
      <c r="DD169" s="117"/>
      <c r="DE169" s="117"/>
      <c r="DF169" s="117"/>
      <c r="DG169" s="117"/>
      <c r="DH169" s="117"/>
      <c r="DI169" s="66"/>
      <c r="DJ169" s="66"/>
      <c r="DK169" s="66"/>
      <c r="DL169" s="66"/>
      <c r="DM169" s="66"/>
      <c r="DN169" s="66"/>
      <c r="DO169" s="66"/>
      <c r="DP169" s="66"/>
      <c r="DQ169" s="66"/>
      <c r="DR169" s="66"/>
      <c r="DS169" s="66"/>
      <c r="DT169" s="66"/>
      <c r="DU169" s="66"/>
      <c r="DV169" s="66"/>
      <c r="DW169" s="66"/>
    </row>
    <row r="170" spans="1:127" ht="12.75" hidden="1" customHeight="1" outlineLevel="1">
      <c r="A170" s="598" t="s">
        <v>196</v>
      </c>
      <c r="AM170" s="68"/>
      <c r="AZ170" s="95"/>
      <c r="BE170" s="744">
        <v>14.225</v>
      </c>
      <c r="BF170" s="180"/>
      <c r="BG170" s="180"/>
      <c r="BH170" s="180"/>
      <c r="BI170" s="180"/>
      <c r="BJ170" s="744">
        <v>0.95799999999999996</v>
      </c>
      <c r="BK170" s="745">
        <v>0.97199999999999998</v>
      </c>
      <c r="BL170" s="745">
        <v>0.22900000000000001</v>
      </c>
      <c r="BM170" s="745">
        <v>0.154</v>
      </c>
      <c r="BN170" s="745">
        <v>0</v>
      </c>
      <c r="BO170" s="744">
        <v>0</v>
      </c>
      <c r="BP170" s="745"/>
      <c r="BQ170" s="745"/>
      <c r="BR170" s="745"/>
      <c r="BS170" s="745"/>
      <c r="BT170" s="746"/>
      <c r="BU170" s="745"/>
      <c r="BV170" s="745"/>
      <c r="BW170" s="745"/>
      <c r="BX170" s="745"/>
      <c r="BY170" s="746"/>
      <c r="BZ170" s="745"/>
      <c r="CA170" s="745"/>
      <c r="CB170" s="745"/>
      <c r="CC170" s="745"/>
      <c r="CD170" s="744"/>
      <c r="CE170" s="66"/>
      <c r="CF170" s="66"/>
      <c r="CG170" s="66"/>
      <c r="CH170" s="66"/>
      <c r="CI170" s="66"/>
      <c r="CJ170" s="66"/>
      <c r="CK170" s="66"/>
      <c r="CL170" s="66"/>
      <c r="CM170" s="66"/>
      <c r="CN170" s="66"/>
      <c r="CO170" s="66"/>
      <c r="CP170" s="66"/>
      <c r="CQ170" s="66"/>
      <c r="CR170" s="66"/>
      <c r="CS170" s="66"/>
      <c r="CT170" s="117"/>
      <c r="CU170" s="117"/>
      <c r="CV170" s="117"/>
      <c r="CW170" s="66"/>
      <c r="CX170" s="66"/>
      <c r="CY170" s="117"/>
      <c r="CZ170" s="117"/>
      <c r="DA170" s="117"/>
      <c r="DB170" s="66"/>
      <c r="DC170" s="66"/>
      <c r="DD170" s="117"/>
      <c r="DE170" s="117"/>
      <c r="DF170" s="117"/>
      <c r="DG170" s="117"/>
      <c r="DH170" s="117"/>
      <c r="DI170" s="66"/>
      <c r="DJ170" s="66"/>
      <c r="DK170" s="66"/>
      <c r="DL170" s="66"/>
      <c r="DM170" s="66"/>
      <c r="DN170" s="66"/>
      <c r="DO170" s="66"/>
      <c r="DP170" s="66"/>
      <c r="DQ170" s="66"/>
      <c r="DR170" s="66"/>
      <c r="DS170" s="66"/>
      <c r="DT170" s="66"/>
      <c r="DU170" s="66"/>
      <c r="DV170" s="66"/>
      <c r="DW170" s="66"/>
    </row>
    <row r="171" spans="1:127" ht="12.75" hidden="1" customHeight="1" outlineLevel="1">
      <c r="A171" s="597" t="s">
        <v>205</v>
      </c>
      <c r="AM171" s="68"/>
      <c r="AZ171" s="95"/>
      <c r="BE171" s="739"/>
      <c r="BF171" s="176"/>
      <c r="BG171" s="176"/>
      <c r="BH171" s="176"/>
      <c r="BI171" s="179"/>
      <c r="BJ171" s="739"/>
      <c r="BK171" s="740"/>
      <c r="BL171" s="740"/>
      <c r="BM171" s="740"/>
      <c r="BN171" s="741"/>
      <c r="BO171" s="739"/>
      <c r="BP171" s="740"/>
      <c r="BQ171" s="740"/>
      <c r="BR171" s="740"/>
      <c r="BS171" s="741"/>
      <c r="BT171" s="742"/>
      <c r="BU171" s="740"/>
      <c r="BV171" s="740"/>
      <c r="BW171" s="740"/>
      <c r="BX171" s="741"/>
      <c r="BY171" s="742"/>
      <c r="BZ171" s="740"/>
      <c r="CA171" s="740"/>
      <c r="CB171" s="740"/>
      <c r="CC171" s="741"/>
      <c r="CD171" s="739"/>
      <c r="CE171" s="66"/>
      <c r="CF171" s="66"/>
      <c r="CG171" s="66"/>
      <c r="CH171" s="66"/>
      <c r="CI171" s="66"/>
      <c r="CJ171" s="66"/>
      <c r="CK171" s="66"/>
      <c r="CL171" s="66"/>
      <c r="CM171" s="66"/>
      <c r="CN171" s="66"/>
      <c r="CO171" s="66"/>
      <c r="CP171" s="66"/>
      <c r="CQ171" s="66"/>
      <c r="CR171" s="66"/>
      <c r="CS171" s="66"/>
      <c r="CT171" s="117"/>
      <c r="CU171" s="117"/>
      <c r="CV171" s="117"/>
      <c r="CW171" s="66"/>
      <c r="CX171" s="66"/>
      <c r="CY171" s="117"/>
      <c r="CZ171" s="117"/>
      <c r="DA171" s="117"/>
      <c r="DB171" s="66"/>
      <c r="DC171" s="66"/>
      <c r="DD171" s="117"/>
      <c r="DE171" s="117"/>
      <c r="DF171" s="117"/>
      <c r="DG171" s="117"/>
      <c r="DH171" s="117"/>
      <c r="DI171" s="66"/>
      <c r="DJ171" s="66"/>
      <c r="DK171" s="66"/>
      <c r="DL171" s="66"/>
      <c r="DM171" s="66"/>
      <c r="DN171" s="66"/>
      <c r="DO171" s="66"/>
      <c r="DP171" s="66"/>
      <c r="DQ171" s="66"/>
      <c r="DR171" s="66"/>
      <c r="DS171" s="66"/>
      <c r="DT171" s="66"/>
      <c r="DU171" s="66"/>
      <c r="DV171" s="66"/>
      <c r="DW171" s="66"/>
    </row>
    <row r="172" spans="1:127" ht="12.75" hidden="1" customHeight="1" outlineLevel="1">
      <c r="A172" s="743" t="s">
        <v>198</v>
      </c>
      <c r="AM172" s="68"/>
      <c r="AZ172" s="95"/>
      <c r="BE172" s="744">
        <v>2.9550000000000001</v>
      </c>
      <c r="BF172" s="180"/>
      <c r="BG172" s="180"/>
      <c r="BH172" s="180"/>
      <c r="BI172" s="180"/>
      <c r="BJ172" s="744">
        <v>2.9550000000000001</v>
      </c>
      <c r="BK172" s="745">
        <v>2.9550000000000001</v>
      </c>
      <c r="BL172" s="745">
        <v>2.9550000000000001</v>
      </c>
      <c r="BM172" s="745">
        <v>2.9550000000000001</v>
      </c>
      <c r="BN172" s="745">
        <v>47.042000000000002</v>
      </c>
      <c r="BO172" s="744">
        <v>47.042000000000002</v>
      </c>
      <c r="BP172" s="745"/>
      <c r="BQ172" s="745"/>
      <c r="BR172" s="745"/>
      <c r="BS172" s="745"/>
      <c r="BT172" s="746"/>
      <c r="BU172" s="745"/>
      <c r="BV172" s="745"/>
      <c r="BW172" s="745"/>
      <c r="BX172" s="745"/>
      <c r="BY172" s="746"/>
      <c r="BZ172" s="745"/>
      <c r="CA172" s="745"/>
      <c r="CB172" s="745"/>
      <c r="CC172" s="745"/>
      <c r="CD172" s="744"/>
      <c r="CE172" s="66"/>
      <c r="CF172" s="66"/>
      <c r="CG172" s="66"/>
      <c r="CH172" s="66"/>
      <c r="CI172" s="66"/>
      <c r="CJ172" s="66"/>
      <c r="CK172" s="66"/>
      <c r="CL172" s="66"/>
      <c r="CM172" s="66"/>
      <c r="CN172" s="66"/>
      <c r="CO172" s="66"/>
      <c r="CP172" s="66"/>
      <c r="CQ172" s="66"/>
      <c r="CR172" s="66"/>
      <c r="CS172" s="66"/>
      <c r="CT172" s="117"/>
      <c r="CU172" s="117"/>
      <c r="CV172" s="117"/>
      <c r="CW172" s="66"/>
      <c r="CX172" s="66"/>
      <c r="CY172" s="117"/>
      <c r="CZ172" s="117"/>
      <c r="DA172" s="117"/>
      <c r="DB172" s="66"/>
      <c r="DC172" s="66"/>
      <c r="DD172" s="117"/>
      <c r="DE172" s="117"/>
      <c r="DF172" s="117"/>
      <c r="DG172" s="117"/>
      <c r="DH172" s="117"/>
      <c r="DI172" s="66"/>
      <c r="DJ172" s="66"/>
      <c r="DK172" s="66"/>
      <c r="DL172" s="66"/>
      <c r="DM172" s="66"/>
      <c r="DN172" s="66"/>
      <c r="DO172" s="66"/>
      <c r="DP172" s="66"/>
      <c r="DQ172" s="66"/>
      <c r="DR172" s="66"/>
      <c r="DS172" s="66"/>
      <c r="DT172" s="66"/>
      <c r="DU172" s="66"/>
      <c r="DV172" s="66"/>
      <c r="DW172" s="66"/>
    </row>
    <row r="173" spans="1:127" ht="12.75" hidden="1" customHeight="1" outlineLevel="1">
      <c r="A173" s="743" t="s">
        <v>199</v>
      </c>
      <c r="AM173" s="68"/>
      <c r="AZ173" s="95"/>
      <c r="BE173" s="744">
        <v>6.3659999999999997</v>
      </c>
      <c r="BF173" s="180"/>
      <c r="BG173" s="180"/>
      <c r="BH173" s="180"/>
      <c r="BI173" s="183"/>
      <c r="BJ173" s="744">
        <v>6.4020000000000001</v>
      </c>
      <c r="BK173" s="745">
        <v>6.4039999999999999</v>
      </c>
      <c r="BL173" s="745">
        <v>6.41</v>
      </c>
      <c r="BM173" s="745">
        <v>6.41</v>
      </c>
      <c r="BN173" s="747">
        <v>0</v>
      </c>
      <c r="BO173" s="744">
        <v>0</v>
      </c>
      <c r="BP173" s="745"/>
      <c r="BQ173" s="745"/>
      <c r="BR173" s="745"/>
      <c r="BS173" s="747"/>
      <c r="BT173" s="746"/>
      <c r="BU173" s="745"/>
      <c r="BV173" s="745"/>
      <c r="BW173" s="745"/>
      <c r="BX173" s="747"/>
      <c r="BY173" s="746"/>
      <c r="BZ173" s="745"/>
      <c r="CA173" s="745"/>
      <c r="CB173" s="745"/>
      <c r="CC173" s="747"/>
      <c r="CD173" s="744"/>
      <c r="CE173" s="66"/>
      <c r="CF173" s="66"/>
      <c r="CG173" s="66"/>
      <c r="CH173" s="66"/>
      <c r="CI173" s="66"/>
      <c r="CJ173" s="66"/>
      <c r="CK173" s="66"/>
      <c r="CL173" s="66"/>
      <c r="CM173" s="66"/>
      <c r="CN173" s="66"/>
      <c r="CO173" s="66"/>
      <c r="CP173" s="66"/>
      <c r="CQ173" s="66"/>
      <c r="CR173" s="66"/>
      <c r="CS173" s="66"/>
      <c r="CT173" s="117"/>
      <c r="CU173" s="117"/>
      <c r="CV173" s="117"/>
      <c r="CW173" s="66"/>
      <c r="CX173" s="66"/>
      <c r="CY173" s="117"/>
      <c r="CZ173" s="117"/>
      <c r="DA173" s="117"/>
      <c r="DB173" s="66"/>
      <c r="DC173" s="66"/>
      <c r="DD173" s="117"/>
      <c r="DE173" s="117"/>
      <c r="DF173" s="117"/>
      <c r="DG173" s="117"/>
      <c r="DH173" s="117"/>
      <c r="DI173" s="66"/>
      <c r="DJ173" s="66"/>
      <c r="DK173" s="66"/>
      <c r="DL173" s="66"/>
      <c r="DM173" s="66"/>
      <c r="DN173" s="66"/>
      <c r="DO173" s="66"/>
      <c r="DP173" s="66"/>
      <c r="DQ173" s="66"/>
      <c r="DR173" s="66"/>
      <c r="DS173" s="66"/>
      <c r="DT173" s="66"/>
      <c r="DU173" s="66"/>
      <c r="DV173" s="66"/>
      <c r="DW173" s="66"/>
    </row>
    <row r="174" spans="1:127" ht="12.75" hidden="1" customHeight="1" outlineLevel="1">
      <c r="A174" s="743" t="s">
        <v>200</v>
      </c>
      <c r="AM174" s="68"/>
      <c r="AZ174" s="95"/>
      <c r="BE174" s="744">
        <v>311.60899999999998</v>
      </c>
      <c r="BF174" s="180"/>
      <c r="BG174" s="180"/>
      <c r="BH174" s="180"/>
      <c r="BI174" s="180"/>
      <c r="BJ174" s="744">
        <v>291.12200000000001</v>
      </c>
      <c r="BK174" s="745">
        <v>292.74200000000002</v>
      </c>
      <c r="BL174" s="745">
        <v>290.19900000000001</v>
      </c>
      <c r="BM174" s="745">
        <v>291.33100000000002</v>
      </c>
      <c r="BN174" s="745">
        <v>2752.9870000000001</v>
      </c>
      <c r="BO174" s="744">
        <v>2752.9870000000001</v>
      </c>
      <c r="BP174" s="745"/>
      <c r="BQ174" s="745"/>
      <c r="BR174" s="745"/>
      <c r="BS174" s="745"/>
      <c r="BT174" s="746"/>
      <c r="BU174" s="745"/>
      <c r="BV174" s="745"/>
      <c r="BW174" s="745"/>
      <c r="BX174" s="745"/>
      <c r="BY174" s="746"/>
      <c r="BZ174" s="745"/>
      <c r="CA174" s="745"/>
      <c r="CB174" s="745"/>
      <c r="CC174" s="745"/>
      <c r="CD174" s="744"/>
      <c r="CE174" s="66"/>
      <c r="CF174" s="66"/>
      <c r="CG174" s="66"/>
      <c r="CH174" s="66"/>
      <c r="CI174" s="66"/>
      <c r="CJ174" s="66"/>
      <c r="CK174" s="66"/>
      <c r="CL174" s="66"/>
      <c r="CM174" s="66"/>
      <c r="CN174" s="66"/>
      <c r="CO174" s="66"/>
      <c r="CP174" s="66"/>
      <c r="CQ174" s="66"/>
      <c r="CR174" s="66"/>
      <c r="CS174" s="66"/>
      <c r="CT174" s="117"/>
      <c r="CU174" s="117"/>
      <c r="CV174" s="117"/>
      <c r="CW174" s="66"/>
      <c r="CX174" s="66"/>
      <c r="CY174" s="117"/>
      <c r="CZ174" s="117"/>
      <c r="DA174" s="117"/>
      <c r="DB174" s="66"/>
      <c r="DC174" s="66"/>
      <c r="DD174" s="117"/>
      <c r="DE174" s="117"/>
      <c r="DF174" s="117"/>
      <c r="DG174" s="117"/>
      <c r="DH174" s="117"/>
      <c r="DI174" s="66"/>
      <c r="DJ174" s="66"/>
      <c r="DK174" s="66"/>
      <c r="DL174" s="66"/>
      <c r="DM174" s="66"/>
      <c r="DN174" s="66"/>
      <c r="DO174" s="66"/>
      <c r="DP174" s="66"/>
      <c r="DQ174" s="66"/>
      <c r="DR174" s="66"/>
      <c r="DS174" s="66"/>
      <c r="DT174" s="66"/>
      <c r="DU174" s="66"/>
      <c r="DV174" s="66"/>
      <c r="DW174" s="66"/>
    </row>
    <row r="175" spans="1:127" ht="12.75" hidden="1" customHeight="1" outlineLevel="1">
      <c r="A175" s="743" t="s">
        <v>78</v>
      </c>
      <c r="AM175" s="68"/>
      <c r="AZ175" s="95"/>
      <c r="BE175" s="744">
        <v>185.726</v>
      </c>
      <c r="BF175" s="180"/>
      <c r="BG175" s="180"/>
      <c r="BH175" s="180"/>
      <c r="BI175" s="183"/>
      <c r="BJ175" s="744">
        <v>167.267</v>
      </c>
      <c r="BK175" s="745">
        <v>77.269000000000005</v>
      </c>
      <c r="BL175" s="745">
        <v>62.305</v>
      </c>
      <c r="BM175" s="745">
        <v>42.715000000000003</v>
      </c>
      <c r="BN175" s="747">
        <v>-357.541</v>
      </c>
      <c r="BO175" s="744">
        <v>-357.541</v>
      </c>
      <c r="BP175" s="745"/>
      <c r="BQ175" s="745"/>
      <c r="BR175" s="745"/>
      <c r="BS175" s="747"/>
      <c r="BT175" s="746"/>
      <c r="BU175" s="745"/>
      <c r="BV175" s="745"/>
      <c r="BW175" s="745"/>
      <c r="BX175" s="747"/>
      <c r="BY175" s="746"/>
      <c r="BZ175" s="745"/>
      <c r="CA175" s="745"/>
      <c r="CB175" s="745"/>
      <c r="CC175" s="747"/>
      <c r="CD175" s="744"/>
      <c r="CE175" s="66"/>
      <c r="CF175" s="66"/>
      <c r="CG175" s="66"/>
      <c r="CH175" s="66"/>
      <c r="CI175" s="66"/>
      <c r="CJ175" s="66"/>
      <c r="CK175" s="66"/>
      <c r="CL175" s="66"/>
      <c r="CM175" s="66"/>
      <c r="CN175" s="66"/>
      <c r="CO175" s="66"/>
      <c r="CP175" s="66"/>
      <c r="CQ175" s="66"/>
      <c r="CR175" s="66"/>
      <c r="CS175" s="66"/>
      <c r="CT175" s="117"/>
      <c r="CU175" s="117"/>
      <c r="CV175" s="117"/>
      <c r="CW175" s="66"/>
      <c r="CX175" s="66"/>
      <c r="CY175" s="117"/>
      <c r="CZ175" s="117"/>
      <c r="DA175" s="117"/>
      <c r="DB175" s="66"/>
      <c r="DC175" s="66"/>
      <c r="DD175" s="117"/>
      <c r="DE175" s="117"/>
      <c r="DF175" s="117"/>
      <c r="DG175" s="117"/>
      <c r="DH175" s="117"/>
      <c r="DI175" s="66"/>
      <c r="DJ175" s="66"/>
      <c r="DK175" s="66"/>
      <c r="DL175" s="66"/>
      <c r="DM175" s="66"/>
      <c r="DN175" s="66"/>
      <c r="DO175" s="66"/>
      <c r="DP175" s="66"/>
      <c r="DQ175" s="66"/>
      <c r="DR175" s="66"/>
      <c r="DS175" s="66"/>
      <c r="DT175" s="66"/>
      <c r="DU175" s="66"/>
      <c r="DV175" s="66"/>
      <c r="DW175" s="66"/>
    </row>
    <row r="176" spans="1:127" ht="12.75" hidden="1" customHeight="1" outlineLevel="1">
      <c r="A176" s="743" t="s">
        <v>295</v>
      </c>
      <c r="AM176" s="68"/>
      <c r="AZ176" s="95"/>
      <c r="BE176" s="744">
        <v>-43.695</v>
      </c>
      <c r="BF176" s="180"/>
      <c r="BG176" s="180"/>
      <c r="BH176" s="180"/>
      <c r="BI176" s="180"/>
      <c r="BJ176" s="744">
        <v>-16.774000000000001</v>
      </c>
      <c r="BK176" s="745">
        <v>-16.817</v>
      </c>
      <c r="BL176" s="745">
        <v>-13.236000000000001</v>
      </c>
      <c r="BM176" s="745">
        <v>-13.18</v>
      </c>
      <c r="BN176" s="745">
        <v>-15.944000000000001</v>
      </c>
      <c r="BO176" s="744">
        <v>-15.944000000000001</v>
      </c>
      <c r="BP176" s="745"/>
      <c r="BQ176" s="745"/>
      <c r="BR176" s="745"/>
      <c r="BS176" s="745"/>
      <c r="BT176" s="746"/>
      <c r="BU176" s="745"/>
      <c r="BV176" s="745"/>
      <c r="BW176" s="745"/>
      <c r="BX176" s="745"/>
      <c r="BY176" s="746"/>
      <c r="BZ176" s="745"/>
      <c r="CA176" s="745"/>
      <c r="CB176" s="745"/>
      <c r="CC176" s="745"/>
      <c r="CD176" s="744"/>
      <c r="CE176" s="66"/>
      <c r="CF176" s="66"/>
      <c r="CG176" s="66"/>
      <c r="CH176" s="66"/>
      <c r="CI176" s="66"/>
      <c r="CJ176" s="66"/>
      <c r="CK176" s="66"/>
      <c r="CL176" s="66"/>
      <c r="CM176" s="66"/>
      <c r="CN176" s="66"/>
      <c r="CO176" s="66"/>
      <c r="CP176" s="66"/>
      <c r="CQ176" s="66"/>
      <c r="CR176" s="66"/>
      <c r="CS176" s="66"/>
      <c r="CT176" s="117"/>
      <c r="CU176" s="117"/>
      <c r="CV176" s="117"/>
      <c r="CW176" s="66"/>
      <c r="CX176" s="66"/>
      <c r="CY176" s="117"/>
      <c r="CZ176" s="117"/>
      <c r="DA176" s="117"/>
      <c r="DB176" s="66"/>
      <c r="DC176" s="66"/>
      <c r="DD176" s="117"/>
      <c r="DE176" s="117"/>
      <c r="DF176" s="117"/>
      <c r="DG176" s="117"/>
      <c r="DH176" s="117"/>
      <c r="DI176" s="66"/>
      <c r="DJ176" s="66"/>
      <c r="DK176" s="66"/>
      <c r="DL176" s="66"/>
      <c r="DM176" s="66"/>
      <c r="DN176" s="66"/>
      <c r="DO176" s="66"/>
      <c r="DP176" s="66"/>
      <c r="DQ176" s="66"/>
      <c r="DR176" s="66"/>
      <c r="DS176" s="66"/>
      <c r="DT176" s="66"/>
      <c r="DU176" s="66"/>
      <c r="DV176" s="66"/>
      <c r="DW176" s="66"/>
    </row>
    <row r="177" spans="1:127" ht="12.75" hidden="1" customHeight="1" outlineLevel="1">
      <c r="A177" s="743" t="s">
        <v>206</v>
      </c>
      <c r="AM177" s="68"/>
      <c r="AZ177" s="95"/>
      <c r="BE177" s="744">
        <v>14.852</v>
      </c>
      <c r="BF177" s="180"/>
      <c r="BG177" s="180"/>
      <c r="BH177" s="180"/>
      <c r="BI177" s="183"/>
      <c r="BJ177" s="744">
        <v>-2.0979999999999999</v>
      </c>
      <c r="BK177" s="745">
        <v>1.0329999999999999</v>
      </c>
      <c r="BL177" s="745">
        <v>1.0409999999999999</v>
      </c>
      <c r="BM177" s="745">
        <v>4.0039999999999996</v>
      </c>
      <c r="BN177" s="747">
        <v>-43.253</v>
      </c>
      <c r="BO177" s="744">
        <v>-43.253</v>
      </c>
      <c r="BP177" s="745"/>
      <c r="BQ177" s="745"/>
      <c r="BR177" s="745"/>
      <c r="BS177" s="747"/>
      <c r="BT177" s="746"/>
      <c r="BU177" s="745"/>
      <c r="BV177" s="745"/>
      <c r="BW177" s="745"/>
      <c r="BX177" s="747"/>
      <c r="BY177" s="746"/>
      <c r="BZ177" s="745"/>
      <c r="CA177" s="745"/>
      <c r="CB177" s="745"/>
      <c r="CC177" s="747"/>
      <c r="CD177" s="744"/>
      <c r="CE177" s="66"/>
      <c r="CF177" s="66"/>
      <c r="CG177" s="66"/>
      <c r="CH177" s="66"/>
      <c r="CI177" s="66"/>
      <c r="CJ177" s="66"/>
      <c r="CK177" s="66"/>
      <c r="CL177" s="66"/>
      <c r="CM177" s="66"/>
      <c r="CN177" s="66"/>
      <c r="CO177" s="66"/>
      <c r="CP177" s="66"/>
      <c r="CQ177" s="66"/>
      <c r="CR177" s="66"/>
      <c r="CS177" s="66"/>
      <c r="CT177" s="117"/>
      <c r="CU177" s="117"/>
      <c r="CV177" s="117"/>
      <c r="CW177" s="66"/>
      <c r="CX177" s="66"/>
      <c r="CY177" s="117"/>
      <c r="CZ177" s="117"/>
      <c r="DA177" s="117"/>
      <c r="DB177" s="66"/>
      <c r="DC177" s="66"/>
      <c r="DD177" s="117"/>
      <c r="DE177" s="117"/>
      <c r="DF177" s="117"/>
      <c r="DG177" s="117"/>
      <c r="DH177" s="117"/>
      <c r="DI177" s="66"/>
      <c r="DJ177" s="66"/>
      <c r="DK177" s="66"/>
      <c r="DL177" s="66"/>
      <c r="DM177" s="66"/>
      <c r="DN177" s="66"/>
      <c r="DO177" s="66"/>
      <c r="DP177" s="66"/>
      <c r="DQ177" s="66"/>
      <c r="DR177" s="66"/>
      <c r="DS177" s="66"/>
      <c r="DT177" s="66"/>
      <c r="DU177" s="66"/>
      <c r="DV177" s="66"/>
      <c r="DW177" s="66"/>
    </row>
    <row r="178" spans="1:127" ht="12.75" hidden="1" customHeight="1" outlineLevel="1">
      <c r="A178" s="749" t="s">
        <v>207</v>
      </c>
      <c r="AM178" s="68"/>
      <c r="AZ178" s="95"/>
      <c r="BE178" s="739">
        <f>SUM(BE172:BE177)</f>
        <v>477.81299999999999</v>
      </c>
      <c r="BF178" s="176"/>
      <c r="BG178" s="176"/>
      <c r="BH178" s="176"/>
      <c r="BI178" s="176"/>
      <c r="BJ178" s="739">
        <f>SUM(BJ172:BJ177)</f>
        <v>448.87400000000002</v>
      </c>
      <c r="BK178" s="740">
        <f t="shared" ref="BK178:CD178" si="185">SUM(BK172:BK177)</f>
        <v>363.58600000000001</v>
      </c>
      <c r="BL178" s="740">
        <f t="shared" si="185"/>
        <v>349.67400000000004</v>
      </c>
      <c r="BM178" s="740">
        <f t="shared" si="185"/>
        <v>334.23500000000007</v>
      </c>
      <c r="BN178" s="740">
        <f t="shared" si="185"/>
        <v>2383.2909999999997</v>
      </c>
      <c r="BO178" s="739">
        <f t="shared" si="185"/>
        <v>2383.2909999999997</v>
      </c>
      <c r="BP178" s="740">
        <f t="shared" si="185"/>
        <v>0</v>
      </c>
      <c r="BQ178" s="740">
        <f t="shared" si="185"/>
        <v>0</v>
      </c>
      <c r="BR178" s="740">
        <f t="shared" si="185"/>
        <v>0</v>
      </c>
      <c r="BS178" s="740">
        <f t="shared" si="185"/>
        <v>0</v>
      </c>
      <c r="BT178" s="742">
        <f t="shared" si="185"/>
        <v>0</v>
      </c>
      <c r="BU178" s="740">
        <f t="shared" si="185"/>
        <v>0</v>
      </c>
      <c r="BV178" s="740">
        <f t="shared" si="185"/>
        <v>0</v>
      </c>
      <c r="BW178" s="740">
        <f t="shared" si="185"/>
        <v>0</v>
      </c>
      <c r="BX178" s="740">
        <f t="shared" si="185"/>
        <v>0</v>
      </c>
      <c r="BY178" s="742">
        <f t="shared" si="185"/>
        <v>0</v>
      </c>
      <c r="BZ178" s="740">
        <f t="shared" si="185"/>
        <v>0</v>
      </c>
      <c r="CA178" s="740">
        <f t="shared" si="185"/>
        <v>0</v>
      </c>
      <c r="CB178" s="740">
        <f t="shared" si="185"/>
        <v>0</v>
      </c>
      <c r="CC178" s="740">
        <f t="shared" si="185"/>
        <v>0</v>
      </c>
      <c r="CD178" s="739">
        <f t="shared" si="185"/>
        <v>0</v>
      </c>
      <c r="CE178" s="66"/>
      <c r="CF178" s="66"/>
      <c r="CG178" s="66"/>
      <c r="CH178" s="66"/>
      <c r="CI178" s="66"/>
      <c r="CJ178" s="66"/>
      <c r="CK178" s="66"/>
      <c r="CL178" s="66"/>
      <c r="CM178" s="66"/>
      <c r="CN178" s="66"/>
      <c r="CO178" s="66"/>
      <c r="CP178" s="66"/>
      <c r="CQ178" s="66"/>
      <c r="CR178" s="66"/>
      <c r="CS178" s="66"/>
      <c r="CT178" s="117"/>
      <c r="CU178" s="117"/>
      <c r="CV178" s="117"/>
      <c r="CW178" s="66"/>
      <c r="CX178" s="66"/>
      <c r="CY178" s="117"/>
      <c r="CZ178" s="117"/>
      <c r="DA178" s="117"/>
      <c r="DB178" s="66"/>
      <c r="DC178" s="66"/>
      <c r="DD178" s="117"/>
      <c r="DE178" s="117"/>
      <c r="DF178" s="117"/>
      <c r="DG178" s="117"/>
      <c r="DH178" s="117"/>
      <c r="DI178" s="66"/>
      <c r="DJ178" s="66"/>
      <c r="DK178" s="66"/>
      <c r="DL178" s="66"/>
      <c r="DM178" s="66"/>
      <c r="DN178" s="66"/>
      <c r="DO178" s="66"/>
      <c r="DP178" s="66"/>
      <c r="DQ178" s="66"/>
      <c r="DR178" s="66"/>
      <c r="DS178" s="66"/>
      <c r="DT178" s="66"/>
      <c r="DU178" s="66"/>
      <c r="DV178" s="66"/>
      <c r="DW178" s="66"/>
    </row>
    <row r="179" spans="1:127" ht="12.75" hidden="1" customHeight="1" outlineLevel="1">
      <c r="A179" s="597" t="s">
        <v>294</v>
      </c>
      <c r="AM179" s="68"/>
      <c r="AZ179" s="95"/>
      <c r="BE179" s="739">
        <f>BE178+SUM(BE164:BE170)</f>
        <v>1560.4490000000001</v>
      </c>
      <c r="BF179" s="176"/>
      <c r="BG179" s="176"/>
      <c r="BH179" s="176"/>
      <c r="BI179" s="179"/>
      <c r="BJ179" s="739">
        <f>BJ178+SUM(BJ164:BJ170)</f>
        <v>1454.567</v>
      </c>
      <c r="BK179" s="740">
        <f t="shared" ref="BK179:CD179" si="186">BK178+SUM(BK164:BK170)</f>
        <v>1405.412</v>
      </c>
      <c r="BL179" s="740">
        <f t="shared" si="186"/>
        <v>1355.9350000000002</v>
      </c>
      <c r="BM179" s="740">
        <f t="shared" si="186"/>
        <v>1322.17</v>
      </c>
      <c r="BN179" s="741">
        <f t="shared" si="186"/>
        <v>4645.62</v>
      </c>
      <c r="BO179" s="739">
        <f t="shared" si="186"/>
        <v>4645.62</v>
      </c>
      <c r="BP179" s="740">
        <f t="shared" si="186"/>
        <v>0</v>
      </c>
      <c r="BQ179" s="740">
        <f t="shared" si="186"/>
        <v>0</v>
      </c>
      <c r="BR179" s="740">
        <f t="shared" si="186"/>
        <v>0</v>
      </c>
      <c r="BS179" s="741">
        <f t="shared" si="186"/>
        <v>0</v>
      </c>
      <c r="BT179" s="742">
        <f t="shared" si="186"/>
        <v>0</v>
      </c>
      <c r="BU179" s="740">
        <f t="shared" si="186"/>
        <v>0</v>
      </c>
      <c r="BV179" s="740">
        <f t="shared" si="186"/>
        <v>0</v>
      </c>
      <c r="BW179" s="740">
        <f t="shared" si="186"/>
        <v>0</v>
      </c>
      <c r="BX179" s="741">
        <f t="shared" si="186"/>
        <v>0</v>
      </c>
      <c r="BY179" s="742">
        <f t="shared" si="186"/>
        <v>0</v>
      </c>
      <c r="BZ179" s="740">
        <f t="shared" si="186"/>
        <v>0</v>
      </c>
      <c r="CA179" s="740">
        <f t="shared" si="186"/>
        <v>0</v>
      </c>
      <c r="CB179" s="740">
        <f t="shared" si="186"/>
        <v>0</v>
      </c>
      <c r="CC179" s="741">
        <f t="shared" si="186"/>
        <v>0</v>
      </c>
      <c r="CD179" s="739">
        <f t="shared" si="186"/>
        <v>0</v>
      </c>
      <c r="CE179" s="66"/>
      <c r="CF179" s="66"/>
      <c r="CG179" s="66"/>
      <c r="CH179" s="66"/>
      <c r="CI179" s="66"/>
      <c r="CJ179" s="66"/>
      <c r="CK179" s="66"/>
      <c r="CL179" s="66"/>
      <c r="CM179" s="66"/>
      <c r="CN179" s="66"/>
      <c r="CO179" s="66"/>
      <c r="CP179" s="66"/>
      <c r="CQ179" s="66"/>
      <c r="CR179" s="66"/>
      <c r="CS179" s="66"/>
      <c r="CT179" s="117"/>
      <c r="CU179" s="117"/>
      <c r="CV179" s="117"/>
      <c r="CW179" s="66"/>
      <c r="CX179" s="66"/>
      <c r="CY179" s="117"/>
      <c r="CZ179" s="117"/>
      <c r="DA179" s="117"/>
      <c r="DB179" s="66"/>
      <c r="DC179" s="66"/>
      <c r="DD179" s="117"/>
      <c r="DE179" s="117"/>
      <c r="DF179" s="117"/>
      <c r="DG179" s="117"/>
      <c r="DH179" s="117"/>
      <c r="DI179" s="66"/>
      <c r="DJ179" s="66"/>
      <c r="DK179" s="66"/>
      <c r="DL179" s="66"/>
      <c r="DM179" s="66"/>
      <c r="DN179" s="66"/>
      <c r="DO179" s="66"/>
      <c r="DP179" s="66"/>
      <c r="DQ179" s="66"/>
      <c r="DR179" s="66"/>
      <c r="DS179" s="66"/>
      <c r="DT179" s="66"/>
      <c r="DU179" s="66"/>
      <c r="DV179" s="66"/>
      <c r="DW179" s="66"/>
    </row>
    <row r="180" spans="1:127" ht="12.75" hidden="1" customHeight="1" outlineLevel="1">
      <c r="A180" s="655" t="s">
        <v>208</v>
      </c>
      <c r="AM180" s="68"/>
      <c r="AZ180" s="815"/>
      <c r="BE180" s="770">
        <f>BE179-BE155</f>
        <v>0</v>
      </c>
      <c r="BF180" s="656"/>
      <c r="BG180" s="656"/>
      <c r="BH180" s="656"/>
      <c r="BI180" s="656"/>
      <c r="BJ180" s="751">
        <f>BJ179-BJ155</f>
        <v>0</v>
      </c>
      <c r="BK180" s="752">
        <f t="shared" ref="BK180:CD180" si="187">BK179-BK155</f>
        <v>0</v>
      </c>
      <c r="BL180" s="752">
        <f t="shared" si="187"/>
        <v>0</v>
      </c>
      <c r="BM180" s="752">
        <f t="shared" si="187"/>
        <v>0</v>
      </c>
      <c r="BN180" s="752">
        <f t="shared" si="187"/>
        <v>0</v>
      </c>
      <c r="BO180" s="751">
        <f t="shared" si="187"/>
        <v>0</v>
      </c>
      <c r="BP180" s="752">
        <f t="shared" si="187"/>
        <v>0</v>
      </c>
      <c r="BQ180" s="752">
        <f t="shared" si="187"/>
        <v>0</v>
      </c>
      <c r="BR180" s="752">
        <f t="shared" si="187"/>
        <v>0</v>
      </c>
      <c r="BS180" s="752">
        <f t="shared" si="187"/>
        <v>0</v>
      </c>
      <c r="BT180" s="753">
        <f t="shared" si="187"/>
        <v>0</v>
      </c>
      <c r="BU180" s="752">
        <f t="shared" si="187"/>
        <v>0</v>
      </c>
      <c r="BV180" s="752">
        <f t="shared" si="187"/>
        <v>0</v>
      </c>
      <c r="BW180" s="752">
        <f t="shared" si="187"/>
        <v>0</v>
      </c>
      <c r="BX180" s="752">
        <f t="shared" si="187"/>
        <v>0</v>
      </c>
      <c r="BY180" s="753">
        <f t="shared" si="187"/>
        <v>0</v>
      </c>
      <c r="BZ180" s="752">
        <f t="shared" si="187"/>
        <v>0</v>
      </c>
      <c r="CA180" s="752">
        <f t="shared" si="187"/>
        <v>0</v>
      </c>
      <c r="CB180" s="752">
        <f t="shared" si="187"/>
        <v>0</v>
      </c>
      <c r="CC180" s="752">
        <f t="shared" si="187"/>
        <v>0</v>
      </c>
      <c r="CD180" s="751">
        <f t="shared" si="187"/>
        <v>0</v>
      </c>
      <c r="CE180" s="66"/>
      <c r="CF180" s="66"/>
      <c r="CG180" s="66"/>
      <c r="CH180" s="66"/>
      <c r="CI180" s="66"/>
      <c r="CJ180" s="66"/>
      <c r="CK180" s="66"/>
      <c r="CL180" s="66"/>
      <c r="CM180" s="66"/>
      <c r="CN180" s="66"/>
      <c r="CO180" s="66"/>
      <c r="CP180" s="66"/>
      <c r="CQ180" s="66"/>
      <c r="CR180" s="66"/>
      <c r="CS180" s="66"/>
      <c r="CT180" s="117"/>
      <c r="CU180" s="117"/>
      <c r="CV180" s="117"/>
      <c r="CW180" s="66"/>
      <c r="CX180" s="66"/>
      <c r="CY180" s="117"/>
      <c r="CZ180" s="117"/>
      <c r="DA180" s="117"/>
      <c r="DB180" s="66"/>
      <c r="DC180" s="66"/>
      <c r="DD180" s="117"/>
      <c r="DE180" s="117"/>
      <c r="DF180" s="117"/>
      <c r="DG180" s="117"/>
      <c r="DH180" s="117"/>
      <c r="DI180" s="66"/>
      <c r="DJ180" s="66"/>
      <c r="DK180" s="66"/>
      <c r="DL180" s="66"/>
      <c r="DM180" s="66"/>
      <c r="DN180" s="66"/>
      <c r="DO180" s="66"/>
      <c r="DP180" s="66"/>
      <c r="DQ180" s="66"/>
      <c r="DR180" s="66"/>
      <c r="DS180" s="66"/>
      <c r="DT180" s="66"/>
      <c r="DU180" s="66"/>
      <c r="DV180" s="66"/>
      <c r="DW180" s="66"/>
    </row>
    <row r="181" spans="1:127" ht="11.25" hidden="1" customHeight="1" outlineLevel="1">
      <c r="AM181" s="68"/>
    </row>
    <row r="182" spans="1:127" ht="11.25" hidden="1" customHeight="1" outlineLevel="1">
      <c r="AM182" s="68"/>
    </row>
    <row r="183" spans="1:127" ht="11.25" hidden="1" customHeight="1" outlineLevel="1">
      <c r="AM183" s="68"/>
    </row>
    <row r="184" spans="1:127" collapsed="1">
      <c r="AM184" s="68"/>
    </row>
    <row r="185" spans="1:127">
      <c r="AM185" s="68"/>
    </row>
    <row r="186" spans="1:127">
      <c r="AM186" s="68"/>
    </row>
    <row r="187" spans="1:127">
      <c r="A187" s="27" t="s">
        <v>521</v>
      </c>
      <c r="AM187" s="68"/>
      <c r="AZ187" s="563" t="str">
        <f t="shared" ref="AZ187:CE187" si="188">AZ7</f>
        <v>2005A</v>
      </c>
      <c r="BA187" s="563" t="str">
        <f t="shared" si="188"/>
        <v>1Q06A</v>
      </c>
      <c r="BB187" s="563" t="str">
        <f t="shared" si="188"/>
        <v>2Q06A</v>
      </c>
      <c r="BC187" s="563" t="str">
        <f t="shared" si="188"/>
        <v>3Q06A</v>
      </c>
      <c r="BD187" s="563" t="str">
        <f t="shared" si="188"/>
        <v>4Q06A</v>
      </c>
      <c r="BE187" s="647" t="str">
        <f t="shared" si="188"/>
        <v>2006A</v>
      </c>
      <c r="BF187" s="814" t="str">
        <f t="shared" si="188"/>
        <v>1Q07A</v>
      </c>
      <c r="BG187" s="676" t="str">
        <f t="shared" si="188"/>
        <v>2Q07A</v>
      </c>
      <c r="BH187" s="676" t="str">
        <f t="shared" si="188"/>
        <v>3Q07A</v>
      </c>
      <c r="BI187" s="646" t="str">
        <f t="shared" si="188"/>
        <v>4Q07A</v>
      </c>
      <c r="BJ187" s="646" t="str">
        <f t="shared" si="188"/>
        <v>2007A</v>
      </c>
      <c r="BK187" s="1" t="str">
        <f t="shared" si="188"/>
        <v>1Q08A</v>
      </c>
      <c r="BL187" s="1" t="str">
        <f t="shared" si="188"/>
        <v>2Q08A</v>
      </c>
      <c r="BM187" s="1" t="str">
        <f t="shared" si="188"/>
        <v>3Q08A</v>
      </c>
      <c r="BN187" s="590" t="str">
        <f t="shared" si="188"/>
        <v>4Q08A</v>
      </c>
      <c r="BO187" s="590" t="str">
        <f t="shared" si="188"/>
        <v>2008A</v>
      </c>
      <c r="BP187" s="590" t="str">
        <f t="shared" si="188"/>
        <v>1Q09A</v>
      </c>
      <c r="BQ187" s="590" t="str">
        <f t="shared" si="188"/>
        <v>2Q09A</v>
      </c>
      <c r="BR187" s="590" t="str">
        <f t="shared" si="188"/>
        <v>3Q09A</v>
      </c>
      <c r="BS187" s="590" t="str">
        <f t="shared" si="188"/>
        <v>4Q09A</v>
      </c>
      <c r="BT187" s="590" t="str">
        <f t="shared" si="188"/>
        <v>2009A</v>
      </c>
      <c r="BU187" s="590" t="str">
        <f t="shared" si="188"/>
        <v>1Q10A</v>
      </c>
      <c r="BV187" s="590" t="str">
        <f t="shared" si="188"/>
        <v>2Q10A</v>
      </c>
      <c r="BW187" s="940" t="str">
        <f t="shared" si="188"/>
        <v>3Q10A</v>
      </c>
      <c r="BX187" s="590" t="str">
        <f t="shared" si="188"/>
        <v>4Q10A</v>
      </c>
      <c r="BY187" s="590" t="str">
        <f t="shared" si="188"/>
        <v>2010A</v>
      </c>
      <c r="BZ187" s="590" t="str">
        <f t="shared" si="188"/>
        <v>1Q11A</v>
      </c>
      <c r="CA187" s="590" t="str">
        <f t="shared" si="188"/>
        <v>2Q11A</v>
      </c>
      <c r="CB187" s="590" t="str">
        <f t="shared" si="188"/>
        <v>3Q11A</v>
      </c>
      <c r="CC187" s="590" t="str">
        <f t="shared" si="188"/>
        <v>4Q11A</v>
      </c>
      <c r="CD187" s="590" t="str">
        <f t="shared" si="188"/>
        <v>2011A</v>
      </c>
      <c r="CE187" s="590" t="str">
        <f t="shared" si="188"/>
        <v>1Q12A</v>
      </c>
      <c r="CF187" s="590" t="str">
        <f t="shared" ref="CF187:DK187" si="189">CF7</f>
        <v>2Q12A</v>
      </c>
      <c r="CG187" s="590" t="str">
        <f t="shared" si="189"/>
        <v>3Q12A</v>
      </c>
      <c r="CH187" s="590" t="str">
        <f t="shared" si="189"/>
        <v>4Q12A</v>
      </c>
      <c r="CI187" s="767" t="str">
        <f t="shared" si="189"/>
        <v>2012A</v>
      </c>
      <c r="CJ187" s="590" t="str">
        <f t="shared" si="189"/>
        <v>1Q13A</v>
      </c>
      <c r="CK187" s="590" t="str">
        <f t="shared" si="189"/>
        <v>2Q13A</v>
      </c>
      <c r="CL187" s="590" t="str">
        <f t="shared" si="189"/>
        <v>3Q13A</v>
      </c>
      <c r="CM187" s="590" t="str">
        <f t="shared" si="189"/>
        <v>4Q13A</v>
      </c>
      <c r="CN187" s="590" t="str">
        <f t="shared" si="189"/>
        <v>2013A</v>
      </c>
      <c r="CO187" s="590" t="str">
        <f t="shared" si="189"/>
        <v>1Q14A</v>
      </c>
      <c r="CP187" s="590" t="str">
        <f t="shared" si="189"/>
        <v>2Q14A</v>
      </c>
      <c r="CQ187" s="590" t="str">
        <f t="shared" si="189"/>
        <v>3Q14A</v>
      </c>
      <c r="CR187" s="590" t="str">
        <f t="shared" si="189"/>
        <v>4Q14A</v>
      </c>
      <c r="CS187" s="767" t="str">
        <f t="shared" si="189"/>
        <v>2014A</v>
      </c>
      <c r="CT187" s="590" t="str">
        <f t="shared" si="189"/>
        <v>1Q15A</v>
      </c>
      <c r="CU187" s="590" t="str">
        <f t="shared" si="189"/>
        <v>2Q15A</v>
      </c>
      <c r="CV187" s="590" t="str">
        <f t="shared" si="189"/>
        <v>3Q15A</v>
      </c>
      <c r="CW187" s="590" t="str">
        <f t="shared" si="189"/>
        <v>4Q15A</v>
      </c>
      <c r="CX187" s="767" t="str">
        <f t="shared" si="189"/>
        <v>2015A</v>
      </c>
      <c r="CY187" s="590" t="str">
        <f t="shared" si="189"/>
        <v>1Q16A</v>
      </c>
      <c r="CZ187" s="590" t="str">
        <f t="shared" si="189"/>
        <v>2Q16A</v>
      </c>
      <c r="DA187" s="590" t="str">
        <f t="shared" si="189"/>
        <v>3Q16A</v>
      </c>
      <c r="DB187" s="590" t="str">
        <f t="shared" si="189"/>
        <v>4Q16A</v>
      </c>
      <c r="DC187" s="767" t="str">
        <f t="shared" si="189"/>
        <v>2016A</v>
      </c>
      <c r="DD187" s="590" t="str">
        <f t="shared" ref="DD187" si="190">DD7</f>
        <v>1Q17A</v>
      </c>
      <c r="DE187" s="590" t="str">
        <f t="shared" ref="DE187" si="191">DE7</f>
        <v>2Q17A</v>
      </c>
      <c r="DF187" s="590" t="str">
        <f t="shared" si="189"/>
        <v>3Q17A</v>
      </c>
      <c r="DG187" s="590" t="str">
        <f t="shared" si="189"/>
        <v>4Q17A</v>
      </c>
      <c r="DH187" s="767" t="str">
        <f t="shared" si="189"/>
        <v>2017A</v>
      </c>
      <c r="DI187" s="589" t="str">
        <f t="shared" si="189"/>
        <v>1Q18E</v>
      </c>
      <c r="DJ187" s="589" t="str">
        <f t="shared" si="189"/>
        <v>2Q18E</v>
      </c>
      <c r="DK187" s="589" t="str">
        <f t="shared" si="189"/>
        <v>3Q18E</v>
      </c>
      <c r="DL187" s="589" t="str">
        <f t="shared" ref="DL187:DW187" si="192">DL7</f>
        <v>4Q18E</v>
      </c>
      <c r="DM187" s="767" t="str">
        <f t="shared" si="192"/>
        <v>2018E</v>
      </c>
      <c r="DN187" s="589" t="str">
        <f t="shared" si="192"/>
        <v>1Q19E</v>
      </c>
      <c r="DO187" s="589" t="str">
        <f t="shared" si="192"/>
        <v>2Q19E</v>
      </c>
      <c r="DP187" s="589" t="str">
        <f t="shared" si="192"/>
        <v>3Q19E</v>
      </c>
      <c r="DQ187" s="589" t="str">
        <f t="shared" si="192"/>
        <v>4Q19E</v>
      </c>
      <c r="DR187" s="767" t="str">
        <f t="shared" si="192"/>
        <v>2019E</v>
      </c>
      <c r="DS187" s="589" t="str">
        <f t="shared" si="192"/>
        <v>1Q20E</v>
      </c>
      <c r="DT187" s="589" t="str">
        <f t="shared" si="192"/>
        <v>2Q20E</v>
      </c>
      <c r="DU187" s="589" t="str">
        <f t="shared" si="192"/>
        <v>3Q20E</v>
      </c>
      <c r="DV187" s="589" t="str">
        <f t="shared" si="192"/>
        <v>4Q20E</v>
      </c>
      <c r="DW187" s="767" t="str">
        <f t="shared" si="192"/>
        <v>2020E</v>
      </c>
    </row>
    <row r="188" spans="1:127">
      <c r="A188" s="828" t="s">
        <v>147</v>
      </c>
      <c r="AM188" s="68"/>
      <c r="AZ188" s="833"/>
      <c r="BA188" s="834"/>
      <c r="BB188" s="834"/>
      <c r="BC188" s="834"/>
      <c r="BD188" s="834"/>
      <c r="BE188" s="833"/>
      <c r="BF188" s="834"/>
      <c r="BG188" s="834"/>
      <c r="BH188" s="834"/>
      <c r="BI188" s="834"/>
      <c r="BJ188" s="833">
        <f>BE52</f>
        <v>477.81299999999999</v>
      </c>
      <c r="BK188" s="835"/>
      <c r="BL188" s="835"/>
      <c r="BM188" s="835"/>
      <c r="BN188" s="835"/>
      <c r="BO188" s="833">
        <f>BJ52</f>
        <v>448.87400000000002</v>
      </c>
      <c r="BP188" s="834">
        <f>BO52</f>
        <v>2383.2909999999997</v>
      </c>
      <c r="BQ188" s="834">
        <f>BP52</f>
        <v>2374.9319999999998</v>
      </c>
      <c r="BR188" s="834">
        <f>BQ52</f>
        <v>2401.8220000000006</v>
      </c>
      <c r="BS188" s="834">
        <f>BR52</f>
        <v>2399.5060000000003</v>
      </c>
      <c r="BT188" s="833">
        <f>BO52</f>
        <v>2383.2909999999997</v>
      </c>
      <c r="BU188" s="834">
        <f>BT52</f>
        <v>2336.3389999999999</v>
      </c>
      <c r="BV188" s="834">
        <f>BU52</f>
        <v>2261.2460000000001</v>
      </c>
      <c r="BW188" s="958">
        <f>BV52</f>
        <v>2168.4840000000004</v>
      </c>
      <c r="BX188" s="834">
        <f>BW52</f>
        <v>2174.5869999999995</v>
      </c>
      <c r="BY188" s="833">
        <f>BT52</f>
        <v>2336.3389999999999</v>
      </c>
      <c r="BZ188" s="834">
        <f>BY52</f>
        <v>2163.174</v>
      </c>
      <c r="CA188" s="834">
        <f>BZ52</f>
        <v>2167.1129999999994</v>
      </c>
      <c r="CB188" s="834">
        <f>CA52</f>
        <v>2127.422</v>
      </c>
      <c r="CC188" s="834">
        <f>CB52</f>
        <v>1997.3529999999996</v>
      </c>
      <c r="CD188" s="833">
        <f>BY52</f>
        <v>2163.174</v>
      </c>
      <c r="CE188" s="834">
        <f>CD52</f>
        <v>1996.0689999999997</v>
      </c>
      <c r="CF188" s="834">
        <f>CE52</f>
        <v>2007.3410000000001</v>
      </c>
      <c r="CG188" s="834">
        <f>CF52</f>
        <v>1993.5739999999996</v>
      </c>
      <c r="CH188" s="834">
        <f>CG52</f>
        <v>1971.7439999999995</v>
      </c>
      <c r="CI188" s="833">
        <f>CD52</f>
        <v>1996.0689999999997</v>
      </c>
      <c r="CJ188" s="834">
        <f>CI52</f>
        <v>1985.8549999999998</v>
      </c>
      <c r="CK188" s="834">
        <f>CJ52</f>
        <v>1971.4789999999998</v>
      </c>
      <c r="CL188" s="834">
        <f>CK52</f>
        <v>1966.1329999999998</v>
      </c>
      <c r="CM188" s="834">
        <f>CL52</f>
        <v>1923.7219999999998</v>
      </c>
      <c r="CN188" s="833">
        <f>CI52</f>
        <v>1985.8549999999998</v>
      </c>
      <c r="CO188" s="834">
        <f>CN52</f>
        <v>1929.4859999999999</v>
      </c>
      <c r="CP188" s="834">
        <f>CO52</f>
        <v>1723.1540000000002</v>
      </c>
      <c r="CQ188" s="834">
        <f>CP52</f>
        <v>1744.366</v>
      </c>
      <c r="CR188" s="834">
        <f>CQ52</f>
        <v>1728.7150000000001</v>
      </c>
      <c r="CS188" s="833">
        <f>CN52</f>
        <v>1929.4859999999999</v>
      </c>
      <c r="CT188" s="834">
        <f>CS52</f>
        <v>1717.576</v>
      </c>
      <c r="CU188" s="834">
        <f>CT52</f>
        <v>1715.8599999999997</v>
      </c>
      <c r="CV188" s="834">
        <f>CU52</f>
        <v>1738.4259999999999</v>
      </c>
      <c r="CW188" s="834">
        <f>CV52</f>
        <v>705.45699999999988</v>
      </c>
      <c r="CX188" s="833">
        <f>CS52</f>
        <v>1717.576</v>
      </c>
      <c r="CY188" s="834">
        <f>CX52</f>
        <v>752.91399999999987</v>
      </c>
      <c r="CZ188" s="834">
        <f>CY52</f>
        <v>733.58900000000017</v>
      </c>
      <c r="DA188" s="834">
        <f>CZ52</f>
        <v>693.16400000000033</v>
      </c>
      <c r="DB188" s="834">
        <f>DA52</f>
        <v>678.57499999999993</v>
      </c>
      <c r="DC188" s="833">
        <f>CX52</f>
        <v>752.91399999999987</v>
      </c>
      <c r="DD188" s="834">
        <f>DC52</f>
        <v>527.73599999999988</v>
      </c>
      <c r="DE188" s="834">
        <f>DD52</f>
        <v>524.84899999999982</v>
      </c>
      <c r="DF188" s="834">
        <f>DE52</f>
        <v>487.04900000000026</v>
      </c>
      <c r="DG188" s="834">
        <f>DF52</f>
        <v>462.59499999999986</v>
      </c>
      <c r="DH188" s="833">
        <f>DC52</f>
        <v>527.73599999999988</v>
      </c>
      <c r="DI188" s="835">
        <f>DH52</f>
        <v>573.20299999999986</v>
      </c>
      <c r="DJ188" s="835">
        <f>DI52</f>
        <v>540.87472136203849</v>
      </c>
      <c r="DK188" s="835">
        <f>DJ52</f>
        <v>523.43855787835253</v>
      </c>
      <c r="DL188" s="835">
        <f>DK52</f>
        <v>501.10564250087725</v>
      </c>
      <c r="DM188" s="833">
        <f>DH52</f>
        <v>573.20299999999986</v>
      </c>
      <c r="DN188" s="835">
        <f>DM52</f>
        <v>479.49881623247791</v>
      </c>
      <c r="DO188" s="835">
        <f>DN52</f>
        <v>455.66893143634468</v>
      </c>
      <c r="DP188" s="835">
        <f>DO52</f>
        <v>446.35843415292709</v>
      </c>
      <c r="DQ188" s="835">
        <f>DP52</f>
        <v>432.1052632475679</v>
      </c>
      <c r="DR188" s="833">
        <f>DM52</f>
        <v>479.49881623247791</v>
      </c>
      <c r="DS188" s="835">
        <f>DR52</f>
        <v>417.78803075407575</v>
      </c>
      <c r="DT188" s="835">
        <f>DS52</f>
        <v>420.52859717553281</v>
      </c>
      <c r="DU188" s="835">
        <f>DT52</f>
        <v>437.44932572986897</v>
      </c>
      <c r="DV188" s="835">
        <f>DU52</f>
        <v>449.42073458808716</v>
      </c>
      <c r="DW188" s="833">
        <f>DR52</f>
        <v>417.78803075407575</v>
      </c>
    </row>
    <row r="189" spans="1:127">
      <c r="A189" s="829" t="s">
        <v>409</v>
      </c>
      <c r="AM189" s="68"/>
      <c r="AZ189" s="98"/>
      <c r="BA189" s="836"/>
      <c r="BB189" s="836"/>
      <c r="BC189" s="836"/>
      <c r="BD189" s="836"/>
      <c r="BE189" s="98"/>
      <c r="BF189" s="836"/>
      <c r="BG189" s="836"/>
      <c r="BH189" s="836"/>
      <c r="BI189" s="836"/>
      <c r="BJ189" s="98">
        <f>IncomeStatement!AA288</f>
        <v>0</v>
      </c>
      <c r="BK189" s="837"/>
      <c r="BL189" s="837"/>
      <c r="BM189" s="837"/>
      <c r="BN189" s="837"/>
      <c r="BO189" s="98">
        <f>IncomeStatement!AF288</f>
        <v>0</v>
      </c>
      <c r="BP189" s="836">
        <f>IncomeStatement!AG288</f>
        <v>0</v>
      </c>
      <c r="BQ189" s="836">
        <f>IncomeStatement!AH288</f>
        <v>0</v>
      </c>
      <c r="BR189" s="836">
        <f>IncomeStatement!AI288</f>
        <v>0</v>
      </c>
      <c r="BS189" s="836">
        <f>IncomeStatement!AJ288</f>
        <v>0</v>
      </c>
      <c r="BT189" s="98">
        <f>IncomeStatement!AK288</f>
        <v>0</v>
      </c>
      <c r="BU189" s="836">
        <f>IncomeStatement!AL288</f>
        <v>0</v>
      </c>
      <c r="BV189" s="836">
        <f>IncomeStatement!AM288</f>
        <v>0</v>
      </c>
      <c r="BW189" s="525">
        <f>IncomeStatement!AN288</f>
        <v>0</v>
      </c>
      <c r="BX189" s="836">
        <f>IncomeStatement!AO288</f>
        <v>0</v>
      </c>
      <c r="BY189" s="98">
        <f>IncomeStatement!AP288</f>
        <v>0</v>
      </c>
      <c r="BZ189" s="836">
        <f>IncomeStatement!AQ288</f>
        <v>0</v>
      </c>
      <c r="CA189" s="836">
        <f>IncomeStatement!AR288</f>
        <v>0</v>
      </c>
      <c r="CB189" s="836">
        <f>IncomeStatement!AS288</f>
        <v>0</v>
      </c>
      <c r="CC189" s="836">
        <f>IncomeStatement!AT288</f>
        <v>0</v>
      </c>
      <c r="CD189" s="98">
        <f>IncomeStatement!AU288</f>
        <v>0</v>
      </c>
      <c r="CE189" s="836">
        <f>IncomeStatement!AV288</f>
        <v>0</v>
      </c>
      <c r="CF189" s="836">
        <f>IncomeStatement!AW288</f>
        <v>0</v>
      </c>
      <c r="CG189" s="836">
        <f>IncomeStatement!AX288</f>
        <v>0</v>
      </c>
      <c r="CH189" s="836">
        <f>IncomeStatement!AY288</f>
        <v>0</v>
      </c>
      <c r="CI189" s="98">
        <f>IncomeStatement!AZ288</f>
        <v>0</v>
      </c>
      <c r="CJ189" s="836">
        <f>IncomeStatement!BA288</f>
        <v>0</v>
      </c>
      <c r="CK189" s="836">
        <f>IncomeStatement!BB288</f>
        <v>0</v>
      </c>
      <c r="CL189" s="836">
        <f>IncomeStatement!BC288</f>
        <v>0</v>
      </c>
      <c r="CM189" s="836">
        <f>IncomeStatement!BD288</f>
        <v>0</v>
      </c>
      <c r="CN189" s="98">
        <f>IncomeStatement!BE288</f>
        <v>0</v>
      </c>
      <c r="CO189" s="836">
        <f>IncomeStatement!BF55</f>
        <v>46.303000000000011</v>
      </c>
      <c r="CP189" s="836">
        <f>IncomeStatement!BG55</f>
        <v>29.007000000000094</v>
      </c>
      <c r="CQ189" s="836">
        <f>IncomeStatement!BH55</f>
        <v>22.83</v>
      </c>
      <c r="CR189" s="836">
        <f>IncomeStatement!BI55</f>
        <v>23.29400000000004</v>
      </c>
      <c r="CS189" s="98">
        <f>IncomeStatement!BJ288</f>
        <v>0</v>
      </c>
      <c r="CT189" s="836">
        <f>IncomeStatement!BK55</f>
        <v>27.506999999999998</v>
      </c>
      <c r="CU189" s="836">
        <f>IncomeStatement!BL55</f>
        <v>40.194999999999993</v>
      </c>
      <c r="CV189" s="836">
        <f>IncomeStatement!BM55</f>
        <v>7.5840000000000218</v>
      </c>
      <c r="CW189" s="836">
        <f>IncomeStatement!BN55</f>
        <v>85.856000000000023</v>
      </c>
      <c r="CX189" s="98">
        <f>IncomeStatement!BO288</f>
        <v>0</v>
      </c>
      <c r="CY189" s="836">
        <f>IncomeStatement!BP55</f>
        <v>25.363000000000007</v>
      </c>
      <c r="CZ189" s="836">
        <f>IncomeStatement!BQ55</f>
        <v>26.479999999999961</v>
      </c>
      <c r="DA189" s="836">
        <f>IncomeStatement!BR55</f>
        <v>48.889999999999958</v>
      </c>
      <c r="DB189" s="836">
        <f>IncomeStatement!BS55</f>
        <v>28.889999999999997</v>
      </c>
      <c r="DC189" s="98">
        <f>IncomeStatement!BT55</f>
        <v>129.62299999999973</v>
      </c>
      <c r="DD189" s="836">
        <f>IncomeStatement!BU55</f>
        <v>22.340999999999944</v>
      </c>
      <c r="DE189" s="836">
        <f>IncomeStatement!BV55</f>
        <v>-1.844999999999958</v>
      </c>
      <c r="DF189" s="836">
        <f>IncomeStatement!BW288</f>
        <v>0</v>
      </c>
      <c r="DG189" s="836">
        <f>IncomeStatement!BX288</f>
        <v>0</v>
      </c>
      <c r="DH189" s="98">
        <f>IncomeStatement!BY288</f>
        <v>0</v>
      </c>
      <c r="DI189" s="837">
        <f>IncomeStatement!BZ288</f>
        <v>0</v>
      </c>
      <c r="DJ189" s="837">
        <f>IncomeStatement!CA288</f>
        <v>0</v>
      </c>
      <c r="DK189" s="837">
        <f>IncomeStatement!CB288</f>
        <v>0</v>
      </c>
      <c r="DL189" s="837">
        <f>IncomeStatement!CC288</f>
        <v>0</v>
      </c>
      <c r="DM189" s="98">
        <f>IncomeStatement!CD288</f>
        <v>0</v>
      </c>
      <c r="DN189" s="837">
        <f>IncomeStatement!CE288</f>
        <v>0</v>
      </c>
      <c r="DO189" s="837">
        <f>IncomeStatement!CF288</f>
        <v>0</v>
      </c>
      <c r="DP189" s="837">
        <f>IncomeStatement!CG288</f>
        <v>0</v>
      </c>
      <c r="DQ189" s="837">
        <f>IncomeStatement!CH288</f>
        <v>0</v>
      </c>
      <c r="DR189" s="98">
        <f>IncomeStatement!CI288</f>
        <v>0</v>
      </c>
      <c r="DS189" s="837">
        <f>IncomeStatement!CJ288</f>
        <v>0</v>
      </c>
      <c r="DT189" s="837">
        <f>IncomeStatement!CK288</f>
        <v>0</v>
      </c>
      <c r="DU189" s="837">
        <f>IncomeStatement!CL288</f>
        <v>0</v>
      </c>
      <c r="DV189" s="837">
        <f>IncomeStatement!CM288</f>
        <v>0</v>
      </c>
      <c r="DW189" s="98">
        <f>IncomeStatement!CN288</f>
        <v>0</v>
      </c>
    </row>
    <row r="190" spans="1:127">
      <c r="A190" s="829" t="s">
        <v>148</v>
      </c>
      <c r="AM190" s="68"/>
      <c r="AZ190" s="98"/>
      <c r="BA190" s="836"/>
      <c r="BB190" s="836"/>
      <c r="BC190" s="836"/>
      <c r="BD190" s="836"/>
      <c r="BE190" s="98"/>
      <c r="BF190" s="836"/>
      <c r="BG190" s="836"/>
      <c r="BH190" s="836"/>
      <c r="BI190" s="836"/>
      <c r="BJ190" s="98">
        <f>(BJ46-BE46)+(BJ47-BE47)+(BJ48-BE48)+(BJ50-BE50)</f>
        <v>6.4700000000000344</v>
      </c>
      <c r="BK190" s="837"/>
      <c r="BL190" s="837"/>
      <c r="BM190" s="837"/>
      <c r="BN190" s="837"/>
      <c r="BO190" s="226">
        <f>(BO46-BJ46)+(BO47-BJ47)+(BO48-BJ48)+(BO50-BJ50)</f>
        <v>2500.38</v>
      </c>
      <c r="BP190" s="836">
        <f>(BP46-BO46)+(BP47-BO47)+(BP48-BO48)+(BP50-BO50)</f>
        <v>4.5859999999998777</v>
      </c>
      <c r="BQ190" s="836">
        <f>(BQ46-BP46)+(BQ47-BP47)+(BQ48-BP48)+(BQ50-BP50)</f>
        <v>4.7340000000001519</v>
      </c>
      <c r="BR190" s="836">
        <f>(BR46-BQ46)+(BR47-BQ47)+(BR48-BQ48)+(BR50-BQ50)</f>
        <v>-21.005999999999993</v>
      </c>
      <c r="BS190" s="836">
        <f>(BS46-BR46)+(BS47-BR47)+(BS48-BR48)+(BS50-BR50)</f>
        <v>-49.895000000000131</v>
      </c>
      <c r="BT190" s="98">
        <f>(BT46-BO46)+(BT47-BO47)+(BT48-BO48)+(BT50-BO50)</f>
        <v>-61.581000000000088</v>
      </c>
      <c r="BU190" s="836">
        <f>(BU46-BT46)+(BU47-BT47)+(BU48-BT48)+(BU50-BT50)</f>
        <v>-74.768999999999778</v>
      </c>
      <c r="BV190" s="836">
        <f>(BV46-BU46)+(BV47-BU47)+(BV48-BU48)+(BV50-BU50)</f>
        <v>-85.869000000000028</v>
      </c>
      <c r="BW190" s="525">
        <f>(BW46-BV46)+(BW47-BV47)+(BW48-BV48)+(BW50-BV50)</f>
        <v>3.8249999999998181</v>
      </c>
      <c r="BX190" s="836">
        <f>(BX46-BW46)+(BX47-BW47)+(BX48-BW48)+(BX50-BW50)</f>
        <v>2.9300000000002058</v>
      </c>
      <c r="BY190" s="98">
        <f>(BY46-BT46)+(BY47-BT47)+(BY48-BT48)+(BY50-BT50)</f>
        <v>-153.88299999999978</v>
      </c>
      <c r="BZ190" s="836">
        <f>(BZ46-BY46)+(BZ47-BY47)+(BZ48-BY48)+(BZ50-BY50)</f>
        <v>6.1289999999996212</v>
      </c>
      <c r="CA190" s="836">
        <f>(CA46-BZ46)+(CA47-BZ47)+(CA48-BZ48)+(CA50-BZ50)</f>
        <v>-42.82699999999997</v>
      </c>
      <c r="CB190" s="836">
        <f>(CB46-CA46)+(CB47-CA47)+(CB48-CA48)+(CB50-CA50)</f>
        <v>-97.64100000000002</v>
      </c>
      <c r="CC190" s="836">
        <f>(CC46-CB46)+(CC47-CB47)+(CC48-CB48)+(CC50-CB50)</f>
        <v>-3.3159999999997467</v>
      </c>
      <c r="CD190" s="98">
        <f>(CD46-BY46)+(CD47-BY47)+(CD48-BY48)+(CD50-BY50)</f>
        <v>-137.65500000000011</v>
      </c>
      <c r="CE190" s="836">
        <f>(CE46-CD46)+(CE47-CD47)+(CE48-CD48)+(CE50-CD50)</f>
        <v>2.2050000000000409</v>
      </c>
      <c r="CF190" s="836">
        <f>(CF46-CE46)+(CF47-CE47)+(CF48-CE48)+(CF50-CE50)</f>
        <v>2.8909999999999627</v>
      </c>
      <c r="CG190" s="836">
        <f>(CG46-CF46)+(CG47-CF47)+(CG48-CF48)+(CG50-CF50)</f>
        <v>4.229999999999734</v>
      </c>
      <c r="CH190" s="836">
        <f>(CH46-CG46)+(CH47-CG47)+(CH48-CG48)+(CH50-CG50)</f>
        <v>6.5890000000000555</v>
      </c>
      <c r="CI190" s="98">
        <f>(CI46-CD46)+(CI47-CD47)+(CI48-CD48)+(CI50-CD50)</f>
        <v>15.914999999999793</v>
      </c>
      <c r="CJ190" s="836">
        <f>(CJ46-CI46)+(CJ47-CI47)+(CJ48-CI48)+(CJ50-CI50)</f>
        <v>4.3400000000000887</v>
      </c>
      <c r="CK190" s="836">
        <f>(CK46-CJ46)+(CK47-CJ47)+(CK48-CJ48)+(CK50-CJ50)</f>
        <v>5.6140000000002601</v>
      </c>
      <c r="CL190" s="836">
        <f>(CL46-CK46)+(CL47-CK47)+(CL48-CK48)+(CL50-CK50)</f>
        <v>-25.7980000000004</v>
      </c>
      <c r="CM190" s="836">
        <f>(CM46-CL46)+(CM47-CL47)+(CM48-CL48)+(CM50-CL50)</f>
        <v>1.0010000000003174</v>
      </c>
      <c r="CN190" s="98">
        <f>(CN46-CI46)+(CN47-CI47)+(CN48-CI48)+(CN50-CI50)</f>
        <v>-14.842999999999734</v>
      </c>
      <c r="CO190" s="836">
        <f>(CO46-CN46)+(CO47-CN47)+(CO48-CN48)+(CO50-CN50)</f>
        <v>-226.97899999999998</v>
      </c>
      <c r="CP190" s="836">
        <f>(CP46-CO46)+(CP47-CO47)+(CP48-CO48)+(CP50-CO50)</f>
        <v>4.3149999999997135</v>
      </c>
      <c r="CQ190" s="836">
        <f>(CQ46-CP46)+(CQ47-CP47)+(CQ48-CP48)+(CQ50-CP50)</f>
        <v>-10.785999999999717</v>
      </c>
      <c r="CR190" s="836">
        <f>(CR46-CQ46)+(CR47-CQ47)+(CR48-CQ48)+(CR50-CQ50)</f>
        <v>-3.8010000000000446</v>
      </c>
      <c r="CS190" s="98">
        <f>(CS46-CN46)+(CS47-CN47)+(CS48-CN48)+(CS50-CN50)</f>
        <v>-237.25100000000003</v>
      </c>
      <c r="CT190" s="836">
        <f>(CT46-CS46)+(CT47-CS47)+(CT48-CS48)+(CT50-CS50)</f>
        <v>11.042999999999665</v>
      </c>
      <c r="CU190" s="836">
        <f>(CU46-CT46)+(CU47-CT47)+(CU48-CT48)+(CU50-CT50)</f>
        <v>-2.5609999999999218</v>
      </c>
      <c r="CV190" s="836">
        <f>(CV46-CU46)+(CV47-CU47)+(CV48-CU48)+(CV50-CU50)</f>
        <v>-1008.3749999999998</v>
      </c>
      <c r="CW190" s="836">
        <f>(CW46-CV46)+(CW47-CV47)+(CW48-CV48)+(CW50-CV50)</f>
        <v>-14.525000000000091</v>
      </c>
      <c r="CX190" s="98">
        <f>(CX46-CS46)+(CX47-CS47)+(CX48-CS48)+(CX50-CS50)</f>
        <v>-1014.4180000000001</v>
      </c>
      <c r="CY190" s="836">
        <f>(CY46-CX46)+(CY47-CX47)+(CY48-CX48)+(CY50-CX50)</f>
        <v>-41.591999999999871</v>
      </c>
      <c r="CZ190" s="836">
        <f>(CZ46-CY46)+(CZ47-CY47)+(CZ48-CY48)+(CZ50-CY50)</f>
        <v>-52.929999999999836</v>
      </c>
      <c r="DA190" s="836">
        <f>(DA46-CZ46)+(DA47-CZ47)+(DA48-CZ48)+(DA50-CZ50)</f>
        <v>-44.909000000000333</v>
      </c>
      <c r="DB190" s="836">
        <f>(DB46-DA46)+(DB47-DA47)+(DB48-DA48)+(DB50-DA50)</f>
        <v>-159.10400000000004</v>
      </c>
      <c r="DC190" s="98">
        <f>(DC46-CX46)+(DC47-CX47)+(DC48-CX48)+(DC50-CX50)</f>
        <v>-298.53500000000008</v>
      </c>
      <c r="DD190" s="836">
        <f>(DD46-DC46)+(DD47-DC47)+(DD48-DC48)+(DD50-DC50)</f>
        <v>-12.313999999999851</v>
      </c>
      <c r="DE190" s="836">
        <f>(DE46-DD46)+(DE47-DD47)+(DE48-DD48)+(DE50-DD50)</f>
        <v>-25.284999999999854</v>
      </c>
      <c r="DF190" s="836">
        <f>(DF46-DE46)+(DF47-DE47)+(DF48-DE48)+(DF50-DE50)</f>
        <v>-30.921000000000276</v>
      </c>
      <c r="DG190" s="836">
        <f>(DG46-DF46)+(DG47-DF47)+(DG48-DF48)+(DG50-DF50)</f>
        <v>-30.623999999999796</v>
      </c>
      <c r="DH190" s="98">
        <f>(DH46-DC46)+(DH47-DC47)+(DH48-DC48)+(DH50-DC50)</f>
        <v>-99.143999999999778</v>
      </c>
      <c r="DI190" s="837">
        <f>(DI46-DH46)+(DI47-DH47)+(DI48-DH48)+(DI50-DH50)</f>
        <v>-35</v>
      </c>
      <c r="DJ190" s="837">
        <f>(DJ46-DI46)+(DJ47-DI47)+(DJ48-DI48)+(DJ50-DI50)</f>
        <v>-35</v>
      </c>
      <c r="DK190" s="837">
        <f>(DK46-DJ46)+(DK47-DJ47)+(DK48-DJ48)+(DK50-DJ50)</f>
        <v>-35</v>
      </c>
      <c r="DL190" s="837">
        <f>(DL46-DK46)+(DL47-DK47)+(DL48-DK48)+(DL50-DK50)</f>
        <v>-35</v>
      </c>
      <c r="DM190" s="98">
        <f>(DM46-DH46)+(DM47-DH47)+(DM48-DH48)+(DM50-DH50)</f>
        <v>-140</v>
      </c>
      <c r="DN190" s="837">
        <f>(DN46-DM46)+(DN47-DM47)+(DN48-DM48)+(DN50-DM50)</f>
        <v>-35</v>
      </c>
      <c r="DO190" s="837">
        <f>(DO46-DN46)+(DO47-DN47)+(DO48-DN48)+(DO50-DN50)</f>
        <v>-35</v>
      </c>
      <c r="DP190" s="837">
        <f>(DP46-DO46)+(DP47-DO47)+(DP48-DO48)+(DP50-DO50)</f>
        <v>-35</v>
      </c>
      <c r="DQ190" s="837">
        <f>(DQ46-DP46)+(DQ47-DP47)+(DQ48-DP48)+(DQ50-DP50)</f>
        <v>-35</v>
      </c>
      <c r="DR190" s="98">
        <f>(DR46-DM46)+(DR47-DM47)+(DR48-DM48)+(DR50-DM50)</f>
        <v>-140</v>
      </c>
      <c r="DS190" s="837">
        <f>(DS46-DR46)+(DS47-DR47)+(DS48-DR48)+(DS50-DR50)</f>
        <v>-15</v>
      </c>
      <c r="DT190" s="837">
        <f>(DT46-DS46)+(DT47-DS47)+(DT48-DS48)+(DT50-DS50)</f>
        <v>-15</v>
      </c>
      <c r="DU190" s="837">
        <f>(DU46-DT46)+(DU47-DT47)+(DU48-DT48)+(DU50-DT50)</f>
        <v>-15</v>
      </c>
      <c r="DV190" s="837">
        <f>(DV46-DU46)+(DV47-DU47)+(DV48-DU48)+(DV50-DU50)</f>
        <v>-15</v>
      </c>
      <c r="DW190" s="98">
        <f>(DW46-DR46)+(DW47-DR47)+(DW48-DR48)+(DW50-DR50)</f>
        <v>-60</v>
      </c>
    </row>
    <row r="191" spans="1:127">
      <c r="A191" s="829" t="s">
        <v>149</v>
      </c>
      <c r="AM191" s="68"/>
      <c r="AZ191" s="98"/>
      <c r="BA191" s="836"/>
      <c r="BB191" s="836"/>
      <c r="BC191" s="836"/>
      <c r="BD191" s="836"/>
      <c r="BE191" s="98"/>
      <c r="BF191" s="836"/>
      <c r="BG191" s="836"/>
      <c r="BH191" s="836"/>
      <c r="BI191" s="836"/>
      <c r="BJ191" s="98">
        <f>BJ51-BE51</f>
        <v>-16.95</v>
      </c>
      <c r="BK191" s="837"/>
      <c r="BL191" s="837"/>
      <c r="BM191" s="837"/>
      <c r="BN191" s="837"/>
      <c r="BO191" s="98">
        <f>BO51-BJ51</f>
        <v>-41.155000000000001</v>
      </c>
      <c r="BP191" s="836">
        <f>BP51-BO51</f>
        <v>5.0120000000000005</v>
      </c>
      <c r="BQ191" s="836">
        <f>BQ51-BP51</f>
        <v>14.3</v>
      </c>
      <c r="BR191" s="836">
        <f>BR51-BQ51</f>
        <v>11.030999999999999</v>
      </c>
      <c r="BS191" s="836">
        <f>BS51-BR51</f>
        <v>7.2250000000000005</v>
      </c>
      <c r="BT191" s="98">
        <f>BT51-BO51</f>
        <v>37.567999999999998</v>
      </c>
      <c r="BU191" s="836">
        <f>BU51-BT51</f>
        <v>9.7399999999999984</v>
      </c>
      <c r="BV191" s="836">
        <f>BV51-BU51</f>
        <v>-11.266</v>
      </c>
      <c r="BW191" s="525">
        <f>BW51-BV51</f>
        <v>9.4400000000000013</v>
      </c>
      <c r="BX191" s="836">
        <f>BX51-BW51</f>
        <v>4.7880000000000003</v>
      </c>
      <c r="BY191" s="98">
        <f>BY51-BT51</f>
        <v>12.702</v>
      </c>
      <c r="BZ191" s="836">
        <f>BZ51-BY51</f>
        <v>7.6029999999999989</v>
      </c>
      <c r="CA191" s="836">
        <f>CA51-BZ51</f>
        <v>0.26900000000000013</v>
      </c>
      <c r="CB191" s="836">
        <f>CB51-CA51</f>
        <v>-20.620999999999999</v>
      </c>
      <c r="CC191" s="836">
        <f>CC51-CB51</f>
        <v>5.8340000000000005</v>
      </c>
      <c r="CD191" s="98">
        <f>CD51-BY51</f>
        <v>-6.915</v>
      </c>
      <c r="CE191" s="836">
        <f>CE51-CD51</f>
        <v>4.5249999999999995</v>
      </c>
      <c r="CF191" s="836">
        <f>CF51-CE51</f>
        <v>-3.3529999999999998</v>
      </c>
      <c r="CG191" s="836">
        <f>CG51-CF51</f>
        <v>7.9200000000000008</v>
      </c>
      <c r="CH191" s="836">
        <f>CH51-CG51</f>
        <v>-3.213000000000001</v>
      </c>
      <c r="CI191" s="98">
        <f>CI51-CD51</f>
        <v>5.8789999999999996</v>
      </c>
      <c r="CJ191" s="836">
        <f>CJ51-CI51</f>
        <v>-5.1310000000000002</v>
      </c>
      <c r="CK191" s="836">
        <f>CK51-CJ51</f>
        <v>-7.4369999999999994</v>
      </c>
      <c r="CL191" s="836">
        <f>CL51-CK51</f>
        <v>4.9290000000000003</v>
      </c>
      <c r="CM191" s="836">
        <f>CM51-CL51</f>
        <v>-8.6790000000000003</v>
      </c>
      <c r="CN191" s="98">
        <f>CN51-CI51</f>
        <v>-16.317999999999998</v>
      </c>
      <c r="CO191" s="836">
        <f>CO51-CN51</f>
        <v>-7.34</v>
      </c>
      <c r="CP191" s="836">
        <f>CP51-CO51</f>
        <v>6.2349999999999994</v>
      </c>
      <c r="CQ191" s="836">
        <f>CQ51-CP51</f>
        <v>-9.3279999999999994</v>
      </c>
      <c r="CR191" s="836">
        <f>CR51-CQ51</f>
        <v>-10.524000000000001</v>
      </c>
      <c r="CS191" s="98">
        <f>CS51-CN51</f>
        <v>-20.957000000000001</v>
      </c>
      <c r="CT191" s="836">
        <f>CT51-CS51</f>
        <v>-20.063999999999997</v>
      </c>
      <c r="CU191" s="836">
        <f>CU51-CT51</f>
        <v>4.9249999999999972</v>
      </c>
      <c r="CV191" s="836">
        <f>CV51-CU51</f>
        <v>-16.950000000000003</v>
      </c>
      <c r="CW191" s="836">
        <f>CW51-CV51</f>
        <v>-7.4399999999999906</v>
      </c>
      <c r="CX191" s="98">
        <f>CX51-CS51</f>
        <v>-39.528999999999996</v>
      </c>
      <c r="CY191" s="836">
        <f>CY51-CX51</f>
        <v>13.120999999999995</v>
      </c>
      <c r="CZ191" s="836">
        <f>CZ51-CY51</f>
        <v>1.9669999999999987</v>
      </c>
      <c r="DA191" s="836">
        <f>DA51-CZ51</f>
        <v>-2.9249999999999972</v>
      </c>
      <c r="DB191" s="836">
        <f>DB51-DA51</f>
        <v>-4.5810000000000031</v>
      </c>
      <c r="DC191" s="98">
        <f>DC51-CX51</f>
        <v>7.5819999999999936</v>
      </c>
      <c r="DD191" s="836">
        <f>DD51-DC51</f>
        <v>2.4859999999999971</v>
      </c>
      <c r="DE191" s="836">
        <f>DE51-DD51</f>
        <v>6.5080000000000027</v>
      </c>
      <c r="DF191" s="836">
        <f>DF51-DE51</f>
        <v>9.2310000000000016</v>
      </c>
      <c r="DG191" s="836">
        <f>DG51-DF51</f>
        <v>-1.1820000000000022</v>
      </c>
      <c r="DH191" s="98">
        <f>DH51-DC51</f>
        <v>17.042999999999999</v>
      </c>
      <c r="DI191" s="837">
        <f>DI51-DH51</f>
        <v>0</v>
      </c>
      <c r="DJ191" s="837">
        <f>DJ51-DI51</f>
        <v>0</v>
      </c>
      <c r="DK191" s="837">
        <f>DK51-DJ51</f>
        <v>0</v>
      </c>
      <c r="DL191" s="837">
        <f>DL51-DK51</f>
        <v>0</v>
      </c>
      <c r="DM191" s="98">
        <f>DM51-DH51</f>
        <v>0</v>
      </c>
      <c r="DN191" s="837">
        <f>DN51-DM51</f>
        <v>0</v>
      </c>
      <c r="DO191" s="837">
        <f>DO51-DN51</f>
        <v>0</v>
      </c>
      <c r="DP191" s="837">
        <f>DP51-DO51</f>
        <v>0</v>
      </c>
      <c r="DQ191" s="837">
        <f>DQ51-DP51</f>
        <v>0</v>
      </c>
      <c r="DR191" s="98">
        <f>DR51-DM51</f>
        <v>0</v>
      </c>
      <c r="DS191" s="837">
        <f>DS51-DR51</f>
        <v>0</v>
      </c>
      <c r="DT191" s="837">
        <f>DT51-DS51</f>
        <v>0</v>
      </c>
      <c r="DU191" s="837">
        <f>DU51-DT51</f>
        <v>0</v>
      </c>
      <c r="DV191" s="837">
        <f>DV51-DU51</f>
        <v>0</v>
      </c>
      <c r="DW191" s="98">
        <f>DW51-DR51</f>
        <v>0</v>
      </c>
    </row>
    <row r="192" spans="1:127">
      <c r="A192" s="829" t="s">
        <v>159</v>
      </c>
      <c r="AM192" s="68"/>
      <c r="AZ192" s="98"/>
      <c r="BA192" s="836"/>
      <c r="BB192" s="836"/>
      <c r="BC192" s="836"/>
      <c r="BD192" s="836"/>
      <c r="BE192" s="98"/>
      <c r="BF192" s="836"/>
      <c r="BG192" s="836"/>
      <c r="BH192" s="836"/>
      <c r="BI192" s="836"/>
      <c r="BJ192" s="98">
        <f>BJ49-BE49-BJ189</f>
        <v>-18.459000000000003</v>
      </c>
      <c r="BK192" s="837"/>
      <c r="BL192" s="837"/>
      <c r="BM192" s="837"/>
      <c r="BN192" s="837"/>
      <c r="BO192" s="98">
        <f>BO49-BJ49-BO189</f>
        <v>-524.80799999999999</v>
      </c>
      <c r="BP192" s="836">
        <f>BP49-BO49-BP189</f>
        <v>-17.956999999999994</v>
      </c>
      <c r="BQ192" s="836">
        <f>BQ49-BP49-BQ189</f>
        <v>7.8559999999999945</v>
      </c>
      <c r="BR192" s="836">
        <f>BR49-BQ49-BR189</f>
        <v>7.6589999999999918</v>
      </c>
      <c r="BS192" s="836">
        <f>BS49-BR49-BS189</f>
        <v>-20.497000000000014</v>
      </c>
      <c r="BT192" s="98">
        <f>BT49-BO49-BT189</f>
        <v>-22.939000000000021</v>
      </c>
      <c r="BU192" s="836">
        <f>BU49-BT49-BU189</f>
        <v>-10.063999999999965</v>
      </c>
      <c r="BV192" s="836">
        <f>BV49-BU49-BV189</f>
        <v>4.3729999999999905</v>
      </c>
      <c r="BW192" s="525">
        <f>BW49-BV49-BW189</f>
        <v>-7.1620000000000346</v>
      </c>
      <c r="BX192" s="836">
        <f>BX49-BW49-BX189</f>
        <v>-19.130999999999972</v>
      </c>
      <c r="BY192" s="98">
        <f>BY49-BT49-BY189</f>
        <v>-31.98399999999998</v>
      </c>
      <c r="BZ192" s="836">
        <f>BZ49-BY49-BZ189</f>
        <v>-9.7930000000000064</v>
      </c>
      <c r="CA192" s="836">
        <f>CA49-BZ49-CA189</f>
        <v>2.8670000000000186</v>
      </c>
      <c r="CB192" s="836">
        <f>CB49-CA49-CB189</f>
        <v>-11.807000000000016</v>
      </c>
      <c r="CC192" s="836">
        <f>CC49-CB49-CC189</f>
        <v>-3.8020000000000209</v>
      </c>
      <c r="CD192" s="98">
        <f>CD49-BY49-CD189</f>
        <v>-22.535000000000025</v>
      </c>
      <c r="CE192" s="836">
        <f>CE49-CD49-CE189</f>
        <v>4.54200000000003</v>
      </c>
      <c r="CF192" s="836">
        <f>CF49-CE49-CF189</f>
        <v>-13.305000000000007</v>
      </c>
      <c r="CG192" s="836">
        <f>CG49-CF49-CG189</f>
        <v>-33.980000000000018</v>
      </c>
      <c r="CH192" s="836">
        <f>CH49-CG49-CH189</f>
        <v>10.735000000000014</v>
      </c>
      <c r="CI192" s="98">
        <f>CI49-CD49-CI189</f>
        <v>-32.007999999999981</v>
      </c>
      <c r="CJ192" s="836">
        <f>CJ49-CI49-CJ189</f>
        <v>-13.58499999999998</v>
      </c>
      <c r="CK192" s="836">
        <f>CK49-CJ49-CK189</f>
        <v>-3.5230000000000246</v>
      </c>
      <c r="CL192" s="836">
        <f>CL49-CK49-CL189</f>
        <v>-21.541999999999973</v>
      </c>
      <c r="CM192" s="836">
        <f>CM49-CL49-CM189</f>
        <v>13.442000000000007</v>
      </c>
      <c r="CN192" s="98">
        <f>CN49-CI49-CN189</f>
        <v>-25.20799999999997</v>
      </c>
      <c r="CO192" s="836">
        <f>CO49-CN49-CO189</f>
        <v>-18.316000000000045</v>
      </c>
      <c r="CP192" s="836">
        <f>CP49-CO49-CP189</f>
        <v>-18.345000000000059</v>
      </c>
      <c r="CQ192" s="836">
        <f>CQ49-CP49-CQ189</f>
        <v>-18.367000000000033</v>
      </c>
      <c r="CR192" s="836">
        <f>CR49-CQ49-CR189</f>
        <v>-20.108000000000004</v>
      </c>
      <c r="CS192" s="98">
        <f>CS49-CN49-CS189</f>
        <v>46.298000000000002</v>
      </c>
      <c r="CT192" s="836">
        <f>CT49-CS49-CT189</f>
        <v>-20.202000000000048</v>
      </c>
      <c r="CU192" s="836">
        <f>CU49-CT49-CU189</f>
        <v>-19.992999999999995</v>
      </c>
      <c r="CV192" s="836">
        <f>CV49-CU49-CV189</f>
        <v>-15.22799999999997</v>
      </c>
      <c r="CW192" s="836">
        <f>CW49-CV49-CW189</f>
        <v>-16.434000000000054</v>
      </c>
      <c r="CX192" s="98">
        <f>CX49-CS49-CX189</f>
        <v>89.284999999999968</v>
      </c>
      <c r="CY192" s="836">
        <f>CY49-CX49-CY189</f>
        <v>-16.216999999999992</v>
      </c>
      <c r="CZ192" s="836">
        <f>CZ49-CY49-CZ189</f>
        <v>-15.94199999999995</v>
      </c>
      <c r="DA192" s="836">
        <f>DA49-CZ49-DA189</f>
        <v>-15.644999999999953</v>
      </c>
      <c r="DB192" s="836">
        <f>DB49-DA49-DB189</f>
        <v>-16.04400000000005</v>
      </c>
      <c r="DC192" s="98">
        <f>DC49-CX49-DC189</f>
        <v>-63.847999999999757</v>
      </c>
      <c r="DD192" s="836">
        <f>DD49-DC49-DD189</f>
        <v>-15.399999999999913</v>
      </c>
      <c r="DE192" s="836">
        <f>DE49-DD49-DE189</f>
        <v>-17.178000000000068</v>
      </c>
      <c r="DF192" s="836">
        <f>DF49-DE49-DF189</f>
        <v>-2.7639999999999532</v>
      </c>
      <c r="DG192" s="836">
        <f>DG49-DF49-DG189</f>
        <v>142.41399999999999</v>
      </c>
      <c r="DH192" s="98">
        <f>DH49-DC49-DH189</f>
        <v>127.56800000000004</v>
      </c>
      <c r="DI192" s="837">
        <f>DI49-DH49-DI189</f>
        <v>2.6717213620384825</v>
      </c>
      <c r="DJ192" s="837">
        <f>DJ49-DI49-DJ189</f>
        <v>17.563836516314012</v>
      </c>
      <c r="DK192" s="837">
        <f>DK49-DJ49-DK189</f>
        <v>12.667084622524783</v>
      </c>
      <c r="DL192" s="837">
        <f>DL49-DK49-DL189</f>
        <v>13.393173731600342</v>
      </c>
      <c r="DM192" s="98">
        <f>DM49-DH49-DM189</f>
        <v>46.29581623247762</v>
      </c>
      <c r="DN192" s="837">
        <f>DN49-DM49-DN189</f>
        <v>11.170115203867169</v>
      </c>
      <c r="DO192" s="837">
        <f>DO49-DN49-DO189</f>
        <v>25.68950271658214</v>
      </c>
      <c r="DP192" s="837">
        <f>DP49-DO49-DP189</f>
        <v>20.746829094640802</v>
      </c>
      <c r="DQ192" s="837">
        <f>DQ49-DP49-DQ189</f>
        <v>20.682767506508014</v>
      </c>
      <c r="DR192" s="98">
        <f>DR49-DM49-DR189</f>
        <v>78.289214521598126</v>
      </c>
      <c r="DS192" s="837">
        <f>DS49-DR49-DS189</f>
        <v>17.740566421456858</v>
      </c>
      <c r="DT192" s="837">
        <f>DT49-DS49-DT189</f>
        <v>31.920728554336318</v>
      </c>
      <c r="DU192" s="837">
        <f>DU49-DT49-DU189</f>
        <v>26.97140885821819</v>
      </c>
      <c r="DV192" s="837">
        <f>DV49-DU49-DV189</f>
        <v>27.341900336468825</v>
      </c>
      <c r="DW192" s="98">
        <f>DW49-DR49-DW189</f>
        <v>103.97460417048019</v>
      </c>
    </row>
    <row r="193" spans="1:127">
      <c r="A193" s="830" t="s">
        <v>160</v>
      </c>
      <c r="AM193" s="68"/>
      <c r="AZ193" s="833"/>
      <c r="BA193" s="834"/>
      <c r="BB193" s="834"/>
      <c r="BC193" s="834"/>
      <c r="BD193" s="834"/>
      <c r="BE193" s="833"/>
      <c r="BF193" s="834"/>
      <c r="BG193" s="834"/>
      <c r="BH193" s="834"/>
      <c r="BI193" s="834"/>
      <c r="BJ193" s="833">
        <f>BJ188+(SUM(BJ189:BJ192))</f>
        <v>448.87400000000002</v>
      </c>
      <c r="BK193" s="835"/>
      <c r="BL193" s="835"/>
      <c r="BM193" s="835"/>
      <c r="BN193" s="835"/>
      <c r="BO193" s="833">
        <f t="shared" ref="BO193:CI193" si="193">BO188+(SUM(BO189:BO192))</f>
        <v>2383.2910000000002</v>
      </c>
      <c r="BP193" s="834">
        <f t="shared" si="193"/>
        <v>2374.9319999999998</v>
      </c>
      <c r="BQ193" s="834">
        <f t="shared" si="193"/>
        <v>2401.8220000000001</v>
      </c>
      <c r="BR193" s="834">
        <f t="shared" si="193"/>
        <v>2399.5060000000008</v>
      </c>
      <c r="BS193" s="834">
        <f t="shared" si="193"/>
        <v>2336.3389999999999</v>
      </c>
      <c r="BT193" s="833">
        <f t="shared" si="193"/>
        <v>2336.3389999999995</v>
      </c>
      <c r="BU193" s="834">
        <f t="shared" si="193"/>
        <v>2261.2460000000001</v>
      </c>
      <c r="BV193" s="834">
        <f t="shared" si="193"/>
        <v>2168.4839999999999</v>
      </c>
      <c r="BW193" s="958">
        <f t="shared" si="193"/>
        <v>2174.587</v>
      </c>
      <c r="BX193" s="834">
        <f t="shared" si="193"/>
        <v>2163.174</v>
      </c>
      <c r="BY193" s="833">
        <f t="shared" si="193"/>
        <v>2163.174</v>
      </c>
      <c r="BZ193" s="834">
        <f t="shared" si="193"/>
        <v>2167.1129999999994</v>
      </c>
      <c r="CA193" s="834">
        <f t="shared" si="193"/>
        <v>2127.4219999999996</v>
      </c>
      <c r="CB193" s="834">
        <f t="shared" si="193"/>
        <v>1997.3530000000001</v>
      </c>
      <c r="CC193" s="834">
        <f t="shared" si="193"/>
        <v>1996.0689999999997</v>
      </c>
      <c r="CD193" s="833">
        <f t="shared" si="193"/>
        <v>1996.069</v>
      </c>
      <c r="CE193" s="834">
        <f t="shared" si="193"/>
        <v>2007.3409999999999</v>
      </c>
      <c r="CF193" s="834">
        <f t="shared" si="193"/>
        <v>1993.5740000000001</v>
      </c>
      <c r="CG193" s="834">
        <f t="shared" si="193"/>
        <v>1971.7439999999992</v>
      </c>
      <c r="CH193" s="834">
        <f t="shared" si="193"/>
        <v>1985.8549999999996</v>
      </c>
      <c r="CI193" s="833">
        <f t="shared" si="193"/>
        <v>1985.8549999999996</v>
      </c>
      <c r="CJ193" s="834">
        <f t="shared" ref="CJ193:CS193" si="194">CJ188+(SUM(CJ189:CJ192))</f>
        <v>1971.4789999999998</v>
      </c>
      <c r="CK193" s="834">
        <f t="shared" si="194"/>
        <v>1966.133</v>
      </c>
      <c r="CL193" s="834">
        <f t="shared" si="194"/>
        <v>1923.7219999999995</v>
      </c>
      <c r="CM193" s="834">
        <f t="shared" si="194"/>
        <v>1929.4860000000001</v>
      </c>
      <c r="CN193" s="833">
        <f t="shared" si="194"/>
        <v>1929.4860000000001</v>
      </c>
      <c r="CO193" s="834">
        <f t="shared" si="194"/>
        <v>1723.1539999999998</v>
      </c>
      <c r="CP193" s="834">
        <f t="shared" si="194"/>
        <v>1744.366</v>
      </c>
      <c r="CQ193" s="834">
        <f t="shared" si="194"/>
        <v>1728.7150000000001</v>
      </c>
      <c r="CR193" s="834">
        <f t="shared" si="194"/>
        <v>1717.576</v>
      </c>
      <c r="CS193" s="833">
        <f t="shared" si="194"/>
        <v>1717.5759999999998</v>
      </c>
      <c r="CT193" s="834">
        <f t="shared" ref="CT193:DC193" si="195">CT188+(SUM(CT189:CT192))</f>
        <v>1715.8599999999997</v>
      </c>
      <c r="CU193" s="834">
        <f t="shared" si="195"/>
        <v>1738.4259999999997</v>
      </c>
      <c r="CV193" s="834">
        <f t="shared" si="195"/>
        <v>705.45700000000011</v>
      </c>
      <c r="CW193" s="834">
        <f t="shared" si="195"/>
        <v>752.91399999999976</v>
      </c>
      <c r="CX193" s="833">
        <f t="shared" si="195"/>
        <v>752.91399999999987</v>
      </c>
      <c r="CY193" s="834">
        <f t="shared" si="195"/>
        <v>733.58900000000006</v>
      </c>
      <c r="CZ193" s="834">
        <f t="shared" si="195"/>
        <v>693.16400000000033</v>
      </c>
      <c r="DA193" s="834">
        <f t="shared" si="195"/>
        <v>678.57500000000005</v>
      </c>
      <c r="DB193" s="834">
        <f t="shared" ref="DB193" si="196">DB188+(SUM(DB189:DB192))</f>
        <v>527.73599999999988</v>
      </c>
      <c r="DC193" s="833">
        <f t="shared" si="195"/>
        <v>527.73599999999976</v>
      </c>
      <c r="DD193" s="834">
        <f t="shared" ref="DD193" si="197">DD188+(SUM(DD189:DD192))</f>
        <v>524.84900000000005</v>
      </c>
      <c r="DE193" s="834">
        <f t="shared" ref="DE193:DW193" si="198">DE188+(SUM(DE189:DE192))</f>
        <v>487.04899999999992</v>
      </c>
      <c r="DF193" s="834">
        <f t="shared" si="198"/>
        <v>462.59500000000003</v>
      </c>
      <c r="DG193" s="834">
        <f t="shared" si="198"/>
        <v>573.20300000000009</v>
      </c>
      <c r="DH193" s="833">
        <f t="shared" si="198"/>
        <v>573.2030000000002</v>
      </c>
      <c r="DI193" s="835">
        <f t="shared" si="198"/>
        <v>540.87472136203837</v>
      </c>
      <c r="DJ193" s="835">
        <f t="shared" si="198"/>
        <v>523.43855787835253</v>
      </c>
      <c r="DK193" s="835">
        <f t="shared" si="198"/>
        <v>501.10564250087731</v>
      </c>
      <c r="DL193" s="835">
        <f t="shared" si="198"/>
        <v>479.49881623247757</v>
      </c>
      <c r="DM193" s="833">
        <f t="shared" si="198"/>
        <v>479.49881623247745</v>
      </c>
      <c r="DN193" s="835">
        <f t="shared" si="198"/>
        <v>455.66893143634508</v>
      </c>
      <c r="DO193" s="835">
        <f t="shared" si="198"/>
        <v>446.3584341529268</v>
      </c>
      <c r="DP193" s="835">
        <f t="shared" si="198"/>
        <v>432.1052632475679</v>
      </c>
      <c r="DQ193" s="835">
        <f t="shared" si="198"/>
        <v>417.78803075407592</v>
      </c>
      <c r="DR193" s="833">
        <f t="shared" si="198"/>
        <v>417.78803075407603</v>
      </c>
      <c r="DS193" s="835">
        <f t="shared" si="198"/>
        <v>420.52859717553258</v>
      </c>
      <c r="DT193" s="835">
        <f t="shared" si="198"/>
        <v>437.44932572986914</v>
      </c>
      <c r="DU193" s="835">
        <f t="shared" si="198"/>
        <v>449.42073458808716</v>
      </c>
      <c r="DV193" s="835">
        <f t="shared" si="198"/>
        <v>461.76263492455598</v>
      </c>
      <c r="DW193" s="833">
        <f t="shared" si="198"/>
        <v>461.76263492455593</v>
      </c>
    </row>
    <row r="194" spans="1:127">
      <c r="AM194" s="68"/>
      <c r="BJ194" s="465">
        <f>BJ193-BJ52</f>
        <v>0</v>
      </c>
      <c r="BO194" s="41">
        <f t="shared" ref="BO194:CT194" si="199">BO193-BO52</f>
        <v>0</v>
      </c>
      <c r="BP194" s="45">
        <f t="shared" si="199"/>
        <v>0</v>
      </c>
      <c r="BQ194" s="45">
        <f t="shared" si="199"/>
        <v>0</v>
      </c>
      <c r="BR194" s="45">
        <f t="shared" si="199"/>
        <v>0</v>
      </c>
      <c r="BS194" s="45">
        <f t="shared" si="199"/>
        <v>0</v>
      </c>
      <c r="BT194" s="41">
        <f t="shared" si="199"/>
        <v>0</v>
      </c>
      <c r="BU194" s="45">
        <f t="shared" si="199"/>
        <v>0</v>
      </c>
      <c r="BV194" s="45">
        <f t="shared" si="199"/>
        <v>0</v>
      </c>
      <c r="BW194" s="518">
        <f t="shared" si="199"/>
        <v>0</v>
      </c>
      <c r="BX194" s="45">
        <f t="shared" si="199"/>
        <v>0</v>
      </c>
      <c r="BY194" s="41">
        <f t="shared" si="199"/>
        <v>0</v>
      </c>
      <c r="BZ194" s="45">
        <f t="shared" si="199"/>
        <v>0</v>
      </c>
      <c r="CA194" s="45">
        <f t="shared" si="199"/>
        <v>0</v>
      </c>
      <c r="CB194" s="45">
        <f t="shared" si="199"/>
        <v>0</v>
      </c>
      <c r="CC194" s="45">
        <f t="shared" si="199"/>
        <v>0</v>
      </c>
      <c r="CD194" s="41">
        <f t="shared" si="199"/>
        <v>0</v>
      </c>
      <c r="CE194" s="45">
        <f t="shared" si="199"/>
        <v>0</v>
      </c>
      <c r="CF194" s="45">
        <f t="shared" si="199"/>
        <v>0</v>
      </c>
      <c r="CG194" s="45">
        <f t="shared" si="199"/>
        <v>0</v>
      </c>
      <c r="CH194" s="45">
        <f t="shared" si="199"/>
        <v>0</v>
      </c>
      <c r="CI194" s="41">
        <f t="shared" si="199"/>
        <v>0</v>
      </c>
      <c r="CJ194" s="45">
        <f t="shared" si="199"/>
        <v>0</v>
      </c>
      <c r="CK194" s="45">
        <f t="shared" si="199"/>
        <v>0</v>
      </c>
      <c r="CL194" s="45">
        <f t="shared" si="199"/>
        <v>0</v>
      </c>
      <c r="CM194" s="45">
        <f t="shared" si="199"/>
        <v>0</v>
      </c>
      <c r="CN194" s="41">
        <f t="shared" si="199"/>
        <v>0</v>
      </c>
      <c r="CO194" s="45">
        <f t="shared" si="199"/>
        <v>0</v>
      </c>
      <c r="CP194" s="45">
        <f t="shared" si="199"/>
        <v>0</v>
      </c>
      <c r="CQ194" s="45">
        <f t="shared" si="199"/>
        <v>0</v>
      </c>
      <c r="CR194" s="45">
        <f t="shared" si="199"/>
        <v>0</v>
      </c>
      <c r="CS194" s="41">
        <f t="shared" si="199"/>
        <v>0</v>
      </c>
      <c r="CT194" s="45">
        <f t="shared" si="199"/>
        <v>0</v>
      </c>
      <c r="CU194" s="45">
        <f t="shared" ref="CU194:DW194" si="200">CU193-CU52</f>
        <v>0</v>
      </c>
      <c r="CV194" s="45">
        <f t="shared" si="200"/>
        <v>0</v>
      </c>
      <c r="CW194" s="45">
        <f t="shared" si="200"/>
        <v>0</v>
      </c>
      <c r="CX194" s="41">
        <f t="shared" si="200"/>
        <v>0</v>
      </c>
      <c r="CY194" s="45">
        <f t="shared" si="200"/>
        <v>0</v>
      </c>
      <c r="CZ194" s="45">
        <f t="shared" si="200"/>
        <v>0</v>
      </c>
      <c r="DA194" s="45">
        <f t="shared" si="200"/>
        <v>0</v>
      </c>
      <c r="DB194" s="45">
        <f t="shared" ref="DB194" si="201">DB193-DB52</f>
        <v>0</v>
      </c>
      <c r="DC194" s="41">
        <f t="shared" si="200"/>
        <v>0</v>
      </c>
      <c r="DD194" s="45">
        <f t="shared" ref="DD194" si="202">DD193-DD52</f>
        <v>0</v>
      </c>
      <c r="DE194" s="45">
        <f t="shared" ref="DE194" si="203">DE193-DE52</f>
        <v>0</v>
      </c>
      <c r="DF194" s="45">
        <f t="shared" si="200"/>
        <v>0</v>
      </c>
      <c r="DG194" s="45">
        <f t="shared" si="200"/>
        <v>0</v>
      </c>
      <c r="DH194" s="41">
        <f t="shared" si="200"/>
        <v>0</v>
      </c>
      <c r="DI194" s="45">
        <f t="shared" si="200"/>
        <v>0</v>
      </c>
      <c r="DJ194" s="45">
        <f t="shared" si="200"/>
        <v>0</v>
      </c>
      <c r="DK194" s="45">
        <f t="shared" si="200"/>
        <v>0</v>
      </c>
      <c r="DL194" s="45">
        <f t="shared" si="200"/>
        <v>0</v>
      </c>
      <c r="DM194" s="41">
        <f t="shared" si="200"/>
        <v>-4.5474735088646412E-13</v>
      </c>
      <c r="DN194" s="45">
        <f t="shared" si="200"/>
        <v>0</v>
      </c>
      <c r="DO194" s="45">
        <f t="shared" si="200"/>
        <v>0</v>
      </c>
      <c r="DP194" s="45">
        <f t="shared" si="200"/>
        <v>0</v>
      </c>
      <c r="DQ194" s="45">
        <f t="shared" si="200"/>
        <v>0</v>
      </c>
      <c r="DR194" s="41">
        <f t="shared" si="200"/>
        <v>0</v>
      </c>
      <c r="DS194" s="45">
        <f t="shared" si="200"/>
        <v>0</v>
      </c>
      <c r="DT194" s="45">
        <f t="shared" si="200"/>
        <v>0</v>
      </c>
      <c r="DU194" s="45">
        <f t="shared" si="200"/>
        <v>0</v>
      </c>
      <c r="DV194" s="45">
        <f t="shared" si="200"/>
        <v>0</v>
      </c>
      <c r="DW194" s="41">
        <f t="shared" si="200"/>
        <v>0</v>
      </c>
    </row>
    <row r="195" spans="1:127">
      <c r="AM195" s="68"/>
    </row>
    <row r="196" spans="1:127">
      <c r="AM196" s="68"/>
    </row>
    <row r="197" spans="1:127">
      <c r="AM197" s="68"/>
    </row>
    <row r="198" spans="1:127">
      <c r="A198" s="47" t="s">
        <v>153</v>
      </c>
      <c r="AM198" s="68"/>
      <c r="BE198" s="41">
        <f>-2760.187-180</f>
        <v>-2940.1869999999999</v>
      </c>
      <c r="BJ198" s="41">
        <f>-2.552-2929.193-21.986</f>
        <v>-2953.7310000000002</v>
      </c>
      <c r="BO198" s="41">
        <v>-144.69300000000001</v>
      </c>
      <c r="BP198" s="45">
        <v>2383.2910000000002</v>
      </c>
      <c r="BV198" s="45">
        <v>52.393999999999998</v>
      </c>
      <c r="BY198" s="45">
        <v>52.393999999999998</v>
      </c>
      <c r="CB198" s="45">
        <v>-17.329000000000001</v>
      </c>
      <c r="CC198" s="45">
        <v>-14.643000000000001</v>
      </c>
      <c r="CD198" s="41">
        <v>-43.86</v>
      </c>
      <c r="CE198" s="45">
        <v>-17.701000000000001</v>
      </c>
      <c r="CG198" s="45">
        <v>26.027000000000001</v>
      </c>
      <c r="CH198" s="45">
        <v>-26.388000000000002</v>
      </c>
      <c r="CI198" s="41">
        <v>-13.131</v>
      </c>
      <c r="CJ198" s="45">
        <v>0</v>
      </c>
      <c r="CK198" s="45">
        <v>-19.824876</v>
      </c>
      <c r="CL198" s="45">
        <f>-15.817642+17.979642</f>
        <v>2.161999999999999</v>
      </c>
      <c r="CM198" s="45">
        <f>-18.307643-13.941357</f>
        <v>-32.248999999999995</v>
      </c>
      <c r="CN198" s="41">
        <f>-63.195162-15.627557+46.794576-11.982857</f>
        <v>-44.01100000000001</v>
      </c>
      <c r="CO198" s="45">
        <f>-10.317416-35.985584</f>
        <v>-46.303000000000004</v>
      </c>
      <c r="CP198" s="45">
        <f>-20.928153-11.16209</f>
        <v>-32.090243000000001</v>
      </c>
      <c r="CQ198" s="45">
        <f>-16.051804-10.784552</f>
        <v>-26.836356000000002</v>
      </c>
      <c r="CR198" s="45">
        <f>-21.126049-11.870838</f>
        <v>-32.996887000000001</v>
      </c>
      <c r="CS198" s="41">
        <f>-68.423423-37.380868-19.982313</f>
        <v>-125.78660400000001</v>
      </c>
      <c r="CT198" s="45">
        <v>-11.877302999999999</v>
      </c>
      <c r="CU198" s="45">
        <f>-22.172746-18.483712</f>
        <v>-40.656458000000001</v>
      </c>
      <c r="CV198" s="45">
        <f>-17.196799-11.263381</f>
        <v>-28.460180000000001</v>
      </c>
      <c r="CW198" s="45">
        <f>-22.122517-12.713192</f>
        <v>-34.835708999999994</v>
      </c>
      <c r="CX198" s="41">
        <f>-73.369365-51.217736</f>
        <v>-124.587101</v>
      </c>
      <c r="CY198" s="45">
        <v>0</v>
      </c>
      <c r="CZ198" s="45">
        <v>-18.483712000000001</v>
      </c>
      <c r="DA198" s="45">
        <v>-11.263381000000001</v>
      </c>
      <c r="DB198" s="45">
        <v>-12.713191999999999</v>
      </c>
      <c r="DC198" s="41">
        <v>0</v>
      </c>
      <c r="DD198" s="45">
        <v>0</v>
      </c>
      <c r="DE198" s="45">
        <v>-18.483712000000001</v>
      </c>
      <c r="DF198" s="45">
        <v>-11.263381000000001</v>
      </c>
      <c r="DG198" s="45">
        <v>-12.713191999999999</v>
      </c>
      <c r="DH198" s="41">
        <v>0</v>
      </c>
      <c r="DI198" s="45">
        <v>0</v>
      </c>
      <c r="DJ198" s="45">
        <v>-18.483712000000001</v>
      </c>
      <c r="DK198" s="45">
        <v>-11.263381000000001</v>
      </c>
      <c r="DL198" s="45">
        <v>-12.713191999999999</v>
      </c>
      <c r="DM198" s="41">
        <v>0</v>
      </c>
      <c r="DN198" s="45">
        <v>0</v>
      </c>
      <c r="DO198" s="45">
        <v>-18.483712000000001</v>
      </c>
      <c r="DP198" s="45">
        <v>-11.263381000000001</v>
      </c>
      <c r="DQ198" s="45">
        <v>-12.713191999999999</v>
      </c>
      <c r="DR198" s="41">
        <v>0</v>
      </c>
      <c r="DS198" s="45">
        <v>0</v>
      </c>
      <c r="DT198" s="45">
        <v>-18.483712000000001</v>
      </c>
      <c r="DU198" s="45">
        <v>-11.263381000000001</v>
      </c>
      <c r="DV198" s="45">
        <v>-12.713191999999999</v>
      </c>
      <c r="DW198" s="41">
        <v>0</v>
      </c>
    </row>
    <row r="199" spans="1:127">
      <c r="A199" s="1127" t="s">
        <v>133</v>
      </c>
      <c r="AM199" s="68"/>
      <c r="BE199" s="1050" t="s">
        <v>308</v>
      </c>
      <c r="BF199" s="1050" t="s">
        <v>308</v>
      </c>
      <c r="BG199" s="1050" t="s">
        <v>308</v>
      </c>
      <c r="BH199" s="1050" t="s">
        <v>308</v>
      </c>
      <c r="BI199" s="1050" t="s">
        <v>308</v>
      </c>
      <c r="BJ199" s="1050" t="s">
        <v>308</v>
      </c>
      <c r="BK199" s="1050" t="s">
        <v>308</v>
      </c>
      <c r="BL199" s="1050" t="s">
        <v>308</v>
      </c>
      <c r="BM199" s="1050" t="s">
        <v>308</v>
      </c>
      <c r="BN199" s="1050" t="s">
        <v>308</v>
      </c>
      <c r="BO199" s="1050" t="s">
        <v>308</v>
      </c>
      <c r="BP199" s="1050" t="s">
        <v>308</v>
      </c>
      <c r="BQ199" s="1050" t="s">
        <v>308</v>
      </c>
      <c r="BR199" s="1050" t="s">
        <v>308</v>
      </c>
      <c r="BS199" s="1050" t="s">
        <v>308</v>
      </c>
      <c r="BT199" s="1050" t="s">
        <v>308</v>
      </c>
      <c r="BU199" s="1050" t="s">
        <v>308</v>
      </c>
      <c r="BV199" s="1050" t="s">
        <v>308</v>
      </c>
      <c r="BW199" s="1050" t="s">
        <v>308</v>
      </c>
      <c r="BX199" s="1050" t="s">
        <v>308</v>
      </c>
      <c r="BY199" s="1050" t="s">
        <v>308</v>
      </c>
      <c r="BZ199" s="1050" t="s">
        <v>308</v>
      </c>
      <c r="CA199" s="1050" t="s">
        <v>308</v>
      </c>
      <c r="CB199" s="1050" t="s">
        <v>308</v>
      </c>
      <c r="CC199" s="1050" t="s">
        <v>308</v>
      </c>
      <c r="CD199" s="1050" t="s">
        <v>308</v>
      </c>
      <c r="CE199" s="1050" t="s">
        <v>308</v>
      </c>
      <c r="CF199" s="1050" t="s">
        <v>308</v>
      </c>
      <c r="CG199" s="1050" t="s">
        <v>308</v>
      </c>
      <c r="CH199" s="1050" t="s">
        <v>308</v>
      </c>
      <c r="CI199" s="1050" t="s">
        <v>308</v>
      </c>
      <c r="CJ199" s="1050" t="s">
        <v>308</v>
      </c>
      <c r="CK199" s="1050" t="s">
        <v>308</v>
      </c>
      <c r="CL199" s="1050" t="s">
        <v>308</v>
      </c>
      <c r="CM199" s="1050" t="s">
        <v>308</v>
      </c>
      <c r="CN199" s="1050" t="s">
        <v>308</v>
      </c>
      <c r="CO199" s="1050" t="s">
        <v>308</v>
      </c>
      <c r="CP199" s="1050" t="s">
        <v>308</v>
      </c>
      <c r="CQ199" s="1050" t="s">
        <v>308</v>
      </c>
      <c r="CR199" s="1050" t="s">
        <v>308</v>
      </c>
      <c r="CS199" s="1050" t="s">
        <v>308</v>
      </c>
      <c r="CT199" s="1050" t="s">
        <v>308</v>
      </c>
      <c r="CU199" s="1050" t="s">
        <v>308</v>
      </c>
      <c r="CV199" s="1050" t="s">
        <v>308</v>
      </c>
      <c r="CW199" s="1050" t="s">
        <v>308</v>
      </c>
      <c r="CX199" s="1050" t="s">
        <v>308</v>
      </c>
      <c r="CY199" s="1050" t="s">
        <v>308</v>
      </c>
      <c r="CZ199" s="1050" t="s">
        <v>308</v>
      </c>
      <c r="DA199" s="1050" t="s">
        <v>308</v>
      </c>
      <c r="DB199" s="1050" t="s">
        <v>308</v>
      </c>
      <c r="DC199" s="1050" t="s">
        <v>308</v>
      </c>
      <c r="DD199" s="1050" t="s">
        <v>308</v>
      </c>
      <c r="DE199" s="1050" t="s">
        <v>308</v>
      </c>
      <c r="DF199" s="1050" t="s">
        <v>308</v>
      </c>
      <c r="DG199" s="1050" t="s">
        <v>308</v>
      </c>
      <c r="DH199" s="1050" t="s">
        <v>308</v>
      </c>
      <c r="DI199" s="1050" t="s">
        <v>308</v>
      </c>
      <c r="DJ199" s="1050" t="s">
        <v>308</v>
      </c>
      <c r="DK199" s="1050" t="s">
        <v>308</v>
      </c>
      <c r="DL199" s="1050" t="s">
        <v>308</v>
      </c>
      <c r="DM199" s="1050" t="s">
        <v>308</v>
      </c>
      <c r="DN199" s="1050" t="s">
        <v>308</v>
      </c>
      <c r="DO199" s="1050" t="s">
        <v>308</v>
      </c>
      <c r="DP199" s="1050" t="s">
        <v>308</v>
      </c>
      <c r="DQ199" s="1050" t="s">
        <v>308</v>
      </c>
      <c r="DR199" s="1050" t="s">
        <v>308</v>
      </c>
      <c r="DS199" s="1050" t="s">
        <v>308</v>
      </c>
      <c r="DT199" s="1050" t="s">
        <v>308</v>
      </c>
      <c r="DU199" s="1050" t="s">
        <v>308</v>
      </c>
      <c r="DV199" s="1050" t="s">
        <v>308</v>
      </c>
      <c r="DW199" s="1050" t="s">
        <v>308</v>
      </c>
    </row>
    <row r="200" spans="1:127">
      <c r="A200" s="47" t="s">
        <v>591</v>
      </c>
      <c r="AM200" s="68"/>
      <c r="BE200" s="213">
        <v>6673.9753661784289</v>
      </c>
      <c r="BF200" s="213">
        <v>6657.991144414169</v>
      </c>
      <c r="BG200" s="213">
        <v>6660.9789830508471</v>
      </c>
      <c r="BH200" s="213">
        <v>11834.971486761711</v>
      </c>
      <c r="BI200" s="213">
        <v>6644.965187713311</v>
      </c>
      <c r="BJ200" s="213">
        <v>6644.965187713311</v>
      </c>
      <c r="BK200" s="213">
        <v>6621.9670103092785</v>
      </c>
      <c r="BL200" s="213">
        <v>6624.9709141274234</v>
      </c>
      <c r="BM200" s="213">
        <v>6624.9797344514327</v>
      </c>
      <c r="BN200" s="213">
        <v>6630</v>
      </c>
      <c r="BO200" s="213">
        <v>6630</v>
      </c>
      <c r="BP200" s="213">
        <v>6623</v>
      </c>
      <c r="BQ200" s="213">
        <v>6608</v>
      </c>
      <c r="BR200" s="213">
        <v>6608</v>
      </c>
      <c r="BS200" s="213">
        <v>6541</v>
      </c>
      <c r="BT200" s="213">
        <v>6541</v>
      </c>
      <c r="BU200" s="213">
        <v>6540</v>
      </c>
      <c r="BV200" s="213">
        <v>6546</v>
      </c>
      <c r="BW200" s="213">
        <v>6554</v>
      </c>
      <c r="BX200" s="213">
        <v>6576</v>
      </c>
      <c r="BY200" s="213">
        <v>6576</v>
      </c>
      <c r="BZ200" s="213">
        <v>6565</v>
      </c>
      <c r="CA200" s="213">
        <v>6571</v>
      </c>
      <c r="CB200" s="213">
        <v>6578</v>
      </c>
      <c r="CC200" s="213">
        <v>6594</v>
      </c>
      <c r="CD200" s="213">
        <v>6594</v>
      </c>
      <c r="CE200" s="213">
        <v>6581</v>
      </c>
      <c r="CF200" s="213">
        <v>6547</v>
      </c>
      <c r="CG200" s="213">
        <v>6543</v>
      </c>
      <c r="CH200" s="213">
        <v>6560</v>
      </c>
      <c r="CI200" s="213">
        <v>6560</v>
      </c>
      <c r="CJ200" s="213">
        <v>6544</v>
      </c>
      <c r="CK200" s="213">
        <v>6542</v>
      </c>
      <c r="CL200" s="213">
        <v>6539</v>
      </c>
      <c r="CM200" s="213">
        <v>6557</v>
      </c>
      <c r="CN200" s="213">
        <v>6557</v>
      </c>
      <c r="CO200" s="213">
        <v>6547</v>
      </c>
      <c r="CP200" s="213">
        <v>6545</v>
      </c>
      <c r="CQ200" s="213">
        <v>6532</v>
      </c>
      <c r="CR200" s="213">
        <v>6515</v>
      </c>
      <c r="CS200" s="213">
        <v>6515</v>
      </c>
      <c r="CT200" s="213">
        <v>6488</v>
      </c>
      <c r="CU200" s="213">
        <v>6477</v>
      </c>
      <c r="CV200" s="213">
        <v>6487</v>
      </c>
      <c r="CW200" s="213">
        <v>6479</v>
      </c>
      <c r="CX200" s="213">
        <v>6479</v>
      </c>
      <c r="CY200" s="213">
        <v>6482</v>
      </c>
      <c r="CZ200" s="213">
        <v>6490</v>
      </c>
      <c r="DA200" s="213">
        <v>6503</v>
      </c>
      <c r="DB200" s="213">
        <v>6537</v>
      </c>
      <c r="DC200" s="213">
        <v>6537</v>
      </c>
      <c r="DD200" s="213">
        <v>6551</v>
      </c>
      <c r="DE200" s="213">
        <v>6564</v>
      </c>
      <c r="DF200" s="213">
        <v>6586</v>
      </c>
      <c r="DG200" s="213">
        <v>6634</v>
      </c>
      <c r="DH200" s="213">
        <v>6634</v>
      </c>
      <c r="DI200" s="213">
        <v>6666</v>
      </c>
      <c r="DJ200" s="213">
        <v>6703</v>
      </c>
      <c r="DK200" s="213">
        <v>6740</v>
      </c>
      <c r="DL200" s="213">
        <v>6777</v>
      </c>
      <c r="DM200" s="213">
        <v>6777</v>
      </c>
      <c r="DN200" s="213">
        <v>6820</v>
      </c>
      <c r="DO200" s="213">
        <v>6868</v>
      </c>
      <c r="DP200" s="213">
        <v>6911</v>
      </c>
      <c r="DQ200" s="213">
        <v>6964</v>
      </c>
      <c r="DR200" s="213">
        <v>6964</v>
      </c>
      <c r="DS200" s="213">
        <v>7023</v>
      </c>
      <c r="DT200" s="213">
        <v>7087</v>
      </c>
      <c r="DU200" s="213">
        <v>7151</v>
      </c>
      <c r="DV200" s="213">
        <v>7220</v>
      </c>
      <c r="DW200" s="213">
        <v>7220</v>
      </c>
    </row>
    <row r="201" spans="1:127">
      <c r="A201" s="47" t="s">
        <v>592</v>
      </c>
      <c r="AM201" s="68"/>
      <c r="BE201" s="41">
        <v>0</v>
      </c>
      <c r="BF201" s="41">
        <v>0</v>
      </c>
      <c r="BG201" s="41">
        <v>0</v>
      </c>
      <c r="BH201" s="41">
        <v>0</v>
      </c>
      <c r="BI201" s="41">
        <v>0</v>
      </c>
      <c r="BJ201" s="41">
        <v>0</v>
      </c>
      <c r="BK201" s="41">
        <v>0</v>
      </c>
      <c r="BL201" s="41">
        <v>0</v>
      </c>
      <c r="BM201" s="41">
        <v>0</v>
      </c>
      <c r="BN201" s="41">
        <v>0</v>
      </c>
      <c r="BO201" s="41">
        <v>0</v>
      </c>
      <c r="BP201" s="41">
        <v>0</v>
      </c>
      <c r="BQ201" s="41">
        <v>0</v>
      </c>
      <c r="BR201" s="41">
        <v>0</v>
      </c>
      <c r="BS201" s="41">
        <v>0</v>
      </c>
      <c r="BT201" s="41">
        <v>0</v>
      </c>
      <c r="BU201" s="41">
        <v>0</v>
      </c>
      <c r="BV201" s="41">
        <v>0</v>
      </c>
      <c r="BW201" s="41">
        <v>0</v>
      </c>
      <c r="BX201" s="41">
        <v>0</v>
      </c>
      <c r="BY201" s="41">
        <v>0</v>
      </c>
      <c r="BZ201" s="41">
        <f>+IncomeStatement!AQ42-IncomeStatement!AQ43</f>
        <v>0</v>
      </c>
      <c r="CA201" s="41">
        <f>+IncomeStatement!AR42-IncomeStatement!AR43</f>
        <v>0</v>
      </c>
      <c r="CB201" s="41">
        <f>+IncomeStatement!AS42-IncomeStatement!AS43</f>
        <v>0</v>
      </c>
      <c r="CC201" s="41">
        <f>+IncomeStatement!AT42-IncomeStatement!AT43</f>
        <v>0</v>
      </c>
      <c r="CD201" s="41">
        <f>+IncomeStatement!AU42-IncomeStatement!AU43</f>
        <v>0</v>
      </c>
      <c r="CE201" s="41">
        <f>+IncomeStatement!AV42-IncomeStatement!AV43</f>
        <v>0</v>
      </c>
      <c r="CF201" s="41">
        <f>+IncomeStatement!AW42-IncomeStatement!AW43</f>
        <v>0</v>
      </c>
      <c r="CG201" s="41">
        <f>+IncomeStatement!AX42-IncomeStatement!AX43</f>
        <v>0</v>
      </c>
      <c r="CH201" s="41">
        <f>+IncomeStatement!AY42-IncomeStatement!AY43</f>
        <v>0</v>
      </c>
      <c r="CI201" s="41">
        <f>+IncomeStatement!AZ42-IncomeStatement!AZ43</f>
        <v>0</v>
      </c>
      <c r="CJ201" s="41">
        <f>+IncomeStatement!BA42-IncomeStatement!BA43</f>
        <v>0</v>
      </c>
      <c r="CK201" s="41">
        <f>+IncomeStatement!BB42-IncomeStatement!BB43</f>
        <v>0</v>
      </c>
      <c r="CL201" s="41">
        <f>+IncomeStatement!BC42-IncomeStatement!BC43</f>
        <v>0</v>
      </c>
      <c r="CM201" s="41">
        <f>+IncomeStatement!BD42-IncomeStatement!BD43</f>
        <v>0</v>
      </c>
      <c r="CN201" s="41">
        <f>+IncomeStatement!BE42-IncomeStatement!BE43</f>
        <v>-1.7999999999062766E-2</v>
      </c>
      <c r="CO201" s="41">
        <f>+IncomeStatement!BF42-IncomeStatement!BF43</f>
        <v>0</v>
      </c>
      <c r="CP201" s="41">
        <f>+IncomeStatement!BG42-IncomeStatement!BG43</f>
        <v>0</v>
      </c>
      <c r="CQ201" s="41">
        <f>+IncomeStatement!BH42-IncomeStatement!BH43</f>
        <v>0</v>
      </c>
      <c r="CR201" s="41">
        <f>+IncomeStatement!BI42-IncomeStatement!BI43</f>
        <v>0</v>
      </c>
      <c r="CS201" s="41">
        <f>+IncomeStatement!BJ42-IncomeStatement!BJ43</f>
        <v>-55.758000000000493</v>
      </c>
      <c r="CT201" s="41">
        <f>+IncomeStatement!BK42-IncomeStatement!BK43</f>
        <v>0</v>
      </c>
      <c r="CU201" s="41">
        <f>+IncomeStatement!BL42-IncomeStatement!BL43</f>
        <v>0</v>
      </c>
      <c r="CV201" s="41">
        <f>+IncomeStatement!BM42-IncomeStatement!BM43</f>
        <v>0</v>
      </c>
      <c r="CW201" s="41">
        <f>+IncomeStatement!BN42-IncomeStatement!BN43</f>
        <v>0</v>
      </c>
      <c r="CX201" s="41">
        <f>+IncomeStatement!BO42-IncomeStatement!BO43</f>
        <v>-2.6999999999816282E-2</v>
      </c>
      <c r="CY201" s="41">
        <f>+IncomeStatement!BP42-IncomeStatement!BP43</f>
        <v>0</v>
      </c>
      <c r="CZ201" s="41">
        <f>+IncomeStatement!BQ42-IncomeStatement!BQ43</f>
        <v>0</v>
      </c>
      <c r="DA201" s="41">
        <f>+IncomeStatement!BR42-IncomeStatement!BR43</f>
        <v>0</v>
      </c>
      <c r="DB201" s="41">
        <f>+IncomeStatement!BS42-IncomeStatement!BS43</f>
        <v>0</v>
      </c>
      <c r="DC201" s="41">
        <f>+IncomeStatement!BT42-IncomeStatement!BT43</f>
        <v>0</v>
      </c>
      <c r="DD201" s="41">
        <f>+IncomeStatement!BU42-IncomeStatement!BU43</f>
        <v>0</v>
      </c>
      <c r="DE201" s="41">
        <f>+IncomeStatement!BV42-IncomeStatement!BV43</f>
        <v>0</v>
      </c>
      <c r="DF201" s="41">
        <f>+IncomeStatement!BW42-IncomeStatement!BW43</f>
        <v>0</v>
      </c>
      <c r="DG201" s="41">
        <f>+IncomeStatement!BX42-IncomeStatement!BX43</f>
        <v>0</v>
      </c>
      <c r="DH201" s="41">
        <f>+IncomeStatement!BY42-IncomeStatement!BY43</f>
        <v>4.399999999998272E-2</v>
      </c>
      <c r="DI201" s="41">
        <f>+IncomeStatement!BZ42-IncomeStatement!BZ43</f>
        <v>0</v>
      </c>
      <c r="DJ201" s="41">
        <f>+IncomeStatement!CA42-IncomeStatement!CA43</f>
        <v>0</v>
      </c>
      <c r="DK201" s="41">
        <f>+IncomeStatement!CB42-IncomeStatement!CB43</f>
        <v>0</v>
      </c>
      <c r="DL201" s="41">
        <f>+IncomeStatement!CC42-IncomeStatement!CC43</f>
        <v>0</v>
      </c>
      <c r="DM201" s="41">
        <f>+IncomeStatement!CD42-IncomeStatement!CD43</f>
        <v>0</v>
      </c>
      <c r="DN201" s="41">
        <f>+IncomeStatement!CE42-IncomeStatement!CE43</f>
        <v>0</v>
      </c>
      <c r="DO201" s="41">
        <f>+IncomeStatement!CF42-IncomeStatement!CF43</f>
        <v>0</v>
      </c>
      <c r="DP201" s="41">
        <f>+IncomeStatement!CG42-IncomeStatement!CG43</f>
        <v>0</v>
      </c>
      <c r="DQ201" s="41">
        <f>+IncomeStatement!CH42-IncomeStatement!CH43</f>
        <v>0</v>
      </c>
      <c r="DR201" s="41">
        <f>+IncomeStatement!CI42-IncomeStatement!CI43</f>
        <v>0</v>
      </c>
      <c r="DS201" s="41">
        <f>+IncomeStatement!CJ42-IncomeStatement!CJ43</f>
        <v>0</v>
      </c>
      <c r="DT201" s="41">
        <f>+IncomeStatement!CK42-IncomeStatement!CK43</f>
        <v>0</v>
      </c>
      <c r="DU201" s="41">
        <f>+IncomeStatement!CL42-IncomeStatement!CL43</f>
        <v>0</v>
      </c>
      <c r="DV201" s="41">
        <f>+IncomeStatement!CM42-IncomeStatement!CM43</f>
        <v>0</v>
      </c>
      <c r="DW201" s="41">
        <f>+IncomeStatement!CN42-IncomeStatement!CN43</f>
        <v>0</v>
      </c>
    </row>
    <row r="202" spans="1:127">
      <c r="AM202" s="68"/>
    </row>
    <row r="203" spans="1:127">
      <c r="AM203" s="68"/>
    </row>
    <row r="204" spans="1:127">
      <c r="AM204" s="68"/>
    </row>
    <row r="205" spans="1:127">
      <c r="AM205" s="68"/>
    </row>
    <row r="206" spans="1:127">
      <c r="AM206" s="68"/>
    </row>
    <row r="207" spans="1:127">
      <c r="AM207" s="68"/>
    </row>
    <row r="208" spans="1:127">
      <c r="AM208" s="68"/>
    </row>
    <row r="209" spans="39:39">
      <c r="AM209" s="68"/>
    </row>
    <row r="210" spans="39:39">
      <c r="AM210" s="68"/>
    </row>
    <row r="211" spans="39:39">
      <c r="AM211" s="68"/>
    </row>
    <row r="212" spans="39:39">
      <c r="AM212" s="68"/>
    </row>
    <row r="213" spans="39:39">
      <c r="AM213" s="68"/>
    </row>
    <row r="214" spans="39:39">
      <c r="AM214" s="68"/>
    </row>
    <row r="215" spans="39:39">
      <c r="AM215" s="68"/>
    </row>
    <row r="216" spans="39:39">
      <c r="AM216" s="68"/>
    </row>
    <row r="217" spans="39:39">
      <c r="AM217" s="68"/>
    </row>
    <row r="218" spans="39:39">
      <c r="AM218" s="68"/>
    </row>
    <row r="219" spans="39:39">
      <c r="AM219" s="68"/>
    </row>
    <row r="220" spans="39:39">
      <c r="AM220" s="68"/>
    </row>
    <row r="221" spans="39:39">
      <c r="AM221" s="68"/>
    </row>
    <row r="222" spans="39:39">
      <c r="AM222" s="68"/>
    </row>
    <row r="223" spans="39:39">
      <c r="AM223" s="68"/>
    </row>
    <row r="224" spans="39:39">
      <c r="AM224" s="68"/>
    </row>
    <row r="225" spans="39:39">
      <c r="AM225" s="68"/>
    </row>
    <row r="226" spans="39:39">
      <c r="AM226" s="68"/>
    </row>
    <row r="227" spans="39:39">
      <c r="AM227" s="68"/>
    </row>
    <row r="228" spans="39:39">
      <c r="AM228" s="68"/>
    </row>
    <row r="229" spans="39:39">
      <c r="AM229" s="68"/>
    </row>
    <row r="230" spans="39:39">
      <c r="AM230" s="68"/>
    </row>
    <row r="231" spans="39:39">
      <c r="AM231" s="68"/>
    </row>
    <row r="232" spans="39:39">
      <c r="AM232" s="68"/>
    </row>
    <row r="233" spans="39:39">
      <c r="AM233" s="68"/>
    </row>
    <row r="234" spans="39:39">
      <c r="AM234" s="68"/>
    </row>
    <row r="235" spans="39:39">
      <c r="AM235" s="68"/>
    </row>
    <row r="236" spans="39:39">
      <c r="AM236" s="68"/>
    </row>
    <row r="237" spans="39:39">
      <c r="AM237" s="68"/>
    </row>
    <row r="238" spans="39:39">
      <c r="AM238" s="68"/>
    </row>
    <row r="239" spans="39:39">
      <c r="AM239" s="68"/>
    </row>
    <row r="240" spans="39:39">
      <c r="AM240" s="68"/>
    </row>
    <row r="241" spans="39:39">
      <c r="AM241" s="68"/>
    </row>
    <row r="242" spans="39:39">
      <c r="AM242" s="68"/>
    </row>
    <row r="243" spans="39:39">
      <c r="AM243" s="68"/>
    </row>
    <row r="244" spans="39:39">
      <c r="AM244" s="68"/>
    </row>
    <row r="245" spans="39:39">
      <c r="AM245" s="68"/>
    </row>
    <row r="246" spans="39:39">
      <c r="AM246" s="68"/>
    </row>
    <row r="247" spans="39:39">
      <c r="AM247" s="68"/>
    </row>
    <row r="248" spans="39:39">
      <c r="AM248" s="68"/>
    </row>
    <row r="249" spans="39:39">
      <c r="AM249" s="68"/>
    </row>
    <row r="250" spans="39:39">
      <c r="AM250" s="68"/>
    </row>
    <row r="251" spans="39:39">
      <c r="AM251" s="68"/>
    </row>
    <row r="252" spans="39:39">
      <c r="AM252" s="68"/>
    </row>
    <row r="253" spans="39:39">
      <c r="AM253" s="68"/>
    </row>
    <row r="254" spans="39:39">
      <c r="AM254" s="68"/>
    </row>
    <row r="255" spans="39:39">
      <c r="AM255" s="68"/>
    </row>
    <row r="256" spans="39:39">
      <c r="AM256" s="68"/>
    </row>
    <row r="257" spans="39:39">
      <c r="AM257" s="68"/>
    </row>
    <row r="258" spans="39:39">
      <c r="AM258" s="68"/>
    </row>
    <row r="259" spans="39:39">
      <c r="AM259" s="68"/>
    </row>
    <row r="260" spans="39:39">
      <c r="AM260" s="68"/>
    </row>
    <row r="261" spans="39:39">
      <c r="AM261" s="68"/>
    </row>
    <row r="262" spans="39:39">
      <c r="AM262" s="68"/>
    </row>
    <row r="263" spans="39:39">
      <c r="AM263" s="68"/>
    </row>
    <row r="264" spans="39:39">
      <c r="AM264" s="68"/>
    </row>
    <row r="265" spans="39:39">
      <c r="AM265" s="68"/>
    </row>
    <row r="266" spans="39:39">
      <c r="AM266" s="68"/>
    </row>
    <row r="267" spans="39:39">
      <c r="AM267" s="68"/>
    </row>
    <row r="268" spans="39:39">
      <c r="AM268" s="68"/>
    </row>
    <row r="269" spans="39:39">
      <c r="AM269" s="68"/>
    </row>
    <row r="270" spans="39:39">
      <c r="AM270" s="68"/>
    </row>
    <row r="271" spans="39:39">
      <c r="AM271" s="68"/>
    </row>
    <row r="272" spans="39:39">
      <c r="AM272" s="68"/>
    </row>
    <row r="273" spans="39:39">
      <c r="AM273" s="68"/>
    </row>
    <row r="274" spans="39:39">
      <c r="AM274" s="68"/>
    </row>
    <row r="275" spans="39:39">
      <c r="AM275" s="68"/>
    </row>
    <row r="276" spans="39:39">
      <c r="AM276" s="68"/>
    </row>
    <row r="277" spans="39:39">
      <c r="AM277" s="68"/>
    </row>
    <row r="278" spans="39:39">
      <c r="AM278" s="68"/>
    </row>
    <row r="279" spans="39:39">
      <c r="AM279" s="68"/>
    </row>
    <row r="280" spans="39:39">
      <c r="AM280" s="68"/>
    </row>
    <row r="281" spans="39:39">
      <c r="AM281" s="68"/>
    </row>
    <row r="283" spans="39:39">
      <c r="AM283" s="68"/>
    </row>
    <row r="284" spans="39:39">
      <c r="AM284" s="68"/>
    </row>
    <row r="285" spans="39:39">
      <c r="AM285" s="68"/>
    </row>
    <row r="286" spans="39:39">
      <c r="AM286" s="68"/>
    </row>
    <row r="287" spans="39:39">
      <c r="AM287" s="68"/>
    </row>
    <row r="288" spans="39:39">
      <c r="AM288" s="68"/>
    </row>
    <row r="289" spans="39:39">
      <c r="AM289" s="68"/>
    </row>
    <row r="290" spans="39:39">
      <c r="AM290" s="68"/>
    </row>
    <row r="291" spans="39:39">
      <c r="AM291" s="68"/>
    </row>
    <row r="292" spans="39:39">
      <c r="AM292" s="68"/>
    </row>
    <row r="293" spans="39:39">
      <c r="AM293" s="68"/>
    </row>
    <row r="294" spans="39:39">
      <c r="AM294" s="68"/>
    </row>
    <row r="295" spans="39:39">
      <c r="AM295" s="68"/>
    </row>
    <row r="296" spans="39:39">
      <c r="AM296" s="68"/>
    </row>
    <row r="297" spans="39:39">
      <c r="AM297" s="68"/>
    </row>
    <row r="298" spans="39:39">
      <c r="AM298" s="68"/>
    </row>
    <row r="299" spans="39:39">
      <c r="AM299" s="68"/>
    </row>
    <row r="300" spans="39:39">
      <c r="AM300" s="68"/>
    </row>
    <row r="301" spans="39:39">
      <c r="AM301" s="68"/>
    </row>
    <row r="302" spans="39:39">
      <c r="AM302" s="68"/>
    </row>
    <row r="303" spans="39:39">
      <c r="AM303" s="68"/>
    </row>
    <row r="304" spans="39:39">
      <c r="AM304" s="68"/>
    </row>
    <row r="305" spans="39:39">
      <c r="AM305" s="68"/>
    </row>
    <row r="306" spans="39:39">
      <c r="AM306" s="68"/>
    </row>
    <row r="307" spans="39:39">
      <c r="AM307" s="68"/>
    </row>
    <row r="308" spans="39:39">
      <c r="AM308" s="68"/>
    </row>
    <row r="309" spans="39:39">
      <c r="AM309" s="68"/>
    </row>
    <row r="310" spans="39:39">
      <c r="AM310" s="68"/>
    </row>
    <row r="311" spans="39:39">
      <c r="AM311" s="68"/>
    </row>
    <row r="312" spans="39:39">
      <c r="AM312" s="68"/>
    </row>
    <row r="313" spans="39:39">
      <c r="AM313" s="68"/>
    </row>
    <row r="314" spans="39:39">
      <c r="AM314" s="68"/>
    </row>
    <row r="315" spans="39:39">
      <c r="AM315" s="68"/>
    </row>
    <row r="316" spans="39:39">
      <c r="AM316" s="68"/>
    </row>
    <row r="317" spans="39:39">
      <c r="AM317" s="68"/>
    </row>
    <row r="318" spans="39:39">
      <c r="AM318" s="68"/>
    </row>
    <row r="319" spans="39:39">
      <c r="AM319" s="68"/>
    </row>
    <row r="320" spans="39:39">
      <c r="AM320" s="68"/>
    </row>
    <row r="321" spans="39:39">
      <c r="AM321" s="68"/>
    </row>
    <row r="322" spans="39:39">
      <c r="AM322" s="68"/>
    </row>
    <row r="323" spans="39:39">
      <c r="AM323" s="68"/>
    </row>
    <row r="324" spans="39:39">
      <c r="AM324" s="68"/>
    </row>
    <row r="325" spans="39:39">
      <c r="AM325" s="68"/>
    </row>
    <row r="326" spans="39:39">
      <c r="AM326" s="68"/>
    </row>
    <row r="327" spans="39:39">
      <c r="AM327" s="68"/>
    </row>
    <row r="328" spans="39:39">
      <c r="AM328" s="68"/>
    </row>
    <row r="329" spans="39:39">
      <c r="AM329" s="68"/>
    </row>
    <row r="330" spans="39:39">
      <c r="AM330" s="68"/>
    </row>
    <row r="331" spans="39:39">
      <c r="AM331" s="68"/>
    </row>
    <row r="332" spans="39:39">
      <c r="AM332" s="68"/>
    </row>
    <row r="333" spans="39:39">
      <c r="AM333" s="68"/>
    </row>
    <row r="334" spans="39:39">
      <c r="AM334" s="68"/>
    </row>
    <row r="335" spans="39:39">
      <c r="AM335" s="68"/>
    </row>
    <row r="336" spans="39:39">
      <c r="AM336" s="68"/>
    </row>
    <row r="337" spans="39:39">
      <c r="AM337" s="68"/>
    </row>
    <row r="338" spans="39:39">
      <c r="AM338" s="68"/>
    </row>
    <row r="339" spans="39:39">
      <c r="AM339" s="68"/>
    </row>
    <row r="340" spans="39:39">
      <c r="AM340" s="68"/>
    </row>
    <row r="341" spans="39:39">
      <c r="AM341" s="68"/>
    </row>
    <row r="342" spans="39:39">
      <c r="AM342" s="68"/>
    </row>
    <row r="343" spans="39:39">
      <c r="AM343" s="68"/>
    </row>
    <row r="344" spans="39:39">
      <c r="AM344" s="68"/>
    </row>
    <row r="345" spans="39:39">
      <c r="AM345" s="68"/>
    </row>
    <row r="346" spans="39:39">
      <c r="AM346" s="68"/>
    </row>
    <row r="347" spans="39:39">
      <c r="AM347" s="68"/>
    </row>
    <row r="348" spans="39:39">
      <c r="AM348" s="68"/>
    </row>
    <row r="349" spans="39:39">
      <c r="AM349" s="68"/>
    </row>
    <row r="350" spans="39:39">
      <c r="AM350" s="68"/>
    </row>
    <row r="351" spans="39:39">
      <c r="AM351" s="68"/>
    </row>
    <row r="352" spans="39:39">
      <c r="AM352" s="68"/>
    </row>
    <row r="353" spans="39:39">
      <c r="AM353" s="68"/>
    </row>
    <row r="354" spans="39:39">
      <c r="AM354" s="68"/>
    </row>
    <row r="355" spans="39:39">
      <c r="AM355" s="68"/>
    </row>
    <row r="356" spans="39:39">
      <c r="AM356" s="68"/>
    </row>
    <row r="357" spans="39:39">
      <c r="AM357" s="68"/>
    </row>
    <row r="358" spans="39:39">
      <c r="AM358" s="68"/>
    </row>
    <row r="359" spans="39:39">
      <c r="AM359" s="68"/>
    </row>
    <row r="360" spans="39:39">
      <c r="AM360" s="68"/>
    </row>
    <row r="361" spans="39:39">
      <c r="AM361" s="68"/>
    </row>
    <row r="362" spans="39:39">
      <c r="AM362" s="68"/>
    </row>
    <row r="363" spans="39:39">
      <c r="AM363" s="68"/>
    </row>
    <row r="364" spans="39:39">
      <c r="AM364" s="68"/>
    </row>
    <row r="365" spans="39:39">
      <c r="AM365" s="68"/>
    </row>
    <row r="366" spans="39:39">
      <c r="AM366" s="68"/>
    </row>
    <row r="367" spans="39:39">
      <c r="AM367" s="68"/>
    </row>
    <row r="368" spans="39:39">
      <c r="AM368" s="68"/>
    </row>
    <row r="369" spans="39:39">
      <c r="AM369" s="68"/>
    </row>
    <row r="370" spans="39:39">
      <c r="AM370" s="68"/>
    </row>
    <row r="371" spans="39:39">
      <c r="AM371" s="68"/>
    </row>
    <row r="372" spans="39:39">
      <c r="AM372" s="68"/>
    </row>
    <row r="373" spans="39:39">
      <c r="AM373" s="68"/>
    </row>
    <row r="374" spans="39:39">
      <c r="AM374" s="68"/>
    </row>
    <row r="375" spans="39:39">
      <c r="AM375" s="68"/>
    </row>
    <row r="376" spans="39:39">
      <c r="AM376" s="68"/>
    </row>
    <row r="377" spans="39:39">
      <c r="AM377" s="68"/>
    </row>
    <row r="378" spans="39:39">
      <c r="AM378" s="68"/>
    </row>
    <row r="379" spans="39:39">
      <c r="AM379" s="68"/>
    </row>
    <row r="380" spans="39:39">
      <c r="AM380" s="68"/>
    </row>
    <row r="381" spans="39:39">
      <c r="AM381" s="68"/>
    </row>
    <row r="382" spans="39:39">
      <c r="AM382" s="68"/>
    </row>
    <row r="383" spans="39:39">
      <c r="AM383" s="68"/>
    </row>
    <row r="384" spans="39:39">
      <c r="AM384" s="68"/>
    </row>
    <row r="385" spans="39:39">
      <c r="AM385" s="68"/>
    </row>
    <row r="386" spans="39:39">
      <c r="AM386" s="68"/>
    </row>
    <row r="387" spans="39:39">
      <c r="AM387" s="68"/>
    </row>
    <row r="388" spans="39:39">
      <c r="AM388" s="68"/>
    </row>
    <row r="389" spans="39:39">
      <c r="AM389" s="68"/>
    </row>
    <row r="390" spans="39:39">
      <c r="AM390" s="68"/>
    </row>
    <row r="391" spans="39:39">
      <c r="AM391" s="68"/>
    </row>
    <row r="392" spans="39:39">
      <c r="AM392" s="68"/>
    </row>
    <row r="393" spans="39:39">
      <c r="AM393" s="68"/>
    </row>
    <row r="394" spans="39:39">
      <c r="AM394" s="68"/>
    </row>
    <row r="395" spans="39:39">
      <c r="AM395" s="68"/>
    </row>
    <row r="396" spans="39:39">
      <c r="AM396" s="68"/>
    </row>
    <row r="397" spans="39:39">
      <c r="AM397" s="68"/>
    </row>
    <row r="398" spans="39:39">
      <c r="AM398" s="68"/>
    </row>
    <row r="399" spans="39:39">
      <c r="AM399" s="68"/>
    </row>
    <row r="400" spans="39:39">
      <c r="AM400" s="68"/>
    </row>
    <row r="401" spans="39:39">
      <c r="AM401" s="68"/>
    </row>
    <row r="402" spans="39:39">
      <c r="AM402" s="68"/>
    </row>
    <row r="403" spans="39:39">
      <c r="AM403" s="68"/>
    </row>
    <row r="404" spans="39:39">
      <c r="AM404" s="68"/>
    </row>
    <row r="405" spans="39:39">
      <c r="AM405" s="68"/>
    </row>
    <row r="406" spans="39:39">
      <c r="AM406" s="68"/>
    </row>
    <row r="407" spans="39:39">
      <c r="AM407" s="68"/>
    </row>
    <row r="408" spans="39:39">
      <c r="AM408" s="68"/>
    </row>
    <row r="409" spans="39:39">
      <c r="AM409" s="68"/>
    </row>
    <row r="410" spans="39:39">
      <c r="AM410" s="68"/>
    </row>
    <row r="411" spans="39:39">
      <c r="AM411" s="68"/>
    </row>
    <row r="412" spans="39:39">
      <c r="AM412" s="68"/>
    </row>
    <row r="413" spans="39:39">
      <c r="AM413" s="68"/>
    </row>
    <row r="414" spans="39:39">
      <c r="AM414" s="68"/>
    </row>
    <row r="415" spans="39:39">
      <c r="AM415" s="68"/>
    </row>
    <row r="416" spans="39:39">
      <c r="AM416" s="68"/>
    </row>
    <row r="417" spans="39:39">
      <c r="AM417" s="68"/>
    </row>
    <row r="418" spans="39:39">
      <c r="AM418" s="68"/>
    </row>
    <row r="419" spans="39:39">
      <c r="AM419" s="68"/>
    </row>
    <row r="420" spans="39:39">
      <c r="AM420" s="68"/>
    </row>
    <row r="421" spans="39:39">
      <c r="AM421" s="68"/>
    </row>
    <row r="422" spans="39:39">
      <c r="AM422" s="68"/>
    </row>
    <row r="423" spans="39:39">
      <c r="AM423" s="68"/>
    </row>
    <row r="424" spans="39:39">
      <c r="AM424" s="68"/>
    </row>
    <row r="425" spans="39:39">
      <c r="AM425" s="68"/>
    </row>
    <row r="426" spans="39:39">
      <c r="AM426" s="68"/>
    </row>
    <row r="427" spans="39:39">
      <c r="AM427" s="68"/>
    </row>
    <row r="428" spans="39:39">
      <c r="AM428" s="68"/>
    </row>
    <row r="429" spans="39:39">
      <c r="AM429" s="68"/>
    </row>
    <row r="430" spans="39:39">
      <c r="AM430" s="68"/>
    </row>
    <row r="431" spans="39:39">
      <c r="AM431" s="68"/>
    </row>
    <row r="432" spans="39:39">
      <c r="AM432" s="68"/>
    </row>
    <row r="433" spans="39:39">
      <c r="AM433" s="68"/>
    </row>
    <row r="434" spans="39:39">
      <c r="AM434" s="68"/>
    </row>
    <row r="435" spans="39:39">
      <c r="AM435" s="68"/>
    </row>
    <row r="436" spans="39:39">
      <c r="AM436" s="68"/>
    </row>
    <row r="437" spans="39:39">
      <c r="AM437" s="68"/>
    </row>
    <row r="438" spans="39:39">
      <c r="AM438" s="68"/>
    </row>
    <row r="439" spans="39:39">
      <c r="AM439" s="68"/>
    </row>
    <row r="440" spans="39:39">
      <c r="AM440" s="68"/>
    </row>
    <row r="441" spans="39:39">
      <c r="AM441" s="68"/>
    </row>
    <row r="442" spans="39:39">
      <c r="AM442" s="68"/>
    </row>
    <row r="443" spans="39:39">
      <c r="AM443" s="68"/>
    </row>
    <row r="444" spans="39:39">
      <c r="AM444" s="68"/>
    </row>
    <row r="445" spans="39:39">
      <c r="AM445" s="68"/>
    </row>
    <row r="446" spans="39:39">
      <c r="AM446" s="68"/>
    </row>
    <row r="447" spans="39:39">
      <c r="AM447" s="68"/>
    </row>
    <row r="448" spans="39:39">
      <c r="AM448" s="68"/>
    </row>
    <row r="449" spans="39:39">
      <c r="AM449" s="68"/>
    </row>
    <row r="450" spans="39:39">
      <c r="AM450" s="68"/>
    </row>
    <row r="451" spans="39:39">
      <c r="AM451" s="68"/>
    </row>
    <row r="452" spans="39:39">
      <c r="AM452" s="68"/>
    </row>
    <row r="453" spans="39:39">
      <c r="AM453" s="68"/>
    </row>
    <row r="454" spans="39:39">
      <c r="AM454" s="68"/>
    </row>
    <row r="455" spans="39:39">
      <c r="AM455" s="68"/>
    </row>
    <row r="456" spans="39:39">
      <c r="AM456" s="68"/>
    </row>
    <row r="457" spans="39:39">
      <c r="AM457" s="68"/>
    </row>
    <row r="458" spans="39:39">
      <c r="AM458" s="68"/>
    </row>
    <row r="459" spans="39:39">
      <c r="AM459" s="68"/>
    </row>
    <row r="460" spans="39:39">
      <c r="AM460" s="68"/>
    </row>
    <row r="461" spans="39:39">
      <c r="AM461" s="68"/>
    </row>
    <row r="462" spans="39:39">
      <c r="AM462" s="68"/>
    </row>
    <row r="463" spans="39:39">
      <c r="AM463" s="68"/>
    </row>
    <row r="464" spans="39:39">
      <c r="AM464" s="68"/>
    </row>
    <row r="465" spans="39:39">
      <c r="AM465" s="68"/>
    </row>
    <row r="466" spans="39:39">
      <c r="AM466" s="68"/>
    </row>
    <row r="467" spans="39:39">
      <c r="AM467" s="68"/>
    </row>
    <row r="468" spans="39:39">
      <c r="AM468" s="68"/>
    </row>
    <row r="469" spans="39:39">
      <c r="AM469" s="68"/>
    </row>
    <row r="470" spans="39:39">
      <c r="AM470" s="68"/>
    </row>
    <row r="471" spans="39:39">
      <c r="AM471" s="68"/>
    </row>
    <row r="472" spans="39:39">
      <c r="AM472" s="68"/>
    </row>
    <row r="473" spans="39:39">
      <c r="AM473" s="68"/>
    </row>
    <row r="474" spans="39:39">
      <c r="AM474" s="68"/>
    </row>
    <row r="475" spans="39:39">
      <c r="AM475" s="68"/>
    </row>
    <row r="476" spans="39:39">
      <c r="AM476" s="68"/>
    </row>
    <row r="477" spans="39:39">
      <c r="AM477" s="68"/>
    </row>
    <row r="478" spans="39:39">
      <c r="AM478" s="68"/>
    </row>
    <row r="479" spans="39:39">
      <c r="AM479" s="68"/>
    </row>
    <row r="480" spans="39:39">
      <c r="AM480" s="68"/>
    </row>
    <row r="481" spans="39:39">
      <c r="AM481" s="68"/>
    </row>
    <row r="482" spans="39:39">
      <c r="AM482" s="68"/>
    </row>
    <row r="483" spans="39:39">
      <c r="AM483" s="68"/>
    </row>
    <row r="484" spans="39:39">
      <c r="AM484" s="68"/>
    </row>
    <row r="485" spans="39:39">
      <c r="AM485" s="68"/>
    </row>
    <row r="486" spans="39:39">
      <c r="AM486" s="68"/>
    </row>
    <row r="487" spans="39:39">
      <c r="AM487" s="68"/>
    </row>
    <row r="488" spans="39:39">
      <c r="AM488" s="68"/>
    </row>
    <row r="489" spans="39:39">
      <c r="AM489" s="68"/>
    </row>
    <row r="490" spans="39:39">
      <c r="AM490" s="68"/>
    </row>
    <row r="491" spans="39:39">
      <c r="AM491" s="68"/>
    </row>
    <row r="492" spans="39:39">
      <c r="AM492" s="68"/>
    </row>
    <row r="493" spans="39:39">
      <c r="AM493" s="68"/>
    </row>
    <row r="494" spans="39:39">
      <c r="AM494" s="68"/>
    </row>
    <row r="495" spans="39:39">
      <c r="AM495" s="68"/>
    </row>
    <row r="496" spans="39:39">
      <c r="AM496" s="68"/>
    </row>
    <row r="497" spans="39:39">
      <c r="AM497" s="68"/>
    </row>
    <row r="498" spans="39:39">
      <c r="AM498" s="68"/>
    </row>
    <row r="499" spans="39:39">
      <c r="AM499" s="68"/>
    </row>
    <row r="500" spans="39:39">
      <c r="AM500" s="68"/>
    </row>
    <row r="501" spans="39:39">
      <c r="AM501" s="68"/>
    </row>
    <row r="502" spans="39:39">
      <c r="AM502" s="68"/>
    </row>
    <row r="503" spans="39:39">
      <c r="AM503" s="68"/>
    </row>
    <row r="504" spans="39:39">
      <c r="AM504" s="68"/>
    </row>
    <row r="505" spans="39:39">
      <c r="AM505" s="68"/>
    </row>
    <row r="506" spans="39:39">
      <c r="AM506" s="68"/>
    </row>
    <row r="507" spans="39:39">
      <c r="AM507" s="68"/>
    </row>
    <row r="508" spans="39:39">
      <c r="AM508" s="68"/>
    </row>
    <row r="509" spans="39:39">
      <c r="AM509" s="68"/>
    </row>
    <row r="510" spans="39:39">
      <c r="AM510" s="68"/>
    </row>
    <row r="511" spans="39:39">
      <c r="AM511" s="68"/>
    </row>
    <row r="512" spans="39:39">
      <c r="AM512" s="68"/>
    </row>
    <row r="513" spans="39:39">
      <c r="AM513" s="68"/>
    </row>
    <row r="514" spans="39:39">
      <c r="AM514" s="68"/>
    </row>
    <row r="515" spans="39:39">
      <c r="AM515" s="68"/>
    </row>
    <row r="516" spans="39:39">
      <c r="AM516" s="68"/>
    </row>
    <row r="517" spans="39:39">
      <c r="AM517" s="68"/>
    </row>
    <row r="518" spans="39:39">
      <c r="AM518" s="68"/>
    </row>
    <row r="519" spans="39:39">
      <c r="AM519" s="68"/>
    </row>
    <row r="520" spans="39:39">
      <c r="AM520" s="68"/>
    </row>
    <row r="521" spans="39:39">
      <c r="AM521" s="68"/>
    </row>
    <row r="522" spans="39:39">
      <c r="AM522" s="68"/>
    </row>
    <row r="523" spans="39:39">
      <c r="AM523" s="68"/>
    </row>
    <row r="524" spans="39:39">
      <c r="AM524" s="68"/>
    </row>
    <row r="525" spans="39:39">
      <c r="AM525" s="68"/>
    </row>
    <row r="526" spans="39:39">
      <c r="AM526" s="68"/>
    </row>
    <row r="527" spans="39:39">
      <c r="AM527" s="68"/>
    </row>
    <row r="528" spans="39:39">
      <c r="AM528" s="68"/>
    </row>
    <row r="529" spans="39:39">
      <c r="AM529" s="68"/>
    </row>
    <row r="530" spans="39:39">
      <c r="AM530" s="68"/>
    </row>
    <row r="531" spans="39:39">
      <c r="AM531" s="68"/>
    </row>
    <row r="532" spans="39:39">
      <c r="AM532" s="68"/>
    </row>
    <row r="533" spans="39:39">
      <c r="AM533" s="68"/>
    </row>
    <row r="534" spans="39:39">
      <c r="AM534" s="68"/>
    </row>
    <row r="535" spans="39:39">
      <c r="AM535" s="68"/>
    </row>
    <row r="536" spans="39:39">
      <c r="AM536" s="68"/>
    </row>
    <row r="537" spans="39:39">
      <c r="AM537" s="68"/>
    </row>
    <row r="538" spans="39:39">
      <c r="AM538" s="68"/>
    </row>
    <row r="539" spans="39:39">
      <c r="AM539" s="68"/>
    </row>
    <row r="540" spans="39:39">
      <c r="AM540" s="68"/>
    </row>
    <row r="541" spans="39:39">
      <c r="AM541" s="68"/>
    </row>
    <row r="542" spans="39:39">
      <c r="AM542" s="68"/>
    </row>
    <row r="543" spans="39:39">
      <c r="AM543" s="68"/>
    </row>
    <row r="544" spans="39:39">
      <c r="AM544" s="68"/>
    </row>
    <row r="545" spans="39:39">
      <c r="AM545" s="68"/>
    </row>
    <row r="546" spans="39:39">
      <c r="AM546" s="68"/>
    </row>
    <row r="547" spans="39:39">
      <c r="AM547" s="68"/>
    </row>
    <row r="548" spans="39:39">
      <c r="AM548" s="68"/>
    </row>
    <row r="549" spans="39:39">
      <c r="AM549" s="68"/>
    </row>
    <row r="550" spans="39:39">
      <c r="AM550" s="68"/>
    </row>
    <row r="551" spans="39:39">
      <c r="AM551" s="68"/>
    </row>
    <row r="552" spans="39:39">
      <c r="AM552" s="68"/>
    </row>
    <row r="553" spans="39:39">
      <c r="AM553" s="68"/>
    </row>
    <row r="554" spans="39:39">
      <c r="AM554" s="68"/>
    </row>
    <row r="555" spans="39:39">
      <c r="AM555" s="68"/>
    </row>
    <row r="556" spans="39:39">
      <c r="AM556" s="68"/>
    </row>
    <row r="557" spans="39:39">
      <c r="AM557" s="68"/>
    </row>
    <row r="558" spans="39:39">
      <c r="AM558" s="68"/>
    </row>
    <row r="559" spans="39:39">
      <c r="AM559" s="68"/>
    </row>
    <row r="560" spans="39:39">
      <c r="AM560" s="68"/>
    </row>
    <row r="561" spans="39:39">
      <c r="AM561" s="68"/>
    </row>
    <row r="562" spans="39:39">
      <c r="AM562" s="68"/>
    </row>
    <row r="563" spans="39:39">
      <c r="AM563" s="68"/>
    </row>
    <row r="564" spans="39:39">
      <c r="AM564" s="68"/>
    </row>
    <row r="565" spans="39:39">
      <c r="AM565" s="68"/>
    </row>
    <row r="566" spans="39:39">
      <c r="AM566" s="68"/>
    </row>
    <row r="567" spans="39:39">
      <c r="AM567" s="68"/>
    </row>
    <row r="568" spans="39:39">
      <c r="AM568" s="68"/>
    </row>
    <row r="569" spans="39:39">
      <c r="AM569" s="68"/>
    </row>
    <row r="570" spans="39:39">
      <c r="AM570" s="68"/>
    </row>
    <row r="571" spans="39:39">
      <c r="AM571" s="68"/>
    </row>
    <row r="572" spans="39:39">
      <c r="AM572" s="68"/>
    </row>
    <row r="573" spans="39:39">
      <c r="AM573" s="68"/>
    </row>
    <row r="574" spans="39:39">
      <c r="AM574" s="68"/>
    </row>
    <row r="575" spans="39:39">
      <c r="AM575" s="68"/>
    </row>
    <row r="576" spans="39:39">
      <c r="AM576" s="68"/>
    </row>
    <row r="577" spans="39:39">
      <c r="AM577" s="68"/>
    </row>
    <row r="578" spans="39:39">
      <c r="AM578" s="68"/>
    </row>
    <row r="579" spans="39:39">
      <c r="AM579" s="68"/>
    </row>
    <row r="580" spans="39:39">
      <c r="AM580" s="68"/>
    </row>
    <row r="581" spans="39:39">
      <c r="AM581" s="68"/>
    </row>
    <row r="582" spans="39:39">
      <c r="AM582" s="68"/>
    </row>
    <row r="583" spans="39:39">
      <c r="AM583" s="68"/>
    </row>
    <row r="584" spans="39:39">
      <c r="AM584" s="68"/>
    </row>
    <row r="585" spans="39:39">
      <c r="AM585" s="68"/>
    </row>
    <row r="586" spans="39:39">
      <c r="AM586" s="68"/>
    </row>
    <row r="587" spans="39:39">
      <c r="AM587" s="68"/>
    </row>
    <row r="588" spans="39:39">
      <c r="AM588" s="68"/>
    </row>
    <row r="589" spans="39:39">
      <c r="AM589" s="68"/>
    </row>
    <row r="590" spans="39:39">
      <c r="AM590" s="68"/>
    </row>
    <row r="591" spans="39:39">
      <c r="AM591" s="68"/>
    </row>
    <row r="592" spans="39:39">
      <c r="AM592" s="68"/>
    </row>
    <row r="593" spans="39:39">
      <c r="AM593" s="68"/>
    </row>
    <row r="594" spans="39:39">
      <c r="AM594" s="68"/>
    </row>
    <row r="595" spans="39:39">
      <c r="AM595" s="68"/>
    </row>
    <row r="596" spans="39:39">
      <c r="AM596" s="68"/>
    </row>
    <row r="597" spans="39:39">
      <c r="AM597" s="68"/>
    </row>
    <row r="598" spans="39:39">
      <c r="AM598" s="68"/>
    </row>
    <row r="599" spans="39:39">
      <c r="AM599" s="68"/>
    </row>
    <row r="600" spans="39:39">
      <c r="AM600" s="68"/>
    </row>
    <row r="601" spans="39:39">
      <c r="AM601" s="68"/>
    </row>
    <row r="602" spans="39:39">
      <c r="AM602" s="68"/>
    </row>
    <row r="603" spans="39:39">
      <c r="AM603" s="68"/>
    </row>
    <row r="604" spans="39:39">
      <c r="AM604" s="68"/>
    </row>
    <row r="605" spans="39:39">
      <c r="AM605" s="68"/>
    </row>
    <row r="606" spans="39:39">
      <c r="AM606" s="68"/>
    </row>
    <row r="607" spans="39:39">
      <c r="AM607" s="68"/>
    </row>
    <row r="608" spans="39:39">
      <c r="AM608" s="68"/>
    </row>
    <row r="609" spans="39:39">
      <c r="AM609" s="68"/>
    </row>
    <row r="610" spans="39:39">
      <c r="AM610" s="68"/>
    </row>
    <row r="611" spans="39:39">
      <c r="AM611" s="68"/>
    </row>
    <row r="612" spans="39:39">
      <c r="AM612" s="68"/>
    </row>
    <row r="613" spans="39:39">
      <c r="AM613" s="68"/>
    </row>
    <row r="614" spans="39:39">
      <c r="AM614" s="68"/>
    </row>
    <row r="615" spans="39:39">
      <c r="AM615" s="68"/>
    </row>
    <row r="616" spans="39:39">
      <c r="AM616" s="68"/>
    </row>
    <row r="617" spans="39:39">
      <c r="AM617" s="68"/>
    </row>
    <row r="618" spans="39:39">
      <c r="AM618" s="68"/>
    </row>
    <row r="619" spans="39:39">
      <c r="AM619" s="68"/>
    </row>
    <row r="620" spans="39:39">
      <c r="AM620" s="68"/>
    </row>
    <row r="621" spans="39:39">
      <c r="AM621" s="68"/>
    </row>
    <row r="622" spans="39:39">
      <c r="AM622" s="68"/>
    </row>
    <row r="623" spans="39:39">
      <c r="AM623" s="68"/>
    </row>
    <row r="624" spans="39:39">
      <c r="AM624" s="68"/>
    </row>
    <row r="625" spans="39:39">
      <c r="AM625" s="68"/>
    </row>
    <row r="626" spans="39:39">
      <c r="AM626" s="68"/>
    </row>
    <row r="627" spans="39:39">
      <c r="AM627" s="68"/>
    </row>
    <row r="628" spans="39:39">
      <c r="AM628" s="68"/>
    </row>
    <row r="629" spans="39:39">
      <c r="AM629" s="68"/>
    </row>
    <row r="630" spans="39:39">
      <c r="AM630" s="68"/>
    </row>
    <row r="631" spans="39:39">
      <c r="AM631" s="68"/>
    </row>
    <row r="632" spans="39:39">
      <c r="AM632" s="68"/>
    </row>
    <row r="633" spans="39:39">
      <c r="AM633" s="68"/>
    </row>
    <row r="634" spans="39:39">
      <c r="AM634" s="68"/>
    </row>
    <row r="635" spans="39:39">
      <c r="AM635" s="68"/>
    </row>
    <row r="636" spans="39:39">
      <c r="AM636" s="68"/>
    </row>
    <row r="637" spans="39:39">
      <c r="AM637" s="68"/>
    </row>
    <row r="638" spans="39:39">
      <c r="AM638" s="68"/>
    </row>
    <row r="639" spans="39:39">
      <c r="AM639" s="68"/>
    </row>
    <row r="640" spans="39:39">
      <c r="AM640" s="68"/>
    </row>
    <row r="641" spans="39:39">
      <c r="AM641" s="68"/>
    </row>
    <row r="642" spans="39:39">
      <c r="AM642" s="68"/>
    </row>
    <row r="643" spans="39:39">
      <c r="AM643" s="68"/>
    </row>
    <row r="644" spans="39:39">
      <c r="AM644" s="68"/>
    </row>
    <row r="645" spans="39:39">
      <c r="AM645" s="68"/>
    </row>
    <row r="646" spans="39:39">
      <c r="AM646" s="68"/>
    </row>
    <row r="647" spans="39:39">
      <c r="AM647" s="68"/>
    </row>
    <row r="648" spans="39:39">
      <c r="AM648" s="68"/>
    </row>
    <row r="649" spans="39:39">
      <c r="AM649" s="68"/>
    </row>
    <row r="650" spans="39:39">
      <c r="AM650" s="68"/>
    </row>
    <row r="651" spans="39:39">
      <c r="AM651" s="68"/>
    </row>
    <row r="652" spans="39:39">
      <c r="AM652" s="68"/>
    </row>
    <row r="653" spans="39:39">
      <c r="AM653" s="68"/>
    </row>
    <row r="654" spans="39:39">
      <c r="AM654" s="68"/>
    </row>
    <row r="655" spans="39:39">
      <c r="AM655" s="68"/>
    </row>
    <row r="656" spans="39:39">
      <c r="AM656" s="68"/>
    </row>
    <row r="657" spans="39:39">
      <c r="AM657" s="68"/>
    </row>
    <row r="658" spans="39:39">
      <c r="AM658" s="68"/>
    </row>
    <row r="659" spans="39:39">
      <c r="AM659" s="68"/>
    </row>
    <row r="660" spans="39:39">
      <c r="AM660" s="68"/>
    </row>
    <row r="661" spans="39:39">
      <c r="AM661" s="68"/>
    </row>
    <row r="662" spans="39:39">
      <c r="AM662" s="68"/>
    </row>
    <row r="663" spans="39:39">
      <c r="AM663" s="68"/>
    </row>
    <row r="664" spans="39:39">
      <c r="AM664" s="68"/>
    </row>
    <row r="665" spans="39:39">
      <c r="AM665" s="68"/>
    </row>
    <row r="666" spans="39:39">
      <c r="AM666" s="68"/>
    </row>
    <row r="667" spans="39:39">
      <c r="AM667" s="68"/>
    </row>
    <row r="668" spans="39:39">
      <c r="AM668" s="68"/>
    </row>
    <row r="669" spans="39:39">
      <c r="AM669" s="68"/>
    </row>
    <row r="670" spans="39:39">
      <c r="AM670" s="68"/>
    </row>
    <row r="671" spans="39:39">
      <c r="AM671" s="68"/>
    </row>
    <row r="672" spans="39:39">
      <c r="AM672" s="68"/>
    </row>
    <row r="673" spans="39:39">
      <c r="AM673" s="68"/>
    </row>
    <row r="674" spans="39:39">
      <c r="AM674" s="68"/>
    </row>
    <row r="675" spans="39:39">
      <c r="AM675" s="68"/>
    </row>
    <row r="676" spans="39:39">
      <c r="AM676" s="68"/>
    </row>
    <row r="677" spans="39:39">
      <c r="AM677" s="68"/>
    </row>
    <row r="678" spans="39:39">
      <c r="AM678" s="68"/>
    </row>
    <row r="679" spans="39:39">
      <c r="AM679" s="68"/>
    </row>
    <row r="680" spans="39:39">
      <c r="AM680" s="68"/>
    </row>
    <row r="681" spans="39:39">
      <c r="AM681" s="68"/>
    </row>
    <row r="682" spans="39:39">
      <c r="AM682" s="68"/>
    </row>
    <row r="683" spans="39:39">
      <c r="AM683" s="68"/>
    </row>
    <row r="684" spans="39:39">
      <c r="AM684" s="68"/>
    </row>
    <row r="685" spans="39:39">
      <c r="AM685" s="68"/>
    </row>
    <row r="686" spans="39:39">
      <c r="AM686" s="68"/>
    </row>
    <row r="687" spans="39:39">
      <c r="AM687" s="68"/>
    </row>
    <row r="688" spans="39:39">
      <c r="AM688" s="68"/>
    </row>
    <row r="689" spans="39:39">
      <c r="AM689" s="68"/>
    </row>
    <row r="690" spans="39:39">
      <c r="AM690" s="68"/>
    </row>
    <row r="691" spans="39:39">
      <c r="AM691" s="68"/>
    </row>
    <row r="692" spans="39:39">
      <c r="AM692" s="68"/>
    </row>
    <row r="693" spans="39:39">
      <c r="AM693" s="68"/>
    </row>
    <row r="694" spans="39:39">
      <c r="AM694" s="68"/>
    </row>
    <row r="695" spans="39:39">
      <c r="AM695" s="68"/>
    </row>
    <row r="696" spans="39:39">
      <c r="AM696" s="68"/>
    </row>
    <row r="697" spans="39:39">
      <c r="AM697" s="68"/>
    </row>
    <row r="698" spans="39:39">
      <c r="AM698" s="68"/>
    </row>
    <row r="699" spans="39:39">
      <c r="AM699" s="68"/>
    </row>
    <row r="700" spans="39:39">
      <c r="AM700" s="68"/>
    </row>
    <row r="701" spans="39:39">
      <c r="AM701" s="68"/>
    </row>
    <row r="702" spans="39:39">
      <c r="AM702" s="68"/>
    </row>
    <row r="703" spans="39:39">
      <c r="AM703" s="68"/>
    </row>
    <row r="704" spans="39:39">
      <c r="AM704" s="68"/>
    </row>
    <row r="705" spans="39:39">
      <c r="AM705" s="68"/>
    </row>
    <row r="706" spans="39:39">
      <c r="AM706" s="68"/>
    </row>
    <row r="707" spans="39:39">
      <c r="AM707" s="68"/>
    </row>
    <row r="708" spans="39:39">
      <c r="AM708" s="68"/>
    </row>
    <row r="709" spans="39:39">
      <c r="AM709" s="68"/>
    </row>
    <row r="710" spans="39:39">
      <c r="AM710" s="68"/>
    </row>
    <row r="711" spans="39:39">
      <c r="AM711" s="68"/>
    </row>
    <row r="712" spans="39:39">
      <c r="AM712" s="68"/>
    </row>
    <row r="713" spans="39:39">
      <c r="AM713" s="68"/>
    </row>
    <row r="714" spans="39:39">
      <c r="AM714" s="68"/>
    </row>
    <row r="715" spans="39:39">
      <c r="AM715" s="68"/>
    </row>
    <row r="716" spans="39:39">
      <c r="AM716" s="68"/>
    </row>
    <row r="717" spans="39:39">
      <c r="AM717" s="68"/>
    </row>
    <row r="718" spans="39:39">
      <c r="AM718" s="68"/>
    </row>
    <row r="719" spans="39:39">
      <c r="AM719" s="68"/>
    </row>
    <row r="720" spans="39:39">
      <c r="AM720" s="68"/>
    </row>
    <row r="721" spans="39:39">
      <c r="AM721" s="68"/>
    </row>
    <row r="722" spans="39:39">
      <c r="AM722" s="68"/>
    </row>
    <row r="723" spans="39:39">
      <c r="AM723" s="68"/>
    </row>
    <row r="724" spans="39:39">
      <c r="AM724" s="68"/>
    </row>
    <row r="725" spans="39:39">
      <c r="AM725" s="68"/>
    </row>
    <row r="726" spans="39:39">
      <c r="AM726" s="68"/>
    </row>
    <row r="727" spans="39:39">
      <c r="AM727" s="68"/>
    </row>
    <row r="728" spans="39:39">
      <c r="AM728" s="68"/>
    </row>
    <row r="729" spans="39:39">
      <c r="AM729" s="68"/>
    </row>
    <row r="730" spans="39:39">
      <c r="AM730" s="68"/>
    </row>
    <row r="731" spans="39:39">
      <c r="AM731" s="68"/>
    </row>
    <row r="732" spans="39:39">
      <c r="AM732" s="68"/>
    </row>
    <row r="733" spans="39:39">
      <c r="AM733" s="68"/>
    </row>
    <row r="734" spans="39:39">
      <c r="AM734" s="68"/>
    </row>
    <row r="735" spans="39:39">
      <c r="AM735" s="68"/>
    </row>
    <row r="736" spans="39:39">
      <c r="AM736" s="68"/>
    </row>
    <row r="737" spans="39:39">
      <c r="AM737" s="68"/>
    </row>
    <row r="738" spans="39:39">
      <c r="AM738" s="68"/>
    </row>
    <row r="739" spans="39:39">
      <c r="AM739" s="68"/>
    </row>
    <row r="740" spans="39:39">
      <c r="AM740" s="68"/>
    </row>
    <row r="741" spans="39:39">
      <c r="AM741" s="68"/>
    </row>
    <row r="742" spans="39:39">
      <c r="AM742" s="68"/>
    </row>
    <row r="743" spans="39:39">
      <c r="AM743" s="68"/>
    </row>
    <row r="744" spans="39:39">
      <c r="AM744" s="68"/>
    </row>
    <row r="745" spans="39:39">
      <c r="AM745" s="68"/>
    </row>
    <row r="746" spans="39:39">
      <c r="AM746" s="68"/>
    </row>
    <row r="747" spans="39:39">
      <c r="AM747" s="68"/>
    </row>
    <row r="748" spans="39:39">
      <c r="AM748" s="68"/>
    </row>
    <row r="749" spans="39:39">
      <c r="AM749" s="68"/>
    </row>
    <row r="750" spans="39:39">
      <c r="AM750" s="68"/>
    </row>
    <row r="751" spans="39:39">
      <c r="AM751" s="68"/>
    </row>
    <row r="752" spans="39:39">
      <c r="AM752" s="68"/>
    </row>
    <row r="753" spans="39:39">
      <c r="AM753" s="68"/>
    </row>
    <row r="754" spans="39:39">
      <c r="AM754" s="68"/>
    </row>
    <row r="755" spans="39:39">
      <c r="AM755" s="68"/>
    </row>
    <row r="756" spans="39:39">
      <c r="AM756" s="68"/>
    </row>
    <row r="757" spans="39:39">
      <c r="AM757" s="68"/>
    </row>
    <row r="758" spans="39:39">
      <c r="AM758" s="68"/>
    </row>
    <row r="759" spans="39:39">
      <c r="AM759" s="68"/>
    </row>
    <row r="760" spans="39:39">
      <c r="AM760" s="68"/>
    </row>
    <row r="761" spans="39:39">
      <c r="AM761" s="68"/>
    </row>
    <row r="762" spans="39:39">
      <c r="AM762" s="68"/>
    </row>
    <row r="763" spans="39:39">
      <c r="AM763" s="68"/>
    </row>
    <row r="764" spans="39:39">
      <c r="AM764" s="68"/>
    </row>
    <row r="765" spans="39:39">
      <c r="AM765" s="68"/>
    </row>
    <row r="766" spans="39:39">
      <c r="AM766" s="68"/>
    </row>
    <row r="767" spans="39:39">
      <c r="AM767" s="68"/>
    </row>
    <row r="768" spans="39:39">
      <c r="AM768" s="68"/>
    </row>
    <row r="769" spans="39:39">
      <c r="AM769" s="68"/>
    </row>
    <row r="770" spans="39:39">
      <c r="AM770" s="68"/>
    </row>
    <row r="771" spans="39:39">
      <c r="AM771" s="68"/>
    </row>
    <row r="772" spans="39:39">
      <c r="AM772" s="68"/>
    </row>
    <row r="773" spans="39:39">
      <c r="AM773" s="68"/>
    </row>
    <row r="774" spans="39:39">
      <c r="AM774" s="68"/>
    </row>
    <row r="775" spans="39:39">
      <c r="AM775" s="68"/>
    </row>
    <row r="776" spans="39:39">
      <c r="AM776" s="68"/>
    </row>
    <row r="777" spans="39:39">
      <c r="AM777" s="68"/>
    </row>
    <row r="778" spans="39:39">
      <c r="AM778" s="68"/>
    </row>
    <row r="779" spans="39:39">
      <c r="AM779" s="68"/>
    </row>
    <row r="780" spans="39:39">
      <c r="AM780" s="68"/>
    </row>
    <row r="781" spans="39:39">
      <c r="AM781" s="68"/>
    </row>
    <row r="782" spans="39:39">
      <c r="AM782" s="68"/>
    </row>
    <row r="783" spans="39:39">
      <c r="AM783" s="68"/>
    </row>
    <row r="784" spans="39:39">
      <c r="AM784" s="68"/>
    </row>
    <row r="785" spans="39:39">
      <c r="AM785" s="68"/>
    </row>
    <row r="786" spans="39:39">
      <c r="AM786" s="68"/>
    </row>
    <row r="787" spans="39:39">
      <c r="AM787" s="68"/>
    </row>
    <row r="788" spans="39:39">
      <c r="AM788" s="68"/>
    </row>
    <row r="789" spans="39:39">
      <c r="AM789" s="68"/>
    </row>
    <row r="790" spans="39:39">
      <c r="AM790" s="68"/>
    </row>
    <row r="791" spans="39:39">
      <c r="AM791" s="68"/>
    </row>
    <row r="792" spans="39:39">
      <c r="AM792" s="68"/>
    </row>
    <row r="793" spans="39:39">
      <c r="AM793" s="68"/>
    </row>
    <row r="794" spans="39:39">
      <c r="AM794" s="68"/>
    </row>
    <row r="795" spans="39:39">
      <c r="AM795" s="68"/>
    </row>
    <row r="796" spans="39:39">
      <c r="AM796" s="68"/>
    </row>
    <row r="797" spans="39:39">
      <c r="AM797" s="68"/>
    </row>
    <row r="798" spans="39:39">
      <c r="AM798" s="68"/>
    </row>
    <row r="799" spans="39:39">
      <c r="AM799" s="68"/>
    </row>
    <row r="800" spans="39:39">
      <c r="AM800" s="68"/>
    </row>
    <row r="801" spans="39:39">
      <c r="AM801" s="68"/>
    </row>
    <row r="802" spans="39:39">
      <c r="AM802" s="68"/>
    </row>
    <row r="803" spans="39:39">
      <c r="AM803" s="68"/>
    </row>
    <row r="804" spans="39:39">
      <c r="AM804" s="68"/>
    </row>
    <row r="805" spans="39:39">
      <c r="AM805" s="68"/>
    </row>
    <row r="806" spans="39:39">
      <c r="AM806" s="68"/>
    </row>
    <row r="807" spans="39:39">
      <c r="AM807" s="68"/>
    </row>
    <row r="808" spans="39:39">
      <c r="AM808" s="68"/>
    </row>
    <row r="809" spans="39:39">
      <c r="AM809" s="68"/>
    </row>
    <row r="810" spans="39:39">
      <c r="AM810" s="68"/>
    </row>
    <row r="811" spans="39:39">
      <c r="AM811" s="68"/>
    </row>
    <row r="812" spans="39:39">
      <c r="AM812" s="68"/>
    </row>
    <row r="813" spans="39:39">
      <c r="AM813" s="68"/>
    </row>
    <row r="814" spans="39:39">
      <c r="AM814" s="68"/>
    </row>
    <row r="815" spans="39:39">
      <c r="AM815" s="68"/>
    </row>
    <row r="816" spans="39:39">
      <c r="AM816" s="68"/>
    </row>
    <row r="817" spans="39:39">
      <c r="AM817" s="68"/>
    </row>
    <row r="818" spans="39:39">
      <c r="AM818" s="68"/>
    </row>
    <row r="819" spans="39:39">
      <c r="AM819" s="68"/>
    </row>
    <row r="820" spans="39:39">
      <c r="AM820" s="68"/>
    </row>
    <row r="821" spans="39:39">
      <c r="AM821" s="68"/>
    </row>
    <row r="822" spans="39:39">
      <c r="AM822" s="68"/>
    </row>
    <row r="823" spans="39:39">
      <c r="AM823" s="68"/>
    </row>
    <row r="824" spans="39:39">
      <c r="AM824" s="68"/>
    </row>
    <row r="825" spans="39:39">
      <c r="AM825" s="68"/>
    </row>
    <row r="826" spans="39:39">
      <c r="AM826" s="68"/>
    </row>
    <row r="827" spans="39:39">
      <c r="AM827" s="68"/>
    </row>
    <row r="828" spans="39:39">
      <c r="AM828" s="68"/>
    </row>
    <row r="829" spans="39:39">
      <c r="AM829" s="68"/>
    </row>
    <row r="830" spans="39:39">
      <c r="AM830" s="68"/>
    </row>
    <row r="831" spans="39:39">
      <c r="AM831" s="68"/>
    </row>
    <row r="832" spans="39:39">
      <c r="AM832" s="68"/>
    </row>
    <row r="833" spans="39:39">
      <c r="AM833" s="68"/>
    </row>
    <row r="834" spans="39:39">
      <c r="AM834" s="68"/>
    </row>
    <row r="835" spans="39:39">
      <c r="AM835" s="68"/>
    </row>
    <row r="836" spans="39:39">
      <c r="AM836" s="68"/>
    </row>
    <row r="837" spans="39:39">
      <c r="AM837" s="68"/>
    </row>
    <row r="838" spans="39:39">
      <c r="AM838" s="68"/>
    </row>
    <row r="839" spans="39:39">
      <c r="AM839" s="68"/>
    </row>
    <row r="840" spans="39:39">
      <c r="AM840" s="68"/>
    </row>
    <row r="841" spans="39:39">
      <c r="AM841" s="68"/>
    </row>
    <row r="842" spans="39:39">
      <c r="AM842" s="68"/>
    </row>
    <row r="843" spans="39:39">
      <c r="AM843" s="68"/>
    </row>
    <row r="844" spans="39:39">
      <c r="AM844" s="68"/>
    </row>
    <row r="845" spans="39:39">
      <c r="AM845" s="68"/>
    </row>
    <row r="846" spans="39:39">
      <c r="AM846" s="68"/>
    </row>
    <row r="847" spans="39:39">
      <c r="AM847" s="68"/>
    </row>
    <row r="848" spans="39:39">
      <c r="AM848" s="68"/>
    </row>
    <row r="849" spans="39:39">
      <c r="AM849" s="68"/>
    </row>
    <row r="850" spans="39:39">
      <c r="AM850" s="68"/>
    </row>
    <row r="851" spans="39:39">
      <c r="AM851" s="68"/>
    </row>
    <row r="852" spans="39:39">
      <c r="AM852" s="68"/>
    </row>
    <row r="853" spans="39:39">
      <c r="AM853" s="68"/>
    </row>
    <row r="854" spans="39:39">
      <c r="AM854" s="68"/>
    </row>
    <row r="855" spans="39:39">
      <c r="AM855" s="68"/>
    </row>
    <row r="856" spans="39:39">
      <c r="AM856" s="68"/>
    </row>
    <row r="857" spans="39:39">
      <c r="AM857" s="68"/>
    </row>
    <row r="858" spans="39:39">
      <c r="AM858" s="68"/>
    </row>
    <row r="859" spans="39:39">
      <c r="AM859" s="68"/>
    </row>
    <row r="860" spans="39:39">
      <c r="AM860" s="68"/>
    </row>
    <row r="861" spans="39:39">
      <c r="AM861" s="68"/>
    </row>
    <row r="862" spans="39:39">
      <c r="AM862" s="68"/>
    </row>
    <row r="863" spans="39:39">
      <c r="AM863" s="68"/>
    </row>
    <row r="864" spans="39:39">
      <c r="AM864" s="68"/>
    </row>
    <row r="865" spans="39:39">
      <c r="AM865" s="68"/>
    </row>
    <row r="866" spans="39:39">
      <c r="AM866" s="68"/>
    </row>
    <row r="867" spans="39:39">
      <c r="AM867" s="68"/>
    </row>
    <row r="868" spans="39:39">
      <c r="AM868" s="68"/>
    </row>
    <row r="869" spans="39:39">
      <c r="AM869" s="68"/>
    </row>
    <row r="870" spans="39:39">
      <c r="AM870" s="68"/>
    </row>
    <row r="871" spans="39:39">
      <c r="AM871" s="68"/>
    </row>
    <row r="872" spans="39:39">
      <c r="AM872" s="68"/>
    </row>
    <row r="873" spans="39:39">
      <c r="AM873" s="68"/>
    </row>
    <row r="874" spans="39:39">
      <c r="AM874" s="68"/>
    </row>
    <row r="875" spans="39:39">
      <c r="AM875" s="68"/>
    </row>
    <row r="876" spans="39:39">
      <c r="AM876" s="68"/>
    </row>
    <row r="877" spans="39:39">
      <c r="AM877" s="68"/>
    </row>
    <row r="878" spans="39:39">
      <c r="AM878" s="68"/>
    </row>
    <row r="879" spans="39:39">
      <c r="AM879" s="68"/>
    </row>
    <row r="880" spans="39:39">
      <c r="AM880" s="68"/>
    </row>
    <row r="881" spans="39:39">
      <c r="AM881" s="68"/>
    </row>
    <row r="882" spans="39:39">
      <c r="AM882" s="68"/>
    </row>
    <row r="883" spans="39:39">
      <c r="AM883" s="68"/>
    </row>
    <row r="884" spans="39:39">
      <c r="AM884" s="68"/>
    </row>
    <row r="885" spans="39:39">
      <c r="AM885" s="68"/>
    </row>
    <row r="886" spans="39:39">
      <c r="AM886" s="68"/>
    </row>
    <row r="887" spans="39:39">
      <c r="AM887" s="68"/>
    </row>
    <row r="888" spans="39:39">
      <c r="AM888" s="68"/>
    </row>
    <row r="889" spans="39:39">
      <c r="AM889" s="68"/>
    </row>
    <row r="890" spans="39:39">
      <c r="AM890" s="68"/>
    </row>
    <row r="891" spans="39:39">
      <c r="AM891" s="68"/>
    </row>
    <row r="892" spans="39:39">
      <c r="AM892" s="68"/>
    </row>
    <row r="893" spans="39:39">
      <c r="AM893" s="68"/>
    </row>
    <row r="894" spans="39:39">
      <c r="AM894" s="68"/>
    </row>
    <row r="895" spans="39:39">
      <c r="AM895" s="68"/>
    </row>
    <row r="896" spans="39:39">
      <c r="AM896" s="68"/>
    </row>
    <row r="897" spans="39:39">
      <c r="AM897" s="68"/>
    </row>
    <row r="898" spans="39:39">
      <c r="AM898" s="68"/>
    </row>
    <row r="899" spans="39:39">
      <c r="AM899" s="68"/>
    </row>
    <row r="900" spans="39:39">
      <c r="AM900" s="68"/>
    </row>
    <row r="901" spans="39:39">
      <c r="AM901" s="68"/>
    </row>
    <row r="902" spans="39:39">
      <c r="AM902" s="68"/>
    </row>
    <row r="903" spans="39:39">
      <c r="AM903" s="68"/>
    </row>
    <row r="904" spans="39:39">
      <c r="AM904" s="68"/>
    </row>
    <row r="905" spans="39:39">
      <c r="AM905" s="68"/>
    </row>
    <row r="906" spans="39:39">
      <c r="AM906" s="68"/>
    </row>
    <row r="907" spans="39:39">
      <c r="AM907" s="68"/>
    </row>
    <row r="908" spans="39:39">
      <c r="AM908" s="68"/>
    </row>
    <row r="909" spans="39:39">
      <c r="AM909" s="68"/>
    </row>
    <row r="910" spans="39:39">
      <c r="AM910" s="68"/>
    </row>
    <row r="911" spans="39:39">
      <c r="AM911" s="68"/>
    </row>
    <row r="912" spans="39:39">
      <c r="AM912" s="68"/>
    </row>
    <row r="913" spans="39:39">
      <c r="AM913" s="68"/>
    </row>
    <row r="914" spans="39:39">
      <c r="AM914" s="68"/>
    </row>
    <row r="915" spans="39:39">
      <c r="AM915" s="68"/>
    </row>
    <row r="916" spans="39:39">
      <c r="AM916" s="68"/>
    </row>
    <row r="917" spans="39:39">
      <c r="AM917" s="68"/>
    </row>
    <row r="918" spans="39:39">
      <c r="AM918" s="68"/>
    </row>
    <row r="919" spans="39:39">
      <c r="AM919" s="68"/>
    </row>
    <row r="920" spans="39:39">
      <c r="AM920" s="68"/>
    </row>
    <row r="921" spans="39:39">
      <c r="AM921" s="68"/>
    </row>
    <row r="922" spans="39:39">
      <c r="AM922" s="68"/>
    </row>
    <row r="923" spans="39:39">
      <c r="AM923" s="68"/>
    </row>
    <row r="924" spans="39:39">
      <c r="AM924" s="68"/>
    </row>
    <row r="925" spans="39:39">
      <c r="AM925" s="68"/>
    </row>
    <row r="926" spans="39:39">
      <c r="AM926" s="68"/>
    </row>
    <row r="927" spans="39:39">
      <c r="AM927" s="68"/>
    </row>
    <row r="928" spans="39:39">
      <c r="AM928" s="68"/>
    </row>
    <row r="929" spans="39:39">
      <c r="AM929" s="68"/>
    </row>
    <row r="930" spans="39:39">
      <c r="AM930" s="68"/>
    </row>
    <row r="931" spans="39:39">
      <c r="AM931" s="68"/>
    </row>
    <row r="932" spans="39:39">
      <c r="AM932" s="68"/>
    </row>
    <row r="933" spans="39:39">
      <c r="AM933" s="68"/>
    </row>
    <row r="934" spans="39:39">
      <c r="AM934" s="68"/>
    </row>
    <row r="935" spans="39:39">
      <c r="AM935" s="68"/>
    </row>
    <row r="936" spans="39:39">
      <c r="AM936" s="68"/>
    </row>
    <row r="937" spans="39:39">
      <c r="AM937" s="68"/>
    </row>
    <row r="938" spans="39:39">
      <c r="AM938" s="68"/>
    </row>
    <row r="939" spans="39:39">
      <c r="AM939" s="68"/>
    </row>
    <row r="940" spans="39:39">
      <c r="AM940" s="68"/>
    </row>
    <row r="941" spans="39:39">
      <c r="AM941" s="68"/>
    </row>
    <row r="942" spans="39:39">
      <c r="AM942" s="68"/>
    </row>
    <row r="943" spans="39:39">
      <c r="AM943" s="68"/>
    </row>
    <row r="944" spans="39:39">
      <c r="AM944" s="68"/>
    </row>
    <row r="945" spans="39:39">
      <c r="AM945" s="68"/>
    </row>
    <row r="946" spans="39:39">
      <c r="AM946" s="68"/>
    </row>
    <row r="947" spans="39:39">
      <c r="AM947" s="68"/>
    </row>
    <row r="948" spans="39:39">
      <c r="AM948" s="68"/>
    </row>
    <row r="949" spans="39:39">
      <c r="AM949" s="68"/>
    </row>
    <row r="950" spans="39:39">
      <c r="AM950" s="68"/>
    </row>
    <row r="951" spans="39:39">
      <c r="AM951" s="68"/>
    </row>
    <row r="952" spans="39:39">
      <c r="AM952" s="68"/>
    </row>
    <row r="953" spans="39:39">
      <c r="AM953" s="68"/>
    </row>
    <row r="954" spans="39:39">
      <c r="AM954" s="68"/>
    </row>
    <row r="955" spans="39:39">
      <c r="AM955" s="68"/>
    </row>
    <row r="956" spans="39:39">
      <c r="AM956" s="68"/>
    </row>
    <row r="957" spans="39:39">
      <c r="AM957" s="68"/>
    </row>
    <row r="958" spans="39:39">
      <c r="AM958" s="68"/>
    </row>
    <row r="959" spans="39:39">
      <c r="AM959" s="68"/>
    </row>
    <row r="960" spans="39:39">
      <c r="AM960" s="68"/>
    </row>
    <row r="961" spans="39:39">
      <c r="AM961" s="68"/>
    </row>
    <row r="962" spans="39:39">
      <c r="AM962" s="68"/>
    </row>
    <row r="963" spans="39:39">
      <c r="AM963" s="68"/>
    </row>
    <row r="964" spans="39:39">
      <c r="AM964" s="68"/>
    </row>
    <row r="965" spans="39:39">
      <c r="AM965" s="68"/>
    </row>
    <row r="966" spans="39:39">
      <c r="AM966" s="68"/>
    </row>
    <row r="967" spans="39:39">
      <c r="AM967" s="68"/>
    </row>
    <row r="968" spans="39:39">
      <c r="AM968" s="68"/>
    </row>
    <row r="969" spans="39:39">
      <c r="AM969" s="68"/>
    </row>
    <row r="970" spans="39:39">
      <c r="AM970" s="68"/>
    </row>
    <row r="971" spans="39:39">
      <c r="AM971" s="68"/>
    </row>
    <row r="972" spans="39:39">
      <c r="AM972" s="68"/>
    </row>
    <row r="973" spans="39:39">
      <c r="AM973" s="68"/>
    </row>
    <row r="974" spans="39:39">
      <c r="AM974" s="68"/>
    </row>
    <row r="975" spans="39:39">
      <c r="AM975" s="68"/>
    </row>
    <row r="976" spans="39:39">
      <c r="AM976" s="68"/>
    </row>
    <row r="977" spans="39:39">
      <c r="AM977" s="68"/>
    </row>
    <row r="978" spans="39:39">
      <c r="AM978" s="68"/>
    </row>
    <row r="979" spans="39:39">
      <c r="AM979" s="68"/>
    </row>
    <row r="980" spans="39:39">
      <c r="AM980" s="68"/>
    </row>
    <row r="981" spans="39:39">
      <c r="AM981" s="68"/>
    </row>
    <row r="982" spans="39:39">
      <c r="AM982" s="68"/>
    </row>
    <row r="983" spans="39:39">
      <c r="AM983" s="68"/>
    </row>
    <row r="984" spans="39:39">
      <c r="AM984" s="68"/>
    </row>
    <row r="985" spans="39:39">
      <c r="AM985" s="68"/>
    </row>
    <row r="986" spans="39:39">
      <c r="AM986" s="68"/>
    </row>
    <row r="987" spans="39:39">
      <c r="AM987" s="68"/>
    </row>
    <row r="988" spans="39:39">
      <c r="AM988" s="68"/>
    </row>
    <row r="989" spans="39:39">
      <c r="AM989" s="68"/>
    </row>
    <row r="990" spans="39:39">
      <c r="AM990" s="68"/>
    </row>
    <row r="991" spans="39:39">
      <c r="AM991" s="68"/>
    </row>
    <row r="992" spans="39:39">
      <c r="AM992" s="68"/>
    </row>
    <row r="993" spans="39:39">
      <c r="AM993" s="68"/>
    </row>
    <row r="994" spans="39:39">
      <c r="AM994" s="68"/>
    </row>
    <row r="995" spans="39:39">
      <c r="AM995" s="68"/>
    </row>
    <row r="996" spans="39:39">
      <c r="AM996" s="68"/>
    </row>
    <row r="997" spans="39:39">
      <c r="AM997" s="68"/>
    </row>
    <row r="998" spans="39:39">
      <c r="AM998" s="68"/>
    </row>
    <row r="999" spans="39:39">
      <c r="AM999" s="68"/>
    </row>
    <row r="1000" spans="39:39">
      <c r="AM1000" s="68"/>
    </row>
    <row r="1001" spans="39:39">
      <c r="AM1001" s="68"/>
    </row>
    <row r="1002" spans="39:39">
      <c r="AM1002" s="68"/>
    </row>
    <row r="1003" spans="39:39">
      <c r="AM1003" s="68"/>
    </row>
    <row r="1004" spans="39:39">
      <c r="AM1004" s="68"/>
    </row>
    <row r="1005" spans="39:39">
      <c r="AM1005" s="68"/>
    </row>
    <row r="1006" spans="39:39">
      <c r="AM1006" s="68"/>
    </row>
    <row r="1007" spans="39:39">
      <c r="AM1007" s="68"/>
    </row>
    <row r="1008" spans="39:39">
      <c r="AM1008" s="68"/>
    </row>
    <row r="1009" spans="39:39">
      <c r="AM1009" s="68"/>
    </row>
    <row r="1010" spans="39:39">
      <c r="AM1010" s="68"/>
    </row>
    <row r="1011" spans="39:39">
      <c r="AM1011" s="68"/>
    </row>
    <row r="1012" spans="39:39">
      <c r="AM1012" s="68"/>
    </row>
    <row r="1013" spans="39:39">
      <c r="AM1013" s="68"/>
    </row>
    <row r="1014" spans="39:39">
      <c r="AM1014" s="68"/>
    </row>
    <row r="1015" spans="39:39">
      <c r="AM1015" s="68"/>
    </row>
    <row r="1016" spans="39:39">
      <c r="AM1016" s="68"/>
    </row>
    <row r="1017" spans="39:39">
      <c r="AM1017" s="68"/>
    </row>
    <row r="1018" spans="39:39">
      <c r="AM1018" s="68"/>
    </row>
    <row r="1019" spans="39:39">
      <c r="AM1019" s="68"/>
    </row>
    <row r="1020" spans="39:39">
      <c r="AM1020" s="68"/>
    </row>
    <row r="1021" spans="39:39">
      <c r="AM1021" s="68"/>
    </row>
    <row r="1022" spans="39:39">
      <c r="AM1022" s="68"/>
    </row>
    <row r="1023" spans="39:39">
      <c r="AM1023" s="68"/>
    </row>
    <row r="1024" spans="39:39">
      <c r="AM1024" s="68"/>
    </row>
    <row r="1025" spans="39:39">
      <c r="AM1025" s="68"/>
    </row>
    <row r="1026" spans="39:39">
      <c r="AM1026" s="68"/>
    </row>
    <row r="1027" spans="39:39">
      <c r="AM1027" s="68"/>
    </row>
    <row r="1028" spans="39:39">
      <c r="AM1028" s="68"/>
    </row>
    <row r="1029" spans="39:39">
      <c r="AM1029" s="68"/>
    </row>
    <row r="1030" spans="39:39">
      <c r="AM1030" s="68"/>
    </row>
    <row r="1031" spans="39:39">
      <c r="AM1031" s="68"/>
    </row>
    <row r="1032" spans="39:39">
      <c r="AM1032" s="68"/>
    </row>
    <row r="1033" spans="39:39">
      <c r="AM1033" s="68"/>
    </row>
    <row r="1034" spans="39:39">
      <c r="AM1034" s="68"/>
    </row>
    <row r="1035" spans="39:39">
      <c r="AM1035" s="68"/>
    </row>
    <row r="1036" spans="39:39">
      <c r="AM1036" s="68"/>
    </row>
    <row r="1037" spans="39:39">
      <c r="AM1037" s="68"/>
    </row>
    <row r="1038" spans="39:39">
      <c r="AM1038" s="68"/>
    </row>
    <row r="1039" spans="39:39">
      <c r="AM1039" s="68"/>
    </row>
    <row r="1040" spans="39:39">
      <c r="AM1040" s="68"/>
    </row>
    <row r="1041" spans="39:39">
      <c r="AM1041" s="68"/>
    </row>
    <row r="1042" spans="39:39">
      <c r="AM1042" s="68"/>
    </row>
    <row r="1043" spans="39:39">
      <c r="AM1043" s="68"/>
    </row>
    <row r="1044" spans="39:39">
      <c r="AM1044" s="68"/>
    </row>
    <row r="1045" spans="39:39">
      <c r="AM1045" s="68"/>
    </row>
    <row r="1046" spans="39:39">
      <c r="AM1046" s="68"/>
    </row>
    <row r="1047" spans="39:39">
      <c r="AM1047" s="68"/>
    </row>
    <row r="1048" spans="39:39">
      <c r="AM1048" s="68"/>
    </row>
    <row r="1049" spans="39:39">
      <c r="AM1049" s="68"/>
    </row>
    <row r="1050" spans="39:39">
      <c r="AM1050" s="68"/>
    </row>
    <row r="1051" spans="39:39">
      <c r="AM1051" s="68"/>
    </row>
    <row r="1052" spans="39:39">
      <c r="AM1052" s="68"/>
    </row>
    <row r="1053" spans="39:39">
      <c r="AM1053" s="68"/>
    </row>
    <row r="1054" spans="39:39">
      <c r="AM1054" s="68"/>
    </row>
    <row r="1055" spans="39:39">
      <c r="AM1055" s="68"/>
    </row>
    <row r="1056" spans="39:39">
      <c r="AM1056" s="68"/>
    </row>
    <row r="1057" spans="39:39">
      <c r="AM1057" s="68"/>
    </row>
    <row r="1058" spans="39:39">
      <c r="AM1058" s="68"/>
    </row>
    <row r="1059" spans="39:39">
      <c r="AM1059" s="68"/>
    </row>
    <row r="1060" spans="39:39">
      <c r="AM1060" s="68"/>
    </row>
    <row r="1061" spans="39:39">
      <c r="AM1061" s="68"/>
    </row>
    <row r="1062" spans="39:39">
      <c r="AM1062" s="68"/>
    </row>
    <row r="1063" spans="39:39">
      <c r="AM1063" s="68"/>
    </row>
    <row r="1064" spans="39:39">
      <c r="AM1064" s="68"/>
    </row>
    <row r="1065" spans="39:39">
      <c r="AM1065" s="68"/>
    </row>
    <row r="1066" spans="39:39">
      <c r="AM1066" s="68"/>
    </row>
    <row r="1067" spans="39:39">
      <c r="AM1067" s="68"/>
    </row>
    <row r="1068" spans="39:39">
      <c r="AM1068" s="68"/>
    </row>
    <row r="1069" spans="39:39">
      <c r="AM1069" s="68"/>
    </row>
    <row r="1070" spans="39:39">
      <c r="AM1070" s="68"/>
    </row>
    <row r="1071" spans="39:39">
      <c r="AM1071" s="68"/>
    </row>
    <row r="1072" spans="39:39">
      <c r="AM1072" s="68"/>
    </row>
    <row r="1073" spans="39:39">
      <c r="AM1073" s="68"/>
    </row>
    <row r="1074" spans="39:39">
      <c r="AM1074" s="68"/>
    </row>
    <row r="1075" spans="39:39">
      <c r="AM1075" s="68"/>
    </row>
    <row r="1076" spans="39:39">
      <c r="AM1076" s="68"/>
    </row>
    <row r="1077" spans="39:39">
      <c r="AM1077" s="68"/>
    </row>
    <row r="1078" spans="39:39">
      <c r="AM1078" s="68"/>
    </row>
    <row r="1079" spans="39:39">
      <c r="AM1079" s="68"/>
    </row>
    <row r="1080" spans="39:39">
      <c r="AM1080" s="68"/>
    </row>
    <row r="1081" spans="39:39">
      <c r="AM1081" s="68"/>
    </row>
    <row r="1082" spans="39:39">
      <c r="AM1082" s="68"/>
    </row>
    <row r="1083" spans="39:39">
      <c r="AM1083" s="68"/>
    </row>
    <row r="1084" spans="39:39">
      <c r="AM1084" s="68"/>
    </row>
    <row r="1085" spans="39:39">
      <c r="AM1085" s="68"/>
    </row>
    <row r="1086" spans="39:39">
      <c r="AM1086" s="68"/>
    </row>
    <row r="1087" spans="39:39">
      <c r="AM1087" s="68"/>
    </row>
    <row r="1088" spans="39:39">
      <c r="AM1088" s="68"/>
    </row>
    <row r="1089" spans="39:39">
      <c r="AM1089" s="68"/>
    </row>
    <row r="1090" spans="39:39">
      <c r="AM1090" s="68"/>
    </row>
    <row r="1091" spans="39:39">
      <c r="AM1091" s="68"/>
    </row>
    <row r="1092" spans="39:39">
      <c r="AM1092" s="68"/>
    </row>
    <row r="1093" spans="39:39">
      <c r="AM1093" s="68"/>
    </row>
    <row r="1094" spans="39:39">
      <c r="AM1094" s="68"/>
    </row>
    <row r="1095" spans="39:39">
      <c r="AM1095" s="68"/>
    </row>
    <row r="1096" spans="39:39">
      <c r="AM1096" s="68"/>
    </row>
    <row r="1097" spans="39:39">
      <c r="AM1097" s="68"/>
    </row>
    <row r="1098" spans="39:39">
      <c r="AM1098" s="68"/>
    </row>
    <row r="1099" spans="39:39">
      <c r="AM1099" s="68"/>
    </row>
    <row r="1100" spans="39:39">
      <c r="AM1100" s="68"/>
    </row>
    <row r="1101" spans="39:39">
      <c r="AM1101" s="68"/>
    </row>
    <row r="1102" spans="39:39">
      <c r="AM1102" s="68"/>
    </row>
    <row r="1103" spans="39:39">
      <c r="AM1103" s="68"/>
    </row>
    <row r="1104" spans="39:39">
      <c r="AM1104" s="68"/>
    </row>
    <row r="1105" spans="39:39">
      <c r="AM1105" s="68"/>
    </row>
    <row r="1106" spans="39:39">
      <c r="AM1106" s="68"/>
    </row>
    <row r="1107" spans="39:39">
      <c r="AM1107" s="68"/>
    </row>
    <row r="1108" spans="39:39">
      <c r="AM1108" s="68"/>
    </row>
    <row r="1109" spans="39:39">
      <c r="AM1109" s="68"/>
    </row>
    <row r="1110" spans="39:39">
      <c r="AM1110" s="68"/>
    </row>
    <row r="1111" spans="39:39">
      <c r="AM1111" s="68"/>
    </row>
    <row r="1112" spans="39:39">
      <c r="AM1112" s="68"/>
    </row>
    <row r="1113" spans="39:39">
      <c r="AM1113" s="68"/>
    </row>
    <row r="1114" spans="39:39">
      <c r="AM1114" s="68"/>
    </row>
    <row r="1115" spans="39:39">
      <c r="AM1115" s="68"/>
    </row>
    <row r="1116" spans="39:39">
      <c r="AM1116" s="68"/>
    </row>
    <row r="1117" spans="39:39">
      <c r="AM1117" s="68"/>
    </row>
    <row r="1118" spans="39:39">
      <c r="AM1118" s="68"/>
    </row>
    <row r="1119" spans="39:39">
      <c r="AM1119" s="68"/>
    </row>
    <row r="1120" spans="39:39">
      <c r="AM1120" s="68"/>
    </row>
    <row r="1121" spans="39:39">
      <c r="AM1121" s="68"/>
    </row>
    <row r="1122" spans="39:39">
      <c r="AM1122" s="68"/>
    </row>
    <row r="1123" spans="39:39">
      <c r="AM1123" s="68"/>
    </row>
    <row r="1124" spans="39:39">
      <c r="AM1124" s="68"/>
    </row>
    <row r="1125" spans="39:39">
      <c r="AM1125" s="68"/>
    </row>
    <row r="1126" spans="39:39">
      <c r="AM1126" s="68"/>
    </row>
    <row r="1127" spans="39:39">
      <c r="AM1127" s="68"/>
    </row>
    <row r="1128" spans="39:39">
      <c r="AM1128" s="68"/>
    </row>
    <row r="1129" spans="39:39">
      <c r="AM1129" s="68"/>
    </row>
    <row r="1130" spans="39:39">
      <c r="AM1130" s="68"/>
    </row>
    <row r="1131" spans="39:39">
      <c r="AM1131" s="68"/>
    </row>
    <row r="1132" spans="39:39">
      <c r="AM1132" s="68"/>
    </row>
    <row r="1133" spans="39:39">
      <c r="AM1133" s="68"/>
    </row>
    <row r="1134" spans="39:39">
      <c r="AM1134" s="68"/>
    </row>
    <row r="1135" spans="39:39">
      <c r="AM1135" s="68"/>
    </row>
    <row r="1136" spans="39:39">
      <c r="AM1136" s="68"/>
    </row>
    <row r="1137" spans="39:39">
      <c r="AM1137" s="68"/>
    </row>
    <row r="1138" spans="39:39">
      <c r="AM1138" s="68"/>
    </row>
    <row r="1139" spans="39:39">
      <c r="AM1139" s="68"/>
    </row>
    <row r="1140" spans="39:39">
      <c r="AM1140" s="68"/>
    </row>
    <row r="1141" spans="39:39">
      <c r="AM1141" s="68"/>
    </row>
    <row r="1142" spans="39:39">
      <c r="AM1142" s="68"/>
    </row>
    <row r="1143" spans="39:39">
      <c r="AM1143" s="68"/>
    </row>
    <row r="1144" spans="39:39">
      <c r="AM1144" s="68"/>
    </row>
    <row r="1145" spans="39:39">
      <c r="AM1145" s="68"/>
    </row>
    <row r="1146" spans="39:39">
      <c r="AM1146" s="68"/>
    </row>
    <row r="1147" spans="39:39">
      <c r="AM1147" s="68"/>
    </row>
    <row r="1148" spans="39:39">
      <c r="AM1148" s="68"/>
    </row>
    <row r="1149" spans="39:39">
      <c r="AM1149" s="68"/>
    </row>
    <row r="1150" spans="39:39">
      <c r="AM1150" s="68"/>
    </row>
    <row r="1151" spans="39:39">
      <c r="AM1151" s="68"/>
    </row>
    <row r="1152" spans="39:39">
      <c r="AM1152" s="68"/>
    </row>
    <row r="1153" spans="39:39">
      <c r="AM1153" s="68"/>
    </row>
    <row r="1154" spans="39:39">
      <c r="AM1154" s="68"/>
    </row>
    <row r="1155" spans="39:39">
      <c r="AM1155" s="68"/>
    </row>
    <row r="1156" spans="39:39">
      <c r="AM1156" s="68"/>
    </row>
    <row r="1157" spans="39:39">
      <c r="AM1157" s="68"/>
    </row>
    <row r="1158" spans="39:39">
      <c r="AM1158" s="68"/>
    </row>
    <row r="1159" spans="39:39">
      <c r="AM1159" s="68"/>
    </row>
    <row r="1160" spans="39:39">
      <c r="AM1160" s="68"/>
    </row>
    <row r="1161" spans="39:39">
      <c r="AM1161" s="68"/>
    </row>
    <row r="1162" spans="39:39">
      <c r="AM1162" s="68"/>
    </row>
    <row r="1163" spans="39:39">
      <c r="AM1163" s="68"/>
    </row>
    <row r="1164" spans="39:39">
      <c r="AM1164" s="68"/>
    </row>
    <row r="1165" spans="39:39">
      <c r="AM1165" s="68"/>
    </row>
    <row r="1166" spans="39:39">
      <c r="AM1166" s="68"/>
    </row>
    <row r="1167" spans="39:39">
      <c r="AM1167" s="68"/>
    </row>
    <row r="1168" spans="39:39">
      <c r="AM1168" s="68"/>
    </row>
    <row r="1169" spans="39:39">
      <c r="AM1169" s="68"/>
    </row>
    <row r="1170" spans="39:39">
      <c r="AM1170" s="68"/>
    </row>
    <row r="1171" spans="39:39">
      <c r="AM1171" s="68"/>
    </row>
    <row r="1172" spans="39:39">
      <c r="AM1172" s="68"/>
    </row>
    <row r="1173" spans="39:39">
      <c r="AM1173" s="68"/>
    </row>
    <row r="1174" spans="39:39">
      <c r="AM1174" s="68"/>
    </row>
    <row r="1175" spans="39:39">
      <c r="AM1175" s="68"/>
    </row>
    <row r="1176" spans="39:39">
      <c r="AM1176" s="68"/>
    </row>
    <row r="1177" spans="39:39">
      <c r="AM1177" s="68"/>
    </row>
    <row r="1178" spans="39:39">
      <c r="AM1178" s="68"/>
    </row>
    <row r="1179" spans="39:39">
      <c r="AM1179" s="68"/>
    </row>
    <row r="1180" spans="39:39">
      <c r="AM1180" s="68"/>
    </row>
    <row r="1181" spans="39:39">
      <c r="AM1181" s="68"/>
    </row>
    <row r="1182" spans="39:39">
      <c r="AM1182" s="68"/>
    </row>
    <row r="1183" spans="39:39">
      <c r="AM1183" s="68"/>
    </row>
    <row r="1184" spans="39:39">
      <c r="AM1184" s="68"/>
    </row>
    <row r="1185" spans="39:39">
      <c r="AM1185" s="68"/>
    </row>
    <row r="1186" spans="39:39">
      <c r="AM1186" s="68"/>
    </row>
    <row r="1187" spans="39:39">
      <c r="AM1187" s="68"/>
    </row>
    <row r="1188" spans="39:39">
      <c r="AM1188" s="68"/>
    </row>
    <row r="1189" spans="39:39">
      <c r="AM1189" s="68"/>
    </row>
    <row r="1190" spans="39:39">
      <c r="AM1190" s="68"/>
    </row>
    <row r="1191" spans="39:39">
      <c r="AM1191" s="68"/>
    </row>
    <row r="1192" spans="39:39">
      <c r="AM1192" s="68"/>
    </row>
    <row r="1193" spans="39:39">
      <c r="AM1193" s="68"/>
    </row>
    <row r="1194" spans="39:39">
      <c r="AM1194" s="68"/>
    </row>
    <row r="1195" spans="39:39">
      <c r="AM1195" s="68"/>
    </row>
    <row r="1196" spans="39:39">
      <c r="AM1196" s="68"/>
    </row>
    <row r="1197" spans="39:39">
      <c r="AM1197" s="68"/>
    </row>
    <row r="1198" spans="39:39">
      <c r="AM1198" s="68"/>
    </row>
    <row r="1199" spans="39:39">
      <c r="AM1199" s="68"/>
    </row>
    <row r="1200" spans="39:39">
      <c r="AM1200" s="68"/>
    </row>
    <row r="1201" spans="39:39">
      <c r="AM1201" s="68"/>
    </row>
    <row r="1202" spans="39:39">
      <c r="AM1202" s="68"/>
    </row>
    <row r="1203" spans="39:39">
      <c r="AM1203" s="68"/>
    </row>
    <row r="1204" spans="39:39">
      <c r="AM1204" s="68"/>
    </row>
    <row r="1205" spans="39:39">
      <c r="AM1205" s="68"/>
    </row>
    <row r="1206" spans="39:39">
      <c r="AM1206" s="68"/>
    </row>
    <row r="1207" spans="39:39">
      <c r="AM1207" s="68"/>
    </row>
    <row r="1208" spans="39:39">
      <c r="AM1208" s="68"/>
    </row>
    <row r="1209" spans="39:39">
      <c r="AM1209" s="68"/>
    </row>
    <row r="1210" spans="39:39">
      <c r="AM1210" s="68"/>
    </row>
    <row r="1211" spans="39:39">
      <c r="AM1211" s="68"/>
    </row>
    <row r="1212" spans="39:39">
      <c r="AM1212" s="68"/>
    </row>
    <row r="1213" spans="39:39">
      <c r="AM1213" s="68"/>
    </row>
    <row r="1214" spans="39:39">
      <c r="AM1214" s="68"/>
    </row>
    <row r="1215" spans="39:39">
      <c r="AM1215" s="68"/>
    </row>
    <row r="1216" spans="39:39">
      <c r="AM1216" s="68"/>
    </row>
    <row r="1217" spans="39:39">
      <c r="AM1217" s="68"/>
    </row>
    <row r="1218" spans="39:39">
      <c r="AM1218" s="68"/>
    </row>
    <row r="1219" spans="39:39">
      <c r="AM1219" s="68"/>
    </row>
    <row r="1220" spans="39:39">
      <c r="AM1220" s="68"/>
    </row>
    <row r="1221" spans="39:39">
      <c r="AM1221" s="68"/>
    </row>
    <row r="1222" spans="39:39">
      <c r="AM1222" s="68"/>
    </row>
    <row r="1223" spans="39:39">
      <c r="AM1223" s="68"/>
    </row>
    <row r="1224" spans="39:39">
      <c r="AM1224" s="68"/>
    </row>
    <row r="1225" spans="39:39">
      <c r="AM1225" s="68"/>
    </row>
    <row r="1226" spans="39:39">
      <c r="AM1226" s="68"/>
    </row>
    <row r="1227" spans="39:39">
      <c r="AM1227" s="68"/>
    </row>
    <row r="1228" spans="39:39">
      <c r="AM1228" s="68"/>
    </row>
    <row r="1229" spans="39:39">
      <c r="AM1229" s="68"/>
    </row>
    <row r="1230" spans="39:39">
      <c r="AM1230" s="68"/>
    </row>
    <row r="1231" spans="39:39">
      <c r="AM1231" s="68"/>
    </row>
    <row r="1232" spans="39:39">
      <c r="AM1232" s="68"/>
    </row>
    <row r="1233" spans="39:39">
      <c r="AM1233" s="68"/>
    </row>
    <row r="1234" spans="39:39">
      <c r="AM1234" s="68"/>
    </row>
    <row r="1235" spans="39:39">
      <c r="AM1235" s="68"/>
    </row>
    <row r="1236" spans="39:39">
      <c r="AM1236" s="68"/>
    </row>
    <row r="1237" spans="39:39">
      <c r="AM1237" s="68"/>
    </row>
    <row r="1238" spans="39:39">
      <c r="AM1238" s="68"/>
    </row>
    <row r="1239" spans="39:39">
      <c r="AM1239" s="68"/>
    </row>
    <row r="1240" spans="39:39">
      <c r="AM1240" s="68"/>
    </row>
    <row r="1241" spans="39:39">
      <c r="AM1241" s="68"/>
    </row>
    <row r="1242" spans="39:39">
      <c r="AM1242" s="68"/>
    </row>
    <row r="1243" spans="39:39">
      <c r="AM1243" s="68"/>
    </row>
    <row r="1244" spans="39:39">
      <c r="AM1244" s="68"/>
    </row>
    <row r="1245" spans="39:39">
      <c r="AM1245" s="68"/>
    </row>
    <row r="1246" spans="39:39">
      <c r="AM1246" s="68"/>
    </row>
    <row r="1247" spans="39:39">
      <c r="AM1247" s="68"/>
    </row>
    <row r="1248" spans="39:39">
      <c r="AM1248" s="68"/>
    </row>
    <row r="1249" spans="39:39">
      <c r="AM1249" s="68"/>
    </row>
    <row r="1250" spans="39:39">
      <c r="AM1250" s="68"/>
    </row>
    <row r="1251" spans="39:39">
      <c r="AM1251" s="68"/>
    </row>
    <row r="1252" spans="39:39">
      <c r="AM1252" s="68"/>
    </row>
    <row r="1253" spans="39:39">
      <c r="AM1253" s="68"/>
    </row>
    <row r="1254" spans="39:39">
      <c r="AM1254" s="68"/>
    </row>
    <row r="1255" spans="39:39">
      <c r="AM1255" s="68"/>
    </row>
    <row r="1256" spans="39:39">
      <c r="AM1256" s="68"/>
    </row>
    <row r="1257" spans="39:39">
      <c r="AM1257" s="68"/>
    </row>
    <row r="1258" spans="39:39">
      <c r="AM1258" s="68"/>
    </row>
    <row r="1259" spans="39:39">
      <c r="AM1259" s="68"/>
    </row>
    <row r="1260" spans="39:39">
      <c r="AM1260" s="68"/>
    </row>
    <row r="1261" spans="39:39">
      <c r="AM1261" s="68"/>
    </row>
    <row r="1262" spans="39:39">
      <c r="AM1262" s="68"/>
    </row>
    <row r="1263" spans="39:39">
      <c r="AM1263" s="68"/>
    </row>
    <row r="1264" spans="39:39">
      <c r="AM1264" s="68"/>
    </row>
    <row r="1265" spans="39:39">
      <c r="AM1265" s="68"/>
    </row>
    <row r="1266" spans="39:39">
      <c r="AM1266" s="68"/>
    </row>
    <row r="1267" spans="39:39">
      <c r="AM1267" s="68"/>
    </row>
    <row r="1268" spans="39:39">
      <c r="AM1268" s="68"/>
    </row>
    <row r="1269" spans="39:39">
      <c r="AM1269" s="68"/>
    </row>
    <row r="1270" spans="39:39">
      <c r="AM1270" s="68"/>
    </row>
    <row r="1271" spans="39:39">
      <c r="AM1271" s="68"/>
    </row>
    <row r="1272" spans="39:39">
      <c r="AM1272" s="68"/>
    </row>
    <row r="1273" spans="39:39">
      <c r="AM1273" s="68"/>
    </row>
    <row r="1274" spans="39:39">
      <c r="AM1274" s="68"/>
    </row>
    <row r="1275" spans="39:39">
      <c r="AM1275" s="68"/>
    </row>
    <row r="1276" spans="39:39">
      <c r="AM1276" s="68"/>
    </row>
    <row r="1277" spans="39:39">
      <c r="AM1277" s="68"/>
    </row>
    <row r="1278" spans="39:39">
      <c r="AM1278" s="68"/>
    </row>
    <row r="1279" spans="39:39">
      <c r="AM1279" s="68"/>
    </row>
    <row r="1280" spans="39:39">
      <c r="AM1280" s="68"/>
    </row>
    <row r="1281" spans="39:39">
      <c r="AM1281" s="68"/>
    </row>
    <row r="1282" spans="39:39">
      <c r="AM1282" s="68"/>
    </row>
    <row r="1283" spans="39:39">
      <c r="AM1283" s="68"/>
    </row>
    <row r="1284" spans="39:39">
      <c r="AM1284" s="68"/>
    </row>
    <row r="1285" spans="39:39">
      <c r="AM1285" s="68"/>
    </row>
    <row r="1286" spans="39:39">
      <c r="AM1286" s="68"/>
    </row>
    <row r="1287" spans="39:39">
      <c r="AM1287" s="68"/>
    </row>
    <row r="1288" spans="39:39">
      <c r="AM1288" s="68"/>
    </row>
    <row r="1289" spans="39:39">
      <c r="AM1289" s="68"/>
    </row>
    <row r="1290" spans="39:39">
      <c r="AM1290" s="68"/>
    </row>
    <row r="1291" spans="39:39">
      <c r="AM1291" s="68"/>
    </row>
    <row r="1292" spans="39:39">
      <c r="AM1292" s="68"/>
    </row>
    <row r="1293" spans="39:39">
      <c r="AM1293" s="68"/>
    </row>
    <row r="1294" spans="39:39">
      <c r="AM1294" s="68"/>
    </row>
    <row r="1295" spans="39:39">
      <c r="AM1295" s="68"/>
    </row>
    <row r="1296" spans="39:39">
      <c r="AM1296" s="68"/>
    </row>
    <row r="1297" spans="39:39">
      <c r="AM1297" s="68"/>
    </row>
    <row r="1298" spans="39:39">
      <c r="AM1298" s="68"/>
    </row>
    <row r="1299" spans="39:39">
      <c r="AM1299" s="68"/>
    </row>
    <row r="1300" spans="39:39">
      <c r="AM1300" s="68"/>
    </row>
    <row r="1301" spans="39:39">
      <c r="AM1301" s="68"/>
    </row>
    <row r="1302" spans="39:39">
      <c r="AM1302" s="68"/>
    </row>
    <row r="1303" spans="39:39">
      <c r="AM1303" s="68"/>
    </row>
    <row r="1304" spans="39:39">
      <c r="AM1304" s="68"/>
    </row>
    <row r="1305" spans="39:39">
      <c r="AM1305" s="68"/>
    </row>
    <row r="1306" spans="39:39">
      <c r="AM1306" s="68"/>
    </row>
    <row r="1307" spans="39:39">
      <c r="AM1307" s="68"/>
    </row>
    <row r="1308" spans="39:39">
      <c r="AM1308" s="68"/>
    </row>
    <row r="1309" spans="39:39">
      <c r="AM1309" s="68"/>
    </row>
    <row r="1310" spans="39:39">
      <c r="AM1310" s="68"/>
    </row>
    <row r="1311" spans="39:39">
      <c r="AM1311" s="68"/>
    </row>
    <row r="1312" spans="39:39">
      <c r="AM1312" s="68"/>
    </row>
    <row r="1313" spans="39:39">
      <c r="AM1313" s="68"/>
    </row>
    <row r="1314" spans="39:39">
      <c r="AM1314" s="68"/>
    </row>
    <row r="1315" spans="39:39">
      <c r="AM1315" s="68"/>
    </row>
    <row r="1316" spans="39:39">
      <c r="AM1316" s="68"/>
    </row>
    <row r="1317" spans="39:39">
      <c r="AM1317" s="68"/>
    </row>
    <row r="1318" spans="39:39">
      <c r="AM1318" s="68"/>
    </row>
    <row r="1319" spans="39:39">
      <c r="AM1319" s="68"/>
    </row>
    <row r="1320" spans="39:39">
      <c r="AM1320" s="68"/>
    </row>
    <row r="1321" spans="39:39">
      <c r="AM1321" s="68"/>
    </row>
    <row r="1322" spans="39:39">
      <c r="AM1322" s="68"/>
    </row>
    <row r="1323" spans="39:39">
      <c r="AM1323" s="68"/>
    </row>
    <row r="1324" spans="39:39">
      <c r="AM1324" s="68"/>
    </row>
    <row r="1325" spans="39:39">
      <c r="AM1325" s="68"/>
    </row>
    <row r="1326" spans="39:39">
      <c r="AM1326" s="68"/>
    </row>
    <row r="1327" spans="39:39">
      <c r="AM1327" s="68"/>
    </row>
    <row r="1328" spans="39:39">
      <c r="AM1328" s="68"/>
    </row>
    <row r="1329" spans="39:39">
      <c r="AM1329" s="68"/>
    </row>
    <row r="1330" spans="39:39">
      <c r="AM1330" s="68"/>
    </row>
    <row r="1331" spans="39:39">
      <c r="AM1331" s="68"/>
    </row>
    <row r="1332" spans="39:39">
      <c r="AM1332" s="68"/>
    </row>
    <row r="1333" spans="39:39">
      <c r="AM1333" s="68"/>
    </row>
    <row r="1334" spans="39:39">
      <c r="AM1334" s="68"/>
    </row>
    <row r="1335" spans="39:39">
      <c r="AM1335" s="68"/>
    </row>
    <row r="1336" spans="39:39">
      <c r="AM1336" s="68"/>
    </row>
    <row r="1337" spans="39:39">
      <c r="AM1337" s="68"/>
    </row>
    <row r="1338" spans="39:39">
      <c r="AM1338" s="68"/>
    </row>
    <row r="1339" spans="39:39">
      <c r="AM1339" s="68"/>
    </row>
    <row r="1340" spans="39:39">
      <c r="AM1340" s="68"/>
    </row>
    <row r="1341" spans="39:39">
      <c r="AM1341" s="68"/>
    </row>
    <row r="1342" spans="39:39">
      <c r="AM1342" s="68"/>
    </row>
    <row r="1343" spans="39:39">
      <c r="AM1343" s="68"/>
    </row>
    <row r="1344" spans="39:39">
      <c r="AM1344" s="68"/>
    </row>
    <row r="1345" spans="39:39">
      <c r="AM1345" s="68"/>
    </row>
    <row r="1346" spans="39:39">
      <c r="AM1346" s="68"/>
    </row>
    <row r="1347" spans="39:39">
      <c r="AM1347" s="68"/>
    </row>
    <row r="1348" spans="39:39">
      <c r="AM1348" s="68"/>
    </row>
    <row r="1349" spans="39:39">
      <c r="AM1349" s="68"/>
    </row>
    <row r="1350" spans="39:39">
      <c r="AM1350" s="68"/>
    </row>
    <row r="1351" spans="39:39">
      <c r="AM1351" s="68"/>
    </row>
    <row r="1352" spans="39:39">
      <c r="AM1352" s="68"/>
    </row>
    <row r="1353" spans="39:39">
      <c r="AM1353" s="68"/>
    </row>
    <row r="1354" spans="39:39">
      <c r="AM1354" s="68"/>
    </row>
    <row r="1355" spans="39:39">
      <c r="AM1355" s="68"/>
    </row>
    <row r="1356" spans="39:39">
      <c r="AM1356" s="68"/>
    </row>
    <row r="1357" spans="39:39">
      <c r="AM1357" s="68"/>
    </row>
    <row r="1358" spans="39:39">
      <c r="AM1358" s="68"/>
    </row>
    <row r="1359" spans="39:39">
      <c r="AM1359" s="68"/>
    </row>
    <row r="1360" spans="39:39">
      <c r="AM1360" s="68"/>
    </row>
    <row r="1361" spans="39:39">
      <c r="AM1361" s="68"/>
    </row>
    <row r="1362" spans="39:39">
      <c r="AM1362" s="68"/>
    </row>
    <row r="1363" spans="39:39">
      <c r="AM1363" s="68"/>
    </row>
    <row r="1364" spans="39:39">
      <c r="AM1364" s="68"/>
    </row>
    <row r="1365" spans="39:39">
      <c r="AM1365" s="68"/>
    </row>
    <row r="1366" spans="39:39">
      <c r="AM1366" s="68"/>
    </row>
    <row r="1367" spans="39:39">
      <c r="AM1367" s="68"/>
    </row>
    <row r="1368" spans="39:39">
      <c r="AM1368" s="68"/>
    </row>
    <row r="1369" spans="39:39">
      <c r="AM1369" s="68"/>
    </row>
    <row r="1370" spans="39:39">
      <c r="AM1370" s="68"/>
    </row>
    <row r="1371" spans="39:39">
      <c r="AM1371" s="68"/>
    </row>
    <row r="1372" spans="39:39">
      <c r="AM1372" s="68"/>
    </row>
    <row r="1373" spans="39:39">
      <c r="AM1373" s="68"/>
    </row>
    <row r="1374" spans="39:39">
      <c r="AM1374" s="68"/>
    </row>
    <row r="1375" spans="39:39">
      <c r="AM1375" s="68"/>
    </row>
    <row r="1376" spans="39:39">
      <c r="AM1376" s="68"/>
    </row>
    <row r="1377" spans="39:39">
      <c r="AM1377" s="68"/>
    </row>
    <row r="1378" spans="39:39">
      <c r="AM1378" s="68"/>
    </row>
    <row r="1379" spans="39:39">
      <c r="AM1379" s="68"/>
    </row>
    <row r="1380" spans="39:39">
      <c r="AM1380" s="68"/>
    </row>
    <row r="1381" spans="39:39">
      <c r="AM1381" s="68"/>
    </row>
    <row r="1382" spans="39:39">
      <c r="AM1382" s="68"/>
    </row>
    <row r="1383" spans="39:39">
      <c r="AM1383" s="68"/>
    </row>
    <row r="1384" spans="39:39">
      <c r="AM1384" s="68"/>
    </row>
    <row r="1385" spans="39:39">
      <c r="AM1385" s="68"/>
    </row>
    <row r="1386" spans="39:39">
      <c r="AM1386" s="68"/>
    </row>
    <row r="1387" spans="39:39">
      <c r="AM1387" s="68"/>
    </row>
    <row r="1388" spans="39:39">
      <c r="AM1388" s="68"/>
    </row>
    <row r="1389" spans="39:39">
      <c r="AM1389" s="68"/>
    </row>
    <row r="1390" spans="39:39">
      <c r="AM1390" s="68"/>
    </row>
    <row r="1391" spans="39:39">
      <c r="AM1391" s="68"/>
    </row>
    <row r="1392" spans="39:39">
      <c r="AM1392" s="68"/>
    </row>
    <row r="1393" spans="39:39">
      <c r="AM1393" s="68"/>
    </row>
    <row r="1394" spans="39:39">
      <c r="AM1394" s="68"/>
    </row>
    <row r="1395" spans="39:39">
      <c r="AM1395" s="68"/>
    </row>
    <row r="1396" spans="39:39">
      <c r="AM1396" s="68"/>
    </row>
    <row r="1397" spans="39:39">
      <c r="AM1397" s="68"/>
    </row>
    <row r="1398" spans="39:39">
      <c r="AM1398" s="68"/>
    </row>
    <row r="1399" spans="39:39">
      <c r="AM1399" s="68"/>
    </row>
    <row r="1400" spans="39:39">
      <c r="AM1400" s="68"/>
    </row>
    <row r="1401" spans="39:39">
      <c r="AM1401" s="68"/>
    </row>
    <row r="1402" spans="39:39">
      <c r="AM1402" s="68"/>
    </row>
    <row r="1403" spans="39:39">
      <c r="AM1403" s="68"/>
    </row>
    <row r="1404" spans="39:39">
      <c r="AM1404" s="68"/>
    </row>
    <row r="1405" spans="39:39">
      <c r="AM1405" s="68"/>
    </row>
    <row r="1406" spans="39:39">
      <c r="AM1406" s="68"/>
    </row>
    <row r="1407" spans="39:39">
      <c r="AM1407" s="68"/>
    </row>
    <row r="1408" spans="39:39">
      <c r="AM1408" s="68"/>
    </row>
    <row r="1409" spans="39:39">
      <c r="AM1409" s="68"/>
    </row>
    <row r="1410" spans="39:39">
      <c r="AM1410" s="68"/>
    </row>
    <row r="1411" spans="39:39">
      <c r="AM1411" s="68"/>
    </row>
    <row r="1412" spans="39:39">
      <c r="AM1412" s="68"/>
    </row>
    <row r="1413" spans="39:39">
      <c r="AM1413" s="68"/>
    </row>
    <row r="1414" spans="39:39">
      <c r="AM1414" s="68"/>
    </row>
    <row r="1415" spans="39:39">
      <c r="AM1415" s="68"/>
    </row>
    <row r="1416" spans="39:39">
      <c r="AM1416" s="68"/>
    </row>
    <row r="1417" spans="39:39">
      <c r="AM1417" s="68"/>
    </row>
    <row r="1418" spans="39:39">
      <c r="AM1418" s="68"/>
    </row>
    <row r="1419" spans="39:39">
      <c r="AM1419" s="68"/>
    </row>
    <row r="1420" spans="39:39">
      <c r="AM1420" s="68"/>
    </row>
    <row r="1421" spans="39:39">
      <c r="AM1421" s="68"/>
    </row>
    <row r="1422" spans="39:39">
      <c r="AM1422" s="68"/>
    </row>
    <row r="1423" spans="39:39">
      <c r="AM1423" s="68"/>
    </row>
    <row r="1424" spans="39:39">
      <c r="AM1424" s="68"/>
    </row>
    <row r="1425" spans="39:39">
      <c r="AM1425" s="68"/>
    </row>
    <row r="1426" spans="39:39">
      <c r="AM1426" s="68"/>
    </row>
    <row r="1427" spans="39:39">
      <c r="AM1427" s="68"/>
    </row>
    <row r="1428" spans="39:39">
      <c r="AM1428" s="68"/>
    </row>
    <row r="1429" spans="39:39">
      <c r="AM1429" s="68"/>
    </row>
    <row r="1430" spans="39:39">
      <c r="AM1430" s="68"/>
    </row>
    <row r="1431" spans="39:39">
      <c r="AM1431" s="68"/>
    </row>
    <row r="1432" spans="39:39">
      <c r="AM1432" s="68"/>
    </row>
    <row r="1433" spans="39:39">
      <c r="AM1433" s="68"/>
    </row>
    <row r="1434" spans="39:39">
      <c r="AM1434" s="68"/>
    </row>
    <row r="1435" spans="39:39">
      <c r="AM1435" s="68"/>
    </row>
    <row r="1436" spans="39:39">
      <c r="AM1436" s="68"/>
    </row>
    <row r="1437" spans="39:39">
      <c r="AM1437" s="68"/>
    </row>
    <row r="1438" spans="39:39">
      <c r="AM1438" s="68"/>
    </row>
    <row r="1439" spans="39:39">
      <c r="AM1439" s="68"/>
    </row>
    <row r="1440" spans="39:39">
      <c r="AM1440" s="68"/>
    </row>
    <row r="1441" spans="39:39">
      <c r="AM1441" s="68"/>
    </row>
    <row r="1442" spans="39:39">
      <c r="AM1442" s="68"/>
    </row>
    <row r="1443" spans="39:39">
      <c r="AM1443" s="68"/>
    </row>
    <row r="1444" spans="39:39">
      <c r="AM1444" s="68"/>
    </row>
    <row r="1445" spans="39:39">
      <c r="AM1445" s="68"/>
    </row>
    <row r="1446" spans="39:39">
      <c r="AM1446" s="68"/>
    </row>
    <row r="1447" spans="39:39">
      <c r="AM1447" s="68"/>
    </row>
    <row r="1448" spans="39:39">
      <c r="AM1448" s="68"/>
    </row>
    <row r="1449" spans="39:39">
      <c r="AM1449" s="68"/>
    </row>
    <row r="1450" spans="39:39">
      <c r="AM1450" s="68"/>
    </row>
    <row r="1451" spans="39:39">
      <c r="AM1451" s="68"/>
    </row>
    <row r="1452" spans="39:39">
      <c r="AM1452" s="68"/>
    </row>
    <row r="1453" spans="39:39">
      <c r="AM1453" s="68"/>
    </row>
    <row r="1454" spans="39:39">
      <c r="AM1454" s="68"/>
    </row>
    <row r="1455" spans="39:39">
      <c r="AM1455" s="68"/>
    </row>
    <row r="1456" spans="39:39">
      <c r="AM1456" s="68"/>
    </row>
    <row r="1457" spans="39:39">
      <c r="AM1457" s="68"/>
    </row>
    <row r="1458" spans="39:39">
      <c r="AM1458" s="68"/>
    </row>
    <row r="1459" spans="39:39">
      <c r="AM1459" s="68"/>
    </row>
    <row r="1460" spans="39:39">
      <c r="AM1460" s="68"/>
    </row>
    <row r="1461" spans="39:39">
      <c r="AM1461" s="68"/>
    </row>
    <row r="1462" spans="39:39">
      <c r="AM1462" s="68"/>
    </row>
    <row r="1463" spans="39:39">
      <c r="AM1463" s="68"/>
    </row>
    <row r="1464" spans="39:39">
      <c r="AM1464" s="68"/>
    </row>
    <row r="1465" spans="39:39">
      <c r="AM1465" s="68"/>
    </row>
    <row r="1466" spans="39:39">
      <c r="AM1466" s="68"/>
    </row>
    <row r="1467" spans="39:39">
      <c r="AM1467" s="68"/>
    </row>
    <row r="1468" spans="39:39">
      <c r="AM1468" s="68"/>
    </row>
    <row r="1469" spans="39:39">
      <c r="AM1469" s="68"/>
    </row>
    <row r="1470" spans="39:39">
      <c r="AM1470" s="68"/>
    </row>
    <row r="1471" spans="39:39">
      <c r="AM1471" s="68"/>
    </row>
    <row r="1472" spans="39:39">
      <c r="AM1472" s="68"/>
    </row>
    <row r="1473" spans="39:39">
      <c r="AM1473" s="68"/>
    </row>
    <row r="1474" spans="39:39">
      <c r="AM1474" s="68"/>
    </row>
    <row r="1475" spans="39:39">
      <c r="AM1475" s="68"/>
    </row>
    <row r="1476" spans="39:39">
      <c r="AM1476" s="68"/>
    </row>
    <row r="1477" spans="39:39">
      <c r="AM1477" s="68"/>
    </row>
    <row r="1478" spans="39:39">
      <c r="AM1478" s="68"/>
    </row>
    <row r="1479" spans="39:39">
      <c r="AM1479" s="68"/>
    </row>
    <row r="1480" spans="39:39">
      <c r="AM1480" s="68"/>
    </row>
    <row r="1481" spans="39:39">
      <c r="AM1481" s="68"/>
    </row>
    <row r="1482" spans="39:39">
      <c r="AM1482" s="68"/>
    </row>
    <row r="1483" spans="39:39">
      <c r="AM1483" s="68"/>
    </row>
    <row r="1484" spans="39:39">
      <c r="AM1484" s="68"/>
    </row>
    <row r="1485" spans="39:39">
      <c r="AM1485" s="68"/>
    </row>
    <row r="1486" spans="39:39">
      <c r="AM1486" s="68"/>
    </row>
    <row r="1487" spans="39:39">
      <c r="AM1487" s="68"/>
    </row>
    <row r="1488" spans="39:39">
      <c r="AM1488" s="68"/>
    </row>
    <row r="1489" spans="39:39">
      <c r="AM1489" s="68"/>
    </row>
    <row r="1490" spans="39:39">
      <c r="AM1490" s="68"/>
    </row>
    <row r="1491" spans="39:39">
      <c r="AM1491" s="68"/>
    </row>
    <row r="1492" spans="39:39">
      <c r="AM1492" s="68"/>
    </row>
    <row r="1493" spans="39:39">
      <c r="AM1493" s="68"/>
    </row>
    <row r="1494" spans="39:39">
      <c r="AM1494" s="68"/>
    </row>
    <row r="1495" spans="39:39">
      <c r="AM1495" s="68"/>
    </row>
    <row r="1496" spans="39:39">
      <c r="AM1496" s="68"/>
    </row>
    <row r="1497" spans="39:39">
      <c r="AM1497" s="68"/>
    </row>
    <row r="1498" spans="39:39">
      <c r="AM1498" s="68"/>
    </row>
    <row r="1499" spans="39:39">
      <c r="AM1499" s="68"/>
    </row>
    <row r="1500" spans="39:39">
      <c r="AM1500" s="68"/>
    </row>
    <row r="1501" spans="39:39">
      <c r="AM1501" s="68"/>
    </row>
    <row r="1502" spans="39:39">
      <c r="AM1502" s="68"/>
    </row>
    <row r="1503" spans="39:39">
      <c r="AM1503" s="68"/>
    </row>
    <row r="1504" spans="39:39">
      <c r="AM1504" s="68"/>
    </row>
    <row r="1505" spans="39:39">
      <c r="AM1505" s="68"/>
    </row>
    <row r="1506" spans="39:39">
      <c r="AM1506" s="68"/>
    </row>
    <row r="1507" spans="39:39">
      <c r="AM1507" s="68"/>
    </row>
    <row r="1508" spans="39:39">
      <c r="AM1508" s="68"/>
    </row>
    <row r="1509" spans="39:39">
      <c r="AM1509" s="68"/>
    </row>
    <row r="1510" spans="39:39">
      <c r="AM1510" s="68"/>
    </row>
    <row r="1511" spans="39:39">
      <c r="AM1511" s="68"/>
    </row>
    <row r="1512" spans="39:39">
      <c r="AM1512" s="68"/>
    </row>
    <row r="1513" spans="39:39">
      <c r="AM1513" s="68"/>
    </row>
    <row r="1514" spans="39:39">
      <c r="AM1514" s="68"/>
    </row>
    <row r="1515" spans="39:39">
      <c r="AM1515" s="68"/>
    </row>
    <row r="1516" spans="39:39">
      <c r="AM1516" s="68"/>
    </row>
    <row r="1517" spans="39:39">
      <c r="AM1517" s="68"/>
    </row>
    <row r="1518" spans="39:39">
      <c r="AM1518" s="68"/>
    </row>
    <row r="1519" spans="39:39">
      <c r="AM1519" s="68"/>
    </row>
  </sheetData>
  <phoneticPr fontId="8" type="noConversion"/>
  <printOptions horizontalCentered="1" verticalCentered="1"/>
  <pageMargins left="0" right="0" top="0" bottom="0" header="0" footer="0"/>
  <pageSetup paperSize="5" scale="74" orientation="landscape" r:id="rId1"/>
  <headerFooter alignWithMargins="0"/>
  <ignoredErrors>
    <ignoredError sqref="CF20:CH20" formula="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A1:HC100"/>
  <sheetViews>
    <sheetView zoomScaleNormal="100" workbookViewId="0">
      <pane xSplit="1" ySplit="7" topLeftCell="B32" activePane="bottomRight" state="frozen"/>
      <selection pane="topRight" activeCell="B1" sqref="B1"/>
      <selection pane="bottomLeft" activeCell="A8" sqref="A8"/>
      <selection pane="bottomRight" activeCell="DW66" sqref="DW66"/>
    </sheetView>
  </sheetViews>
  <sheetFormatPr defaultRowHeight="12.75" outlineLevelRow="1" outlineLevelCol="2"/>
  <cols>
    <col min="1" max="1" width="49.85546875" style="41" customWidth="1"/>
    <col min="2" max="12" width="5.85546875" style="41" hidden="1" customWidth="1" outlineLevel="1"/>
    <col min="13" max="14" width="7" style="41" hidden="1" customWidth="1" outlineLevel="1"/>
    <col min="15" max="15" width="6.85546875" style="41" hidden="1" customWidth="1" outlineLevel="1"/>
    <col min="16" max="16" width="7" style="41" hidden="1" customWidth="1" outlineLevel="1" collapsed="1"/>
    <col min="17" max="17" width="6.85546875" style="41" hidden="1" customWidth="1" outlineLevel="1"/>
    <col min="18" max="21" width="7" style="41" hidden="1" customWidth="1" outlineLevel="1"/>
    <col min="22" max="22" width="6.85546875" style="41" hidden="1" customWidth="1" outlineLevel="1"/>
    <col min="23" max="26" width="7" style="41" hidden="1" customWidth="1" outlineLevel="1"/>
    <col min="27" max="27" width="6.85546875" style="41" hidden="1" customWidth="1" outlineLevel="1"/>
    <col min="28" max="29" width="7" style="41" hidden="1" customWidth="1" outlineLevel="1"/>
    <col min="30" max="30" width="7" style="287" hidden="1" customWidth="1" outlineLevel="1"/>
    <col min="31" max="31" width="7" style="41" hidden="1" customWidth="1" outlineLevel="1"/>
    <col min="32" max="32" width="7.28515625" style="41" hidden="1" customWidth="1" outlineLevel="1"/>
    <col min="33" max="36" width="6.7109375" style="41" hidden="1" customWidth="1" outlineLevel="1"/>
    <col min="37" max="37" width="6.7109375" style="41" hidden="1" customWidth="1" outlineLevel="1" collapsed="1"/>
    <col min="38" max="41" width="6.7109375" style="41" hidden="1" customWidth="1" outlineLevel="1"/>
    <col min="42" max="42" width="6.5703125" style="41" hidden="1" customWidth="1" outlineLevel="1"/>
    <col min="43" max="43" width="6.28515625" style="41" hidden="1" customWidth="1" outlineLevel="1"/>
    <col min="44" max="46" width="6.7109375" style="41" hidden="1" customWidth="1" outlineLevel="1"/>
    <col min="47" max="47" width="6.85546875" style="41" hidden="1" customWidth="1" outlineLevel="1"/>
    <col min="48" max="48" width="6.85546875" style="287" hidden="1" customWidth="1" outlineLevel="1"/>
    <col min="49" max="51" width="6.7109375" style="287" hidden="1" customWidth="1" outlineLevel="1"/>
    <col min="52" max="52" width="6.5703125" style="287" hidden="1" customWidth="1" outlineLevel="1"/>
    <col min="53" max="53" width="7.28515625" style="287" hidden="1" customWidth="1" outlineLevel="1"/>
    <col min="54" max="54" width="7.5703125" style="287" hidden="1" customWidth="1" outlineLevel="1"/>
    <col min="55" max="56" width="7.42578125" style="287" hidden="1" customWidth="1" outlineLevel="1"/>
    <col min="57" max="57" width="8.7109375" style="287" hidden="1" customWidth="1" outlineLevel="1"/>
    <col min="58" max="61" width="7.5703125" style="287" hidden="1" customWidth="1" outlineLevel="1"/>
    <col min="62" max="62" width="8.7109375" style="287" hidden="1" customWidth="1" outlineLevel="1"/>
    <col min="63" max="63" width="8.28515625" style="287" hidden="1" customWidth="1" outlineLevel="1"/>
    <col min="64" max="65" width="7.5703125" style="287" hidden="1" customWidth="1" outlineLevel="1"/>
    <col min="66" max="66" width="8.7109375" style="287" hidden="1" customWidth="1" outlineLevel="1"/>
    <col min="67" max="67" width="9.140625" style="41" hidden="1" customWidth="1" outlineLevel="1"/>
    <col min="68" max="71" width="7.5703125" style="287" hidden="1" customWidth="1" outlineLevel="1"/>
    <col min="72" max="72" width="8.28515625" style="41" hidden="1" customWidth="1" outlineLevel="1" collapsed="1"/>
    <col min="73" max="73" width="8.140625" style="287" hidden="1" customWidth="1" outlineLevel="1"/>
    <col min="74" max="76" width="7.5703125" style="287" hidden="1" customWidth="1" outlineLevel="1"/>
    <col min="77" max="77" width="7.5703125" style="41" hidden="1" customWidth="1" outlineLevel="1"/>
    <col min="78" max="81" width="7.5703125" style="287" hidden="1" customWidth="1" outlineLevel="1"/>
    <col min="82" max="82" width="7.5703125" style="41" hidden="1" customWidth="1" outlineLevel="1"/>
    <col min="83" max="83" width="7.5703125" style="287" hidden="1" customWidth="1" outlineLevel="1"/>
    <col min="84" max="85" width="7.5703125" style="41" hidden="1" customWidth="1" outlineLevel="1"/>
    <col min="86" max="86" width="7.5703125" style="287" hidden="1" customWidth="1" outlineLevel="1"/>
    <col min="87" max="87" width="7.85546875" style="41" bestFit="1" customWidth="1" collapsed="1"/>
    <col min="88" max="91" width="7.5703125" style="287" hidden="1" customWidth="1" outlineLevel="1"/>
    <col min="92" max="92" width="7.5703125" style="41" bestFit="1" customWidth="1" collapsed="1"/>
    <col min="93" max="96" width="7.5703125" style="287" hidden="1" customWidth="1" outlineLevel="1"/>
    <col min="97" max="97" width="7.5703125" style="41" bestFit="1" customWidth="1" collapsed="1"/>
    <col min="98" max="101" width="7.5703125" style="41" hidden="1" customWidth="1" outlineLevel="1"/>
    <col min="102" max="102" width="8.7109375" style="41" bestFit="1" customWidth="1" collapsed="1"/>
    <col min="103" max="106" width="7.5703125" style="41" hidden="1" customWidth="1" outlineLevel="1"/>
    <col min="107" max="107" width="7.5703125" style="41" customWidth="1" collapsed="1"/>
    <col min="108" max="111" width="7.5703125" style="41" customWidth="1" outlineLevel="1"/>
    <col min="112" max="112" width="7.5703125" style="41" customWidth="1"/>
    <col min="113" max="116" width="7.5703125" style="287" customWidth="1" outlineLevel="2"/>
    <col min="117" max="117" width="7.5703125" style="41" customWidth="1" outlineLevel="1"/>
    <col min="118" max="121" width="7.5703125" style="287" hidden="1" customWidth="1" outlineLevel="2"/>
    <col min="122" max="122" width="7.5703125" style="41" customWidth="1" outlineLevel="1" collapsed="1"/>
    <col min="123" max="126" width="7.5703125" style="287" hidden="1" customWidth="1" outlineLevel="2"/>
    <col min="127" max="127" width="7.5703125" style="41" customWidth="1" outlineLevel="1" collapsed="1"/>
    <col min="128" max="128" width="10.5703125" style="41" customWidth="1"/>
    <col min="129" max="133" width="9.140625" style="41"/>
    <col min="134" max="134" width="18.85546875" customWidth="1"/>
    <col min="140" max="16384" width="9.140625" style="41"/>
  </cols>
  <sheetData>
    <row r="1" spans="1:168" ht="51" customHeight="1">
      <c r="A1" s="49"/>
      <c r="B1" s="49"/>
      <c r="C1" s="45"/>
      <c r="D1" s="45" t="s">
        <v>341</v>
      </c>
      <c r="E1" s="45"/>
      <c r="F1" s="45"/>
      <c r="G1" s="45"/>
      <c r="H1" s="45"/>
      <c r="I1" s="45"/>
      <c r="J1" s="45"/>
      <c r="K1" s="45"/>
      <c r="L1" s="45"/>
      <c r="M1" s="45"/>
      <c r="N1" s="45"/>
      <c r="O1" s="45"/>
      <c r="P1" s="45"/>
      <c r="Q1" s="45"/>
      <c r="R1" s="45"/>
      <c r="S1" s="45"/>
      <c r="T1" s="45"/>
      <c r="U1" s="45"/>
      <c r="V1" s="45"/>
      <c r="W1" s="45"/>
      <c r="X1" s="45"/>
      <c r="Y1" s="45"/>
      <c r="Z1" s="45"/>
      <c r="AA1" s="70"/>
      <c r="AB1" s="45"/>
      <c r="AC1" s="45"/>
      <c r="AD1" s="211"/>
      <c r="AE1" s="45"/>
      <c r="AG1" s="45"/>
      <c r="AH1" s="45"/>
      <c r="AI1" s="45"/>
      <c r="AJ1" s="45"/>
      <c r="AL1" s="45"/>
      <c r="AM1" s="45"/>
      <c r="AN1" s="45"/>
      <c r="AO1" s="45"/>
      <c r="AQ1" s="45"/>
      <c r="AR1" s="45"/>
      <c r="AS1" s="45"/>
      <c r="AT1" s="45"/>
      <c r="AV1" s="211"/>
      <c r="AW1" s="211"/>
      <c r="AX1" s="211"/>
      <c r="AY1" s="211"/>
      <c r="BA1" s="211"/>
      <c r="BB1" s="211"/>
      <c r="BC1" s="211"/>
      <c r="BD1" s="211"/>
      <c r="BF1" s="211"/>
      <c r="BG1" s="211"/>
      <c r="BH1" s="211"/>
      <c r="BI1" s="211"/>
      <c r="BK1" s="211"/>
      <c r="BL1" s="211"/>
      <c r="BM1" s="211"/>
      <c r="BN1" s="211"/>
      <c r="BP1" s="211"/>
      <c r="BQ1" s="211"/>
      <c r="BR1" s="211"/>
      <c r="BS1" s="211"/>
      <c r="BU1" s="211"/>
      <c r="BV1" s="211"/>
      <c r="BW1" s="211"/>
      <c r="BX1" s="211"/>
      <c r="BZ1" s="211"/>
      <c r="CA1" s="211"/>
      <c r="CB1" s="211"/>
      <c r="CC1" s="211"/>
      <c r="CE1" s="211"/>
      <c r="CF1" s="45"/>
      <c r="CG1" s="45"/>
      <c r="CH1" s="211"/>
      <c r="CJ1" s="211"/>
      <c r="CK1" s="211"/>
      <c r="CL1" s="211"/>
      <c r="CM1" s="211"/>
      <c r="CO1" s="211"/>
      <c r="CP1" s="211"/>
      <c r="CQ1" s="211"/>
      <c r="CR1" s="211"/>
      <c r="CT1" s="45"/>
      <c r="CU1" s="45"/>
      <c r="CV1" s="45"/>
      <c r="CW1" s="45"/>
      <c r="CY1" s="45"/>
      <c r="CZ1" s="45"/>
      <c r="DA1" s="45"/>
      <c r="DB1" s="45"/>
      <c r="DD1" s="45"/>
      <c r="DE1" s="45"/>
      <c r="DF1" s="45"/>
      <c r="DG1" s="45"/>
      <c r="DI1" s="211"/>
      <c r="DJ1" s="211"/>
      <c r="DK1" s="211"/>
      <c r="DL1" s="211"/>
      <c r="DN1" s="211"/>
      <c r="DO1" s="211"/>
      <c r="DP1" s="211"/>
      <c r="DQ1" s="211"/>
      <c r="DS1" s="211"/>
      <c r="DT1" s="211"/>
      <c r="DU1" s="211"/>
      <c r="DV1" s="211"/>
    </row>
    <row r="2" spans="1:168">
      <c r="A2" s="41" t="s">
        <v>132</v>
      </c>
      <c r="C2" s="45"/>
      <c r="D2" s="45"/>
      <c r="E2" s="45"/>
      <c r="F2" s="45"/>
      <c r="G2" s="45"/>
      <c r="H2" s="45"/>
      <c r="I2" s="45"/>
      <c r="J2" s="45"/>
      <c r="K2" s="45"/>
      <c r="L2" s="45"/>
      <c r="M2" s="45"/>
      <c r="N2" s="45"/>
      <c r="O2" s="45"/>
      <c r="P2" s="45"/>
      <c r="Q2" s="45"/>
      <c r="R2" s="45"/>
      <c r="S2" s="45"/>
      <c r="T2" s="45"/>
      <c r="U2" s="45"/>
      <c r="V2" s="45"/>
      <c r="W2" s="45"/>
      <c r="X2" s="45"/>
      <c r="Y2" s="45"/>
      <c r="Z2" s="45"/>
      <c r="AA2" s="96"/>
      <c r="AB2" s="289"/>
      <c r="AC2" s="45"/>
      <c r="AD2" s="211"/>
      <c r="AE2" s="45"/>
      <c r="AG2" s="45"/>
      <c r="AH2" s="45"/>
      <c r="AI2" s="45"/>
      <c r="AJ2" s="45"/>
      <c r="AL2" s="45"/>
      <c r="AM2" s="45"/>
      <c r="AN2" s="45"/>
      <c r="AO2" s="45"/>
      <c r="AQ2" s="45"/>
      <c r="AR2" s="45"/>
      <c r="AS2" s="45"/>
      <c r="AT2" s="45"/>
      <c r="AV2" s="211"/>
      <c r="AW2" s="211"/>
      <c r="AX2" s="211"/>
      <c r="AY2" s="211"/>
      <c r="BA2" s="211"/>
      <c r="BB2" s="211"/>
      <c r="BC2" s="211"/>
      <c r="BD2" s="211"/>
      <c r="BF2" s="211"/>
      <c r="BG2" s="211"/>
      <c r="BH2" s="211"/>
      <c r="BI2" s="211"/>
      <c r="BK2" s="211"/>
      <c r="BL2" s="211"/>
      <c r="BM2" s="211"/>
      <c r="BN2" s="211"/>
      <c r="BP2" s="211"/>
      <c r="BQ2" s="211"/>
      <c r="BR2" s="412"/>
      <c r="BS2" s="211"/>
      <c r="BU2" s="211"/>
      <c r="BV2" s="937"/>
      <c r="BW2" s="211"/>
      <c r="BX2" s="211"/>
      <c r="BY2" s="402"/>
      <c r="BZ2" s="211"/>
      <c r="CA2" s="937"/>
      <c r="CB2" s="211"/>
      <c r="CC2" s="211"/>
      <c r="CE2" s="211"/>
      <c r="CF2" s="45"/>
      <c r="CG2" s="45"/>
      <c r="CH2" s="211"/>
      <c r="CJ2" s="211"/>
      <c r="CK2" s="211"/>
      <c r="CL2" s="211"/>
      <c r="CM2" s="211"/>
      <c r="CO2" s="211"/>
      <c r="CP2" s="211"/>
      <c r="CQ2" s="211"/>
      <c r="CR2" s="211"/>
      <c r="CT2" s="45"/>
      <c r="CU2" s="45"/>
      <c r="CV2" s="45"/>
      <c r="CW2" s="45"/>
      <c r="CY2" s="45"/>
      <c r="CZ2" s="45"/>
      <c r="DA2" s="45"/>
      <c r="DB2" s="45"/>
      <c r="DD2" s="45"/>
      <c r="DE2" s="45"/>
      <c r="DF2" s="45"/>
      <c r="DG2" s="45"/>
      <c r="DI2" s="211"/>
      <c r="DJ2" s="211"/>
      <c r="DK2" s="211"/>
      <c r="DL2" s="211"/>
      <c r="DN2" s="211"/>
      <c r="DO2" s="211"/>
      <c r="DP2" s="211"/>
      <c r="DQ2" s="211"/>
      <c r="DS2" s="211"/>
      <c r="DT2" s="211"/>
      <c r="DU2" s="211"/>
      <c r="DV2" s="211"/>
    </row>
    <row r="3" spans="1:168">
      <c r="A3" s="42" t="s">
        <v>540</v>
      </c>
      <c r="C3" s="45"/>
      <c r="D3" s="45"/>
      <c r="E3" s="45"/>
      <c r="F3" s="45"/>
      <c r="G3" s="45"/>
      <c r="H3" s="45"/>
      <c r="I3" s="45"/>
      <c r="J3" s="45"/>
      <c r="K3" s="45"/>
      <c r="L3" s="45"/>
      <c r="M3" s="45"/>
      <c r="N3" s="45"/>
      <c r="O3" s="45"/>
      <c r="P3" s="45"/>
      <c r="Q3" s="45"/>
      <c r="R3" s="45"/>
      <c r="S3" s="45"/>
      <c r="T3" s="45"/>
      <c r="U3" s="45"/>
      <c r="V3" s="45"/>
      <c r="W3" s="45"/>
      <c r="X3" s="45"/>
      <c r="Y3" s="45"/>
      <c r="Z3" s="45"/>
      <c r="AA3" s="70"/>
      <c r="AB3" s="45"/>
      <c r="AC3" s="45"/>
      <c r="AD3" s="211"/>
      <c r="AE3" s="45"/>
      <c r="AG3" s="45"/>
      <c r="AH3" s="45"/>
      <c r="AI3" s="45"/>
      <c r="AJ3" s="45"/>
      <c r="AL3" s="45"/>
      <c r="AM3" s="45"/>
      <c r="AN3" s="45"/>
      <c r="AO3" s="45"/>
      <c r="AQ3" s="45"/>
      <c r="AR3" s="45"/>
      <c r="AS3" s="45"/>
      <c r="AT3" s="45"/>
      <c r="AV3" s="211"/>
      <c r="AW3" s="211"/>
      <c r="AX3" s="211"/>
      <c r="AY3" s="211"/>
      <c r="BA3" s="59"/>
      <c r="BB3" s="211"/>
      <c r="BC3" s="211"/>
      <c r="BD3" s="211"/>
      <c r="BF3" s="59"/>
      <c r="BG3" s="211"/>
      <c r="BH3" s="211"/>
      <c r="BI3" s="211"/>
      <c r="BJ3" s="478"/>
      <c r="BK3" s="59"/>
      <c r="BL3" s="211"/>
      <c r="BM3" s="211"/>
      <c r="BN3" s="211"/>
      <c r="BO3" s="401"/>
      <c r="BP3" s="59"/>
      <c r="BQ3" s="211"/>
      <c r="BR3" s="211"/>
      <c r="BS3" s="211"/>
      <c r="BT3" s="401"/>
      <c r="BU3" s="59"/>
      <c r="BV3" s="211"/>
      <c r="BW3" s="211"/>
      <c r="BX3" s="211"/>
      <c r="BY3" s="401"/>
      <c r="BZ3" s="59"/>
      <c r="CA3" s="211"/>
      <c r="CB3" s="211"/>
      <c r="CC3" s="211"/>
      <c r="CD3" s="401"/>
      <c r="CE3" s="59"/>
      <c r="CF3" s="45"/>
      <c r="CG3" s="45"/>
      <c r="CH3" s="211"/>
      <c r="CI3" s="401"/>
      <c r="CJ3" s="59"/>
      <c r="CK3" s="211"/>
      <c r="CL3" s="211"/>
      <c r="CM3" s="211"/>
      <c r="CN3" s="401"/>
      <c r="CO3" s="59"/>
      <c r="CP3" s="211"/>
      <c r="CQ3" s="211"/>
      <c r="CR3" s="211"/>
      <c r="CS3" s="401"/>
      <c r="CT3" s="59"/>
      <c r="CU3" s="45"/>
      <c r="CV3" s="45"/>
      <c r="CW3" s="45"/>
      <c r="CX3" s="401"/>
      <c r="CY3" s="59"/>
      <c r="CZ3" s="45"/>
      <c r="DA3" s="45"/>
      <c r="DB3" s="45"/>
      <c r="DC3" s="401"/>
      <c r="DD3" s="59"/>
      <c r="DE3" s="45"/>
      <c r="DF3" s="45"/>
      <c r="DG3" s="45"/>
      <c r="DH3" s="401"/>
      <c r="DI3" s="59"/>
      <c r="DJ3" s="211"/>
      <c r="DK3" s="211"/>
      <c r="DL3" s="211"/>
      <c r="DM3" s="401"/>
      <c r="DN3" s="59"/>
      <c r="DO3" s="211"/>
      <c r="DP3" s="211"/>
      <c r="DQ3" s="211"/>
      <c r="DR3" s="401"/>
      <c r="DS3" s="59"/>
      <c r="DT3" s="211"/>
      <c r="DU3" s="211"/>
      <c r="DV3" s="211"/>
      <c r="DW3" s="401"/>
    </row>
    <row r="4" spans="1:168" customFormat="1" hidden="1" outlineLevel="1"/>
    <row r="5" spans="1:168" s="291" customFormat="1" ht="15.75" collapsed="1">
      <c r="A5" s="683" t="s">
        <v>422</v>
      </c>
      <c r="B5" s="37"/>
      <c r="C5" s="38"/>
      <c r="D5" s="38"/>
      <c r="E5" s="38"/>
      <c r="F5" s="38"/>
      <c r="G5" s="38"/>
      <c r="H5" s="38"/>
      <c r="I5" s="38"/>
      <c r="J5" s="38"/>
      <c r="K5" s="38"/>
      <c r="L5" s="38"/>
      <c r="M5" s="38"/>
      <c r="N5" s="38"/>
      <c r="O5" s="38"/>
      <c r="P5" s="38"/>
      <c r="Q5" s="38"/>
      <c r="R5" s="38"/>
      <c r="S5" s="38"/>
      <c r="T5" s="38"/>
      <c r="U5" s="38"/>
      <c r="V5" s="38"/>
      <c r="W5" s="38"/>
      <c r="X5" s="38"/>
      <c r="Y5" s="38"/>
      <c r="Z5" s="38"/>
      <c r="AA5" s="38"/>
      <c r="AB5" s="37"/>
      <c r="AC5" s="37"/>
      <c r="AD5" s="39"/>
      <c r="AE5" s="37"/>
      <c r="AF5" s="37"/>
      <c r="AG5" s="37"/>
      <c r="AH5" s="37"/>
      <c r="AI5" s="37"/>
      <c r="AJ5" s="37"/>
      <c r="AK5" s="37"/>
      <c r="AL5" s="37"/>
      <c r="AM5" s="37"/>
      <c r="AN5" s="37"/>
      <c r="AO5" s="37"/>
      <c r="AP5" s="37"/>
      <c r="AQ5" s="37"/>
      <c r="AR5" s="37"/>
      <c r="AS5" s="37"/>
      <c r="AT5" s="37"/>
      <c r="AU5" s="37"/>
      <c r="AV5" s="39"/>
      <c r="AW5" s="39"/>
      <c r="AX5" s="39"/>
      <c r="AY5" s="39"/>
      <c r="AZ5" s="39"/>
      <c r="BA5" s="39"/>
      <c r="BB5" s="39"/>
      <c r="BC5" s="39"/>
      <c r="BD5" s="39"/>
      <c r="BE5" s="39"/>
      <c r="BF5" s="39"/>
      <c r="BG5" s="39"/>
      <c r="BH5" s="39"/>
      <c r="BI5" s="39"/>
      <c r="BJ5" s="39"/>
      <c r="BK5" s="39"/>
      <c r="BL5" s="39"/>
      <c r="BM5" s="39"/>
      <c r="BN5" s="39"/>
      <c r="BO5" s="37"/>
      <c r="BP5" s="39"/>
      <c r="BQ5" s="39"/>
      <c r="BR5" s="39"/>
      <c r="BS5" s="39"/>
      <c r="BT5" s="37"/>
      <c r="BU5" s="39"/>
      <c r="BV5" s="39"/>
      <c r="BW5" s="39"/>
      <c r="BX5" s="39"/>
      <c r="BY5" s="37"/>
      <c r="BZ5" s="39"/>
      <c r="CA5" s="39"/>
      <c r="CB5" s="39"/>
      <c r="CC5" s="39"/>
      <c r="CD5" s="37"/>
      <c r="CE5" s="39"/>
      <c r="CF5" s="37"/>
      <c r="CG5" s="37"/>
      <c r="CH5" s="39"/>
      <c r="CI5" s="37"/>
      <c r="CJ5" s="39"/>
      <c r="CK5" s="39"/>
      <c r="CL5" s="39"/>
      <c r="CM5" s="39"/>
      <c r="CN5" s="37"/>
      <c r="CO5" s="39"/>
      <c r="CP5" s="39"/>
      <c r="CQ5" s="39"/>
      <c r="CR5" s="39"/>
      <c r="CS5" s="37"/>
      <c r="CT5" s="37"/>
      <c r="CU5" s="37"/>
      <c r="CV5" s="37"/>
      <c r="CW5" s="37"/>
      <c r="CX5" s="37"/>
      <c r="CY5" s="37"/>
      <c r="CZ5" s="37"/>
      <c r="DA5" s="37"/>
      <c r="DB5" s="37"/>
      <c r="DC5" s="37"/>
      <c r="DD5" s="37"/>
      <c r="DE5" s="37"/>
      <c r="DF5" s="37"/>
      <c r="DG5" s="37"/>
      <c r="DH5" s="37"/>
      <c r="DI5" s="39"/>
      <c r="DJ5" s="39"/>
      <c r="DK5" s="39"/>
      <c r="DL5" s="39"/>
      <c r="DM5" s="37"/>
      <c r="DN5" s="39"/>
      <c r="DO5" s="39"/>
      <c r="DP5" s="39"/>
      <c r="DQ5" s="39"/>
      <c r="DR5" s="37"/>
      <c r="DS5" s="39"/>
      <c r="DT5" s="39"/>
      <c r="DU5" s="39"/>
      <c r="DV5" s="39"/>
      <c r="DW5" s="502"/>
      <c r="DX5" s="290"/>
      <c r="DY5" s="290"/>
      <c r="DZ5" s="290"/>
      <c r="EA5" s="290"/>
      <c r="EB5" s="290"/>
      <c r="EC5" s="290"/>
      <c r="ED5"/>
      <c r="EE5"/>
      <c r="EF5"/>
      <c r="EG5"/>
      <c r="EH5"/>
      <c r="EI5"/>
      <c r="EJ5" s="290"/>
      <c r="EK5" s="290"/>
      <c r="EL5" s="290"/>
      <c r="EM5" s="290"/>
      <c r="EN5" s="290"/>
      <c r="EO5" s="290"/>
      <c r="EP5" s="290"/>
      <c r="EQ5" s="290"/>
      <c r="ER5" s="290"/>
      <c r="ES5" s="290"/>
      <c r="ET5" s="290"/>
      <c r="EU5" s="290"/>
      <c r="EV5" s="290"/>
      <c r="EW5" s="290"/>
      <c r="EX5" s="290"/>
      <c r="EY5" s="290"/>
      <c r="EZ5" s="290"/>
      <c r="FA5" s="290"/>
      <c r="FB5" s="290"/>
      <c r="FC5" s="290"/>
      <c r="FD5" s="290"/>
      <c r="FE5" s="290"/>
      <c r="FF5" s="290"/>
      <c r="FG5" s="290"/>
      <c r="FH5" s="290"/>
      <c r="FI5" s="290"/>
      <c r="FJ5" s="290"/>
      <c r="FK5" s="290"/>
      <c r="FL5" s="290"/>
    </row>
    <row r="6" spans="1:168">
      <c r="A6" s="557"/>
      <c r="Z6" s="200"/>
      <c r="BA6" s="41"/>
      <c r="BC6" s="383"/>
      <c r="BE6" s="750">
        <v>39082</v>
      </c>
      <c r="BF6" s="45"/>
      <c r="BG6" s="45"/>
      <c r="BH6" s="45"/>
      <c r="BI6" s="45"/>
      <c r="BJ6" s="750">
        <v>39446</v>
      </c>
      <c r="BK6" s="750">
        <v>39537</v>
      </c>
      <c r="BL6" s="750">
        <v>39628</v>
      </c>
      <c r="BM6" s="750">
        <v>39719</v>
      </c>
      <c r="BN6" s="750">
        <v>39810</v>
      </c>
      <c r="BO6" s="750">
        <v>39810</v>
      </c>
      <c r="BP6" s="750">
        <v>39901</v>
      </c>
      <c r="BQ6" s="678">
        <v>39992</v>
      </c>
      <c r="BR6" s="678">
        <v>40083</v>
      </c>
      <c r="BS6" s="678">
        <v>40181</v>
      </c>
      <c r="BT6" s="678">
        <f>BS6</f>
        <v>40181</v>
      </c>
      <c r="BU6" s="678">
        <v>40272</v>
      </c>
      <c r="BV6" s="678">
        <v>40363</v>
      </c>
      <c r="BW6" s="678">
        <v>40454</v>
      </c>
      <c r="BX6" s="678">
        <v>40545</v>
      </c>
      <c r="BY6" s="959">
        <f>BX6</f>
        <v>40545</v>
      </c>
      <c r="BZ6" s="678">
        <v>40636</v>
      </c>
      <c r="CA6" s="678">
        <v>40727</v>
      </c>
      <c r="CB6" s="678">
        <v>40818</v>
      </c>
      <c r="CC6" s="678">
        <v>40909</v>
      </c>
      <c r="CD6" s="959">
        <f>CC6</f>
        <v>40909</v>
      </c>
      <c r="CI6" s="239"/>
      <c r="CN6" s="557"/>
      <c r="CS6" s="557"/>
      <c r="CX6" s="557"/>
      <c r="DC6" s="618"/>
      <c r="DH6" s="618"/>
      <c r="DM6" s="618"/>
      <c r="DR6" s="618"/>
      <c r="DW6" s="557"/>
      <c r="DX6" s="45"/>
      <c r="DY6" s="45"/>
      <c r="DZ6" s="45"/>
      <c r="EA6" s="45"/>
      <c r="EB6" s="45"/>
      <c r="EC6" s="45"/>
      <c r="EJ6" s="45"/>
      <c r="EK6" s="45"/>
      <c r="EL6" s="45"/>
      <c r="EM6" s="45"/>
      <c r="EN6" s="45"/>
      <c r="EO6" s="45"/>
      <c r="EP6" s="45"/>
      <c r="EQ6" s="45"/>
      <c r="ER6" s="45"/>
      <c r="ES6" s="45"/>
      <c r="ET6" s="45"/>
      <c r="EU6" s="45"/>
      <c r="EV6" s="45"/>
      <c r="EW6" s="45"/>
      <c r="EX6" s="45"/>
      <c r="EY6" s="45"/>
      <c r="EZ6" s="45"/>
      <c r="FA6" s="45"/>
      <c r="FB6" s="45"/>
      <c r="FC6" s="45"/>
      <c r="FD6" s="45"/>
      <c r="FE6" s="45"/>
      <c r="FF6" s="45"/>
      <c r="FG6" s="45"/>
      <c r="FH6" s="45"/>
      <c r="FI6" s="45"/>
      <c r="FJ6" s="45"/>
      <c r="FK6" s="45"/>
      <c r="FL6" s="45"/>
    </row>
    <row r="7" spans="1:168" s="53" customFormat="1">
      <c r="A7" s="560" t="s">
        <v>9</v>
      </c>
      <c r="B7" s="561"/>
      <c r="C7" s="530"/>
      <c r="D7" s="530"/>
      <c r="E7" s="530"/>
      <c r="F7" s="530"/>
      <c r="G7" s="531"/>
      <c r="H7" s="530"/>
      <c r="I7" s="530"/>
      <c r="J7" s="531"/>
      <c r="K7" s="531"/>
      <c r="L7" s="531"/>
      <c r="M7" s="531" t="s">
        <v>351</v>
      </c>
      <c r="N7" s="531" t="s">
        <v>352</v>
      </c>
      <c r="O7" s="530" t="s">
        <v>353</v>
      </c>
      <c r="P7" s="532" t="s">
        <v>354</v>
      </c>
      <c r="Q7" s="533" t="s">
        <v>355</v>
      </c>
      <c r="R7" s="534" t="s">
        <v>356</v>
      </c>
      <c r="S7" s="535" t="s">
        <v>357</v>
      </c>
      <c r="T7" s="535" t="s">
        <v>358</v>
      </c>
      <c r="U7" s="535" t="s">
        <v>359</v>
      </c>
      <c r="V7" s="533" t="s">
        <v>360</v>
      </c>
      <c r="W7" s="535" t="s">
        <v>361</v>
      </c>
      <c r="X7" s="535" t="s">
        <v>362</v>
      </c>
      <c r="Y7" s="535" t="s">
        <v>363</v>
      </c>
      <c r="Z7" s="535" t="s">
        <v>364</v>
      </c>
      <c r="AA7" s="533" t="s">
        <v>365</v>
      </c>
      <c r="AB7" s="535" t="s">
        <v>189</v>
      </c>
      <c r="AC7" s="535" t="s">
        <v>190</v>
      </c>
      <c r="AD7" s="535" t="s">
        <v>325</v>
      </c>
      <c r="AE7" s="535" t="s">
        <v>236</v>
      </c>
      <c r="AF7" s="533" t="s">
        <v>237</v>
      </c>
      <c r="AG7" s="535" t="s">
        <v>238</v>
      </c>
      <c r="AH7" s="535" t="s">
        <v>239</v>
      </c>
      <c r="AI7" s="535" t="s">
        <v>240</v>
      </c>
      <c r="AJ7" s="535" t="s">
        <v>241</v>
      </c>
      <c r="AK7" s="533" t="s">
        <v>242</v>
      </c>
      <c r="AL7" s="535" t="s">
        <v>4</v>
      </c>
      <c r="AM7" s="562" t="s">
        <v>5</v>
      </c>
      <c r="AN7" s="563" t="s">
        <v>6</v>
      </c>
      <c r="AO7" s="563" t="s">
        <v>7</v>
      </c>
      <c r="AP7" s="564" t="s">
        <v>8</v>
      </c>
      <c r="AQ7" s="563" t="s">
        <v>525</v>
      </c>
      <c r="AR7" s="563" t="s">
        <v>511</v>
      </c>
      <c r="AS7" s="563" t="s">
        <v>74</v>
      </c>
      <c r="AT7" s="563" t="s">
        <v>75</v>
      </c>
      <c r="AU7" s="564" t="s">
        <v>76</v>
      </c>
      <c r="AV7" s="563" t="s">
        <v>99</v>
      </c>
      <c r="AW7" s="563" t="s">
        <v>36</v>
      </c>
      <c r="AX7" s="563" t="s">
        <v>244</v>
      </c>
      <c r="AY7" s="563" t="s">
        <v>79</v>
      </c>
      <c r="AZ7" s="564" t="s">
        <v>80</v>
      </c>
      <c r="BA7" s="563" t="s">
        <v>83</v>
      </c>
      <c r="BB7" s="563" t="s">
        <v>73</v>
      </c>
      <c r="BC7" s="563" t="s">
        <v>59</v>
      </c>
      <c r="BD7" s="565" t="s">
        <v>527</v>
      </c>
      <c r="BE7" s="536" t="s">
        <v>287</v>
      </c>
      <c r="BF7" s="534" t="s">
        <v>533</v>
      </c>
      <c r="BG7" s="535" t="s">
        <v>408</v>
      </c>
      <c r="BH7" s="535" t="s">
        <v>77</v>
      </c>
      <c r="BI7" s="536" t="s">
        <v>437</v>
      </c>
      <c r="BJ7" s="536" t="s">
        <v>438</v>
      </c>
      <c r="BK7" s="563" t="s">
        <v>25</v>
      </c>
      <c r="BL7" s="563" t="s">
        <v>326</v>
      </c>
      <c r="BM7" s="563" t="s">
        <v>231</v>
      </c>
      <c r="BN7" s="563" t="s">
        <v>142</v>
      </c>
      <c r="BO7" s="564" t="s">
        <v>50</v>
      </c>
      <c r="BP7" s="563" t="s">
        <v>516</v>
      </c>
      <c r="BQ7" s="563" t="s">
        <v>405</v>
      </c>
      <c r="BR7" s="563" t="s">
        <v>306</v>
      </c>
      <c r="BS7" s="563" t="s">
        <v>285</v>
      </c>
      <c r="BT7" s="700" t="s">
        <v>281</v>
      </c>
      <c r="BU7" s="563" t="s">
        <v>462</v>
      </c>
      <c r="BV7" s="563" t="s">
        <v>429</v>
      </c>
      <c r="BW7" s="563" t="s">
        <v>125</v>
      </c>
      <c r="BX7" s="563" t="s">
        <v>373</v>
      </c>
      <c r="BY7" s="700" t="s">
        <v>374</v>
      </c>
      <c r="BZ7" s="563" t="s">
        <v>427</v>
      </c>
      <c r="CA7" s="563" t="s">
        <v>366</v>
      </c>
      <c r="CB7" s="563" t="s">
        <v>367</v>
      </c>
      <c r="CC7" s="563" t="s">
        <v>490</v>
      </c>
      <c r="CD7" s="700" t="s">
        <v>491</v>
      </c>
      <c r="CE7" s="974" t="s">
        <v>100</v>
      </c>
      <c r="CF7" s="563" t="s">
        <v>411</v>
      </c>
      <c r="CG7" s="563" t="s">
        <v>369</v>
      </c>
      <c r="CH7" s="563" t="s">
        <v>514</v>
      </c>
      <c r="CI7" s="700" t="s">
        <v>515</v>
      </c>
      <c r="CJ7" s="974" t="s">
        <v>86</v>
      </c>
      <c r="CK7" s="974" t="s">
        <v>493</v>
      </c>
      <c r="CL7" s="563" t="s">
        <v>448</v>
      </c>
      <c r="CM7" s="563" t="s">
        <v>191</v>
      </c>
      <c r="CN7" s="700" t="s">
        <v>192</v>
      </c>
      <c r="CO7" s="563" t="s">
        <v>286</v>
      </c>
      <c r="CP7" s="563" t="s">
        <v>57</v>
      </c>
      <c r="CQ7" s="563" t="s">
        <v>535</v>
      </c>
      <c r="CR7" s="563" t="s">
        <v>537</v>
      </c>
      <c r="CS7" s="700" t="s">
        <v>538</v>
      </c>
      <c r="CT7" s="563" t="s">
        <v>541</v>
      </c>
      <c r="CU7" s="563" t="s">
        <v>565</v>
      </c>
      <c r="CV7" s="563" t="s">
        <v>587</v>
      </c>
      <c r="CW7" s="563" t="s">
        <v>593</v>
      </c>
      <c r="CX7" s="700" t="s">
        <v>594</v>
      </c>
      <c r="CY7" s="563" t="s">
        <v>598</v>
      </c>
      <c r="CZ7" s="563" t="s">
        <v>611</v>
      </c>
      <c r="DA7" s="563" t="s">
        <v>613</v>
      </c>
      <c r="DB7" s="563" t="s">
        <v>617</v>
      </c>
      <c r="DC7" s="700" t="s">
        <v>621</v>
      </c>
      <c r="DD7" s="563" t="s">
        <v>626</v>
      </c>
      <c r="DE7" s="563" t="s">
        <v>632</v>
      </c>
      <c r="DF7" s="563" t="s">
        <v>636</v>
      </c>
      <c r="DG7" s="563" t="s">
        <v>642</v>
      </c>
      <c r="DH7" s="700" t="s">
        <v>643</v>
      </c>
      <c r="DI7" s="566" t="s">
        <v>377</v>
      </c>
      <c r="DJ7" s="566" t="s">
        <v>378</v>
      </c>
      <c r="DK7" s="566" t="s">
        <v>379</v>
      </c>
      <c r="DL7" s="566" t="s">
        <v>380</v>
      </c>
      <c r="DM7" s="700" t="s">
        <v>220</v>
      </c>
      <c r="DN7" s="566" t="s">
        <v>381</v>
      </c>
      <c r="DO7" s="566" t="s">
        <v>382</v>
      </c>
      <c r="DP7" s="566" t="s">
        <v>383</v>
      </c>
      <c r="DQ7" s="566" t="s">
        <v>386</v>
      </c>
      <c r="DR7" s="700" t="s">
        <v>385</v>
      </c>
      <c r="DS7" s="566" t="s">
        <v>387</v>
      </c>
      <c r="DT7" s="566" t="s">
        <v>388</v>
      </c>
      <c r="DU7" s="566" t="s">
        <v>389</v>
      </c>
      <c r="DV7" s="566" t="s">
        <v>384</v>
      </c>
      <c r="DW7" s="700" t="s">
        <v>390</v>
      </c>
      <c r="DX7" s="204"/>
      <c r="DY7" s="204"/>
      <c r="DZ7" s="204"/>
      <c r="EA7" s="204"/>
      <c r="EB7" s="204"/>
      <c r="EC7" s="204"/>
      <c r="ED7"/>
      <c r="EE7"/>
      <c r="EF7"/>
      <c r="EG7"/>
      <c r="EH7"/>
      <c r="EI7"/>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row>
    <row r="8" spans="1:168" s="53" customFormat="1" ht="7.5" customHeight="1">
      <c r="A8" s="558"/>
      <c r="B8" s="80"/>
      <c r="C8" s="242"/>
      <c r="D8" s="242"/>
      <c r="E8" s="242"/>
      <c r="F8" s="242"/>
      <c r="G8" s="242"/>
      <c r="H8" s="242"/>
      <c r="I8" s="242"/>
      <c r="J8" s="242"/>
      <c r="K8" s="242"/>
      <c r="L8" s="242"/>
      <c r="M8" s="242"/>
      <c r="N8" s="242"/>
      <c r="O8" s="242"/>
      <c r="P8" s="243"/>
      <c r="Q8" s="292"/>
      <c r="R8" s="240"/>
      <c r="S8" s="242"/>
      <c r="T8" s="242"/>
      <c r="U8" s="242"/>
      <c r="V8" s="244"/>
      <c r="W8" s="242"/>
      <c r="X8" s="242"/>
      <c r="Y8" s="242"/>
      <c r="Z8" s="242"/>
      <c r="AA8" s="244"/>
      <c r="AB8" s="242"/>
      <c r="AC8" s="242"/>
      <c r="AD8" s="242"/>
      <c r="AE8" s="242"/>
      <c r="AF8" s="244"/>
      <c r="AG8" s="242"/>
      <c r="AH8" s="242"/>
      <c r="AI8" s="242"/>
      <c r="AJ8" s="242"/>
      <c r="AK8" s="245"/>
      <c r="AL8" s="242"/>
      <c r="AM8" s="242"/>
      <c r="AN8" s="242"/>
      <c r="AO8" s="242"/>
      <c r="AP8" s="245"/>
      <c r="AQ8" s="242"/>
      <c r="AR8" s="242"/>
      <c r="AS8" s="242"/>
      <c r="AT8" s="242"/>
      <c r="AU8" s="245"/>
      <c r="AV8" s="247"/>
      <c r="AW8" s="242"/>
      <c r="AX8" s="242"/>
      <c r="AY8" s="242"/>
      <c r="AZ8" s="245"/>
      <c r="BA8" s="247"/>
      <c r="BB8" s="247"/>
      <c r="BC8" s="247"/>
      <c r="BD8" s="449"/>
      <c r="BE8" s="450"/>
      <c r="BF8" s="242"/>
      <c r="BG8" s="247"/>
      <c r="BH8" s="242"/>
      <c r="BI8" s="247"/>
      <c r="BJ8" s="245"/>
      <c r="BK8" s="247"/>
      <c r="BL8" s="247"/>
      <c r="BM8" s="247"/>
      <c r="BN8" s="247"/>
      <c r="BO8" s="245"/>
      <c r="BP8" s="242"/>
      <c r="BQ8" s="242"/>
      <c r="BR8" s="242"/>
      <c r="BS8" s="242"/>
      <c r="BT8" s="701"/>
      <c r="BU8" s="242"/>
      <c r="BV8" s="242"/>
      <c r="BW8" s="242"/>
      <c r="BX8" s="242"/>
      <c r="BY8" s="701"/>
      <c r="BZ8" s="242"/>
      <c r="CA8" s="242"/>
      <c r="CB8" s="242"/>
      <c r="CC8" s="242"/>
      <c r="CD8" s="701"/>
      <c r="CE8" s="247"/>
      <c r="CF8" s="242"/>
      <c r="CG8" s="242"/>
      <c r="CH8" s="247"/>
      <c r="CI8" s="701"/>
      <c r="CJ8" s="247"/>
      <c r="CK8" s="247"/>
      <c r="CL8" s="247"/>
      <c r="CM8" s="247"/>
      <c r="CN8" s="701"/>
      <c r="CO8" s="247"/>
      <c r="CP8" s="242"/>
      <c r="CQ8" s="247"/>
      <c r="CR8" s="247"/>
      <c r="CS8" s="701"/>
      <c r="CT8" s="242"/>
      <c r="CU8" s="242"/>
      <c r="CV8" s="242"/>
      <c r="CW8" s="242"/>
      <c r="CX8" s="701"/>
      <c r="CY8" s="242"/>
      <c r="CZ8" s="242"/>
      <c r="DA8" s="242"/>
      <c r="DB8" s="242"/>
      <c r="DC8" s="701"/>
      <c r="DD8" s="242"/>
      <c r="DE8" s="242"/>
      <c r="DF8" s="242"/>
      <c r="DG8" s="242"/>
      <c r="DH8" s="701"/>
      <c r="DI8" s="247"/>
      <c r="DJ8" s="247"/>
      <c r="DK8" s="247"/>
      <c r="DL8" s="247"/>
      <c r="DM8" s="701"/>
      <c r="DN8" s="247"/>
      <c r="DO8" s="247"/>
      <c r="DP8" s="247"/>
      <c r="DQ8" s="247"/>
      <c r="DR8" s="701"/>
      <c r="DS8" s="247"/>
      <c r="DT8" s="247"/>
      <c r="DU8" s="247"/>
      <c r="DV8" s="247"/>
      <c r="DW8" s="701"/>
      <c r="DX8" s="45"/>
      <c r="DY8" s="45"/>
      <c r="DZ8" s="45"/>
      <c r="EA8" s="45"/>
      <c r="EB8" s="45"/>
      <c r="EC8" s="45"/>
      <c r="ED8"/>
      <c r="EE8"/>
      <c r="EF8"/>
      <c r="EG8"/>
      <c r="EH8"/>
      <c r="EI8"/>
      <c r="EJ8" s="45"/>
      <c r="EK8" s="45"/>
      <c r="EL8" s="45"/>
      <c r="EM8" s="45"/>
      <c r="EN8" s="45"/>
      <c r="EO8" s="45"/>
      <c r="EP8" s="45"/>
      <c r="EQ8" s="45"/>
      <c r="ER8" s="45"/>
      <c r="ES8" s="45"/>
      <c r="ET8" s="45"/>
      <c r="EU8" s="45"/>
      <c r="EV8" s="45"/>
      <c r="EW8" s="45"/>
      <c r="EX8" s="45"/>
      <c r="EY8" s="45"/>
      <c r="EZ8" s="45"/>
      <c r="FA8" s="45"/>
      <c r="FB8" s="45"/>
      <c r="FC8" s="45"/>
      <c r="FD8" s="45"/>
      <c r="FE8" s="45"/>
      <c r="FF8" s="45"/>
      <c r="FG8" s="45"/>
      <c r="FH8" s="45"/>
      <c r="FI8" s="45"/>
      <c r="FJ8" s="45"/>
      <c r="FK8" s="45"/>
      <c r="FL8" s="45"/>
    </row>
    <row r="9" spans="1:168">
      <c r="A9" s="559" t="s">
        <v>131</v>
      </c>
      <c r="B9" s="293"/>
      <c r="C9" s="294"/>
      <c r="D9" s="295"/>
      <c r="E9" s="295"/>
      <c r="F9" s="295"/>
      <c r="G9" s="296"/>
      <c r="H9" s="295"/>
      <c r="I9" s="295"/>
      <c r="J9" s="295"/>
      <c r="K9" s="295"/>
      <c r="L9" s="296"/>
      <c r="M9" s="295"/>
      <c r="N9" s="295"/>
      <c r="O9" s="295"/>
      <c r="P9" s="295"/>
      <c r="Q9" s="296"/>
      <c r="R9" s="295"/>
      <c r="S9" s="295"/>
      <c r="T9" s="295"/>
      <c r="U9" s="295"/>
      <c r="V9" s="296"/>
      <c r="W9" s="295"/>
      <c r="X9" s="297"/>
      <c r="Y9" s="297"/>
      <c r="Z9" s="295"/>
      <c r="AA9" s="296"/>
      <c r="AB9" s="298"/>
      <c r="AC9" s="298"/>
      <c r="AD9" s="298"/>
      <c r="AE9" s="298"/>
      <c r="AF9" s="299"/>
      <c r="AG9" s="298"/>
      <c r="AH9" s="298"/>
      <c r="AI9" s="298"/>
      <c r="AJ9" s="298"/>
      <c r="AK9" s="299"/>
      <c r="AL9" s="298"/>
      <c r="AM9" s="298"/>
      <c r="AN9" s="298"/>
      <c r="AO9" s="298"/>
      <c r="AP9" s="299"/>
      <c r="AQ9" s="298"/>
      <c r="AR9" s="298"/>
      <c r="AS9" s="298"/>
      <c r="AT9" s="298"/>
      <c r="AU9" s="299"/>
      <c r="AV9" s="300"/>
      <c r="AW9" s="298"/>
      <c r="AX9" s="298"/>
      <c r="AY9" s="298"/>
      <c r="AZ9" s="299"/>
      <c r="BA9" s="300"/>
      <c r="BB9" s="300"/>
      <c r="BC9" s="300"/>
      <c r="BD9" s="451"/>
      <c r="BE9" s="452"/>
      <c r="BF9" s="298"/>
      <c r="BG9" s="300"/>
      <c r="BH9" s="298"/>
      <c r="BI9" s="300"/>
      <c r="BJ9" s="299"/>
      <c r="BK9" s="300"/>
      <c r="BL9" s="300"/>
      <c r="BM9" s="300"/>
      <c r="BN9" s="300"/>
      <c r="BO9" s="299"/>
      <c r="BP9" s="298"/>
      <c r="BQ9" s="298"/>
      <c r="BR9" s="298"/>
      <c r="BS9" s="298"/>
      <c r="BT9" s="702"/>
      <c r="BU9" s="298"/>
      <c r="BV9" s="298"/>
      <c r="BW9" s="298"/>
      <c r="BX9" s="298"/>
      <c r="BY9" s="702"/>
      <c r="BZ9" s="298"/>
      <c r="CA9" s="298"/>
      <c r="CB9" s="298"/>
      <c r="CC9" s="298"/>
      <c r="CD9" s="702"/>
      <c r="CE9" s="300"/>
      <c r="CF9" s="298"/>
      <c r="CG9" s="298"/>
      <c r="CH9" s="300"/>
      <c r="CI9" s="702"/>
      <c r="CJ9" s="300"/>
      <c r="CK9" s="300"/>
      <c r="CL9" s="300"/>
      <c r="CM9" s="300"/>
      <c r="CN9" s="702"/>
      <c r="CO9" s="300"/>
      <c r="CP9" s="298"/>
      <c r="CQ9" s="300"/>
      <c r="CR9" s="300"/>
      <c r="CS9" s="702"/>
      <c r="CT9" s="298"/>
      <c r="CU9" s="298"/>
      <c r="CV9" s="298"/>
      <c r="CW9" s="298"/>
      <c r="CX9" s="702"/>
      <c r="CY9" s="298"/>
      <c r="CZ9" s="298"/>
      <c r="DA9" s="298"/>
      <c r="DB9" s="298"/>
      <c r="DC9" s="702"/>
      <c r="DD9" s="298"/>
      <c r="DE9" s="298"/>
      <c r="DF9" s="298"/>
      <c r="DG9" s="298"/>
      <c r="DH9" s="702"/>
      <c r="DI9" s="300"/>
      <c r="DJ9" s="300"/>
      <c r="DK9" s="300"/>
      <c r="DL9" s="300"/>
      <c r="DM9" s="702"/>
      <c r="DN9" s="300"/>
      <c r="DO9" s="300"/>
      <c r="DP9" s="300"/>
      <c r="DQ9" s="300"/>
      <c r="DR9" s="702"/>
      <c r="DS9" s="300"/>
      <c r="DT9" s="300"/>
      <c r="DU9" s="300"/>
      <c r="DV9" s="300"/>
      <c r="DW9" s="702"/>
      <c r="DX9" s="45"/>
      <c r="DY9" s="45"/>
      <c r="DZ9" s="45"/>
      <c r="EA9" s="45"/>
      <c r="EB9" s="45"/>
      <c r="EC9" s="45"/>
      <c r="EJ9" s="45"/>
      <c r="EK9" s="45"/>
      <c r="EL9" s="45"/>
      <c r="EM9" s="45"/>
      <c r="EN9" s="45"/>
      <c r="EO9" s="45"/>
      <c r="EP9" s="45"/>
      <c r="EQ9" s="45"/>
      <c r="ER9" s="45"/>
      <c r="ES9" s="45"/>
      <c r="ET9" s="45"/>
      <c r="EU9" s="45"/>
      <c r="EV9" s="45"/>
      <c r="EW9" s="45"/>
      <c r="EX9" s="45"/>
      <c r="EY9" s="45"/>
      <c r="EZ9" s="45"/>
      <c r="FA9" s="45"/>
      <c r="FB9" s="45"/>
      <c r="FC9" s="45"/>
      <c r="FD9" s="45"/>
      <c r="FE9" s="45"/>
      <c r="FF9" s="45"/>
      <c r="FG9" s="45"/>
      <c r="FH9" s="45"/>
      <c r="FI9" s="45"/>
      <c r="FJ9" s="45"/>
      <c r="FK9" s="45"/>
      <c r="FL9" s="45"/>
    </row>
    <row r="10" spans="1:168">
      <c r="A10" s="743" t="s">
        <v>301</v>
      </c>
      <c r="B10" s="301"/>
      <c r="C10" s="302"/>
      <c r="D10" s="303"/>
      <c r="E10" s="303"/>
      <c r="F10" s="303"/>
      <c r="G10" s="304"/>
      <c r="H10" s="303"/>
      <c r="I10" s="303"/>
      <c r="J10" s="303"/>
      <c r="K10" s="303"/>
      <c r="L10" s="304"/>
      <c r="M10" s="303"/>
      <c r="N10" s="303"/>
      <c r="O10" s="303"/>
      <c r="P10" s="303"/>
      <c r="Q10" s="304"/>
      <c r="R10" s="303"/>
      <c r="S10" s="303"/>
      <c r="T10" s="303"/>
      <c r="U10" s="303"/>
      <c r="V10" s="304"/>
      <c r="W10" s="303"/>
      <c r="X10" s="303"/>
      <c r="Y10" s="303"/>
      <c r="Z10" s="303"/>
      <c r="AA10" s="304"/>
      <c r="AB10" s="305"/>
      <c r="AC10" s="305"/>
      <c r="AD10" s="305"/>
      <c r="AE10" s="305"/>
      <c r="AF10" s="306"/>
      <c r="AG10" s="305"/>
      <c r="AH10" s="305"/>
      <c r="AI10" s="305"/>
      <c r="AJ10" s="305"/>
      <c r="AK10" s="306"/>
      <c r="AL10" s="305"/>
      <c r="AM10" s="305"/>
      <c r="AN10" s="305"/>
      <c r="AO10" s="305"/>
      <c r="AP10" s="306"/>
      <c r="AQ10" s="305"/>
      <c r="AR10" s="305"/>
      <c r="AS10" s="305"/>
      <c r="AT10" s="305"/>
      <c r="AU10" s="306"/>
      <c r="AV10" s="305"/>
      <c r="AW10" s="305"/>
      <c r="AX10" s="305"/>
      <c r="AY10" s="305"/>
      <c r="AZ10" s="306"/>
      <c r="BA10" s="305"/>
      <c r="BB10" s="305"/>
      <c r="BC10" s="305"/>
      <c r="BD10" s="453"/>
      <c r="BE10" s="744">
        <v>-10.932</v>
      </c>
      <c r="BF10" s="745">
        <v>7.0609999999999999</v>
      </c>
      <c r="BG10" s="745">
        <f>-20.962-BF10</f>
        <v>-28.023</v>
      </c>
      <c r="BH10" s="745">
        <f>-17.231-BG10-BF10</f>
        <v>3.7309999999999981</v>
      </c>
      <c r="BI10" s="745">
        <f>BJ10-BH10-BG10-BF10</f>
        <v>33.312000000000005</v>
      </c>
      <c r="BJ10" s="744">
        <v>16.081</v>
      </c>
      <c r="BK10" s="745">
        <v>-67.471000000000004</v>
      </c>
      <c r="BL10" s="745">
        <f>-74.376-BK10</f>
        <v>-6.9050000000000011</v>
      </c>
      <c r="BM10" s="745">
        <f>-86.523-BL10-BK10</f>
        <v>-12.146999999999991</v>
      </c>
      <c r="BN10" s="745">
        <f>BO10-BM10-BL10-BK10</f>
        <v>-393.21799999999996</v>
      </c>
      <c r="BO10" s="744">
        <v>-479.74099999999999</v>
      </c>
      <c r="BP10" s="745">
        <v>-10.923999999999999</v>
      </c>
      <c r="BQ10" s="745">
        <f>3.968-BP10</f>
        <v>14.891999999999999</v>
      </c>
      <c r="BR10" s="745">
        <f>18.656-BQ10-BP10</f>
        <v>14.687999999999999</v>
      </c>
      <c r="BS10" s="745">
        <f>BT10-BR10-BQ10-BP10</f>
        <v>-13.593999999999998</v>
      </c>
      <c r="BT10" s="744">
        <v>5.0620000000000003</v>
      </c>
      <c r="BU10" s="745">
        <v>-3.4</v>
      </c>
      <c r="BV10" s="745">
        <f>7.342-BU10</f>
        <v>10.741999999999999</v>
      </c>
      <c r="BW10" s="745">
        <f>6.433-BV10-BU10</f>
        <v>-0.90899999999999936</v>
      </c>
      <c r="BX10" s="745">
        <f t="shared" ref="BX10:BX36" si="0">BY10-BW10-BV10-BU10</f>
        <v>-10.757999999999999</v>
      </c>
      <c r="BY10" s="744">
        <v>-4.3250000000000002</v>
      </c>
      <c r="BZ10" s="745">
        <v>-1.409</v>
      </c>
      <c r="CA10" s="745">
        <f>9.857-BZ10</f>
        <v>11.266</v>
      </c>
      <c r="CB10" s="745">
        <f>5.891-CA10-BZ10</f>
        <v>-3.9660000000000002</v>
      </c>
      <c r="CC10" s="745">
        <f>CD10-CB10-CA10-BZ10</f>
        <v>3.9840000000000009</v>
      </c>
      <c r="CD10" s="746">
        <v>9.875</v>
      </c>
      <c r="CE10" s="745">
        <v>14.734</v>
      </c>
      <c r="CF10" s="745">
        <f>9.241-CE10</f>
        <v>-5.4930000000000003</v>
      </c>
      <c r="CG10" s="745">
        <f>-16.921-SUM(CE10:CF10)</f>
        <v>-26.161999999999999</v>
      </c>
      <c r="CH10" s="745">
        <f>CI10-CG10-CF10-CE10</f>
        <v>26.387999999999998</v>
      </c>
      <c r="CI10" s="746">
        <v>9.4670000000000005</v>
      </c>
      <c r="CJ10" s="745">
        <v>2.133</v>
      </c>
      <c r="CK10" s="745">
        <f>14.135-CJ10</f>
        <v>12.001999999999999</v>
      </c>
      <c r="CL10" s="745">
        <f>11.973-SUM(CJ10:CK10)</f>
        <v>-2.1619999999999973</v>
      </c>
      <c r="CM10" s="745">
        <f>CN10-SUM(CJ10:CL10)</f>
        <v>32.658999999999999</v>
      </c>
      <c r="CN10" s="746">
        <v>44.631999999999998</v>
      </c>
      <c r="CO10" s="745">
        <v>46.302999999999997</v>
      </c>
      <c r="CP10" s="745">
        <f>75.31-CO10</f>
        <v>29.007000000000005</v>
      </c>
      <c r="CQ10" s="745">
        <f>98.14-CP10-CO10</f>
        <v>22.83</v>
      </c>
      <c r="CR10" s="745">
        <f>CS10-SUM(CO10:CQ10)</f>
        <v>23.293999999999997</v>
      </c>
      <c r="CS10" s="746">
        <v>121.434</v>
      </c>
      <c r="CT10" s="745">
        <v>27.507000000000001</v>
      </c>
      <c r="CU10" s="745">
        <f>67.702-CT10</f>
        <v>40.194999999999993</v>
      </c>
      <c r="CV10" s="745">
        <f>75.286-CU10-CT10</f>
        <v>7.5840000000000067</v>
      </c>
      <c r="CW10" s="745">
        <f>CX10-SUM(CT10:CV10)</f>
        <v>85.855999999999995</v>
      </c>
      <c r="CX10" s="746">
        <v>161.142</v>
      </c>
      <c r="CY10" s="1268">
        <v>25.363</v>
      </c>
      <c r="CZ10" s="1268">
        <f>51.843-CY10</f>
        <v>26.480000000000004</v>
      </c>
      <c r="DA10" s="1268">
        <f>100.733-CZ10-CY10</f>
        <v>48.89</v>
      </c>
      <c r="DB10" s="745">
        <f>DC10-SUM(CY10:DA10)</f>
        <v>28.890999999999991</v>
      </c>
      <c r="DC10" s="746">
        <v>129.624</v>
      </c>
      <c r="DD10" s="745">
        <v>22.341000000000001</v>
      </c>
      <c r="DE10" s="745">
        <f>20.496-DD10</f>
        <v>-1.8450000000000024</v>
      </c>
      <c r="DF10" s="745">
        <f>34.753-SUM(DD10:DE10)</f>
        <v>14.257000000000001</v>
      </c>
      <c r="DG10" s="745">
        <f>DH10-SUM(DD10:DF10)</f>
        <v>159.27600000000001</v>
      </c>
      <c r="DH10" s="746">
        <v>194.029</v>
      </c>
      <c r="DI10" s="745">
        <f>IncomeStatement!BZ55</f>
        <v>23.787528937825464</v>
      </c>
      <c r="DJ10" s="745">
        <f>IncomeStatement!CA55</f>
        <v>38.549415721898406</v>
      </c>
      <c r="DK10" s="745">
        <f>IncomeStatement!CB55</f>
        <v>33.531874904106694</v>
      </c>
      <c r="DL10" s="745">
        <f>IncomeStatement!CC55</f>
        <v>35.366929232432476</v>
      </c>
      <c r="DM10" s="746">
        <f>SUM(DI10:DL10)</f>
        <v>131.23574879626304</v>
      </c>
      <c r="DN10" s="745">
        <f>IncomeStatement!CE55</f>
        <v>33.031959524016187</v>
      </c>
      <c r="DO10" s="745">
        <f>IncomeStatement!CF55</f>
        <v>47.443041957630058</v>
      </c>
      <c r="DP10" s="745">
        <f>IncomeStatement!CG55</f>
        <v>42.39559865029549</v>
      </c>
      <c r="DQ10" s="745">
        <f>IncomeStatement!CH55</f>
        <v>44.624396331534754</v>
      </c>
      <c r="DR10" s="746">
        <f>SUM(DN10:DQ10)</f>
        <v>167.49499646347647</v>
      </c>
      <c r="DS10" s="745">
        <f>IncomeStatement!CJ55</f>
        <v>41.620140040397104</v>
      </c>
      <c r="DT10" s="745">
        <f>IncomeStatement!CK55</f>
        <v>55.787761049600505</v>
      </c>
      <c r="DU10" s="745">
        <f>IncomeStatement!CL55</f>
        <v>50.827714761643108</v>
      </c>
      <c r="DV10" s="745">
        <f>IncomeStatement!CM55</f>
        <v>53.573994427272325</v>
      </c>
      <c r="DW10" s="746">
        <f>SUM(DS10:DV10)</f>
        <v>201.80961027891306</v>
      </c>
    </row>
    <row r="11" spans="1:168">
      <c r="A11" s="743" t="s">
        <v>66</v>
      </c>
      <c r="B11" s="301"/>
      <c r="C11" s="302"/>
      <c r="D11" s="303"/>
      <c r="E11" s="303"/>
      <c r="F11" s="303"/>
      <c r="G11" s="304"/>
      <c r="H11" s="303"/>
      <c r="I11" s="303"/>
      <c r="J11" s="303"/>
      <c r="K11" s="303"/>
      <c r="L11" s="304"/>
      <c r="M11" s="303"/>
      <c r="N11" s="303"/>
      <c r="O11" s="303"/>
      <c r="P11" s="303"/>
      <c r="Q11" s="304"/>
      <c r="R11" s="303"/>
      <c r="S11" s="303"/>
      <c r="T11" s="303"/>
      <c r="U11" s="303"/>
      <c r="V11" s="304"/>
      <c r="W11" s="303"/>
      <c r="X11" s="303"/>
      <c r="Y11" s="303"/>
      <c r="Z11" s="303"/>
      <c r="AA11" s="304"/>
      <c r="AB11" s="305"/>
      <c r="AC11" s="305"/>
      <c r="AD11" s="305"/>
      <c r="AE11" s="305"/>
      <c r="AF11" s="306"/>
      <c r="AG11" s="305"/>
      <c r="AH11" s="305"/>
      <c r="AI11" s="305"/>
      <c r="AJ11" s="305"/>
      <c r="AK11" s="306"/>
      <c r="AL11" s="305"/>
      <c r="AM11" s="305"/>
      <c r="AN11" s="305"/>
      <c r="AO11" s="305"/>
      <c r="AP11" s="306"/>
      <c r="AQ11" s="305"/>
      <c r="AR11" s="305"/>
      <c r="AS11" s="305"/>
      <c r="AT11" s="305"/>
      <c r="AU11" s="306"/>
      <c r="AV11" s="305"/>
      <c r="AW11" s="305"/>
      <c r="AX11" s="305"/>
      <c r="AY11" s="305"/>
      <c r="AZ11" s="306"/>
      <c r="BA11" s="305"/>
      <c r="BB11" s="305"/>
      <c r="BC11" s="305"/>
      <c r="BD11" s="453"/>
      <c r="BE11" s="744"/>
      <c r="BF11" s="745"/>
      <c r="BG11" s="745"/>
      <c r="BH11" s="745"/>
      <c r="BI11" s="745"/>
      <c r="BJ11" s="744"/>
      <c r="BK11" s="745"/>
      <c r="BL11" s="745"/>
      <c r="BM11" s="745"/>
      <c r="BN11" s="745"/>
      <c r="BO11" s="744"/>
      <c r="BP11" s="745"/>
      <c r="BQ11" s="745"/>
      <c r="BR11" s="745"/>
      <c r="BS11" s="745"/>
      <c r="BT11" s="744"/>
      <c r="BU11" s="745"/>
      <c r="BV11" s="745"/>
      <c r="BW11" s="745"/>
      <c r="BX11" s="745">
        <f t="shared" si="0"/>
        <v>0</v>
      </c>
      <c r="BY11" s="744">
        <v>0</v>
      </c>
      <c r="BZ11" s="745"/>
      <c r="CA11" s="745"/>
      <c r="CB11" s="745"/>
      <c r="CC11" s="745"/>
      <c r="CD11" s="746"/>
      <c r="CE11" s="745"/>
      <c r="CF11" s="745"/>
      <c r="CG11" s="745"/>
      <c r="CH11" s="745"/>
      <c r="CI11" s="746"/>
      <c r="CJ11" s="745"/>
      <c r="CK11" s="745"/>
      <c r="CL11" s="745"/>
      <c r="CM11" s="745"/>
      <c r="CN11" s="746"/>
      <c r="CO11" s="745"/>
      <c r="CP11" s="745"/>
      <c r="CQ11" s="745"/>
      <c r="CR11" s="745"/>
      <c r="CS11" s="746"/>
      <c r="CT11" s="745"/>
      <c r="CU11" s="745"/>
      <c r="CV11" s="745"/>
      <c r="CW11" s="745"/>
      <c r="CX11" s="746"/>
      <c r="CY11" s="1268"/>
      <c r="CZ11" s="1268"/>
      <c r="DA11" s="1268"/>
      <c r="DB11" s="745"/>
      <c r="DC11" s="746"/>
      <c r="DD11" s="745"/>
      <c r="DE11" s="745"/>
      <c r="DF11" s="745"/>
      <c r="DG11" s="745"/>
      <c r="DH11" s="746"/>
      <c r="DI11" s="745"/>
      <c r="DJ11" s="745"/>
      <c r="DK11" s="745"/>
      <c r="DL11" s="745"/>
      <c r="DM11" s="746"/>
      <c r="DN11" s="745"/>
      <c r="DO11" s="745"/>
      <c r="DP11" s="745"/>
      <c r="DQ11" s="745"/>
      <c r="DR11" s="746"/>
      <c r="DS11" s="745"/>
      <c r="DT11" s="745"/>
      <c r="DU11" s="745"/>
      <c r="DV11" s="745"/>
      <c r="DW11" s="746"/>
    </row>
    <row r="12" spans="1:168">
      <c r="A12" s="748" t="s">
        <v>101</v>
      </c>
      <c r="B12" s="301"/>
      <c r="C12" s="302"/>
      <c r="D12" s="303"/>
      <c r="E12" s="303"/>
      <c r="F12" s="303"/>
      <c r="G12" s="304"/>
      <c r="H12" s="303"/>
      <c r="I12" s="303"/>
      <c r="J12" s="303"/>
      <c r="K12" s="303"/>
      <c r="L12" s="304"/>
      <c r="M12" s="303"/>
      <c r="N12" s="303"/>
      <c r="O12" s="303"/>
      <c r="P12" s="303"/>
      <c r="Q12" s="304"/>
      <c r="R12" s="303"/>
      <c r="S12" s="303"/>
      <c r="T12" s="303"/>
      <c r="U12" s="303"/>
      <c r="V12" s="304"/>
      <c r="W12" s="303"/>
      <c r="X12" s="303"/>
      <c r="Y12" s="303"/>
      <c r="Z12" s="303"/>
      <c r="AA12" s="304"/>
      <c r="AB12" s="305"/>
      <c r="AC12" s="305"/>
      <c r="AD12" s="305"/>
      <c r="AE12" s="305"/>
      <c r="AF12" s="306"/>
      <c r="AG12" s="305"/>
      <c r="AH12" s="305"/>
      <c r="AI12" s="305"/>
      <c r="AJ12" s="305"/>
      <c r="AK12" s="306"/>
      <c r="AL12" s="305"/>
      <c r="AM12" s="305"/>
      <c r="AN12" s="305"/>
      <c r="AO12" s="305"/>
      <c r="AP12" s="306"/>
      <c r="AQ12" s="305"/>
      <c r="AR12" s="305"/>
      <c r="AS12" s="305"/>
      <c r="AT12" s="305"/>
      <c r="AU12" s="306"/>
      <c r="AV12" s="307"/>
      <c r="AW12" s="305"/>
      <c r="AX12" s="305"/>
      <c r="AY12" s="305"/>
      <c r="AZ12" s="306"/>
      <c r="BA12" s="312"/>
      <c r="BB12" s="312"/>
      <c r="BC12" s="312"/>
      <c r="BD12" s="312"/>
      <c r="BE12" s="744"/>
      <c r="BF12" s="745"/>
      <c r="BG12" s="745"/>
      <c r="BH12" s="745"/>
      <c r="BI12" s="745"/>
      <c r="BJ12" s="744"/>
      <c r="BK12" s="745"/>
      <c r="BL12" s="745"/>
      <c r="BM12" s="745"/>
      <c r="BN12" s="745">
        <f t="shared" ref="BN12:BN28" si="1">BO12-BM12-BL12-BK12</f>
        <v>460.07499999999999</v>
      </c>
      <c r="BO12" s="744">
        <v>460.07499999999999</v>
      </c>
      <c r="BP12" s="745">
        <f>IncomeStatement!AG32</f>
        <v>0</v>
      </c>
      <c r="BQ12" s="745">
        <v>0</v>
      </c>
      <c r="BR12" s="745">
        <v>0</v>
      </c>
      <c r="BS12" s="745">
        <f t="shared" ref="BS12:BS30" si="2">BT12-BR12-BQ12-BP12</f>
        <v>0</v>
      </c>
      <c r="BT12" s="744">
        <v>0</v>
      </c>
      <c r="BU12" s="745">
        <v>0</v>
      </c>
      <c r="BV12" s="745">
        <v>0</v>
      </c>
      <c r="BW12" s="745">
        <v>0</v>
      </c>
      <c r="BX12" s="745">
        <f t="shared" si="0"/>
        <v>0</v>
      </c>
      <c r="BY12" s="744">
        <v>0</v>
      </c>
      <c r="BZ12" s="745">
        <v>0</v>
      </c>
      <c r="CA12" s="745">
        <v>0</v>
      </c>
      <c r="CB12" s="745">
        <v>0</v>
      </c>
      <c r="CC12" s="745">
        <f t="shared" ref="CC12:CC36" si="3">CD12-CB12-CA12-BZ12</f>
        <v>0</v>
      </c>
      <c r="CD12" s="746">
        <v>0</v>
      </c>
      <c r="CE12" s="745">
        <v>0</v>
      </c>
      <c r="CF12" s="745">
        <f>0-CE12</f>
        <v>0</v>
      </c>
      <c r="CG12" s="745">
        <f>0-SUM(CE12:CF12)</f>
        <v>0</v>
      </c>
      <c r="CH12" s="745">
        <f t="shared" ref="CH12:CH30" si="4">CI12-CG12-CF12-CE12</f>
        <v>0</v>
      </c>
      <c r="CI12" s="746">
        <v>0</v>
      </c>
      <c r="CJ12" s="745">
        <v>0</v>
      </c>
      <c r="CK12" s="745">
        <v>0</v>
      </c>
      <c r="CL12" s="745">
        <v>0</v>
      </c>
      <c r="CM12" s="745">
        <f t="shared" ref="CM12:CM36" si="5">CN12-SUM(CJ12:CL12)</f>
        <v>0</v>
      </c>
      <c r="CN12" s="746">
        <v>0</v>
      </c>
      <c r="CO12" s="745">
        <v>0</v>
      </c>
      <c r="CP12" s="745">
        <v>0</v>
      </c>
      <c r="CQ12" s="745">
        <v>0</v>
      </c>
      <c r="CR12" s="745">
        <f t="shared" ref="CR12:CR36" si="6">CS12-SUM(CO12:CQ12)</f>
        <v>0</v>
      </c>
      <c r="CS12" s="746">
        <v>0</v>
      </c>
      <c r="CT12" s="745">
        <v>0</v>
      </c>
      <c r="CU12" s="745">
        <v>0</v>
      </c>
      <c r="CV12" s="745">
        <v>0</v>
      </c>
      <c r="CW12" s="745">
        <f t="shared" ref="CW12:CW22" si="7">CX12-SUM(CT12:CV12)</f>
        <v>0</v>
      </c>
      <c r="CX12" s="746">
        <v>0</v>
      </c>
      <c r="CY12" s="1268">
        <v>0</v>
      </c>
      <c r="CZ12" s="1268">
        <f>0-CY12</f>
        <v>0</v>
      </c>
      <c r="DA12" s="1268">
        <v>0</v>
      </c>
      <c r="DB12" s="745">
        <f t="shared" ref="DB12:DB22" si="8">DC12-SUM(CY12:DA12)</f>
        <v>0</v>
      </c>
      <c r="DC12" s="746">
        <v>0</v>
      </c>
      <c r="DD12" s="745">
        <v>0</v>
      </c>
      <c r="DE12" s="745">
        <v>0</v>
      </c>
      <c r="DF12" s="745">
        <v>0</v>
      </c>
      <c r="DG12" s="745">
        <f>DH12-SUM(DD12:DF12)</f>
        <v>0</v>
      </c>
      <c r="DH12" s="746">
        <v>0</v>
      </c>
      <c r="DI12" s="745">
        <f>IncomeStatement!BZ32</f>
        <v>0</v>
      </c>
      <c r="DJ12" s="745">
        <f>IncomeStatement!CA32</f>
        <v>0</v>
      </c>
      <c r="DK12" s="745">
        <f>IncomeStatement!CB32</f>
        <v>0</v>
      </c>
      <c r="DL12" s="745">
        <f>IncomeStatement!CC32</f>
        <v>0</v>
      </c>
      <c r="DM12" s="746">
        <f t="shared" ref="DM12:DM24" si="9">SUM(DI12:DL12)</f>
        <v>0</v>
      </c>
      <c r="DN12" s="745">
        <f>IncomeStatement!CE32</f>
        <v>0</v>
      </c>
      <c r="DO12" s="745">
        <f>IncomeStatement!CF32</f>
        <v>0</v>
      </c>
      <c r="DP12" s="745">
        <f>IncomeStatement!CG32</f>
        <v>0</v>
      </c>
      <c r="DQ12" s="745">
        <f>IncomeStatement!CH32</f>
        <v>0</v>
      </c>
      <c r="DR12" s="746">
        <f t="shared" ref="DR12:DR24" si="10">SUM(DN12:DQ12)</f>
        <v>0</v>
      </c>
      <c r="DS12" s="745">
        <f>IncomeStatement!CJ32</f>
        <v>0</v>
      </c>
      <c r="DT12" s="745">
        <f>IncomeStatement!CK32</f>
        <v>0</v>
      </c>
      <c r="DU12" s="745">
        <f>IncomeStatement!CL32</f>
        <v>0</v>
      </c>
      <c r="DV12" s="745">
        <f>IncomeStatement!CM32</f>
        <v>0</v>
      </c>
      <c r="DW12" s="746">
        <f t="shared" ref="DW12:DW24" si="11">SUM(DS12:DV12)</f>
        <v>0</v>
      </c>
    </row>
    <row r="13" spans="1:168">
      <c r="A13" s="748" t="s">
        <v>67</v>
      </c>
      <c r="B13" s="301"/>
      <c r="C13" s="302"/>
      <c r="D13" s="303"/>
      <c r="E13" s="303"/>
      <c r="F13" s="303"/>
      <c r="G13" s="304"/>
      <c r="H13" s="303"/>
      <c r="I13" s="303"/>
      <c r="J13" s="303"/>
      <c r="K13" s="303"/>
      <c r="L13" s="304"/>
      <c r="M13" s="303"/>
      <c r="N13" s="303"/>
      <c r="O13" s="303"/>
      <c r="P13" s="303"/>
      <c r="Q13" s="304"/>
      <c r="R13" s="303"/>
      <c r="S13" s="303"/>
      <c r="T13" s="303"/>
      <c r="U13" s="303"/>
      <c r="V13" s="304"/>
      <c r="W13" s="303"/>
      <c r="X13" s="303"/>
      <c r="Y13" s="303"/>
      <c r="Z13" s="303"/>
      <c r="AA13" s="304"/>
      <c r="AB13" s="305"/>
      <c r="AC13" s="305"/>
      <c r="AD13" s="305"/>
      <c r="AE13" s="305"/>
      <c r="AF13" s="306"/>
      <c r="AG13" s="305"/>
      <c r="AH13" s="305"/>
      <c r="AI13" s="305"/>
      <c r="AJ13" s="305"/>
      <c r="AK13" s="306"/>
      <c r="AL13" s="305"/>
      <c r="AM13" s="305"/>
      <c r="AN13" s="305"/>
      <c r="AO13" s="305"/>
      <c r="AP13" s="306"/>
      <c r="AQ13" s="305"/>
      <c r="AR13" s="305"/>
      <c r="AS13" s="305"/>
      <c r="AT13" s="305"/>
      <c r="AU13" s="306"/>
      <c r="AV13" s="307"/>
      <c r="AW13" s="305"/>
      <c r="AX13" s="305"/>
      <c r="AY13" s="305"/>
      <c r="AZ13" s="306"/>
      <c r="BA13" s="312"/>
      <c r="BB13" s="312"/>
      <c r="BC13" s="312"/>
      <c r="BD13" s="312"/>
      <c r="BE13" s="744">
        <v>574.39300000000003</v>
      </c>
      <c r="BF13" s="745">
        <v>-14.385</v>
      </c>
      <c r="BG13" s="745">
        <f>-29.112-BF13</f>
        <v>-14.726999999999999</v>
      </c>
      <c r="BH13" s="745">
        <f>-24.813-BG13-BF13</f>
        <v>4.2989999999999995</v>
      </c>
      <c r="BI13" s="745">
        <f>BJ13-BH13-BG13-BF13</f>
        <v>-8.7120000000000015</v>
      </c>
      <c r="BJ13" s="744">
        <v>-33.524999999999999</v>
      </c>
      <c r="BK13" s="745">
        <v>66.412999999999997</v>
      </c>
      <c r="BL13" s="745">
        <f>75.858-BK13</f>
        <v>9.4450000000000074</v>
      </c>
      <c r="BM13" s="745">
        <f>78.259-BL13-BK13</f>
        <v>2.4009999999999962</v>
      </c>
      <c r="BN13" s="745">
        <f t="shared" si="1"/>
        <v>27.097999999999999</v>
      </c>
      <c r="BO13" s="744">
        <v>105.357</v>
      </c>
      <c r="BP13" s="745">
        <v>4.7409999999999997</v>
      </c>
      <c r="BQ13" s="745">
        <f>2.605-BP13</f>
        <v>-2.1359999999999997</v>
      </c>
      <c r="BR13" s="745">
        <f>2.673-BQ13-BP13</f>
        <v>6.7999999999999616E-2</v>
      </c>
      <c r="BS13" s="745">
        <f t="shared" si="2"/>
        <v>-0.18900000000000006</v>
      </c>
      <c r="BT13" s="744">
        <v>2.484</v>
      </c>
      <c r="BU13" s="745">
        <v>-0.125</v>
      </c>
      <c r="BV13" s="745">
        <f>-5.122-BU13</f>
        <v>-4.9969999999999999</v>
      </c>
      <c r="BW13" s="745">
        <f>-5.201-BV13-BU13</f>
        <v>-7.8999999999999737E-2</v>
      </c>
      <c r="BX13" s="745">
        <f t="shared" si="0"/>
        <v>0</v>
      </c>
      <c r="BY13" s="744">
        <v>-5.2009999999999996</v>
      </c>
      <c r="BZ13" s="745">
        <v>0</v>
      </c>
      <c r="CA13" s="745">
        <f>-0.145-BZ13</f>
        <v>-0.14499999999999999</v>
      </c>
      <c r="CB13" s="745">
        <f>-0.145-CA13-BZ13</f>
        <v>0</v>
      </c>
      <c r="CC13" s="745">
        <f t="shared" si="3"/>
        <v>0</v>
      </c>
      <c r="CD13" s="746">
        <v>-0.14499999999999999</v>
      </c>
      <c r="CE13" s="745">
        <v>0</v>
      </c>
      <c r="CF13" s="745">
        <f>0-CE13</f>
        <v>0</v>
      </c>
      <c r="CG13" s="745">
        <f>0-SUM(CE13:CF13)</f>
        <v>0</v>
      </c>
      <c r="CH13" s="745">
        <f t="shared" si="4"/>
        <v>0</v>
      </c>
      <c r="CI13" s="746">
        <v>0</v>
      </c>
      <c r="CJ13" s="745">
        <v>0</v>
      </c>
      <c r="CK13" s="745">
        <v>0</v>
      </c>
      <c r="CL13" s="745">
        <v>0</v>
      </c>
      <c r="CM13" s="745">
        <f t="shared" si="5"/>
        <v>0</v>
      </c>
      <c r="CN13" s="746">
        <v>0</v>
      </c>
      <c r="CO13" s="745">
        <v>0</v>
      </c>
      <c r="CP13" s="745">
        <v>0</v>
      </c>
      <c r="CQ13" s="745">
        <v>0</v>
      </c>
      <c r="CR13" s="745">
        <f t="shared" si="6"/>
        <v>0</v>
      </c>
      <c r="CS13" s="746">
        <v>0</v>
      </c>
      <c r="CT13" s="745">
        <v>0</v>
      </c>
      <c r="CU13" s="745">
        <v>0</v>
      </c>
      <c r="CV13" s="745">
        <v>0</v>
      </c>
      <c r="CW13" s="745">
        <f t="shared" si="7"/>
        <v>0</v>
      </c>
      <c r="CX13" s="746">
        <v>0</v>
      </c>
      <c r="CY13" s="1268">
        <v>0</v>
      </c>
      <c r="CZ13" s="1268">
        <f>0-CY13</f>
        <v>0</v>
      </c>
      <c r="DA13" s="1268">
        <v>0</v>
      </c>
      <c r="DB13" s="745">
        <f t="shared" si="8"/>
        <v>0</v>
      </c>
      <c r="DC13" s="746">
        <v>0</v>
      </c>
      <c r="DD13" s="745">
        <v>0</v>
      </c>
      <c r="DE13" s="745">
        <v>0</v>
      </c>
      <c r="DF13" s="745">
        <v>0</v>
      </c>
      <c r="DG13" s="745">
        <f>DH13-SUM(DD13:DF13)</f>
        <v>0</v>
      </c>
      <c r="DH13" s="746">
        <v>0</v>
      </c>
      <c r="DI13" s="745">
        <v>0</v>
      </c>
      <c r="DJ13" s="745">
        <v>0</v>
      </c>
      <c r="DK13" s="745">
        <v>0</v>
      </c>
      <c r="DL13" s="745">
        <v>0</v>
      </c>
      <c r="DM13" s="746">
        <f t="shared" si="9"/>
        <v>0</v>
      </c>
      <c r="DN13" s="745">
        <v>0</v>
      </c>
      <c r="DO13" s="745">
        <v>0</v>
      </c>
      <c r="DP13" s="745">
        <v>0</v>
      </c>
      <c r="DQ13" s="745">
        <v>0</v>
      </c>
      <c r="DR13" s="746">
        <f t="shared" si="10"/>
        <v>0</v>
      </c>
      <c r="DS13" s="745">
        <v>0</v>
      </c>
      <c r="DT13" s="745">
        <v>0</v>
      </c>
      <c r="DU13" s="745">
        <v>0</v>
      </c>
      <c r="DV13" s="745">
        <v>0</v>
      </c>
      <c r="DW13" s="746">
        <f t="shared" si="11"/>
        <v>0</v>
      </c>
    </row>
    <row r="14" spans="1:168">
      <c r="A14" s="748" t="s">
        <v>68</v>
      </c>
      <c r="B14" s="301"/>
      <c r="C14" s="308"/>
      <c r="D14" s="309"/>
      <c r="E14" s="309"/>
      <c r="F14" s="309"/>
      <c r="G14" s="310"/>
      <c r="H14" s="309"/>
      <c r="I14" s="309"/>
      <c r="J14" s="309"/>
      <c r="K14" s="309"/>
      <c r="L14" s="310"/>
      <c r="M14" s="309"/>
      <c r="N14" s="309"/>
      <c r="O14" s="309"/>
      <c r="P14" s="309"/>
      <c r="Q14" s="310"/>
      <c r="R14" s="309"/>
      <c r="S14" s="309"/>
      <c r="T14" s="309"/>
      <c r="U14" s="309"/>
      <c r="V14" s="310"/>
      <c r="W14" s="309"/>
      <c r="X14" s="309"/>
      <c r="Y14" s="309"/>
      <c r="Z14" s="309"/>
      <c r="AA14" s="304"/>
      <c r="AB14" s="311"/>
      <c r="AC14" s="311"/>
      <c r="AD14" s="311"/>
      <c r="AE14" s="311"/>
      <c r="AF14" s="306"/>
      <c r="AG14" s="311"/>
      <c r="AH14" s="311"/>
      <c r="AI14" s="311"/>
      <c r="AJ14" s="305"/>
      <c r="AK14" s="306"/>
      <c r="AL14" s="311"/>
      <c r="AM14" s="311"/>
      <c r="AN14" s="311"/>
      <c r="AO14" s="305"/>
      <c r="AP14" s="306"/>
      <c r="AQ14" s="311"/>
      <c r="AR14" s="311"/>
      <c r="AS14" s="311"/>
      <c r="AT14" s="311"/>
      <c r="AU14" s="306"/>
      <c r="AV14" s="312"/>
      <c r="AW14" s="311"/>
      <c r="AX14" s="311"/>
      <c r="AY14" s="311"/>
      <c r="AZ14" s="306"/>
      <c r="BA14" s="312"/>
      <c r="BB14" s="312"/>
      <c r="BC14" s="312"/>
      <c r="BD14" s="312"/>
      <c r="BE14" s="744">
        <v>52.875999999999998</v>
      </c>
      <c r="BF14" s="745">
        <v>15.984999999999999</v>
      </c>
      <c r="BG14" s="745">
        <f>34.389-BF14</f>
        <v>18.404000000000003</v>
      </c>
      <c r="BH14" s="745">
        <f>54.411-BG14-BF14</f>
        <v>20.021999999999998</v>
      </c>
      <c r="BI14" s="745">
        <f>BJ14-BH14-BG14-BF14</f>
        <v>11.866</v>
      </c>
      <c r="BJ14" s="744">
        <v>66.277000000000001</v>
      </c>
      <c r="BK14" s="745">
        <v>15.993</v>
      </c>
      <c r="BL14" s="745">
        <f>33.686-BK14</f>
        <v>17.692999999999998</v>
      </c>
      <c r="BM14" s="745">
        <f>64.387-BL14-BK14</f>
        <v>30.701000000000001</v>
      </c>
      <c r="BN14" s="745">
        <f t="shared" si="1"/>
        <v>23.927999999999997</v>
      </c>
      <c r="BO14" s="744">
        <v>88.314999999999998</v>
      </c>
      <c r="BP14" s="745">
        <v>51.661999999999999</v>
      </c>
      <c r="BQ14" s="745">
        <f>96.349-BP14</f>
        <v>44.687000000000005</v>
      </c>
      <c r="BR14" s="745">
        <f>143.369-BQ14-BP14</f>
        <v>47.019999999999989</v>
      </c>
      <c r="BS14" s="745">
        <f t="shared" si="2"/>
        <v>46.882000000000012</v>
      </c>
      <c r="BT14" s="744">
        <v>190.251</v>
      </c>
      <c r="BU14" s="745">
        <v>46.326000000000001</v>
      </c>
      <c r="BV14" s="745">
        <f>91.27-BU14</f>
        <v>44.943999999999996</v>
      </c>
      <c r="BW14" s="745">
        <f>137.448-BV14-BU14</f>
        <v>46.178000000000019</v>
      </c>
      <c r="BX14" s="745">
        <f t="shared" si="0"/>
        <v>44.723999999999982</v>
      </c>
      <c r="BY14" s="744">
        <v>182.172</v>
      </c>
      <c r="BZ14" s="745">
        <v>43.125</v>
      </c>
      <c r="CA14" s="745">
        <f>82.269-BZ14</f>
        <v>39.144000000000005</v>
      </c>
      <c r="CB14" s="745">
        <f>113.085-CA14-BZ14</f>
        <v>30.815999999999988</v>
      </c>
      <c r="CC14" s="745">
        <f t="shared" si="3"/>
        <v>32.216999999999999</v>
      </c>
      <c r="CD14" s="746">
        <v>145.30199999999999</v>
      </c>
      <c r="CE14" s="745">
        <v>32.951999999999998</v>
      </c>
      <c r="CF14" s="745">
        <f>69.558-CE14</f>
        <v>36.606000000000009</v>
      </c>
      <c r="CG14" s="745">
        <f>112.057-SUM(CE14:CF14)</f>
        <v>42.498999999999995</v>
      </c>
      <c r="CH14" s="745">
        <f t="shared" si="4"/>
        <v>42.117000000000004</v>
      </c>
      <c r="CI14" s="746">
        <v>154.17400000000001</v>
      </c>
      <c r="CJ14" s="745">
        <v>52.381999999999998</v>
      </c>
      <c r="CK14" s="745">
        <f>91.47-CJ14</f>
        <v>39.088000000000001</v>
      </c>
      <c r="CL14" s="745">
        <f>138.924-SUM(CJ14:CK14)</f>
        <v>47.454000000000008</v>
      </c>
      <c r="CM14" s="745">
        <f t="shared" si="5"/>
        <v>61.294999999999987</v>
      </c>
      <c r="CN14" s="746">
        <v>200.21899999999999</v>
      </c>
      <c r="CO14" s="745">
        <v>42.496000000000002</v>
      </c>
      <c r="CP14" s="745">
        <f>81.991-CO14</f>
        <v>39.494999999999997</v>
      </c>
      <c r="CQ14" s="745">
        <f>118.265-CP14-CO14</f>
        <v>36.274000000000008</v>
      </c>
      <c r="CR14" s="745">
        <f t="shared" si="6"/>
        <v>41.594999999999999</v>
      </c>
      <c r="CS14" s="746">
        <v>159.86000000000001</v>
      </c>
      <c r="CT14" s="745">
        <v>36.880000000000003</v>
      </c>
      <c r="CU14" s="745">
        <f>78.799-CT14</f>
        <v>41.919000000000004</v>
      </c>
      <c r="CV14" s="745">
        <f>118.708-CU14-CT14</f>
        <v>39.908999999999985</v>
      </c>
      <c r="CW14" s="745">
        <f t="shared" si="7"/>
        <v>35.024000000000001</v>
      </c>
      <c r="CX14" s="746">
        <v>153.732</v>
      </c>
      <c r="CY14" s="1268">
        <v>33.29</v>
      </c>
      <c r="CZ14" s="1268">
        <f>64.694-CY14</f>
        <v>31.404000000000003</v>
      </c>
      <c r="DA14" s="1268">
        <f>94.056-CZ14-CY14</f>
        <v>29.361999999999995</v>
      </c>
      <c r="DB14" s="745">
        <f t="shared" si="8"/>
        <v>30.248000000000005</v>
      </c>
      <c r="DC14" s="746">
        <v>124.304</v>
      </c>
      <c r="DD14" s="745">
        <v>29.164999999999999</v>
      </c>
      <c r="DE14" s="745">
        <f>60.474-DD14</f>
        <v>31.308999999999997</v>
      </c>
      <c r="DF14" s="745">
        <f>91.69-SUM(DD14:DE14)</f>
        <v>31.216000000000001</v>
      </c>
      <c r="DG14" s="745">
        <f t="shared" ref="DG14:DG22" si="12">DH14-SUM(DD14:DF14)</f>
        <v>33.997</v>
      </c>
      <c r="DH14" s="746">
        <v>125.687</v>
      </c>
      <c r="DI14" s="745">
        <f>IncomeStatement!BZ29</f>
        <v>30.769074999999997</v>
      </c>
      <c r="DJ14" s="745">
        <f>IncomeStatement!CA29</f>
        <v>33.030994999999997</v>
      </c>
      <c r="DK14" s="745">
        <f>IncomeStatement!CB29</f>
        <v>32.932879999999997</v>
      </c>
      <c r="DL14" s="745">
        <f>IncomeStatement!CC29</f>
        <v>31.714154549999996</v>
      </c>
      <c r="DM14" s="746">
        <f t="shared" si="9"/>
        <v>128.44710454999998</v>
      </c>
      <c r="DN14" s="745">
        <f>IncomeStatement!CE29</f>
        <v>31.384456499999999</v>
      </c>
      <c r="DO14" s="745">
        <f>IncomeStatement!CF29</f>
        <v>33.691614899999998</v>
      </c>
      <c r="DP14" s="745">
        <f>IncomeStatement!CG29</f>
        <v>33.591537599999995</v>
      </c>
      <c r="DQ14" s="745">
        <f>IncomeStatement!CH29</f>
        <v>32.348437640999997</v>
      </c>
      <c r="DR14" s="746">
        <f t="shared" si="10"/>
        <v>131.01604664099997</v>
      </c>
      <c r="DS14" s="745">
        <f>IncomeStatement!CJ29</f>
        <v>32.012145629999999</v>
      </c>
      <c r="DT14" s="745">
        <f>IncomeStatement!CK29</f>
        <v>34.365447197999998</v>
      </c>
      <c r="DU14" s="745">
        <f>IncomeStatement!CL29</f>
        <v>34.263368351999993</v>
      </c>
      <c r="DV14" s="745">
        <f>IncomeStatement!CM29</f>
        <v>32.995406393819998</v>
      </c>
      <c r="DW14" s="746">
        <f t="shared" si="11"/>
        <v>133.63636757381997</v>
      </c>
    </row>
    <row r="15" spans="1:168">
      <c r="A15" s="748" t="s">
        <v>102</v>
      </c>
      <c r="B15" s="301"/>
      <c r="C15" s="308"/>
      <c r="D15" s="309"/>
      <c r="E15" s="309"/>
      <c r="F15" s="309"/>
      <c r="G15" s="310"/>
      <c r="H15" s="309"/>
      <c r="I15" s="309"/>
      <c r="J15" s="309"/>
      <c r="K15" s="309"/>
      <c r="L15" s="310"/>
      <c r="M15" s="309"/>
      <c r="N15" s="309"/>
      <c r="O15" s="309"/>
      <c r="P15" s="309"/>
      <c r="Q15" s="310"/>
      <c r="R15" s="309"/>
      <c r="S15" s="309"/>
      <c r="T15" s="309"/>
      <c r="U15" s="309"/>
      <c r="V15" s="310"/>
      <c r="W15" s="309"/>
      <c r="X15" s="309"/>
      <c r="Y15" s="309"/>
      <c r="Z15" s="309"/>
      <c r="AA15" s="304"/>
      <c r="AB15" s="311"/>
      <c r="AC15" s="311"/>
      <c r="AD15" s="311"/>
      <c r="AE15" s="311"/>
      <c r="AF15" s="306"/>
      <c r="AG15" s="311"/>
      <c r="AH15" s="311"/>
      <c r="AI15" s="311"/>
      <c r="AJ15" s="305"/>
      <c r="AK15" s="306"/>
      <c r="AL15" s="311"/>
      <c r="AM15" s="311"/>
      <c r="AN15" s="311"/>
      <c r="AO15" s="311"/>
      <c r="AP15" s="306"/>
      <c r="AQ15" s="311"/>
      <c r="AR15" s="311"/>
      <c r="AS15" s="311"/>
      <c r="AT15" s="311"/>
      <c r="AU15" s="306"/>
      <c r="AV15" s="312"/>
      <c r="AW15" s="313"/>
      <c r="AX15" s="313"/>
      <c r="AY15" s="313"/>
      <c r="AZ15" s="306"/>
      <c r="BA15" s="312"/>
      <c r="BB15" s="312"/>
      <c r="BC15" s="312"/>
      <c r="BD15" s="312"/>
      <c r="BE15" s="744"/>
      <c r="BF15" s="745"/>
      <c r="BG15" s="745"/>
      <c r="BH15" s="745"/>
      <c r="BI15" s="745"/>
      <c r="BJ15" s="744">
        <v>7.0449999999999999</v>
      </c>
      <c r="BK15" s="745"/>
      <c r="BL15" s="745"/>
      <c r="BM15" s="745"/>
      <c r="BN15" s="745">
        <f t="shared" si="1"/>
        <v>19.202999999999999</v>
      </c>
      <c r="BO15" s="744">
        <v>19.202999999999999</v>
      </c>
      <c r="BP15" s="745">
        <v>6.88</v>
      </c>
      <c r="BQ15" s="745">
        <f>15.58-BP15</f>
        <v>8.6999999999999993</v>
      </c>
      <c r="BR15" s="745">
        <f>31.108-BQ15-BP15</f>
        <v>15.528000000000002</v>
      </c>
      <c r="BS15" s="745">
        <f t="shared" si="2"/>
        <v>51.023999999999994</v>
      </c>
      <c r="BT15" s="744">
        <v>82.132000000000005</v>
      </c>
      <c r="BU15" s="745">
        <v>11.601000000000001</v>
      </c>
      <c r="BV15" s="745">
        <f>14.015-BU15</f>
        <v>2.4139999999999997</v>
      </c>
      <c r="BW15" s="745">
        <f>41.424-BV15-BU15</f>
        <v>27.408999999999999</v>
      </c>
      <c r="BX15" s="745">
        <f t="shared" si="0"/>
        <v>28.053000000000004</v>
      </c>
      <c r="BY15" s="744">
        <v>69.477000000000004</v>
      </c>
      <c r="BZ15" s="745">
        <v>9.6120000000000001</v>
      </c>
      <c r="CA15" s="745">
        <f>9.82-BZ15</f>
        <v>0.20800000000000018</v>
      </c>
      <c r="CB15" s="745">
        <f>9.82-CA15-BZ15</f>
        <v>0</v>
      </c>
      <c r="CC15" s="745">
        <f t="shared" si="3"/>
        <v>4.6210000000000004</v>
      </c>
      <c r="CD15" s="746">
        <v>14.441000000000001</v>
      </c>
      <c r="CE15" s="745">
        <v>4.5110000000000001</v>
      </c>
      <c r="CF15" s="745">
        <f>7.781-CE15</f>
        <v>3.2699999999999996</v>
      </c>
      <c r="CG15" s="745">
        <f>7.781-SUM(CE15:CF15)</f>
        <v>0</v>
      </c>
      <c r="CH15" s="745">
        <f t="shared" si="4"/>
        <v>13.316000000000003</v>
      </c>
      <c r="CI15" s="746">
        <v>21.097000000000001</v>
      </c>
      <c r="CJ15" s="745">
        <v>0</v>
      </c>
      <c r="CK15" s="745">
        <v>0</v>
      </c>
      <c r="CL15" s="745">
        <f>5.327-SUM(CJ15:CK15)</f>
        <v>5.327</v>
      </c>
      <c r="CM15" s="745">
        <f t="shared" si="5"/>
        <v>40.454999999999998</v>
      </c>
      <c r="CN15" s="746">
        <v>45.781999999999996</v>
      </c>
      <c r="CO15" s="745">
        <v>0.33200000000000002</v>
      </c>
      <c r="CP15" s="745">
        <f>2.606-CO15</f>
        <v>2.274</v>
      </c>
      <c r="CQ15" s="745">
        <f>11.224-CP15-CO15</f>
        <v>8.6179999999999986</v>
      </c>
      <c r="CR15" s="745">
        <f t="shared" si="6"/>
        <v>8.3890000000000011</v>
      </c>
      <c r="CS15" s="746">
        <v>19.613</v>
      </c>
      <c r="CT15" s="745">
        <v>0</v>
      </c>
      <c r="CU15" s="745">
        <v>0</v>
      </c>
      <c r="CV15" s="745">
        <f>13.468-CU15-CT15</f>
        <v>13.468</v>
      </c>
      <c r="CW15" s="745">
        <f t="shared" si="7"/>
        <v>11.533000000000001</v>
      </c>
      <c r="CX15" s="746">
        <v>25.001000000000001</v>
      </c>
      <c r="CY15" s="1268">
        <v>7.1050000000000004</v>
      </c>
      <c r="CZ15" s="1268">
        <f>12.63-CY15</f>
        <v>5.5250000000000004</v>
      </c>
      <c r="DA15" s="1268">
        <f>12.991-CZ15-CY15</f>
        <v>0.36099999999999888</v>
      </c>
      <c r="DB15" s="745">
        <f t="shared" si="8"/>
        <v>3.25</v>
      </c>
      <c r="DC15" s="746">
        <v>16.241</v>
      </c>
      <c r="DD15" s="745">
        <v>0.51</v>
      </c>
      <c r="DE15" s="745">
        <f>0.763-DD15</f>
        <v>0.253</v>
      </c>
      <c r="DF15" s="745">
        <f>1.804-SUM(DD15:DE15)</f>
        <v>1.0409999999999999</v>
      </c>
      <c r="DG15" s="745">
        <f t="shared" si="12"/>
        <v>2.2930000000000006</v>
      </c>
      <c r="DH15" s="746">
        <v>4.0970000000000004</v>
      </c>
      <c r="DI15" s="745">
        <f>IncomeStatement!BZ33</f>
        <v>0</v>
      </c>
      <c r="DJ15" s="745">
        <f>IncomeStatement!CA33</f>
        <v>0</v>
      </c>
      <c r="DK15" s="745">
        <f>IncomeStatement!CB33</f>
        <v>0</v>
      </c>
      <c r="DL15" s="745">
        <f>IncomeStatement!CC33</f>
        <v>0</v>
      </c>
      <c r="DM15" s="746">
        <f t="shared" si="9"/>
        <v>0</v>
      </c>
      <c r="DN15" s="745">
        <f>IncomeStatement!CE33</f>
        <v>0</v>
      </c>
      <c r="DO15" s="745">
        <f>IncomeStatement!CF33</f>
        <v>0</v>
      </c>
      <c r="DP15" s="745">
        <f>IncomeStatement!CG33</f>
        <v>0</v>
      </c>
      <c r="DQ15" s="745">
        <f>IncomeStatement!CH33</f>
        <v>0</v>
      </c>
      <c r="DR15" s="746">
        <f t="shared" si="10"/>
        <v>0</v>
      </c>
      <c r="DS15" s="745">
        <f>IncomeStatement!CJ33</f>
        <v>0</v>
      </c>
      <c r="DT15" s="745">
        <f>IncomeStatement!CK33</f>
        <v>0</v>
      </c>
      <c r="DU15" s="745">
        <f>IncomeStatement!CL33</f>
        <v>0</v>
      </c>
      <c r="DV15" s="745">
        <f>IncomeStatement!CM33</f>
        <v>0</v>
      </c>
      <c r="DW15" s="746">
        <f t="shared" si="11"/>
        <v>0</v>
      </c>
    </row>
    <row r="16" spans="1:168">
      <c r="A16" s="748" t="s">
        <v>69</v>
      </c>
      <c r="B16" s="301"/>
      <c r="C16" s="308"/>
      <c r="D16" s="309"/>
      <c r="E16" s="309"/>
      <c r="F16" s="309"/>
      <c r="G16" s="310"/>
      <c r="H16" s="309"/>
      <c r="I16" s="309"/>
      <c r="J16" s="309"/>
      <c r="K16" s="309"/>
      <c r="L16" s="310"/>
      <c r="M16" s="309"/>
      <c r="N16" s="309"/>
      <c r="O16" s="309"/>
      <c r="P16" s="309"/>
      <c r="Q16" s="310"/>
      <c r="R16" s="309"/>
      <c r="S16" s="309"/>
      <c r="T16" s="309"/>
      <c r="U16" s="309"/>
      <c r="V16" s="310"/>
      <c r="W16" s="309"/>
      <c r="X16" s="309"/>
      <c r="Y16" s="309"/>
      <c r="Z16" s="309"/>
      <c r="AA16" s="304"/>
      <c r="AB16" s="311"/>
      <c r="AC16" s="311"/>
      <c r="AD16" s="311"/>
      <c r="AE16" s="311"/>
      <c r="AF16" s="306"/>
      <c r="AG16" s="311"/>
      <c r="AH16" s="311"/>
      <c r="AI16" s="311"/>
      <c r="AJ16" s="305"/>
      <c r="AK16" s="306"/>
      <c r="AL16" s="311"/>
      <c r="AM16" s="311"/>
      <c r="AN16" s="311"/>
      <c r="AO16" s="311"/>
      <c r="AP16" s="306"/>
      <c r="AQ16" s="311"/>
      <c r="AR16" s="311"/>
      <c r="AS16" s="311"/>
      <c r="AT16" s="311"/>
      <c r="AU16" s="306"/>
      <c r="AV16" s="312"/>
      <c r="AW16" s="313"/>
      <c r="AX16" s="313"/>
      <c r="AY16" s="313"/>
      <c r="AZ16" s="306"/>
      <c r="BA16" s="312"/>
      <c r="BB16" s="312"/>
      <c r="BC16" s="312"/>
      <c r="BD16" s="312"/>
      <c r="BE16" s="744">
        <f>5.01+2.111</f>
        <v>7.1210000000000004</v>
      </c>
      <c r="BF16" s="745">
        <v>0.47499999999999998</v>
      </c>
      <c r="BG16" s="745">
        <f>0-BF16+0.977</f>
        <v>0.502</v>
      </c>
      <c r="BH16" s="745">
        <f>1.509-BG16-BF16</f>
        <v>0.53199999999999992</v>
      </c>
      <c r="BI16" s="745">
        <f>BJ16-BH16-BG16-BF16</f>
        <v>0.5289999999999998</v>
      </c>
      <c r="BJ16" s="744">
        <v>2.0379999999999998</v>
      </c>
      <c r="BK16" s="745">
        <f>5.111+0.526</f>
        <v>5.6369999999999996</v>
      </c>
      <c r="BL16" s="745">
        <f>5.111-BK16+1.209</f>
        <v>0.68300000000000027</v>
      </c>
      <c r="BM16" s="745">
        <f>7.281-BL16-BK16</f>
        <v>0.96099999999999941</v>
      </c>
      <c r="BN16" s="745">
        <f t="shared" si="1"/>
        <v>1.6040000000000001</v>
      </c>
      <c r="BO16" s="744">
        <v>8.8849999999999998</v>
      </c>
      <c r="BP16" s="745">
        <v>5.069</v>
      </c>
      <c r="BQ16" s="745">
        <f>11.824-BP16</f>
        <v>6.7549999999999999</v>
      </c>
      <c r="BR16" s="745">
        <f>13.915-BQ16-BP16</f>
        <v>2.0909999999999993</v>
      </c>
      <c r="BS16" s="745">
        <f t="shared" si="2"/>
        <v>1.9050000000000011</v>
      </c>
      <c r="BT16" s="744">
        <v>15.82</v>
      </c>
      <c r="BU16" s="745">
        <v>1.7010000000000001</v>
      </c>
      <c r="BV16" s="745">
        <f>8.846-BU16</f>
        <v>7.1449999999999996</v>
      </c>
      <c r="BW16" s="745">
        <f>10.391-BV16-BU16</f>
        <v>1.5450000000000004</v>
      </c>
      <c r="BX16" s="745">
        <f t="shared" si="0"/>
        <v>1.3880000000000003</v>
      </c>
      <c r="BY16" s="744">
        <v>11.779</v>
      </c>
      <c r="BZ16" s="745">
        <v>2.1509999999999998</v>
      </c>
      <c r="CA16" s="745">
        <f>3.509-BZ16</f>
        <v>1.3580000000000001</v>
      </c>
      <c r="CB16" s="745">
        <f>4.863-CA16-BZ16</f>
        <v>1.3540000000000005</v>
      </c>
      <c r="CC16" s="745">
        <f t="shared" si="3"/>
        <v>1.3530000000000002</v>
      </c>
      <c r="CD16" s="746">
        <v>6.2160000000000002</v>
      </c>
      <c r="CE16" s="745">
        <v>1.361</v>
      </c>
      <c r="CF16" s="745">
        <f>2.718-CE16</f>
        <v>1.357</v>
      </c>
      <c r="CG16" s="745">
        <f>3.477-SUM(CE16:CF16)</f>
        <v>0.7589999999999999</v>
      </c>
      <c r="CH16" s="745">
        <f t="shared" si="4"/>
        <v>0.76400000000000001</v>
      </c>
      <c r="CI16" s="746">
        <v>4.2409999999999997</v>
      </c>
      <c r="CJ16" s="745">
        <v>0.76200000000000001</v>
      </c>
      <c r="CK16" s="745">
        <f>1.407-CJ16</f>
        <v>0.64500000000000002</v>
      </c>
      <c r="CL16" s="745">
        <f>1.893-SUM(CJ16:CK16)</f>
        <v>0.48599999999999999</v>
      </c>
      <c r="CM16" s="745">
        <f t="shared" si="5"/>
        <v>0.59400000000000008</v>
      </c>
      <c r="CN16" s="746">
        <v>2.4870000000000001</v>
      </c>
      <c r="CO16" s="745">
        <v>0</v>
      </c>
      <c r="CP16" s="745">
        <v>0</v>
      </c>
      <c r="CQ16" s="745">
        <v>0</v>
      </c>
      <c r="CR16" s="745">
        <f t="shared" si="6"/>
        <v>2.4380000000000002</v>
      </c>
      <c r="CS16" s="746">
        <v>2.4380000000000002</v>
      </c>
      <c r="CT16" s="745">
        <v>1.9370000000000001</v>
      </c>
      <c r="CU16" s="745">
        <f>11.955-CT16</f>
        <v>10.018000000000001</v>
      </c>
      <c r="CV16" s="745">
        <f>0-CU16-CT16</f>
        <v>-11.955</v>
      </c>
      <c r="CW16" s="745">
        <f t="shared" si="7"/>
        <v>5.4260000000000002</v>
      </c>
      <c r="CX16" s="1222">
        <v>5.4260000000000002</v>
      </c>
      <c r="CY16" s="1268">
        <v>0</v>
      </c>
      <c r="CZ16" s="1268">
        <f>0-CY16</f>
        <v>0</v>
      </c>
      <c r="DA16" s="1268">
        <v>0</v>
      </c>
      <c r="DB16" s="745">
        <f t="shared" si="8"/>
        <v>0</v>
      </c>
      <c r="DC16" s="746">
        <v>0</v>
      </c>
      <c r="DD16" s="745">
        <v>0</v>
      </c>
      <c r="DE16" s="745">
        <v>0</v>
      </c>
      <c r="DF16" s="745">
        <v>5.9539999999999997</v>
      </c>
      <c r="DG16" s="745">
        <f t="shared" si="12"/>
        <v>1.9900000000000002</v>
      </c>
      <c r="DH16" s="746">
        <v>7.944</v>
      </c>
      <c r="DI16" s="745">
        <v>0</v>
      </c>
      <c r="DJ16" s="745">
        <v>0</v>
      </c>
      <c r="DK16" s="745">
        <v>0</v>
      </c>
      <c r="DL16" s="745">
        <v>0</v>
      </c>
      <c r="DM16" s="746">
        <f t="shared" si="9"/>
        <v>0</v>
      </c>
      <c r="DN16" s="745">
        <v>0</v>
      </c>
      <c r="DO16" s="745">
        <v>0</v>
      </c>
      <c r="DP16" s="745">
        <v>0</v>
      </c>
      <c r="DQ16" s="745">
        <v>0</v>
      </c>
      <c r="DR16" s="746">
        <f t="shared" si="10"/>
        <v>0</v>
      </c>
      <c r="DS16" s="745">
        <v>0</v>
      </c>
      <c r="DT16" s="745">
        <v>0</v>
      </c>
      <c r="DU16" s="745">
        <v>0</v>
      </c>
      <c r="DV16" s="745">
        <v>0</v>
      </c>
      <c r="DW16" s="746">
        <f t="shared" si="11"/>
        <v>0</v>
      </c>
    </row>
    <row r="17" spans="1:139">
      <c r="A17" s="748" t="s">
        <v>70</v>
      </c>
      <c r="B17" s="301"/>
      <c r="C17" s="308"/>
      <c r="D17" s="309"/>
      <c r="E17" s="309"/>
      <c r="F17" s="309"/>
      <c r="G17" s="310"/>
      <c r="H17" s="309"/>
      <c r="I17" s="309"/>
      <c r="J17" s="309"/>
      <c r="K17" s="309"/>
      <c r="L17" s="310"/>
      <c r="M17" s="309"/>
      <c r="N17" s="309"/>
      <c r="O17" s="309"/>
      <c r="P17" s="309"/>
      <c r="Q17" s="310"/>
      <c r="R17" s="309"/>
      <c r="S17" s="309"/>
      <c r="T17" s="309"/>
      <c r="U17" s="309"/>
      <c r="V17" s="310"/>
      <c r="W17" s="309"/>
      <c r="X17" s="309"/>
      <c r="Y17" s="309"/>
      <c r="Z17" s="309"/>
      <c r="AA17" s="304"/>
      <c r="AB17" s="311"/>
      <c r="AC17" s="311"/>
      <c r="AD17" s="311"/>
      <c r="AE17" s="311"/>
      <c r="AF17" s="306"/>
      <c r="AG17" s="311"/>
      <c r="AH17" s="311"/>
      <c r="AI17" s="311"/>
      <c r="AJ17" s="305"/>
      <c r="AK17" s="306"/>
      <c r="AL17" s="311"/>
      <c r="AM17" s="311"/>
      <c r="AN17" s="311"/>
      <c r="AO17" s="311"/>
      <c r="AP17" s="306"/>
      <c r="AQ17" s="311"/>
      <c r="AR17" s="311"/>
      <c r="AS17" s="311"/>
      <c r="AT17" s="311"/>
      <c r="AU17" s="306"/>
      <c r="AV17" s="312"/>
      <c r="AW17" s="311"/>
      <c r="AX17" s="311"/>
      <c r="AY17" s="311"/>
      <c r="AZ17" s="306"/>
      <c r="BA17" s="312"/>
      <c r="BB17" s="312"/>
      <c r="BC17" s="312"/>
      <c r="BD17" s="312"/>
      <c r="BE17" s="744">
        <v>15.928000000000001</v>
      </c>
      <c r="BF17" s="745">
        <v>2.8290000000000002</v>
      </c>
      <c r="BG17" s="745">
        <f>6.869-BF17</f>
        <v>4.0399999999999991</v>
      </c>
      <c r="BH17" s="745">
        <f>8.316-BG17-BF17</f>
        <v>1.4470000000000014</v>
      </c>
      <c r="BI17" s="745">
        <f>BJ17-BH17-BG17-BF17</f>
        <v>1.6739999999999999</v>
      </c>
      <c r="BJ17" s="744">
        <v>9.99</v>
      </c>
      <c r="BK17" s="745">
        <v>1.5860000000000001</v>
      </c>
      <c r="BL17" s="745">
        <f>2.763-BK17</f>
        <v>1.1769999999999998</v>
      </c>
      <c r="BM17" s="745">
        <f>3.932-BL17-BK17</f>
        <v>1.1689999999999998</v>
      </c>
      <c r="BN17" s="745">
        <f t="shared" si="1"/>
        <v>5.1970000000000001</v>
      </c>
      <c r="BO17" s="744">
        <v>9.1289999999999996</v>
      </c>
      <c r="BP17" s="745">
        <v>4.3710000000000004</v>
      </c>
      <c r="BQ17" s="745">
        <f>7.76-BP17</f>
        <v>3.3889999999999993</v>
      </c>
      <c r="BR17" s="745">
        <f>11.654-BQ17-BP17</f>
        <v>3.8940000000000001</v>
      </c>
      <c r="BS17" s="745">
        <f t="shared" si="2"/>
        <v>3.6400000000000006</v>
      </c>
      <c r="BT17" s="744">
        <v>15.294</v>
      </c>
      <c r="BU17" s="745">
        <v>3.5190000000000001</v>
      </c>
      <c r="BV17" s="745">
        <f>6.651-BU17</f>
        <v>3.1319999999999997</v>
      </c>
      <c r="BW17" s="745">
        <f>10.519-BV17-BU17</f>
        <v>3.8680000000000003</v>
      </c>
      <c r="BX17" s="745">
        <f t="shared" si="0"/>
        <v>3.1850000000000005</v>
      </c>
      <c r="BY17" s="744">
        <v>13.704000000000001</v>
      </c>
      <c r="BZ17" s="745">
        <v>3.2410000000000001</v>
      </c>
      <c r="CA17" s="745">
        <f>6.66-BZ17</f>
        <v>3.419</v>
      </c>
      <c r="CB17" s="745">
        <f>13.756-CA17-BZ17</f>
        <v>7.0960000000000001</v>
      </c>
      <c r="CC17" s="745">
        <f t="shared" si="3"/>
        <v>3.9319999999999982</v>
      </c>
      <c r="CD17" s="746">
        <v>17.687999999999999</v>
      </c>
      <c r="CE17" s="745">
        <v>2.597</v>
      </c>
      <c r="CF17" s="745">
        <f>5.164-CE17</f>
        <v>2.5669999999999997</v>
      </c>
      <c r="CG17" s="745">
        <f>8.33-SUM(CE17:CF17)</f>
        <v>3.1660000000000004</v>
      </c>
      <c r="CH17" s="745">
        <f t="shared" si="4"/>
        <v>3.1430000000000002</v>
      </c>
      <c r="CI17" s="746">
        <v>11.473000000000001</v>
      </c>
      <c r="CJ17" s="745">
        <v>3.01</v>
      </c>
      <c r="CK17" s="745">
        <f>6.96-CJ17</f>
        <v>3.95</v>
      </c>
      <c r="CL17" s="745">
        <f>11.564-SUM(CJ17:CK17)</f>
        <v>4.6040000000000001</v>
      </c>
      <c r="CM17" s="745">
        <f t="shared" si="5"/>
        <v>8.0489999999999995</v>
      </c>
      <c r="CN17" s="746">
        <v>19.613</v>
      </c>
      <c r="CO17" s="745">
        <v>10.584</v>
      </c>
      <c r="CP17" s="745">
        <f>15.158-CO17</f>
        <v>4.5739999999999998</v>
      </c>
      <c r="CQ17" s="745">
        <f>25.208-CP17-CO17</f>
        <v>10.050000000000001</v>
      </c>
      <c r="CR17" s="745">
        <f t="shared" si="6"/>
        <v>3.0350000000000001</v>
      </c>
      <c r="CS17" s="746">
        <v>28.242999999999999</v>
      </c>
      <c r="CT17" s="745">
        <v>5.0679999999999996</v>
      </c>
      <c r="CU17" s="745">
        <f>12.242-CT17</f>
        <v>7.1740000000000013</v>
      </c>
      <c r="CV17" s="745">
        <f>18.784-CU17-CT17</f>
        <v>6.541999999999998</v>
      </c>
      <c r="CW17" s="745">
        <f t="shared" si="7"/>
        <v>4.4470000000000027</v>
      </c>
      <c r="CX17" s="746">
        <v>23.231000000000002</v>
      </c>
      <c r="CY17" s="1268">
        <v>5.0810000000000004</v>
      </c>
      <c r="CZ17" s="1268">
        <f>9.925-CY17</f>
        <v>4.8440000000000003</v>
      </c>
      <c r="DA17" s="1268">
        <f>14.26-CZ17-CY17</f>
        <v>4.335</v>
      </c>
      <c r="DB17" s="745">
        <f t="shared" si="8"/>
        <v>3.8809999999999967</v>
      </c>
      <c r="DC17" s="746">
        <v>18.140999999999998</v>
      </c>
      <c r="DD17" s="745">
        <v>3.5590000000000002</v>
      </c>
      <c r="DE17" s="745">
        <f>11.372-DD17</f>
        <v>7.8129999999999997</v>
      </c>
      <c r="DF17" s="745">
        <f>16.356-SUM(DD17:DE17)</f>
        <v>4.9840000000000018</v>
      </c>
      <c r="DG17" s="745">
        <f t="shared" si="12"/>
        <v>4.5719999999999992</v>
      </c>
      <c r="DH17" s="746">
        <v>20.928000000000001</v>
      </c>
      <c r="DI17" s="827">
        <f>IncomeStatement!BZ174</f>
        <v>5</v>
      </c>
      <c r="DJ17" s="827">
        <f>IncomeStatement!CA174</f>
        <v>5</v>
      </c>
      <c r="DK17" s="827">
        <f>IncomeStatement!CB174</f>
        <v>5</v>
      </c>
      <c r="DL17" s="827">
        <f>IncomeStatement!CC174</f>
        <v>5</v>
      </c>
      <c r="DM17" s="746">
        <f t="shared" si="9"/>
        <v>20</v>
      </c>
      <c r="DN17" s="827">
        <f>IncomeStatement!CE174</f>
        <v>5</v>
      </c>
      <c r="DO17" s="827">
        <f>IncomeStatement!CF174</f>
        <v>5</v>
      </c>
      <c r="DP17" s="827">
        <f>IncomeStatement!CG174</f>
        <v>5</v>
      </c>
      <c r="DQ17" s="827">
        <f>IncomeStatement!CH174</f>
        <v>5</v>
      </c>
      <c r="DR17" s="746">
        <f t="shared" si="10"/>
        <v>20</v>
      </c>
      <c r="DS17" s="827">
        <f>IncomeStatement!CJ174</f>
        <v>5</v>
      </c>
      <c r="DT17" s="827">
        <f>IncomeStatement!CK174</f>
        <v>5</v>
      </c>
      <c r="DU17" s="827">
        <f>IncomeStatement!CL174</f>
        <v>5</v>
      </c>
      <c r="DV17" s="827">
        <f>IncomeStatement!CM174</f>
        <v>5</v>
      </c>
      <c r="DW17" s="746">
        <f t="shared" si="11"/>
        <v>20</v>
      </c>
    </row>
    <row r="18" spans="1:139">
      <c r="A18" s="748" t="s">
        <v>103</v>
      </c>
      <c r="B18" s="301"/>
      <c r="C18" s="314"/>
      <c r="D18" s="315"/>
      <c r="E18" s="315"/>
      <c r="F18" s="315"/>
      <c r="G18" s="316"/>
      <c r="H18" s="315"/>
      <c r="I18" s="315"/>
      <c r="J18" s="315"/>
      <c r="K18" s="315"/>
      <c r="L18" s="316"/>
      <c r="M18" s="315"/>
      <c r="N18" s="315"/>
      <c r="O18" s="315"/>
      <c r="P18" s="315"/>
      <c r="Q18" s="316"/>
      <c r="R18" s="315"/>
      <c r="S18" s="315"/>
      <c r="T18" s="315"/>
      <c r="U18" s="315"/>
      <c r="V18" s="316"/>
      <c r="W18" s="315"/>
      <c r="X18" s="315"/>
      <c r="Y18" s="315"/>
      <c r="Z18" s="315"/>
      <c r="AA18" s="304"/>
      <c r="AB18" s="317"/>
      <c r="AC18" s="317"/>
      <c r="AD18" s="317"/>
      <c r="AE18" s="317"/>
      <c r="AF18" s="306"/>
      <c r="AG18" s="317"/>
      <c r="AH18" s="317"/>
      <c r="AI18" s="317"/>
      <c r="AJ18" s="311"/>
      <c r="AK18" s="306"/>
      <c r="AL18" s="317"/>
      <c r="AM18" s="317"/>
      <c r="AN18" s="317"/>
      <c r="AO18" s="311"/>
      <c r="AP18" s="306"/>
      <c r="AQ18" s="317"/>
      <c r="AR18" s="317"/>
      <c r="AS18" s="311"/>
      <c r="AT18" s="311"/>
      <c r="AU18" s="306"/>
      <c r="AV18" s="318"/>
      <c r="AW18" s="317"/>
      <c r="AX18" s="311"/>
      <c r="AY18" s="311"/>
      <c r="AZ18" s="306"/>
      <c r="BA18" s="312"/>
      <c r="BB18" s="312"/>
      <c r="BC18" s="312"/>
      <c r="BD18" s="312"/>
      <c r="BE18" s="744"/>
      <c r="BF18" s="745"/>
      <c r="BG18" s="745"/>
      <c r="BH18" s="745"/>
      <c r="BI18" s="745"/>
      <c r="BJ18" s="744">
        <v>1.528</v>
      </c>
      <c r="BK18" s="745"/>
      <c r="BL18" s="745"/>
      <c r="BM18" s="745"/>
      <c r="BN18" s="745">
        <f t="shared" si="1"/>
        <v>3.1030000000000002</v>
      </c>
      <c r="BO18" s="744">
        <v>3.1030000000000002</v>
      </c>
      <c r="BP18" s="745">
        <v>5.1959999999999997</v>
      </c>
      <c r="BQ18" s="745">
        <f>6.919-BP18</f>
        <v>1.7229999999999999</v>
      </c>
      <c r="BR18" s="745">
        <f>9.907-BQ18-BP18</f>
        <v>2.9880000000000013</v>
      </c>
      <c r="BS18" s="745">
        <f t="shared" si="2"/>
        <v>2.7109999999999994</v>
      </c>
      <c r="BT18" s="744">
        <v>12.618</v>
      </c>
      <c r="BU18" s="745">
        <v>2.879</v>
      </c>
      <c r="BV18" s="745">
        <f>4.945-BU18</f>
        <v>2.0660000000000003</v>
      </c>
      <c r="BW18" s="745">
        <f>7.152-BV18-BU18</f>
        <v>2.2070000000000003</v>
      </c>
      <c r="BX18" s="745">
        <f t="shared" si="0"/>
        <v>2.1819999999999982</v>
      </c>
      <c r="BY18" s="744">
        <v>9.3339999999999996</v>
      </c>
      <c r="BZ18" s="745">
        <v>1.8069999999999999</v>
      </c>
      <c r="CA18" s="745">
        <f>4.114-BZ18</f>
        <v>2.3069999999999999</v>
      </c>
      <c r="CB18" s="745">
        <f>6.169-CA18-BZ18</f>
        <v>2.0549999999999997</v>
      </c>
      <c r="CC18" s="745">
        <f t="shared" si="3"/>
        <v>1.3850000000000007</v>
      </c>
      <c r="CD18" s="746">
        <v>7.5540000000000003</v>
      </c>
      <c r="CE18" s="745">
        <v>1.639</v>
      </c>
      <c r="CF18" s="745">
        <f>0.874-CE18</f>
        <v>-0.76500000000000001</v>
      </c>
      <c r="CG18" s="745">
        <f>2.934-SUM(CE18:CF18)</f>
        <v>2.06</v>
      </c>
      <c r="CH18" s="745">
        <f t="shared" si="4"/>
        <v>4.2759999999999998</v>
      </c>
      <c r="CI18" s="746">
        <v>7.21</v>
      </c>
      <c r="CJ18" s="745">
        <v>2.1560000000000001</v>
      </c>
      <c r="CK18" s="745">
        <f>4.53-CJ18</f>
        <v>2.3740000000000001</v>
      </c>
      <c r="CL18" s="745">
        <f>6.506-SUM(CJ18:CK18)</f>
        <v>1.976</v>
      </c>
      <c r="CM18" s="745">
        <f t="shared" si="5"/>
        <v>1.645999999999999</v>
      </c>
      <c r="CN18" s="746">
        <v>8.1519999999999992</v>
      </c>
      <c r="CO18" s="745">
        <v>1.726</v>
      </c>
      <c r="CP18" s="745">
        <f>2.528-CO18</f>
        <v>0.80200000000000005</v>
      </c>
      <c r="CQ18" s="745">
        <f>6.239-CP18-CO18</f>
        <v>3.7109999999999994</v>
      </c>
      <c r="CR18" s="745">
        <f t="shared" si="6"/>
        <v>-4.2879999999999985</v>
      </c>
      <c r="CS18" s="746">
        <v>1.9510000000000001</v>
      </c>
      <c r="CT18" s="745">
        <v>1.7889999999999999</v>
      </c>
      <c r="CU18" s="745">
        <f>2.607-CT18</f>
        <v>0.81800000000000028</v>
      </c>
      <c r="CV18" s="745">
        <f>2.792-CU18-CT18</f>
        <v>0.18499999999999961</v>
      </c>
      <c r="CW18" s="745">
        <f t="shared" si="7"/>
        <v>0.57200000000000006</v>
      </c>
      <c r="CX18" s="746">
        <v>3.3639999999999999</v>
      </c>
      <c r="CY18" s="1268">
        <v>0</v>
      </c>
      <c r="CZ18" s="1268">
        <f>-2.561-CY18</f>
        <v>-2.5609999999999999</v>
      </c>
      <c r="DA18" s="1268">
        <f>-5.138-CZ18-CY18</f>
        <v>-2.577</v>
      </c>
      <c r="DB18" s="745">
        <f t="shared" si="8"/>
        <v>-2.4050000000000002</v>
      </c>
      <c r="DC18" s="746">
        <v>-7.5430000000000001</v>
      </c>
      <c r="DD18" s="745">
        <v>-2.7280000000000002</v>
      </c>
      <c r="DE18" s="745">
        <f>-5.286-DD18</f>
        <v>-2.5579999999999994</v>
      </c>
      <c r="DF18" s="745">
        <f>-8.348-SUM(DD18:DE18)</f>
        <v>-3.0620000000000012</v>
      </c>
      <c r="DG18" s="745">
        <f t="shared" si="12"/>
        <v>-3.4739999999999984</v>
      </c>
      <c r="DH18" s="746">
        <v>-11.821999999999999</v>
      </c>
      <c r="DI18" s="745">
        <v>0</v>
      </c>
      <c r="DJ18" s="745">
        <v>0</v>
      </c>
      <c r="DK18" s="745">
        <v>0</v>
      </c>
      <c r="DL18" s="745">
        <v>0</v>
      </c>
      <c r="DM18" s="746">
        <f t="shared" si="9"/>
        <v>0</v>
      </c>
      <c r="DN18" s="745">
        <v>0</v>
      </c>
      <c r="DO18" s="745">
        <v>0</v>
      </c>
      <c r="DP18" s="745">
        <v>0</v>
      </c>
      <c r="DQ18" s="745">
        <v>0</v>
      </c>
      <c r="DR18" s="746">
        <f t="shared" si="10"/>
        <v>0</v>
      </c>
      <c r="DS18" s="745">
        <v>0</v>
      </c>
      <c r="DT18" s="745">
        <v>0</v>
      </c>
      <c r="DU18" s="745">
        <v>0</v>
      </c>
      <c r="DV18" s="745">
        <v>0</v>
      </c>
      <c r="DW18" s="746">
        <f t="shared" si="11"/>
        <v>0</v>
      </c>
    </row>
    <row r="19" spans="1:139">
      <c r="A19" s="748" t="s">
        <v>71</v>
      </c>
      <c r="B19" s="301"/>
      <c r="C19" s="302"/>
      <c r="D19" s="303"/>
      <c r="E19" s="303"/>
      <c r="F19" s="303"/>
      <c r="G19" s="304"/>
      <c r="H19" s="303"/>
      <c r="I19" s="303"/>
      <c r="J19" s="303"/>
      <c r="K19" s="303"/>
      <c r="L19" s="304"/>
      <c r="M19" s="303"/>
      <c r="N19" s="303"/>
      <c r="O19" s="303"/>
      <c r="P19" s="303"/>
      <c r="Q19" s="304"/>
      <c r="R19" s="303"/>
      <c r="S19" s="303"/>
      <c r="T19" s="303"/>
      <c r="U19" s="303"/>
      <c r="V19" s="304"/>
      <c r="W19" s="303"/>
      <c r="X19" s="303"/>
      <c r="Y19" s="303"/>
      <c r="Z19" s="303"/>
      <c r="AA19" s="304"/>
      <c r="AB19" s="305"/>
      <c r="AC19" s="305"/>
      <c r="AD19" s="305"/>
      <c r="AE19" s="305"/>
      <c r="AF19" s="306"/>
      <c r="AG19" s="305"/>
      <c r="AH19" s="305"/>
      <c r="AI19" s="305"/>
      <c r="AJ19" s="305"/>
      <c r="AK19" s="306"/>
      <c r="AL19" s="311"/>
      <c r="AM19" s="311"/>
      <c r="AN19" s="311"/>
      <c r="AO19" s="311"/>
      <c r="AP19" s="306"/>
      <c r="AQ19" s="311"/>
      <c r="AR19" s="311"/>
      <c r="AS19" s="311"/>
      <c r="AT19" s="311"/>
      <c r="AU19" s="306"/>
      <c r="AV19" s="312"/>
      <c r="AW19" s="311"/>
      <c r="AX19" s="311"/>
      <c r="AY19" s="311"/>
      <c r="AZ19" s="306"/>
      <c r="BA19" s="312"/>
      <c r="BB19" s="312"/>
      <c r="BC19" s="312"/>
      <c r="BD19" s="312"/>
      <c r="BE19" s="744">
        <v>5.8280000000000003</v>
      </c>
      <c r="BF19" s="745">
        <v>8.84</v>
      </c>
      <c r="BG19" s="745">
        <f>5.886-BF19</f>
        <v>-2.9539999999999997</v>
      </c>
      <c r="BH19" s="745">
        <f>2.241-BG19-BF19</f>
        <v>-3.6449999999999996</v>
      </c>
      <c r="BI19" s="745">
        <f t="shared" ref="BI19:BI28" si="13">BJ19-BH19-BG19-BF19</f>
        <v>-3.2310000000000008</v>
      </c>
      <c r="BJ19" s="744">
        <v>-0.99</v>
      </c>
      <c r="BK19" s="745">
        <v>11.53</v>
      </c>
      <c r="BL19" s="745">
        <f>7.295-BK19</f>
        <v>-4.2349999999999994</v>
      </c>
      <c r="BM19" s="745">
        <f>3.743-BL19-BK19</f>
        <v>-3.5519999999999996</v>
      </c>
      <c r="BN19" s="745">
        <f t="shared" si="1"/>
        <v>-10.202</v>
      </c>
      <c r="BO19" s="744">
        <v>-6.4589999999999996</v>
      </c>
      <c r="BP19" s="745">
        <v>29.367999999999999</v>
      </c>
      <c r="BQ19" s="745">
        <f>19.532-BP19</f>
        <v>-9.8359999999999985</v>
      </c>
      <c r="BR19" s="745">
        <f>13.016-BQ19-BP19</f>
        <v>-6.5160000000000018</v>
      </c>
      <c r="BS19" s="745">
        <f t="shared" si="2"/>
        <v>-13.806999999999999</v>
      </c>
      <c r="BT19" s="744">
        <v>-0.79100000000000004</v>
      </c>
      <c r="BU19" s="745">
        <v>31.067</v>
      </c>
      <c r="BV19" s="745">
        <f>19.676-BU19</f>
        <v>-11.391000000000002</v>
      </c>
      <c r="BW19" s="745">
        <f>10.096-BV19-BU19</f>
        <v>-9.5799999999999983</v>
      </c>
      <c r="BX19" s="745">
        <f t="shared" si="0"/>
        <v>-10.683</v>
      </c>
      <c r="BY19" s="744">
        <v>-0.58699999999999997</v>
      </c>
      <c r="BZ19" s="745">
        <v>29.356999999999999</v>
      </c>
      <c r="CA19" s="745">
        <f>19.764-BZ19</f>
        <v>-9.593</v>
      </c>
      <c r="CB19" s="745">
        <f>13.876-CA19-BZ19</f>
        <v>-5.8879999999999981</v>
      </c>
      <c r="CC19" s="745">
        <f t="shared" si="3"/>
        <v>-6.8060000000000009</v>
      </c>
      <c r="CD19" s="746">
        <v>7.07</v>
      </c>
      <c r="CE19" s="745">
        <v>-5.8000000000000003E-2</v>
      </c>
      <c r="CF19" s="745">
        <f>12.486-CE19</f>
        <v>12.544</v>
      </c>
      <c r="CG19" s="745">
        <f>6.239-SUM(CE19:CF19)</f>
        <v>-6.2470000000000008</v>
      </c>
      <c r="CH19" s="745">
        <f t="shared" si="4"/>
        <v>-7.1589999999999998</v>
      </c>
      <c r="CI19" s="746">
        <v>-0.92</v>
      </c>
      <c r="CJ19" s="745">
        <v>-4.7969999999999997</v>
      </c>
      <c r="CK19" s="745">
        <f>15.769-CJ19</f>
        <v>20.565999999999999</v>
      </c>
      <c r="CL19" s="745">
        <f>14.731-SUM(CJ19:CK19)</f>
        <v>-1.0379999999999985</v>
      </c>
      <c r="CM19" s="745">
        <f t="shared" si="5"/>
        <v>-8.4130000000000003</v>
      </c>
      <c r="CN19" s="746">
        <v>6.3179999999999996</v>
      </c>
      <c r="CO19" s="745">
        <v>16.8</v>
      </c>
      <c r="CP19" s="745">
        <f>13.882-CO19</f>
        <v>-2.918000000000001</v>
      </c>
      <c r="CQ19" s="745">
        <f>9.16-CP19-CO19</f>
        <v>-4.7219999999999995</v>
      </c>
      <c r="CR19" s="745">
        <f t="shared" si="6"/>
        <v>-5.0970000000000004</v>
      </c>
      <c r="CS19" s="746">
        <v>4.0629999999999997</v>
      </c>
      <c r="CT19" s="745">
        <v>-2.532</v>
      </c>
      <c r="CU19" s="745">
        <f>8.396-CT19</f>
        <v>10.928000000000001</v>
      </c>
      <c r="CV19" s="745">
        <f>3.402-CU19-CT19</f>
        <v>-4.9940000000000007</v>
      </c>
      <c r="CW19" s="745">
        <f t="shared" si="7"/>
        <v>-5.9610000000000003</v>
      </c>
      <c r="CX19" s="746">
        <v>-2.5590000000000002</v>
      </c>
      <c r="CY19" s="1268">
        <v>12.81</v>
      </c>
      <c r="CZ19" s="1268">
        <f>8.23-CY19</f>
        <v>-4.58</v>
      </c>
      <c r="DA19" s="1268">
        <f>4.11-CZ19-CY19</f>
        <v>-4.1199999999999992</v>
      </c>
      <c r="DB19" s="745">
        <f t="shared" si="8"/>
        <v>-3.1510000000000011</v>
      </c>
      <c r="DC19" s="746">
        <v>0.95899999999999996</v>
      </c>
      <c r="DD19" s="745">
        <v>9.6020000000000003</v>
      </c>
      <c r="DE19" s="745">
        <f>7.077-DD19</f>
        <v>-2.5250000000000004</v>
      </c>
      <c r="DF19" s="745">
        <f>4.547-SUM(DD19:DE19)</f>
        <v>-2.5300000000000002</v>
      </c>
      <c r="DG19" s="745">
        <f t="shared" si="12"/>
        <v>-2.6459999999999999</v>
      </c>
      <c r="DH19" s="746">
        <v>1.901</v>
      </c>
      <c r="DI19" s="745">
        <v>0</v>
      </c>
      <c r="DJ19" s="745">
        <v>0</v>
      </c>
      <c r="DK19" s="745">
        <v>0</v>
      </c>
      <c r="DL19" s="745">
        <v>0</v>
      </c>
      <c r="DM19" s="746">
        <f t="shared" si="9"/>
        <v>0</v>
      </c>
      <c r="DN19" s="745">
        <v>0</v>
      </c>
      <c r="DO19" s="745">
        <v>0</v>
      </c>
      <c r="DP19" s="745">
        <v>0</v>
      </c>
      <c r="DQ19" s="745">
        <v>0</v>
      </c>
      <c r="DR19" s="746">
        <f t="shared" si="10"/>
        <v>0</v>
      </c>
      <c r="DS19" s="745">
        <v>0</v>
      </c>
      <c r="DT19" s="745">
        <v>0</v>
      </c>
      <c r="DU19" s="745">
        <v>0</v>
      </c>
      <c r="DV19" s="745">
        <v>0</v>
      </c>
      <c r="DW19" s="746">
        <f t="shared" si="11"/>
        <v>0</v>
      </c>
    </row>
    <row r="20" spans="1:139">
      <c r="A20" s="748" t="s">
        <v>72</v>
      </c>
      <c r="B20" s="301"/>
      <c r="C20" s="302"/>
      <c r="D20" s="303"/>
      <c r="E20" s="303"/>
      <c r="F20" s="303"/>
      <c r="G20" s="304"/>
      <c r="H20" s="303"/>
      <c r="I20" s="303"/>
      <c r="J20" s="303"/>
      <c r="K20" s="303"/>
      <c r="L20" s="304"/>
      <c r="M20" s="303"/>
      <c r="N20" s="303"/>
      <c r="O20" s="303"/>
      <c r="P20" s="303"/>
      <c r="Q20" s="304"/>
      <c r="R20" s="303"/>
      <c r="S20" s="303"/>
      <c r="T20" s="303"/>
      <c r="U20" s="303"/>
      <c r="V20" s="304"/>
      <c r="W20" s="303"/>
      <c r="X20" s="303"/>
      <c r="Y20" s="303"/>
      <c r="Z20" s="303"/>
      <c r="AA20" s="304"/>
      <c r="AB20" s="305"/>
      <c r="AC20" s="305"/>
      <c r="AD20" s="305"/>
      <c r="AE20" s="305"/>
      <c r="AF20" s="306"/>
      <c r="AG20" s="305"/>
      <c r="AH20" s="305"/>
      <c r="AI20" s="305"/>
      <c r="AJ20" s="305"/>
      <c r="AK20" s="306"/>
      <c r="AL20" s="305"/>
      <c r="AM20" s="311"/>
      <c r="AN20" s="311"/>
      <c r="AO20" s="311"/>
      <c r="AP20" s="306"/>
      <c r="AQ20" s="311"/>
      <c r="AR20" s="311"/>
      <c r="AS20" s="311"/>
      <c r="AT20" s="311"/>
      <c r="AU20" s="306"/>
      <c r="AV20" s="312"/>
      <c r="AW20" s="311"/>
      <c r="AX20" s="311"/>
      <c r="AY20" s="311"/>
      <c r="AZ20" s="306"/>
      <c r="BA20" s="312"/>
      <c r="BB20" s="312"/>
      <c r="BC20" s="312"/>
      <c r="BD20" s="312"/>
      <c r="BE20" s="744">
        <v>6.2939999999999996</v>
      </c>
      <c r="BF20" s="745">
        <v>1.6639999999999999</v>
      </c>
      <c r="BG20" s="745">
        <f>3.388-BF20</f>
        <v>1.724</v>
      </c>
      <c r="BH20" s="745">
        <f>4.746-BG20-BF20</f>
        <v>1.3580000000000003</v>
      </c>
      <c r="BI20" s="745">
        <f t="shared" si="13"/>
        <v>-4.7460000000000004</v>
      </c>
      <c r="BJ20" s="744">
        <v>0</v>
      </c>
      <c r="BK20" s="745">
        <v>1.0489999999999999</v>
      </c>
      <c r="BL20" s="745">
        <f>2.318-BK20</f>
        <v>1.2690000000000001</v>
      </c>
      <c r="BM20" s="745">
        <f>3.233-BL20-BK20</f>
        <v>0.91500000000000004</v>
      </c>
      <c r="BN20" s="745">
        <f t="shared" si="1"/>
        <v>-3.2330000000000001</v>
      </c>
      <c r="BO20" s="744">
        <v>0</v>
      </c>
      <c r="BP20" s="745">
        <v>0</v>
      </c>
      <c r="BQ20" s="745">
        <v>0</v>
      </c>
      <c r="BR20" s="745">
        <v>0</v>
      </c>
      <c r="BS20" s="745">
        <f t="shared" si="2"/>
        <v>0</v>
      </c>
      <c r="BT20" s="744">
        <v>0</v>
      </c>
      <c r="BU20" s="745">
        <v>0</v>
      </c>
      <c r="BV20" s="745">
        <v>0</v>
      </c>
      <c r="BW20" s="745">
        <v>0</v>
      </c>
      <c r="BX20" s="745">
        <f t="shared" si="0"/>
        <v>0</v>
      </c>
      <c r="BY20" s="744">
        <v>0</v>
      </c>
      <c r="BZ20" s="745">
        <v>0</v>
      </c>
      <c r="CA20" s="745">
        <v>0</v>
      </c>
      <c r="CB20" s="745">
        <v>0</v>
      </c>
      <c r="CC20" s="745">
        <f t="shared" si="3"/>
        <v>0</v>
      </c>
      <c r="CD20" s="746">
        <v>0</v>
      </c>
      <c r="CE20" s="745">
        <v>0</v>
      </c>
      <c r="CF20" s="745">
        <f>0-CE20</f>
        <v>0</v>
      </c>
      <c r="CG20" s="745">
        <f>0-SUM(CE20:CF20)</f>
        <v>0</v>
      </c>
      <c r="CH20" s="745">
        <f t="shared" si="4"/>
        <v>0</v>
      </c>
      <c r="CI20" s="746">
        <v>0</v>
      </c>
      <c r="CJ20" s="745">
        <v>0</v>
      </c>
      <c r="CK20" s="745">
        <v>0</v>
      </c>
      <c r="CL20" s="745">
        <v>0</v>
      </c>
      <c r="CM20" s="745">
        <f t="shared" si="5"/>
        <v>0</v>
      </c>
      <c r="CN20" s="746">
        <v>0</v>
      </c>
      <c r="CO20" s="745">
        <v>0</v>
      </c>
      <c r="CP20" s="745">
        <v>0</v>
      </c>
      <c r="CQ20" s="745">
        <v>0</v>
      </c>
      <c r="CR20" s="745">
        <f t="shared" si="6"/>
        <v>0</v>
      </c>
      <c r="CS20" s="746">
        <v>0</v>
      </c>
      <c r="CT20" s="745">
        <v>0</v>
      </c>
      <c r="CU20" s="745">
        <v>0</v>
      </c>
      <c r="CV20" s="745">
        <v>0</v>
      </c>
      <c r="CW20" s="745">
        <f t="shared" si="7"/>
        <v>0</v>
      </c>
      <c r="CX20" s="746">
        <v>0</v>
      </c>
      <c r="CY20" s="1268">
        <v>0</v>
      </c>
      <c r="CZ20" s="1268">
        <f>0-CY20</f>
        <v>0</v>
      </c>
      <c r="DA20" s="1268">
        <v>0</v>
      </c>
      <c r="DB20" s="745">
        <f t="shared" si="8"/>
        <v>0</v>
      </c>
      <c r="DC20" s="746">
        <v>0</v>
      </c>
      <c r="DD20" s="745">
        <v>0</v>
      </c>
      <c r="DE20" s="745">
        <v>0</v>
      </c>
      <c r="DF20" s="745">
        <v>0</v>
      </c>
      <c r="DG20" s="745">
        <f t="shared" si="12"/>
        <v>0</v>
      </c>
      <c r="DH20" s="746">
        <v>0</v>
      </c>
      <c r="DI20" s="745">
        <v>0</v>
      </c>
      <c r="DJ20" s="745">
        <v>0</v>
      </c>
      <c r="DK20" s="745">
        <v>0</v>
      </c>
      <c r="DL20" s="745">
        <v>0</v>
      </c>
      <c r="DM20" s="746">
        <f t="shared" si="9"/>
        <v>0</v>
      </c>
      <c r="DN20" s="745">
        <v>0</v>
      </c>
      <c r="DO20" s="745">
        <v>0</v>
      </c>
      <c r="DP20" s="745">
        <v>0</v>
      </c>
      <c r="DQ20" s="745">
        <v>0</v>
      </c>
      <c r="DR20" s="746">
        <f t="shared" si="10"/>
        <v>0</v>
      </c>
      <c r="DS20" s="745">
        <v>0</v>
      </c>
      <c r="DT20" s="745">
        <v>0</v>
      </c>
      <c r="DU20" s="745">
        <v>0</v>
      </c>
      <c r="DV20" s="745">
        <v>0</v>
      </c>
      <c r="DW20" s="746">
        <f t="shared" si="11"/>
        <v>0</v>
      </c>
    </row>
    <row r="21" spans="1:139">
      <c r="A21" s="748" t="s">
        <v>481</v>
      </c>
      <c r="B21" s="301"/>
      <c r="C21" s="308"/>
      <c r="D21" s="309"/>
      <c r="E21" s="309"/>
      <c r="F21" s="309"/>
      <c r="G21" s="310"/>
      <c r="H21" s="309"/>
      <c r="I21" s="309"/>
      <c r="J21" s="309"/>
      <c r="K21" s="309"/>
      <c r="L21" s="310"/>
      <c r="M21" s="309"/>
      <c r="N21" s="309"/>
      <c r="O21" s="309"/>
      <c r="P21" s="309"/>
      <c r="Q21" s="310"/>
      <c r="R21" s="309"/>
      <c r="S21" s="309"/>
      <c r="T21" s="309"/>
      <c r="U21" s="309"/>
      <c r="V21" s="310"/>
      <c r="W21" s="309"/>
      <c r="X21" s="309"/>
      <c r="Y21" s="309"/>
      <c r="Z21" s="309"/>
      <c r="AA21" s="304"/>
      <c r="AB21" s="311"/>
      <c r="AC21" s="311"/>
      <c r="AD21" s="311"/>
      <c r="AE21" s="311"/>
      <c r="AF21" s="306"/>
      <c r="AG21" s="311"/>
      <c r="AH21" s="311"/>
      <c r="AI21" s="311"/>
      <c r="AJ21" s="305"/>
      <c r="AK21" s="306"/>
      <c r="AL21" s="311"/>
      <c r="AM21" s="311"/>
      <c r="AN21" s="311"/>
      <c r="AO21" s="311"/>
      <c r="AP21" s="306"/>
      <c r="AQ21" s="311"/>
      <c r="AR21" s="311"/>
      <c r="AS21" s="311"/>
      <c r="AT21" s="311"/>
      <c r="AU21" s="306"/>
      <c r="AV21" s="312"/>
      <c r="AW21" s="311"/>
      <c r="AX21" s="311"/>
      <c r="AY21" s="311"/>
      <c r="AZ21" s="306"/>
      <c r="BA21" s="312"/>
      <c r="BB21" s="312"/>
      <c r="BC21" s="312"/>
      <c r="BD21" s="312"/>
      <c r="BE21" s="744">
        <v>-2.7250000000000001</v>
      </c>
      <c r="BF21" s="745">
        <v>-0.86199999999999999</v>
      </c>
      <c r="BG21" s="745">
        <f>-1.159-BF21</f>
        <v>-0.29700000000000004</v>
      </c>
      <c r="BH21" s="745">
        <f>-0.873-BG21-BF21</f>
        <v>0.28600000000000003</v>
      </c>
      <c r="BI21" s="745">
        <f t="shared" si="13"/>
        <v>0.873</v>
      </c>
      <c r="BJ21" s="744">
        <v>0</v>
      </c>
      <c r="BK21" s="745">
        <v>0.754</v>
      </c>
      <c r="BL21" s="745">
        <f>0.754-BK21</f>
        <v>0</v>
      </c>
      <c r="BM21" s="745">
        <f>0.754-BL21-BK21</f>
        <v>0</v>
      </c>
      <c r="BN21" s="745">
        <f t="shared" si="1"/>
        <v>-0.754</v>
      </c>
      <c r="BO21" s="744">
        <v>0</v>
      </c>
      <c r="BP21" s="745">
        <v>0</v>
      </c>
      <c r="BQ21" s="745">
        <f>-3.643-BP21</f>
        <v>-3.6429999999999998</v>
      </c>
      <c r="BR21" s="745">
        <f>0-BQ21-BP21</f>
        <v>3.6429999999999998</v>
      </c>
      <c r="BS21" s="745">
        <f t="shared" si="2"/>
        <v>-8.4989999999999988</v>
      </c>
      <c r="BT21" s="744">
        <v>-8.4990000000000006</v>
      </c>
      <c r="BU21" s="745">
        <v>-1.85</v>
      </c>
      <c r="BV21" s="745">
        <f>-4.48-BU21</f>
        <v>-2.6300000000000003</v>
      </c>
      <c r="BW21" s="745">
        <f>-7.127-BV21-BU21</f>
        <v>-2.6469999999999998</v>
      </c>
      <c r="BX21" s="745">
        <f t="shared" si="0"/>
        <v>-2.3319999999999985</v>
      </c>
      <c r="BY21" s="744">
        <v>-9.4589999999999996</v>
      </c>
      <c r="BZ21" s="745">
        <v>-2.363</v>
      </c>
      <c r="CA21" s="745">
        <f>-5.1-BZ21</f>
        <v>-2.7369999999999997</v>
      </c>
      <c r="CB21" s="745">
        <f>-7.817-CA21-BZ21</f>
        <v>-2.7170000000000001</v>
      </c>
      <c r="CC21" s="745">
        <f t="shared" si="3"/>
        <v>-1.6479999999999992</v>
      </c>
      <c r="CD21" s="746">
        <v>-9.4649999999999999</v>
      </c>
      <c r="CE21" s="745">
        <v>-2.1339999999999999</v>
      </c>
      <c r="CF21" s="745">
        <f>-4.914-CE21</f>
        <v>-2.78</v>
      </c>
      <c r="CG21" s="745">
        <f>-7.836-SUM(CE21:CF21)</f>
        <v>-2.9220000000000006</v>
      </c>
      <c r="CH21" s="745">
        <f t="shared" si="4"/>
        <v>-0.8879999999999999</v>
      </c>
      <c r="CI21" s="746">
        <v>-8.7240000000000002</v>
      </c>
      <c r="CJ21" s="745">
        <v>-1.1910000000000001</v>
      </c>
      <c r="CK21" s="745">
        <f>-4.071-CJ21</f>
        <v>-2.88</v>
      </c>
      <c r="CL21" s="745">
        <f>-6.98-SUM(CJ21:CK21)</f>
        <v>-2.9090000000000007</v>
      </c>
      <c r="CM21" s="745">
        <f t="shared" si="5"/>
        <v>-2.7419999999999991</v>
      </c>
      <c r="CN21" s="746">
        <f>-9.722</f>
        <v>-9.7219999999999995</v>
      </c>
      <c r="CO21" s="745">
        <v>-2.1560000000000001</v>
      </c>
      <c r="CP21" s="745">
        <f>-4.872-CO21</f>
        <v>-2.7159999999999997</v>
      </c>
      <c r="CQ21" s="745">
        <f>-7.659-CP21-CO21</f>
        <v>-2.7869999999999995</v>
      </c>
      <c r="CR21" s="745">
        <f t="shared" si="6"/>
        <v>-2.5170000000000012</v>
      </c>
      <c r="CS21" s="746">
        <v>-10.176</v>
      </c>
      <c r="CT21" s="745">
        <f>-2.042</f>
        <v>-2.0419999999999998</v>
      </c>
      <c r="CU21" s="745">
        <f>-4.545-CT21</f>
        <v>-2.5030000000000001</v>
      </c>
      <c r="CV21" s="745">
        <f>-6.968-CU21-CT21</f>
        <v>-2.423</v>
      </c>
      <c r="CW21" s="745">
        <f t="shared" si="7"/>
        <v>-2.2370000000000001</v>
      </c>
      <c r="CX21" s="746">
        <v>-9.2050000000000001</v>
      </c>
      <c r="CY21" s="1268">
        <v>-1.899</v>
      </c>
      <c r="CZ21" s="1268">
        <f>-4.275-CY21</f>
        <v>-2.3760000000000003</v>
      </c>
      <c r="DA21" s="1268">
        <f>-6.495-CZ21-CY21</f>
        <v>-2.2199999999999998</v>
      </c>
      <c r="DB21" s="745">
        <f t="shared" si="8"/>
        <v>-1.8560000000000008</v>
      </c>
      <c r="DC21" s="746">
        <v>-8.3510000000000009</v>
      </c>
      <c r="DD21" s="745">
        <v>-1.8460000000000001</v>
      </c>
      <c r="DE21" s="745">
        <f>-3.786-DD21</f>
        <v>-1.94</v>
      </c>
      <c r="DF21" s="745">
        <f>-6.113-SUM(DD21:DE21)</f>
        <v>-2.3270000000000004</v>
      </c>
      <c r="DG21" s="745">
        <f t="shared" si="12"/>
        <v>-1.46</v>
      </c>
      <c r="DH21" s="746">
        <v>-7.5730000000000004</v>
      </c>
      <c r="DI21" s="745">
        <v>0</v>
      </c>
      <c r="DJ21" s="745">
        <v>0</v>
      </c>
      <c r="DK21" s="745">
        <v>0</v>
      </c>
      <c r="DL21" s="745">
        <v>0</v>
      </c>
      <c r="DM21" s="746">
        <f t="shared" si="9"/>
        <v>0</v>
      </c>
      <c r="DN21" s="745">
        <v>0</v>
      </c>
      <c r="DO21" s="745">
        <v>0</v>
      </c>
      <c r="DP21" s="745">
        <v>0</v>
      </c>
      <c r="DQ21" s="745">
        <v>0</v>
      </c>
      <c r="DR21" s="746">
        <f t="shared" si="10"/>
        <v>0</v>
      </c>
      <c r="DS21" s="745">
        <v>0</v>
      </c>
      <c r="DT21" s="745">
        <v>0</v>
      </c>
      <c r="DU21" s="745">
        <v>0</v>
      </c>
      <c r="DV21" s="745">
        <v>0</v>
      </c>
      <c r="DW21" s="746">
        <f t="shared" si="11"/>
        <v>0</v>
      </c>
    </row>
    <row r="22" spans="1:139" ht="12.75" customHeight="1">
      <c r="A22" s="748" t="s">
        <v>276</v>
      </c>
      <c r="B22" s="301"/>
      <c r="C22" s="308"/>
      <c r="D22" s="309"/>
      <c r="E22" s="309"/>
      <c r="F22" s="309"/>
      <c r="G22" s="310"/>
      <c r="H22" s="309"/>
      <c r="I22" s="309"/>
      <c r="J22" s="309"/>
      <c r="K22" s="309"/>
      <c r="L22" s="310"/>
      <c r="M22" s="309"/>
      <c r="N22" s="309"/>
      <c r="O22" s="309"/>
      <c r="P22" s="309"/>
      <c r="Q22" s="310"/>
      <c r="R22" s="309"/>
      <c r="S22" s="309"/>
      <c r="T22" s="309"/>
      <c r="U22" s="309"/>
      <c r="V22" s="310"/>
      <c r="W22" s="309"/>
      <c r="X22" s="309"/>
      <c r="Y22" s="309"/>
      <c r="Z22" s="309"/>
      <c r="AA22" s="304"/>
      <c r="AB22" s="311"/>
      <c r="AC22" s="311"/>
      <c r="AD22" s="311"/>
      <c r="AE22" s="311"/>
      <c r="AF22" s="306"/>
      <c r="AG22" s="311"/>
      <c r="AH22" s="311"/>
      <c r="AI22" s="311"/>
      <c r="AJ22" s="305"/>
      <c r="AK22" s="306"/>
      <c r="AL22" s="311"/>
      <c r="AM22" s="311"/>
      <c r="AN22" s="311"/>
      <c r="AO22" s="311"/>
      <c r="AP22" s="306"/>
      <c r="AQ22" s="311"/>
      <c r="AR22" s="311"/>
      <c r="AS22" s="311"/>
      <c r="AT22" s="311"/>
      <c r="AU22" s="306"/>
      <c r="AV22" s="312"/>
      <c r="AW22" s="311"/>
      <c r="AX22" s="311"/>
      <c r="AY22" s="311"/>
      <c r="AZ22" s="306"/>
      <c r="BA22" s="312"/>
      <c r="BB22" s="312"/>
      <c r="BC22" s="312"/>
      <c r="BD22" s="312"/>
      <c r="BE22" s="744">
        <v>11.523</v>
      </c>
      <c r="BF22" s="745">
        <v>3.1970000000000001</v>
      </c>
      <c r="BG22" s="745">
        <f>4.264-BF22</f>
        <v>1.0670000000000002</v>
      </c>
      <c r="BH22" s="745">
        <f>2.832-BG22-BF22</f>
        <v>-1.4320000000000004</v>
      </c>
      <c r="BI22" s="745">
        <f t="shared" si="13"/>
        <v>-0.14999999999999947</v>
      </c>
      <c r="BJ22" s="744">
        <v>2.6819999999999999</v>
      </c>
      <c r="BK22" s="745">
        <v>1.4E-2</v>
      </c>
      <c r="BL22" s="745">
        <f>0.014-BK22</f>
        <v>0</v>
      </c>
      <c r="BM22" s="745">
        <f>0.34-BL22-BK22</f>
        <v>0.32600000000000001</v>
      </c>
      <c r="BN22" s="745">
        <f t="shared" si="1"/>
        <v>0</v>
      </c>
      <c r="BO22" s="744">
        <v>0.34</v>
      </c>
      <c r="BP22" s="745">
        <f>-IncomeStatement!AG52</f>
        <v>0</v>
      </c>
      <c r="BQ22" s="745">
        <v>0</v>
      </c>
      <c r="BR22" s="745">
        <v>0</v>
      </c>
      <c r="BS22" s="745">
        <f t="shared" si="2"/>
        <v>0</v>
      </c>
      <c r="BT22" s="744">
        <v>0</v>
      </c>
      <c r="BU22" s="745">
        <v>0</v>
      </c>
      <c r="BV22" s="745">
        <v>0</v>
      </c>
      <c r="BW22" s="745">
        <v>0</v>
      </c>
      <c r="BX22" s="745">
        <f t="shared" si="0"/>
        <v>0</v>
      </c>
      <c r="BY22" s="744">
        <v>0</v>
      </c>
      <c r="BZ22" s="745">
        <f>-IncomeStatement!AQ52</f>
        <v>0</v>
      </c>
      <c r="CA22" s="745">
        <v>0</v>
      </c>
      <c r="CB22" s="745">
        <v>0</v>
      </c>
      <c r="CC22" s="745">
        <f t="shared" si="3"/>
        <v>0</v>
      </c>
      <c r="CD22" s="746">
        <v>0</v>
      </c>
      <c r="CE22" s="975">
        <v>0</v>
      </c>
      <c r="CF22" s="745">
        <f>0-CE22</f>
        <v>0</v>
      </c>
      <c r="CG22" s="745">
        <f>0-SUM(CE22:CF22)</f>
        <v>0</v>
      </c>
      <c r="CH22" s="745">
        <f t="shared" si="4"/>
        <v>0</v>
      </c>
      <c r="CI22" s="746">
        <v>0</v>
      </c>
      <c r="CJ22" s="745">
        <f>-IncomeStatement!BA52</f>
        <v>0</v>
      </c>
      <c r="CK22" s="745">
        <v>0</v>
      </c>
      <c r="CL22" s="745">
        <v>0</v>
      </c>
      <c r="CM22" s="745">
        <f t="shared" si="5"/>
        <v>0</v>
      </c>
      <c r="CN22" s="746">
        <v>0</v>
      </c>
      <c r="CO22" s="745">
        <f>-IncomeStatement!BF52</f>
        <v>0</v>
      </c>
      <c r="CP22" s="745">
        <v>0</v>
      </c>
      <c r="CQ22" s="745">
        <v>0</v>
      </c>
      <c r="CR22" s="745">
        <f t="shared" si="6"/>
        <v>0</v>
      </c>
      <c r="CS22" s="746">
        <v>0</v>
      </c>
      <c r="CT22" s="745">
        <v>0</v>
      </c>
      <c r="CU22" s="745">
        <v>0</v>
      </c>
      <c r="CV22" s="745">
        <v>0</v>
      </c>
      <c r="CW22" s="745">
        <f t="shared" si="7"/>
        <v>0</v>
      </c>
      <c r="CX22" s="746">
        <v>0</v>
      </c>
      <c r="CY22" s="1268">
        <v>0</v>
      </c>
      <c r="CZ22" s="1268">
        <f>0-CY22</f>
        <v>0</v>
      </c>
      <c r="DA22" s="1268">
        <v>0</v>
      </c>
      <c r="DB22" s="745">
        <f t="shared" si="8"/>
        <v>0</v>
      </c>
      <c r="DC22" s="746">
        <v>0</v>
      </c>
      <c r="DD22" s="745">
        <f>-IncomeStatement!BU52</f>
        <v>0</v>
      </c>
      <c r="DE22" s="745">
        <v>0</v>
      </c>
      <c r="DF22" s="745">
        <v>0</v>
      </c>
      <c r="DG22" s="745">
        <f t="shared" si="12"/>
        <v>0</v>
      </c>
      <c r="DH22" s="746">
        <v>0</v>
      </c>
      <c r="DI22" s="745">
        <f>-IncomeStatement!BZ52</f>
        <v>0</v>
      </c>
      <c r="DJ22" s="745">
        <f>-IncomeStatement!CA52</f>
        <v>0</v>
      </c>
      <c r="DK22" s="745">
        <f>-IncomeStatement!CB52</f>
        <v>0</v>
      </c>
      <c r="DL22" s="745">
        <f>-IncomeStatement!CC52</f>
        <v>0</v>
      </c>
      <c r="DM22" s="746">
        <f t="shared" si="9"/>
        <v>0</v>
      </c>
      <c r="DN22" s="745">
        <f>-IncomeStatement!CE52</f>
        <v>0</v>
      </c>
      <c r="DO22" s="745">
        <f>-IncomeStatement!CF52</f>
        <v>0</v>
      </c>
      <c r="DP22" s="745">
        <f>-IncomeStatement!CG52</f>
        <v>0</v>
      </c>
      <c r="DQ22" s="745">
        <f>-IncomeStatement!CH52</f>
        <v>0</v>
      </c>
      <c r="DR22" s="746">
        <f t="shared" si="10"/>
        <v>0</v>
      </c>
      <c r="DS22" s="745">
        <f>-IncomeStatement!CJ52</f>
        <v>0</v>
      </c>
      <c r="DT22" s="745">
        <f>-IncomeStatement!CK52</f>
        <v>0</v>
      </c>
      <c r="DU22" s="745">
        <f>-IncomeStatement!CL52</f>
        <v>0</v>
      </c>
      <c r="DV22" s="745">
        <f>-IncomeStatement!CM52</f>
        <v>0</v>
      </c>
      <c r="DW22" s="746">
        <f t="shared" si="11"/>
        <v>0</v>
      </c>
    </row>
    <row r="23" spans="1:139" ht="12.75" customHeight="1">
      <c r="A23" s="748" t="s">
        <v>503</v>
      </c>
      <c r="B23" s="301"/>
      <c r="C23" s="308"/>
      <c r="D23" s="309"/>
      <c r="E23" s="309"/>
      <c r="F23" s="309"/>
      <c r="G23" s="310"/>
      <c r="H23" s="309"/>
      <c r="I23" s="309"/>
      <c r="J23" s="309"/>
      <c r="K23" s="309"/>
      <c r="L23" s="310"/>
      <c r="M23" s="309"/>
      <c r="N23" s="309"/>
      <c r="O23" s="309"/>
      <c r="P23" s="309"/>
      <c r="Q23" s="310"/>
      <c r="R23" s="309"/>
      <c r="S23" s="309"/>
      <c r="T23" s="309"/>
      <c r="U23" s="309"/>
      <c r="V23" s="310"/>
      <c r="W23" s="309"/>
      <c r="X23" s="309"/>
      <c r="Y23" s="309"/>
      <c r="Z23" s="309"/>
      <c r="AA23" s="304"/>
      <c r="AB23" s="311"/>
      <c r="AC23" s="311"/>
      <c r="AD23" s="311"/>
      <c r="AE23" s="311"/>
      <c r="AF23" s="306"/>
      <c r="AG23" s="311"/>
      <c r="AH23" s="311"/>
      <c r="AI23" s="311"/>
      <c r="AJ23" s="311"/>
      <c r="AK23" s="306"/>
      <c r="AL23" s="311"/>
      <c r="AM23" s="311"/>
      <c r="AN23" s="311"/>
      <c r="AO23" s="311"/>
      <c r="AP23" s="306"/>
      <c r="AQ23" s="311"/>
      <c r="AR23" s="311"/>
      <c r="AS23" s="311"/>
      <c r="AT23" s="311"/>
      <c r="AU23" s="306"/>
      <c r="AV23" s="312"/>
      <c r="AW23" s="311"/>
      <c r="AX23" s="311"/>
      <c r="AY23" s="311"/>
      <c r="AZ23" s="306"/>
      <c r="BA23" s="312"/>
      <c r="BB23" s="312"/>
      <c r="BC23" s="312"/>
      <c r="BD23" s="312"/>
      <c r="BE23" s="744">
        <v>-1.4E-2</v>
      </c>
      <c r="BF23" s="745">
        <v>6.9939999999999998</v>
      </c>
      <c r="BG23" s="745">
        <f>-28.759-BF23</f>
        <v>-35.753</v>
      </c>
      <c r="BH23" s="745">
        <f>-24.872-BG23-BF23</f>
        <v>3.8870000000000005</v>
      </c>
      <c r="BI23" s="745">
        <f t="shared" si="13"/>
        <v>14.094999999999999</v>
      </c>
      <c r="BJ23" s="744">
        <v>-10.776999999999999</v>
      </c>
      <c r="BK23" s="745">
        <v>-8.4619999999999997</v>
      </c>
      <c r="BL23" s="745">
        <f>-15.315-BK23</f>
        <v>-6.8529999999999998</v>
      </c>
      <c r="BM23" s="745">
        <f>-13.466-BL23-BK23</f>
        <v>1.8490000000000002</v>
      </c>
      <c r="BN23" s="745">
        <f t="shared" si="1"/>
        <v>-91.81</v>
      </c>
      <c r="BO23" s="744">
        <v>-105.276</v>
      </c>
      <c r="BP23" s="745">
        <v>-4.8090000000000002</v>
      </c>
      <c r="BQ23" s="745">
        <f>-0.71-BP23</f>
        <v>4.0990000000000002</v>
      </c>
      <c r="BR23" s="745">
        <f>-0.3-BQ23-BP23</f>
        <v>0.41000000000000014</v>
      </c>
      <c r="BS23" s="745">
        <f t="shared" si="2"/>
        <v>-39.827000000000012</v>
      </c>
      <c r="BT23" s="744">
        <v>-40.127000000000002</v>
      </c>
      <c r="BU23" s="745">
        <v>-8.5459999999999994</v>
      </c>
      <c r="BV23" s="745">
        <f>-4.053-BU23</f>
        <v>4.4929999999999994</v>
      </c>
      <c r="BW23" s="745">
        <f>-16.298-BV23-BU23</f>
        <v>-12.244999999999997</v>
      </c>
      <c r="BX23" s="745">
        <f t="shared" si="0"/>
        <v>-13.481000000000002</v>
      </c>
      <c r="BY23" s="744">
        <v>-29.779</v>
      </c>
      <c r="BZ23" s="745">
        <v>-2.9</v>
      </c>
      <c r="CA23" s="745">
        <f>3.601-BZ23</f>
        <v>6.5009999999999994</v>
      </c>
      <c r="CB23" s="745">
        <f>4.871-CA23-BZ23</f>
        <v>1.2700000000000009</v>
      </c>
      <c r="CC23" s="745">
        <f t="shared" si="3"/>
        <v>-3.2470000000000003</v>
      </c>
      <c r="CD23" s="746">
        <v>1.6240000000000001</v>
      </c>
      <c r="CE23" s="745">
        <v>5.7729999999999997</v>
      </c>
      <c r="CF23" s="745">
        <f>-3.586-CE23</f>
        <v>-9.359</v>
      </c>
      <c r="CG23" s="745">
        <f>-19.809-SUM(CE23:CF23)</f>
        <v>-16.222999999999999</v>
      </c>
      <c r="CH23" s="745">
        <f t="shared" si="4"/>
        <v>-11.789</v>
      </c>
      <c r="CI23" s="746">
        <v>-31.597999999999999</v>
      </c>
      <c r="CJ23" s="745">
        <v>2.593</v>
      </c>
      <c r="CK23" s="745">
        <f>5.736-CJ23</f>
        <v>3.1429999999999998</v>
      </c>
      <c r="CL23" s="745">
        <f>19.292-SUM(CJ23:CK23)</f>
        <v>13.556000000000001</v>
      </c>
      <c r="CM23" s="745">
        <f t="shared" si="5"/>
        <v>-6.4390000000000018</v>
      </c>
      <c r="CN23" s="746">
        <v>12.853</v>
      </c>
      <c r="CO23" s="745">
        <v>32.619999999999997</v>
      </c>
      <c r="CP23" s="745">
        <f>47.855-CO23</f>
        <v>15.234999999999999</v>
      </c>
      <c r="CQ23" s="745">
        <f>59.597-CP23-CO23</f>
        <v>11.742000000000004</v>
      </c>
      <c r="CR23" s="745">
        <f t="shared" si="6"/>
        <v>9.9430000000000049</v>
      </c>
      <c r="CS23" s="746">
        <v>69.540000000000006</v>
      </c>
      <c r="CT23" s="745">
        <v>9.3089999999999993</v>
      </c>
      <c r="CU23" s="745">
        <f>19.73-CT23</f>
        <v>10.421000000000001</v>
      </c>
      <c r="CV23" s="745">
        <f>35.368-CU23-CT23</f>
        <v>15.638000000000003</v>
      </c>
      <c r="CW23" s="745">
        <f t="shared" ref="CW23:CW28" si="14">CX23-SUM(CT23:CV23)</f>
        <v>53.657999999999994</v>
      </c>
      <c r="CX23" s="746">
        <v>89.025999999999996</v>
      </c>
      <c r="CY23" s="1268">
        <v>-8.3650000000000002</v>
      </c>
      <c r="CZ23" s="1268">
        <f>-10.35-CY23</f>
        <v>-1.9849999999999994</v>
      </c>
      <c r="DA23" s="1268">
        <f>-17.024-CZ23-CY23</f>
        <v>-6.6740000000000013</v>
      </c>
      <c r="DB23" s="745">
        <f t="shared" ref="DB23:DB28" si="15">DC23-SUM(CY23:DA23)</f>
        <v>2.8110000000000017</v>
      </c>
      <c r="DC23" s="746">
        <v>-14.212999999999999</v>
      </c>
      <c r="DD23" s="745">
        <v>-0.93799999999999994</v>
      </c>
      <c r="DE23" s="745">
        <f>-2.496-DD23</f>
        <v>-1.5580000000000001</v>
      </c>
      <c r="DF23" s="745">
        <f>0.945-SUM(DD23:DE23)</f>
        <v>3.4409999999999998</v>
      </c>
      <c r="DG23" s="745">
        <f t="shared" ref="DG23:DG28" si="16">DH23-SUM(DD23:DF23)</f>
        <v>-120.27499999999999</v>
      </c>
      <c r="DH23" s="746">
        <v>-119.33</v>
      </c>
      <c r="DI23" s="745">
        <f>('Balance Sheet '!DI42-'Balance Sheet '!DH42)+('Balance Sheet '!DH17-'Balance Sheet '!DI17)</f>
        <v>0</v>
      </c>
      <c r="DJ23" s="745">
        <f>('Balance Sheet '!DJ42-'Balance Sheet '!DI42)+('Balance Sheet '!DI17-'Balance Sheet '!DJ17)</f>
        <v>0</v>
      </c>
      <c r="DK23" s="745">
        <f>('Balance Sheet '!DK42-'Balance Sheet '!DJ42)+('Balance Sheet '!DJ17-'Balance Sheet '!DK17)</f>
        <v>0</v>
      </c>
      <c r="DL23" s="745">
        <f>('Balance Sheet '!DL42-'Balance Sheet '!DK42)+('Balance Sheet '!DK17-'Balance Sheet '!DL17)</f>
        <v>0</v>
      </c>
      <c r="DM23" s="746">
        <f t="shared" si="9"/>
        <v>0</v>
      </c>
      <c r="DN23" s="745">
        <f>('Balance Sheet '!DN42-'Balance Sheet '!DM42)+('Balance Sheet '!DM17-'Balance Sheet '!DN17)</f>
        <v>0</v>
      </c>
      <c r="DO23" s="745">
        <f>('Balance Sheet '!DO42-'Balance Sheet '!DN42)+('Balance Sheet '!DN17-'Balance Sheet '!DO17)</f>
        <v>0</v>
      </c>
      <c r="DP23" s="745">
        <f>('Balance Sheet '!DP42-'Balance Sheet '!DO42)+('Balance Sheet '!DO17-'Balance Sheet '!DP17)</f>
        <v>0</v>
      </c>
      <c r="DQ23" s="745">
        <f>('Balance Sheet '!DQ42-'Balance Sheet '!DP42)+('Balance Sheet '!DP17-'Balance Sheet '!DQ17)</f>
        <v>0</v>
      </c>
      <c r="DR23" s="746">
        <f t="shared" si="10"/>
        <v>0</v>
      </c>
      <c r="DS23" s="745">
        <f>('Balance Sheet '!DS42-'Balance Sheet '!DR42)+('Balance Sheet '!DR17-'Balance Sheet '!DS17)</f>
        <v>0</v>
      </c>
      <c r="DT23" s="745">
        <f>('Balance Sheet '!DT42-'Balance Sheet '!DS42)+('Balance Sheet '!DS17-'Balance Sheet '!DT17)</f>
        <v>0</v>
      </c>
      <c r="DU23" s="745">
        <f>('Balance Sheet '!DU42-'Balance Sheet '!DT42)+('Balance Sheet '!DT17-'Balance Sheet '!DU17)</f>
        <v>0</v>
      </c>
      <c r="DV23" s="745">
        <f>('Balance Sheet '!DV42-'Balance Sheet '!DU42)+('Balance Sheet '!DU17-'Balance Sheet '!DV17)</f>
        <v>0</v>
      </c>
      <c r="DW23" s="746">
        <f t="shared" si="11"/>
        <v>0</v>
      </c>
    </row>
    <row r="24" spans="1:139" ht="12.75" customHeight="1">
      <c r="A24" s="748" t="s">
        <v>588</v>
      </c>
      <c r="B24" s="301"/>
      <c r="C24" s="308"/>
      <c r="D24" s="309"/>
      <c r="E24" s="309"/>
      <c r="F24" s="309"/>
      <c r="G24" s="310"/>
      <c r="H24" s="309"/>
      <c r="I24" s="309"/>
      <c r="J24" s="309"/>
      <c r="K24" s="309"/>
      <c r="L24" s="310"/>
      <c r="M24" s="309"/>
      <c r="N24" s="309"/>
      <c r="O24" s="309"/>
      <c r="P24" s="309"/>
      <c r="Q24" s="310"/>
      <c r="R24" s="309"/>
      <c r="S24" s="309"/>
      <c r="T24" s="309"/>
      <c r="U24" s="309"/>
      <c r="V24" s="310"/>
      <c r="W24" s="309"/>
      <c r="X24" s="309"/>
      <c r="Y24" s="309"/>
      <c r="Z24" s="309"/>
      <c r="AA24" s="304"/>
      <c r="AB24" s="311"/>
      <c r="AC24" s="311"/>
      <c r="AD24" s="311"/>
      <c r="AE24" s="311"/>
      <c r="AF24" s="306"/>
      <c r="AG24" s="311"/>
      <c r="AH24" s="311"/>
      <c r="AI24" s="311"/>
      <c r="AJ24" s="311"/>
      <c r="AK24" s="306"/>
      <c r="AL24" s="311"/>
      <c r="AM24" s="311"/>
      <c r="AN24" s="311"/>
      <c r="AO24" s="311"/>
      <c r="AP24" s="306"/>
      <c r="AQ24" s="311"/>
      <c r="AR24" s="311"/>
      <c r="AS24" s="311"/>
      <c r="AT24" s="311"/>
      <c r="AU24" s="306"/>
      <c r="AV24" s="312"/>
      <c r="AW24" s="311"/>
      <c r="AX24" s="311"/>
      <c r="AY24" s="311"/>
      <c r="AZ24" s="306"/>
      <c r="BA24" s="312"/>
      <c r="BB24" s="312"/>
      <c r="BC24" s="312"/>
      <c r="BD24" s="312"/>
      <c r="BE24" s="744"/>
      <c r="BF24" s="745"/>
      <c r="BG24" s="745"/>
      <c r="BH24" s="745"/>
      <c r="BI24" s="745"/>
      <c r="BJ24" s="744"/>
      <c r="BK24" s="745"/>
      <c r="BL24" s="745"/>
      <c r="BM24" s="745"/>
      <c r="BN24" s="745"/>
      <c r="BO24" s="744"/>
      <c r="BP24" s="745"/>
      <c r="BQ24" s="745"/>
      <c r="BR24" s="745"/>
      <c r="BS24" s="745"/>
      <c r="BT24" s="744"/>
      <c r="BU24" s="745"/>
      <c r="BV24" s="745"/>
      <c r="BW24" s="745"/>
      <c r="BX24" s="745"/>
      <c r="BY24" s="744"/>
      <c r="BZ24" s="745"/>
      <c r="CA24" s="745"/>
      <c r="CB24" s="745"/>
      <c r="CC24" s="745"/>
      <c r="CD24" s="746"/>
      <c r="CE24" s="745"/>
      <c r="CF24" s="745"/>
      <c r="CG24" s="745"/>
      <c r="CH24" s="745"/>
      <c r="CI24" s="746"/>
      <c r="CJ24" s="745"/>
      <c r="CK24" s="745"/>
      <c r="CL24" s="745"/>
      <c r="CM24" s="745"/>
      <c r="CN24" s="746"/>
      <c r="CO24" s="745"/>
      <c r="CP24" s="745"/>
      <c r="CQ24" s="745"/>
      <c r="CR24" s="745"/>
      <c r="CS24" s="746"/>
      <c r="CT24" s="745"/>
      <c r="CU24" s="745"/>
      <c r="CV24" s="745">
        <v>-49.87</v>
      </c>
      <c r="CW24" s="745">
        <f t="shared" si="14"/>
        <v>0.2569999999999979</v>
      </c>
      <c r="CX24" s="1222">
        <v>-49.613</v>
      </c>
      <c r="CY24" s="1268">
        <v>-0.93300000000000005</v>
      </c>
      <c r="CZ24" s="1268">
        <f>-1.774-CY24</f>
        <v>-0.84099999999999997</v>
      </c>
      <c r="DA24" s="1268">
        <f>-2.376-CZ24-CY24</f>
        <v>-0.60199999999999987</v>
      </c>
      <c r="DB24" s="745">
        <f t="shared" si="15"/>
        <v>-0.70599999999999996</v>
      </c>
      <c r="DC24" s="746">
        <v>-3.0819999999999999</v>
      </c>
      <c r="DD24" s="745"/>
      <c r="DE24" s="745"/>
      <c r="DF24" s="745"/>
      <c r="DG24" s="745"/>
      <c r="DH24" s="746">
        <v>0</v>
      </c>
      <c r="DI24" s="745"/>
      <c r="DJ24" s="745"/>
      <c r="DK24" s="745"/>
      <c r="DL24" s="745"/>
      <c r="DM24" s="746">
        <f t="shared" si="9"/>
        <v>0</v>
      </c>
      <c r="DN24" s="745"/>
      <c r="DO24" s="745"/>
      <c r="DP24" s="745"/>
      <c r="DQ24" s="745"/>
      <c r="DR24" s="746">
        <f t="shared" si="10"/>
        <v>0</v>
      </c>
      <c r="DS24" s="745"/>
      <c r="DT24" s="745"/>
      <c r="DU24" s="745"/>
      <c r="DV24" s="745"/>
      <c r="DW24" s="746">
        <f t="shared" si="11"/>
        <v>0</v>
      </c>
    </row>
    <row r="25" spans="1:139" ht="12.75" customHeight="1">
      <c r="A25" s="748" t="s">
        <v>277</v>
      </c>
      <c r="B25" s="301"/>
      <c r="C25" s="308"/>
      <c r="D25" s="309"/>
      <c r="E25" s="309"/>
      <c r="F25" s="309"/>
      <c r="G25" s="310"/>
      <c r="H25" s="309"/>
      <c r="I25" s="309"/>
      <c r="J25" s="309"/>
      <c r="K25" s="309"/>
      <c r="L25" s="310"/>
      <c r="M25" s="309"/>
      <c r="N25" s="309"/>
      <c r="O25" s="309"/>
      <c r="P25" s="309"/>
      <c r="Q25" s="310"/>
      <c r="R25" s="309"/>
      <c r="S25" s="309"/>
      <c r="T25" s="309"/>
      <c r="U25" s="309"/>
      <c r="V25" s="310"/>
      <c r="W25" s="309"/>
      <c r="X25" s="309"/>
      <c r="Y25" s="309"/>
      <c r="Z25" s="309"/>
      <c r="AA25" s="304"/>
      <c r="AB25" s="311"/>
      <c r="AC25" s="311"/>
      <c r="AD25" s="311"/>
      <c r="AE25" s="311"/>
      <c r="AF25" s="306"/>
      <c r="AG25" s="311"/>
      <c r="AH25" s="311"/>
      <c r="AI25" s="311"/>
      <c r="AJ25" s="311"/>
      <c r="AK25" s="306"/>
      <c r="AL25" s="311"/>
      <c r="AM25" s="311"/>
      <c r="AN25" s="311"/>
      <c r="AO25" s="311"/>
      <c r="AP25" s="306"/>
      <c r="AQ25" s="311"/>
      <c r="AR25" s="311"/>
      <c r="AS25" s="311"/>
      <c r="AT25" s="311"/>
      <c r="AU25" s="306"/>
      <c r="AV25" s="312"/>
      <c r="AW25" s="311"/>
      <c r="AX25" s="311"/>
      <c r="AY25" s="311"/>
      <c r="AZ25" s="306"/>
      <c r="BA25" s="312"/>
      <c r="BB25" s="312"/>
      <c r="BC25" s="312"/>
      <c r="BD25" s="312"/>
      <c r="BE25" s="744">
        <v>0</v>
      </c>
      <c r="BF25" s="745">
        <v>0</v>
      </c>
      <c r="BG25" s="745">
        <f>78.914-BF25</f>
        <v>78.914000000000001</v>
      </c>
      <c r="BH25" s="745">
        <f>78.332-BG25-BF25</f>
        <v>-0.58200000000000784</v>
      </c>
      <c r="BI25" s="745">
        <f t="shared" si="13"/>
        <v>-78.331999999999994</v>
      </c>
      <c r="BJ25" s="744">
        <v>0</v>
      </c>
      <c r="BK25" s="745">
        <v>0</v>
      </c>
      <c r="BL25" s="745">
        <f>-4.082-BK25</f>
        <v>-4.0819999999999999</v>
      </c>
      <c r="BM25" s="745">
        <f>-4.353-BL25-BK25</f>
        <v>-0.27099999999999991</v>
      </c>
      <c r="BN25" s="745">
        <f t="shared" si="1"/>
        <v>4.3529999999999998</v>
      </c>
      <c r="BO25" s="744">
        <v>0</v>
      </c>
      <c r="BP25" s="745">
        <v>0</v>
      </c>
      <c r="BQ25" s="745">
        <v>0</v>
      </c>
      <c r="BR25" s="745">
        <v>0</v>
      </c>
      <c r="BS25" s="745">
        <f t="shared" si="2"/>
        <v>0</v>
      </c>
      <c r="BT25" s="744">
        <v>0</v>
      </c>
      <c r="BU25" s="745">
        <v>0</v>
      </c>
      <c r="BV25" s="745">
        <v>0</v>
      </c>
      <c r="BW25" s="745">
        <v>0</v>
      </c>
      <c r="BX25" s="745">
        <f t="shared" si="0"/>
        <v>0</v>
      </c>
      <c r="BY25" s="744">
        <v>0</v>
      </c>
      <c r="BZ25" s="745">
        <v>0</v>
      </c>
      <c r="CA25" s="745">
        <v>0</v>
      </c>
      <c r="CB25" s="745">
        <v>0</v>
      </c>
      <c r="CC25" s="745">
        <f t="shared" si="3"/>
        <v>0</v>
      </c>
      <c r="CD25" s="746">
        <v>0</v>
      </c>
      <c r="CE25" s="745">
        <v>0</v>
      </c>
      <c r="CF25" s="745">
        <f>0-CE25</f>
        <v>0</v>
      </c>
      <c r="CG25" s="745">
        <f>0-SUM(CE25:CF25)</f>
        <v>0</v>
      </c>
      <c r="CH25" s="745">
        <f t="shared" si="4"/>
        <v>0</v>
      </c>
      <c r="CI25" s="746">
        <v>0</v>
      </c>
      <c r="CJ25" s="745">
        <v>0</v>
      </c>
      <c r="CK25" s="745">
        <v>0</v>
      </c>
      <c r="CL25" s="745">
        <v>0</v>
      </c>
      <c r="CM25" s="745">
        <f t="shared" si="5"/>
        <v>0</v>
      </c>
      <c r="CN25" s="746">
        <v>0</v>
      </c>
      <c r="CO25" s="745">
        <v>0</v>
      </c>
      <c r="CP25" s="745">
        <v>0</v>
      </c>
      <c r="CQ25" s="745">
        <v>0</v>
      </c>
      <c r="CR25" s="745">
        <f t="shared" si="6"/>
        <v>0</v>
      </c>
      <c r="CS25" s="746">
        <v>0</v>
      </c>
      <c r="CT25" s="745">
        <v>0</v>
      </c>
      <c r="CU25" s="745">
        <v>0</v>
      </c>
      <c r="CV25" s="745">
        <v>0</v>
      </c>
      <c r="CW25" s="745">
        <f t="shared" si="14"/>
        <v>0</v>
      </c>
      <c r="CX25" s="746">
        <v>0</v>
      </c>
      <c r="CY25" s="1268">
        <v>0</v>
      </c>
      <c r="CZ25" s="1268">
        <f>0-CY25</f>
        <v>0</v>
      </c>
      <c r="DA25" s="1268">
        <v>0</v>
      </c>
      <c r="DB25" s="745">
        <f t="shared" si="15"/>
        <v>0</v>
      </c>
      <c r="DC25" s="746">
        <v>0</v>
      </c>
      <c r="DD25" s="745">
        <v>0</v>
      </c>
      <c r="DE25" s="745">
        <v>0</v>
      </c>
      <c r="DF25" s="745">
        <v>0</v>
      </c>
      <c r="DG25" s="745">
        <f t="shared" si="16"/>
        <v>0</v>
      </c>
      <c r="DH25" s="746">
        <v>0</v>
      </c>
      <c r="DI25" s="745">
        <v>0</v>
      </c>
      <c r="DJ25" s="745">
        <v>0</v>
      </c>
      <c r="DK25" s="745">
        <v>0</v>
      </c>
      <c r="DL25" s="745">
        <v>0</v>
      </c>
      <c r="DM25" s="746">
        <f t="shared" ref="DM25:DM29" si="17">SUM(DI25:DL25)</f>
        <v>0</v>
      </c>
      <c r="DN25" s="745">
        <v>0</v>
      </c>
      <c r="DO25" s="745">
        <v>0</v>
      </c>
      <c r="DP25" s="745">
        <v>0</v>
      </c>
      <c r="DQ25" s="745">
        <v>0</v>
      </c>
      <c r="DR25" s="746">
        <f t="shared" ref="DR25:DR30" si="18">SUM(DN25:DQ25)</f>
        <v>0</v>
      </c>
      <c r="DS25" s="745">
        <v>0</v>
      </c>
      <c r="DT25" s="745">
        <v>0</v>
      </c>
      <c r="DU25" s="745">
        <v>0</v>
      </c>
      <c r="DV25" s="745">
        <v>0</v>
      </c>
      <c r="DW25" s="746">
        <f t="shared" ref="DW25:DW30" si="19">SUM(DS25:DV25)</f>
        <v>0</v>
      </c>
    </row>
    <row r="26" spans="1:139" s="80" customFormat="1">
      <c r="A26" s="748" t="s">
        <v>278</v>
      </c>
      <c r="B26" s="319"/>
      <c r="C26" s="267"/>
      <c r="D26" s="84"/>
      <c r="E26" s="84"/>
      <c r="F26" s="84"/>
      <c r="G26" s="266"/>
      <c r="H26" s="84"/>
      <c r="I26" s="84"/>
      <c r="J26" s="84"/>
      <c r="K26" s="84"/>
      <c r="L26" s="266"/>
      <c r="M26" s="320"/>
      <c r="N26" s="320"/>
      <c r="O26" s="84"/>
      <c r="P26" s="83"/>
      <c r="Q26" s="266"/>
      <c r="R26" s="84"/>
      <c r="S26" s="84"/>
      <c r="T26" s="84"/>
      <c r="U26" s="84"/>
      <c r="V26" s="266"/>
      <c r="W26" s="84"/>
      <c r="X26" s="84"/>
      <c r="Y26" s="84"/>
      <c r="Z26" s="84"/>
      <c r="AA26" s="266"/>
      <c r="AB26" s="84"/>
      <c r="AC26" s="84"/>
      <c r="AD26" s="84"/>
      <c r="AE26" s="84"/>
      <c r="AF26" s="266"/>
      <c r="AG26" s="267"/>
      <c r="AH26" s="84"/>
      <c r="AI26" s="84"/>
      <c r="AJ26" s="84"/>
      <c r="AK26" s="266"/>
      <c r="AL26" s="84"/>
      <c r="AM26" s="84"/>
      <c r="AN26" s="84"/>
      <c r="AO26" s="84"/>
      <c r="AP26" s="266"/>
      <c r="AQ26" s="84"/>
      <c r="AR26" s="84"/>
      <c r="AS26" s="84"/>
      <c r="AT26" s="84"/>
      <c r="AU26" s="266"/>
      <c r="AV26" s="84"/>
      <c r="AW26" s="84"/>
      <c r="AX26" s="84"/>
      <c r="AY26" s="84"/>
      <c r="AZ26" s="266"/>
      <c r="BA26" s="84"/>
      <c r="BB26" s="84"/>
      <c r="BC26" s="84"/>
      <c r="BD26" s="448"/>
      <c r="BE26" s="744">
        <v>-5.4189999999999996</v>
      </c>
      <c r="BF26" s="745">
        <v>-1.089</v>
      </c>
      <c r="BG26" s="745">
        <f>-2.241-BF26</f>
        <v>-1.1520000000000001</v>
      </c>
      <c r="BH26" s="745">
        <f>-3.301-BG26-BF26</f>
        <v>-1.06</v>
      </c>
      <c r="BI26" s="745">
        <f t="shared" si="13"/>
        <v>3.3010000000000002</v>
      </c>
      <c r="BJ26" s="744">
        <v>0</v>
      </c>
      <c r="BK26" s="745">
        <v>-1.1299999999999999</v>
      </c>
      <c r="BL26" s="745">
        <f>-2.29-BK26</f>
        <v>-1.1600000000000001</v>
      </c>
      <c r="BM26" s="745">
        <f>-3.372-BL26-BK26</f>
        <v>-1.0819999999999999</v>
      </c>
      <c r="BN26" s="745">
        <f t="shared" si="1"/>
        <v>3.3719999999999999</v>
      </c>
      <c r="BO26" s="744">
        <v>0</v>
      </c>
      <c r="BP26" s="745">
        <v>0</v>
      </c>
      <c r="BQ26" s="745">
        <v>0</v>
      </c>
      <c r="BR26" s="745">
        <v>0</v>
      </c>
      <c r="BS26" s="745">
        <f t="shared" si="2"/>
        <v>0</v>
      </c>
      <c r="BT26" s="744">
        <v>0</v>
      </c>
      <c r="BU26" s="745">
        <v>0</v>
      </c>
      <c r="BV26" s="745">
        <v>0</v>
      </c>
      <c r="BW26" s="745">
        <v>0</v>
      </c>
      <c r="BX26" s="745">
        <f t="shared" si="0"/>
        <v>0</v>
      </c>
      <c r="BY26" s="744">
        <v>0</v>
      </c>
      <c r="BZ26" s="745">
        <v>0</v>
      </c>
      <c r="CA26" s="745">
        <v>0</v>
      </c>
      <c r="CB26" s="745">
        <v>0</v>
      </c>
      <c r="CC26" s="745">
        <f t="shared" si="3"/>
        <v>0</v>
      </c>
      <c r="CD26" s="746">
        <v>0</v>
      </c>
      <c r="CE26" s="745">
        <v>0</v>
      </c>
      <c r="CF26" s="745">
        <f>0-CE26</f>
        <v>0</v>
      </c>
      <c r="CG26" s="745">
        <f>0-SUM(CE26:CF26)</f>
        <v>0</v>
      </c>
      <c r="CH26" s="745">
        <f t="shared" si="4"/>
        <v>0</v>
      </c>
      <c r="CI26" s="746">
        <v>0</v>
      </c>
      <c r="CJ26" s="745">
        <v>0</v>
      </c>
      <c r="CK26" s="745">
        <v>0</v>
      </c>
      <c r="CL26" s="745">
        <v>0</v>
      </c>
      <c r="CM26" s="745">
        <f t="shared" si="5"/>
        <v>0</v>
      </c>
      <c r="CN26" s="746">
        <v>0</v>
      </c>
      <c r="CO26" s="745">
        <v>0</v>
      </c>
      <c r="CP26" s="745">
        <v>0</v>
      </c>
      <c r="CQ26" s="745">
        <v>0</v>
      </c>
      <c r="CR26" s="745">
        <f t="shared" si="6"/>
        <v>0</v>
      </c>
      <c r="CS26" s="746">
        <v>0</v>
      </c>
      <c r="CT26" s="745">
        <v>0</v>
      </c>
      <c r="CU26" s="745">
        <v>0</v>
      </c>
      <c r="CV26" s="745">
        <v>0</v>
      </c>
      <c r="CW26" s="745">
        <f t="shared" si="14"/>
        <v>0</v>
      </c>
      <c r="CX26" s="746">
        <v>0</v>
      </c>
      <c r="CY26" s="1268">
        <v>0</v>
      </c>
      <c r="CZ26" s="1268">
        <f>0-CY26</f>
        <v>0</v>
      </c>
      <c r="DA26" s="1268">
        <v>0</v>
      </c>
      <c r="DB26" s="745">
        <f t="shared" si="15"/>
        <v>0</v>
      </c>
      <c r="DC26" s="746">
        <v>0</v>
      </c>
      <c r="DD26" s="745">
        <v>0</v>
      </c>
      <c r="DE26" s="745">
        <v>0</v>
      </c>
      <c r="DF26" s="745">
        <v>0</v>
      </c>
      <c r="DG26" s="745">
        <f t="shared" si="16"/>
        <v>0</v>
      </c>
      <c r="DH26" s="746">
        <v>0</v>
      </c>
      <c r="DI26" s="745">
        <v>0</v>
      </c>
      <c r="DJ26" s="745">
        <v>0</v>
      </c>
      <c r="DK26" s="745">
        <v>0</v>
      </c>
      <c r="DL26" s="745">
        <v>0</v>
      </c>
      <c r="DM26" s="746">
        <f t="shared" si="17"/>
        <v>0</v>
      </c>
      <c r="DN26" s="745">
        <v>0</v>
      </c>
      <c r="DO26" s="745">
        <v>0</v>
      </c>
      <c r="DP26" s="745">
        <v>0</v>
      </c>
      <c r="DQ26" s="745">
        <v>0</v>
      </c>
      <c r="DR26" s="746">
        <f t="shared" si="18"/>
        <v>0</v>
      </c>
      <c r="DS26" s="745">
        <v>0</v>
      </c>
      <c r="DT26" s="745">
        <v>0</v>
      </c>
      <c r="DU26" s="745">
        <v>0</v>
      </c>
      <c r="DV26" s="745">
        <v>0</v>
      </c>
      <c r="DW26" s="746">
        <f t="shared" si="19"/>
        <v>0</v>
      </c>
      <c r="ED26"/>
      <c r="EE26"/>
      <c r="EF26"/>
      <c r="EG26"/>
      <c r="EH26"/>
      <c r="EI26"/>
    </row>
    <row r="27" spans="1:139">
      <c r="A27" s="748" t="s">
        <v>279</v>
      </c>
      <c r="B27" s="301"/>
      <c r="C27" s="301"/>
      <c r="D27" s="321"/>
      <c r="E27" s="321"/>
      <c r="F27" s="321"/>
      <c r="G27" s="322"/>
      <c r="H27" s="321"/>
      <c r="I27" s="321"/>
      <c r="J27" s="321"/>
      <c r="K27" s="321"/>
      <c r="L27" s="322"/>
      <c r="M27" s="321"/>
      <c r="N27" s="321"/>
      <c r="O27" s="321"/>
      <c r="P27" s="321"/>
      <c r="Q27" s="322"/>
      <c r="R27" s="321"/>
      <c r="S27" s="321"/>
      <c r="T27" s="321"/>
      <c r="U27" s="321"/>
      <c r="V27" s="322"/>
      <c r="W27" s="323"/>
      <c r="X27" s="324"/>
      <c r="Y27" s="324"/>
      <c r="Z27" s="321"/>
      <c r="AA27" s="322"/>
      <c r="AB27" s="325"/>
      <c r="AC27" s="325"/>
      <c r="AD27" s="325"/>
      <c r="AE27" s="325"/>
      <c r="AF27" s="306"/>
      <c r="AG27" s="325"/>
      <c r="AH27" s="325"/>
      <c r="AI27" s="325"/>
      <c r="AJ27" s="325"/>
      <c r="AK27" s="326"/>
      <c r="AL27" s="325"/>
      <c r="AM27" s="325"/>
      <c r="AN27" s="325"/>
      <c r="AO27" s="325"/>
      <c r="AP27" s="326"/>
      <c r="AQ27" s="325"/>
      <c r="AR27" s="325"/>
      <c r="AS27" s="325"/>
      <c r="AT27" s="325"/>
      <c r="AU27" s="326"/>
      <c r="AV27" s="325"/>
      <c r="AW27" s="325"/>
      <c r="AX27" s="325"/>
      <c r="AY27" s="325"/>
      <c r="AZ27" s="326"/>
      <c r="BA27" s="327"/>
      <c r="BB27" s="325"/>
      <c r="BC27" s="327"/>
      <c r="BD27" s="327"/>
      <c r="BE27" s="744">
        <v>0.129</v>
      </c>
      <c r="BF27" s="745">
        <v>0.14899999999999999</v>
      </c>
      <c r="BG27" s="745">
        <f>0.149-BF27</f>
        <v>0</v>
      </c>
      <c r="BH27" s="745">
        <f>0.149-BG27-BF27</f>
        <v>0</v>
      </c>
      <c r="BI27" s="745">
        <f t="shared" si="13"/>
        <v>-1.1439999999999999</v>
      </c>
      <c r="BJ27" s="744">
        <v>-0.995</v>
      </c>
      <c r="BK27" s="745">
        <v>0</v>
      </c>
      <c r="BL27" s="745">
        <f>0-BK27</f>
        <v>0</v>
      </c>
      <c r="BM27" s="745">
        <f>-1.219-BL27-BK27</f>
        <v>-1.2190000000000001</v>
      </c>
      <c r="BN27" s="745">
        <f t="shared" si="1"/>
        <v>-0.998</v>
      </c>
      <c r="BO27" s="744">
        <v>-2.2170000000000001</v>
      </c>
      <c r="BP27" s="745">
        <v>0</v>
      </c>
      <c r="BQ27" s="745">
        <v>0</v>
      </c>
      <c r="BR27" s="745">
        <f>-0.422-BQ27-BP27</f>
        <v>-0.42199999999999999</v>
      </c>
      <c r="BS27" s="745">
        <f t="shared" si="2"/>
        <v>-1.1240000000000001</v>
      </c>
      <c r="BT27" s="744">
        <f>-1.546</f>
        <v>-1.546</v>
      </c>
      <c r="BU27" s="745">
        <v>0</v>
      </c>
      <c r="BV27" s="745">
        <v>0</v>
      </c>
      <c r="BW27" s="745">
        <v>0</v>
      </c>
      <c r="BX27" s="745">
        <f t="shared" si="0"/>
        <v>0</v>
      </c>
      <c r="BY27" s="744">
        <v>0</v>
      </c>
      <c r="BZ27" s="745">
        <v>0</v>
      </c>
      <c r="CA27" s="745">
        <v>0</v>
      </c>
      <c r="CB27" s="745">
        <v>0</v>
      </c>
      <c r="CC27" s="745">
        <f t="shared" si="3"/>
        <v>0</v>
      </c>
      <c r="CD27" s="746">
        <v>0</v>
      </c>
      <c r="CE27" s="745">
        <v>0</v>
      </c>
      <c r="CF27" s="745">
        <f>0-CE27</f>
        <v>0</v>
      </c>
      <c r="CG27" s="745">
        <f>0-SUM(CE27:CF27)</f>
        <v>0</v>
      </c>
      <c r="CH27" s="745">
        <f t="shared" si="4"/>
        <v>0</v>
      </c>
      <c r="CI27" s="746">
        <v>0</v>
      </c>
      <c r="CJ27" s="745">
        <v>0</v>
      </c>
      <c r="CK27" s="745">
        <v>0</v>
      </c>
      <c r="CL27" s="745">
        <v>0</v>
      </c>
      <c r="CM27" s="745">
        <f t="shared" si="5"/>
        <v>0</v>
      </c>
      <c r="CN27" s="746">
        <v>0</v>
      </c>
      <c r="CO27" s="745">
        <v>0</v>
      </c>
      <c r="CP27" s="745">
        <v>0</v>
      </c>
      <c r="CQ27" s="745">
        <v>0</v>
      </c>
      <c r="CR27" s="745">
        <f t="shared" si="6"/>
        <v>0</v>
      </c>
      <c r="CS27" s="746">
        <v>0</v>
      </c>
      <c r="CT27" s="745">
        <v>0</v>
      </c>
      <c r="CU27" s="745">
        <v>0</v>
      </c>
      <c r="CV27" s="745">
        <v>0</v>
      </c>
      <c r="CW27" s="745">
        <f t="shared" si="14"/>
        <v>0</v>
      </c>
      <c r="CX27" s="746">
        <v>0</v>
      </c>
      <c r="CY27" s="1268">
        <v>0</v>
      </c>
      <c r="CZ27" s="1268">
        <f>0-CY27</f>
        <v>0</v>
      </c>
      <c r="DA27" s="1268">
        <v>0</v>
      </c>
      <c r="DB27" s="745">
        <f t="shared" si="15"/>
        <v>0</v>
      </c>
      <c r="DC27" s="746">
        <v>0</v>
      </c>
      <c r="DD27" s="745">
        <v>0</v>
      </c>
      <c r="DE27" s="745">
        <v>0</v>
      </c>
      <c r="DF27" s="745">
        <v>0</v>
      </c>
      <c r="DG27" s="745">
        <f t="shared" si="16"/>
        <v>0</v>
      </c>
      <c r="DH27" s="746">
        <v>0</v>
      </c>
      <c r="DI27" s="745">
        <v>0</v>
      </c>
      <c r="DJ27" s="745">
        <v>0</v>
      </c>
      <c r="DK27" s="745">
        <v>0</v>
      </c>
      <c r="DL27" s="745">
        <v>0</v>
      </c>
      <c r="DM27" s="746">
        <f t="shared" si="17"/>
        <v>0</v>
      </c>
      <c r="DN27" s="745">
        <v>0</v>
      </c>
      <c r="DO27" s="745">
        <v>0</v>
      </c>
      <c r="DP27" s="745">
        <v>0</v>
      </c>
      <c r="DQ27" s="745">
        <v>0</v>
      </c>
      <c r="DR27" s="746">
        <f t="shared" si="18"/>
        <v>0</v>
      </c>
      <c r="DS27" s="745">
        <v>0</v>
      </c>
      <c r="DT27" s="745">
        <v>0</v>
      </c>
      <c r="DU27" s="745">
        <v>0</v>
      </c>
      <c r="DV27" s="745">
        <v>0</v>
      </c>
      <c r="DW27" s="746">
        <f t="shared" si="19"/>
        <v>0</v>
      </c>
    </row>
    <row r="28" spans="1:139">
      <c r="A28" s="748" t="s">
        <v>280</v>
      </c>
      <c r="B28" s="328"/>
      <c r="C28" s="301"/>
      <c r="D28" s="321"/>
      <c r="E28" s="321"/>
      <c r="F28" s="321"/>
      <c r="G28" s="322"/>
      <c r="H28" s="321"/>
      <c r="I28" s="321"/>
      <c r="J28" s="321"/>
      <c r="K28" s="321"/>
      <c r="L28" s="322"/>
      <c r="M28" s="321"/>
      <c r="N28" s="321"/>
      <c r="O28" s="321"/>
      <c r="P28" s="321"/>
      <c r="Q28" s="322"/>
      <c r="R28" s="321"/>
      <c r="S28" s="321"/>
      <c r="T28" s="321"/>
      <c r="U28" s="321"/>
      <c r="V28" s="322"/>
      <c r="W28" s="321"/>
      <c r="X28" s="324"/>
      <c r="Y28" s="324"/>
      <c r="Z28" s="321"/>
      <c r="AA28" s="322"/>
      <c r="AB28" s="325"/>
      <c r="AC28" s="325"/>
      <c r="AD28" s="325"/>
      <c r="AE28" s="325"/>
      <c r="AF28" s="326"/>
      <c r="AG28" s="325"/>
      <c r="AH28" s="325"/>
      <c r="AI28" s="325"/>
      <c r="AJ28" s="325"/>
      <c r="AK28" s="326"/>
      <c r="AL28" s="325"/>
      <c r="AM28" s="325"/>
      <c r="AN28" s="325"/>
      <c r="AO28" s="325"/>
      <c r="AP28" s="326"/>
      <c r="AQ28" s="325"/>
      <c r="AR28" s="325"/>
      <c r="AS28" s="325"/>
      <c r="AT28" s="325"/>
      <c r="AU28" s="326"/>
      <c r="AV28" s="325"/>
      <c r="AW28" s="325"/>
      <c r="AX28" s="325"/>
      <c r="AY28" s="325"/>
      <c r="AZ28" s="326"/>
      <c r="BA28" s="327"/>
      <c r="BB28" s="325"/>
      <c r="BC28" s="327"/>
      <c r="BD28" s="307"/>
      <c r="BE28" s="744">
        <v>-56.576000000000001</v>
      </c>
      <c r="BF28" s="745">
        <v>-2.7210000000000001</v>
      </c>
      <c r="BG28" s="745">
        <f>-4.752-BF28</f>
        <v>-2.0309999999999997</v>
      </c>
      <c r="BH28" s="745">
        <f>-4.793-BG28-BF28</f>
        <v>-4.1000000000000369E-2</v>
      </c>
      <c r="BI28" s="745">
        <f t="shared" si="13"/>
        <v>-1.9999999999997797E-3</v>
      </c>
      <c r="BJ28" s="744">
        <v>-4.7949999999999999</v>
      </c>
      <c r="BK28" s="745">
        <v>-2.5999999999999999E-2</v>
      </c>
      <c r="BL28" s="745">
        <f>-0.177-BK28</f>
        <v>-0.151</v>
      </c>
      <c r="BM28" s="745">
        <f>-0.177-BL28-BK28</f>
        <v>0</v>
      </c>
      <c r="BN28" s="745">
        <f t="shared" si="1"/>
        <v>-2.8120000000000003</v>
      </c>
      <c r="BO28" s="744">
        <v>-2.9889999999999999</v>
      </c>
      <c r="BP28" s="745">
        <v>0</v>
      </c>
      <c r="BQ28" s="745">
        <v>0</v>
      </c>
      <c r="BR28" s="745">
        <v>0</v>
      </c>
      <c r="BS28" s="745">
        <f t="shared" si="2"/>
        <v>0</v>
      </c>
      <c r="BT28" s="744">
        <v>0</v>
      </c>
      <c r="BU28" s="745">
        <v>0</v>
      </c>
      <c r="BV28" s="745">
        <v>0</v>
      </c>
      <c r="BW28" s="745">
        <v>0</v>
      </c>
      <c r="BX28" s="745">
        <f t="shared" si="0"/>
        <v>0</v>
      </c>
      <c r="BY28" s="744">
        <v>0</v>
      </c>
      <c r="BZ28" s="745">
        <v>0</v>
      </c>
      <c r="CA28" s="745">
        <v>0</v>
      </c>
      <c r="CB28" s="745">
        <v>0</v>
      </c>
      <c r="CC28" s="745">
        <f t="shared" si="3"/>
        <v>0</v>
      </c>
      <c r="CD28" s="746">
        <v>0</v>
      </c>
      <c r="CE28" s="745">
        <v>0</v>
      </c>
      <c r="CF28" s="745">
        <f>0-CE28</f>
        <v>0</v>
      </c>
      <c r="CG28" s="745">
        <f>0-SUM(CE28:CF28)</f>
        <v>0</v>
      </c>
      <c r="CH28" s="745">
        <f t="shared" si="4"/>
        <v>0</v>
      </c>
      <c r="CI28" s="746">
        <v>0</v>
      </c>
      <c r="CJ28" s="745">
        <v>0</v>
      </c>
      <c r="CK28" s="745">
        <v>0</v>
      </c>
      <c r="CL28" s="745">
        <v>0</v>
      </c>
      <c r="CM28" s="745">
        <f t="shared" si="5"/>
        <v>0</v>
      </c>
      <c r="CN28" s="746">
        <v>0</v>
      </c>
      <c r="CO28" s="745">
        <v>0</v>
      </c>
      <c r="CP28" s="745">
        <v>0</v>
      </c>
      <c r="CQ28" s="745">
        <v>0</v>
      </c>
      <c r="CR28" s="745">
        <f t="shared" si="6"/>
        <v>0</v>
      </c>
      <c r="CS28" s="746">
        <v>0</v>
      </c>
      <c r="CT28" s="745">
        <v>0</v>
      </c>
      <c r="CU28" s="745">
        <v>0</v>
      </c>
      <c r="CV28" s="745">
        <v>0</v>
      </c>
      <c r="CW28" s="745">
        <f t="shared" si="14"/>
        <v>0</v>
      </c>
      <c r="CX28" s="746">
        <v>0</v>
      </c>
      <c r="CY28" s="1268">
        <v>0</v>
      </c>
      <c r="CZ28" s="1268">
        <f>0-CY28</f>
        <v>0</v>
      </c>
      <c r="DA28" s="1268">
        <v>0</v>
      </c>
      <c r="DB28" s="745">
        <f t="shared" si="15"/>
        <v>0</v>
      </c>
      <c r="DC28" s="746">
        <v>0</v>
      </c>
      <c r="DD28" s="745">
        <v>0</v>
      </c>
      <c r="DE28" s="745">
        <v>0</v>
      </c>
      <c r="DF28" s="745">
        <v>0</v>
      </c>
      <c r="DG28" s="745">
        <f t="shared" si="16"/>
        <v>0</v>
      </c>
      <c r="DH28" s="746">
        <v>0</v>
      </c>
      <c r="DI28" s="745">
        <v>0</v>
      </c>
      <c r="DJ28" s="745">
        <v>0</v>
      </c>
      <c r="DK28" s="745">
        <v>0</v>
      </c>
      <c r="DL28" s="745">
        <v>0</v>
      </c>
      <c r="DM28" s="746">
        <f t="shared" si="17"/>
        <v>0</v>
      </c>
      <c r="DN28" s="745">
        <v>0</v>
      </c>
      <c r="DO28" s="745">
        <v>0</v>
      </c>
      <c r="DP28" s="745">
        <v>0</v>
      </c>
      <c r="DQ28" s="745">
        <v>0</v>
      </c>
      <c r="DR28" s="746">
        <f t="shared" si="18"/>
        <v>0</v>
      </c>
      <c r="DS28" s="745">
        <v>0</v>
      </c>
      <c r="DT28" s="745">
        <v>0</v>
      </c>
      <c r="DU28" s="745">
        <v>0</v>
      </c>
      <c r="DV28" s="745">
        <v>0</v>
      </c>
      <c r="DW28" s="746">
        <f t="shared" si="19"/>
        <v>0</v>
      </c>
    </row>
    <row r="29" spans="1:139">
      <c r="A29" s="748" t="s">
        <v>104</v>
      </c>
      <c r="B29" s="301"/>
      <c r="C29" s="87"/>
      <c r="D29" s="88"/>
      <c r="E29" s="88"/>
      <c r="F29" s="88"/>
      <c r="G29" s="121"/>
      <c r="H29" s="88"/>
      <c r="I29" s="88"/>
      <c r="J29" s="88"/>
      <c r="K29" s="88"/>
      <c r="L29" s="121"/>
      <c r="M29" s="88"/>
      <c r="N29" s="92"/>
      <c r="O29" s="92"/>
      <c r="P29" s="92"/>
      <c r="Q29" s="121"/>
      <c r="R29" s="88"/>
      <c r="S29" s="88"/>
      <c r="T29" s="88"/>
      <c r="U29" s="88"/>
      <c r="V29" s="121"/>
      <c r="W29" s="88"/>
      <c r="X29" s="88"/>
      <c r="Y29" s="88"/>
      <c r="Z29" s="88"/>
      <c r="AA29" s="121"/>
      <c r="AB29" s="88"/>
      <c r="AC29" s="88"/>
      <c r="AD29" s="88"/>
      <c r="AE29" s="88"/>
      <c r="AF29" s="121"/>
      <c r="AG29" s="88"/>
      <c r="AH29" s="88"/>
      <c r="AI29" s="88"/>
      <c r="AJ29" s="88"/>
      <c r="AK29" s="121"/>
      <c r="AL29" s="88"/>
      <c r="AM29" s="88"/>
      <c r="AN29" s="88"/>
      <c r="AO29" s="88"/>
      <c r="AP29" s="121"/>
      <c r="AQ29" s="88"/>
      <c r="AR29" s="88"/>
      <c r="AS29" s="88"/>
      <c r="AT29" s="88"/>
      <c r="AU29" s="121"/>
      <c r="AV29" s="88"/>
      <c r="AW29" s="88"/>
      <c r="AX29" s="88"/>
      <c r="AY29" s="88"/>
      <c r="AZ29" s="121"/>
      <c r="BA29" s="88"/>
      <c r="BB29" s="88"/>
      <c r="BC29" s="88"/>
      <c r="BD29" s="88"/>
      <c r="BE29" s="744"/>
      <c r="BF29" s="745"/>
      <c r="BG29" s="745"/>
      <c r="BH29" s="745"/>
      <c r="BI29" s="745"/>
      <c r="BJ29" s="744">
        <v>-40.192999999999998</v>
      </c>
      <c r="BK29" s="745"/>
      <c r="BL29" s="745"/>
      <c r="BM29" s="745"/>
      <c r="BN29" s="745"/>
      <c r="BO29" s="744"/>
      <c r="BP29" s="745">
        <v>0</v>
      </c>
      <c r="BQ29" s="745">
        <v>0</v>
      </c>
      <c r="BR29" s="745">
        <v>0</v>
      </c>
      <c r="BS29" s="745">
        <f t="shared" si="2"/>
        <v>0</v>
      </c>
      <c r="BT29" s="744">
        <v>0</v>
      </c>
      <c r="BU29" s="745">
        <v>0</v>
      </c>
      <c r="BV29" s="745">
        <v>0</v>
      </c>
      <c r="BW29" s="745">
        <v>0</v>
      </c>
      <c r="BX29" s="745">
        <f t="shared" si="0"/>
        <v>0</v>
      </c>
      <c r="BY29" s="744">
        <v>0</v>
      </c>
      <c r="BZ29" s="745">
        <v>0</v>
      </c>
      <c r="CA29" s="745">
        <v>0</v>
      </c>
      <c r="CB29" s="745">
        <v>0</v>
      </c>
      <c r="CC29" s="745">
        <f t="shared" si="3"/>
        <v>0</v>
      </c>
      <c r="CD29" s="746">
        <v>0</v>
      </c>
      <c r="CE29" s="745">
        <v>-27.407</v>
      </c>
      <c r="CF29" s="745">
        <f>-27.407-CE29</f>
        <v>0</v>
      </c>
      <c r="CG29" s="745">
        <f>-27.407-SUM(CE29:CF29)</f>
        <v>0</v>
      </c>
      <c r="CH29" s="745">
        <f t="shared" si="4"/>
        <v>-0.36199999999999832</v>
      </c>
      <c r="CI29" s="746">
        <v>-27.768999999999998</v>
      </c>
      <c r="CJ29" s="745">
        <v>0</v>
      </c>
      <c r="CK29" s="745">
        <v>-1.276</v>
      </c>
      <c r="CL29" s="745">
        <f>0.799-7.712-SUM(CJ29:CK29)</f>
        <v>-5.6369999999999996</v>
      </c>
      <c r="CM29" s="745">
        <f t="shared" si="5"/>
        <v>7.7119999999999997</v>
      </c>
      <c r="CN29" s="746">
        <v>0.79900000000000004</v>
      </c>
      <c r="CO29" s="745">
        <f>-12.051-60.941</f>
        <v>-72.992000000000004</v>
      </c>
      <c r="CP29" s="745">
        <f>-74.432-CO29</f>
        <v>-1.4399999999999977</v>
      </c>
      <c r="CQ29" s="745">
        <f>-74.092-CP29-CO29</f>
        <v>0.34000000000000341</v>
      </c>
      <c r="CR29" s="745">
        <f t="shared" si="6"/>
        <v>-18.461999999999989</v>
      </c>
      <c r="CS29" s="746">
        <f>-91.579-0.975</f>
        <v>-92.553999999999988</v>
      </c>
      <c r="CT29" s="745">
        <v>0.81299999999999994</v>
      </c>
      <c r="CU29" s="745">
        <f>-14.881-27.338-CT29</f>
        <v>-43.032000000000004</v>
      </c>
      <c r="CV29" s="745">
        <f>-27.526-14.783-CU29-CT29</f>
        <v>-8.9999999999993863E-2</v>
      </c>
      <c r="CW29" s="745">
        <f>CX29-SUM(CT29:CV29)</f>
        <v>-57.595999999999989</v>
      </c>
      <c r="CX29" s="746">
        <f>-99.57-0.335</f>
        <v>-99.904999999999987</v>
      </c>
      <c r="CY29" s="1268">
        <f>-8.426</f>
        <v>-8.4260000000000002</v>
      </c>
      <c r="CZ29" s="1268">
        <f>-10.35-CY29</f>
        <v>-1.9239999999999995</v>
      </c>
      <c r="DA29" s="1268">
        <f>-48.106-CZ29-CY29</f>
        <v>-37.756</v>
      </c>
      <c r="DB29" s="745">
        <f>DC29-SUM(CY29:DA29)</f>
        <v>-24.321999999999996</v>
      </c>
      <c r="DC29" s="746">
        <f>-71.931-0.497</f>
        <v>-72.427999999999997</v>
      </c>
      <c r="DD29" s="745">
        <v>-1.407</v>
      </c>
      <c r="DE29" s="745">
        <f>39.643-DD29-2.553</f>
        <v>38.497</v>
      </c>
      <c r="DF29" s="745">
        <f>39.749+-1.807-SUM(DD29:DE29)</f>
        <v>0.85199999999999676</v>
      </c>
      <c r="DG29" s="745">
        <f>DH29-SUM(DD29:DF29)</f>
        <v>-1.4359999999999999</v>
      </c>
      <c r="DH29" s="746">
        <f>39.076+-2.57</f>
        <v>36.506</v>
      </c>
      <c r="DI29" s="745">
        <v>0</v>
      </c>
      <c r="DJ29" s="745">
        <v>0</v>
      </c>
      <c r="DK29" s="745">
        <v>0</v>
      </c>
      <c r="DL29" s="745">
        <v>0</v>
      </c>
      <c r="DM29" s="746">
        <f t="shared" si="17"/>
        <v>0</v>
      </c>
      <c r="DN29" s="745">
        <v>0</v>
      </c>
      <c r="DO29" s="745">
        <v>0</v>
      </c>
      <c r="DP29" s="745">
        <v>0</v>
      </c>
      <c r="DQ29" s="745">
        <v>0</v>
      </c>
      <c r="DR29" s="746">
        <f t="shared" si="18"/>
        <v>0</v>
      </c>
      <c r="DS29" s="745">
        <v>0</v>
      </c>
      <c r="DT29" s="745">
        <v>0</v>
      </c>
      <c r="DU29" s="745">
        <v>0</v>
      </c>
      <c r="DV29" s="745">
        <v>0</v>
      </c>
      <c r="DW29" s="746">
        <f t="shared" si="19"/>
        <v>0</v>
      </c>
    </row>
    <row r="30" spans="1:139">
      <c r="A30" s="748" t="s">
        <v>297</v>
      </c>
      <c r="B30" s="301"/>
      <c r="C30" s="87"/>
      <c r="D30" s="88"/>
      <c r="E30" s="88"/>
      <c r="F30" s="88"/>
      <c r="G30" s="121"/>
      <c r="H30" s="88"/>
      <c r="I30" s="88"/>
      <c r="J30" s="88"/>
      <c r="K30" s="88"/>
      <c r="L30" s="121"/>
      <c r="M30" s="88"/>
      <c r="N30" s="92"/>
      <c r="O30" s="92"/>
      <c r="P30" s="92"/>
      <c r="Q30" s="121"/>
      <c r="R30" s="88"/>
      <c r="S30" s="88"/>
      <c r="T30" s="88"/>
      <c r="U30" s="88"/>
      <c r="V30" s="121"/>
      <c r="W30" s="88"/>
      <c r="X30" s="88"/>
      <c r="Y30" s="88"/>
      <c r="Z30" s="88"/>
      <c r="AA30" s="121"/>
      <c r="AB30" s="88"/>
      <c r="AC30" s="88"/>
      <c r="AD30" s="88"/>
      <c r="AE30" s="88"/>
      <c r="AF30" s="121"/>
      <c r="AG30" s="88"/>
      <c r="AH30" s="88"/>
      <c r="AI30" s="88"/>
      <c r="AJ30" s="88"/>
      <c r="AK30" s="121"/>
      <c r="AL30" s="88"/>
      <c r="AM30" s="88"/>
      <c r="AN30" s="88"/>
      <c r="AO30" s="88"/>
      <c r="AP30" s="121"/>
      <c r="AQ30" s="88"/>
      <c r="AR30" s="88"/>
      <c r="AS30" s="88"/>
      <c r="AT30" s="88"/>
      <c r="AU30" s="121"/>
      <c r="AV30" s="88"/>
      <c r="AW30" s="88"/>
      <c r="AX30" s="88"/>
      <c r="AY30" s="88"/>
      <c r="AZ30" s="121"/>
      <c r="BA30" s="88"/>
      <c r="BB30" s="88"/>
      <c r="BC30" s="88"/>
      <c r="BD30" s="88"/>
      <c r="BE30" s="744">
        <f>-2.543-2.406+1.72+4.023+13.351-3.981</f>
        <v>10.164</v>
      </c>
      <c r="BF30" s="745">
        <f>0.595+1.179</f>
        <v>1.774</v>
      </c>
      <c r="BG30" s="745">
        <f>-0.842-BF30+2.516</f>
        <v>-0.10000000000000009</v>
      </c>
      <c r="BH30" s="745">
        <f>-0.053-BG30-BF30</f>
        <v>-1.7269999999999999</v>
      </c>
      <c r="BI30" s="745">
        <f t="shared" ref="BI30:BI36" si="20">BJ30-BH30-BG30-BF30</f>
        <v>3.0230000000000006</v>
      </c>
      <c r="BJ30" s="744">
        <v>2.97</v>
      </c>
      <c r="BK30" s="745">
        <f>-1.77</f>
        <v>-1.77</v>
      </c>
      <c r="BL30" s="745">
        <f>-0.484-BK30</f>
        <v>1.286</v>
      </c>
      <c r="BM30" s="745">
        <f>1.328-BL30-BK30</f>
        <v>1.8120000000000001</v>
      </c>
      <c r="BN30" s="745">
        <f>BO30-BM30-BL30-BK30</f>
        <v>1.4469999999999998</v>
      </c>
      <c r="BO30" s="744">
        <v>2.7749999999999999</v>
      </c>
      <c r="BP30" s="745">
        <v>8.8190000000000008</v>
      </c>
      <c r="BQ30" s="745">
        <f>7.106-0.708-BP30</f>
        <v>-2.4210000000000012</v>
      </c>
      <c r="BR30" s="745">
        <f>1.756+7.106-BQ30-BP30</f>
        <v>2.4640000000000004</v>
      </c>
      <c r="BS30" s="745">
        <f t="shared" si="2"/>
        <v>19.972999999999999</v>
      </c>
      <c r="BT30" s="744">
        <f>-4.317+8.169+10.4+14.583</f>
        <v>28.835000000000001</v>
      </c>
      <c r="BU30" s="745">
        <f>1.361+2.6+2.715+2.968</f>
        <v>9.6440000000000001</v>
      </c>
      <c r="BV30" s="745">
        <f>0.036+3.576+5.793+11.015-BU30</f>
        <v>10.776000000000002</v>
      </c>
      <c r="BW30" s="745">
        <f>-2.171-BV30-BU30+9.718+7.586+13.013</f>
        <v>7.7259999999999991</v>
      </c>
      <c r="BX30" s="745">
        <f t="shared" si="0"/>
        <v>9.1139999999999954</v>
      </c>
      <c r="BY30" s="744">
        <f>-1.43+9.694+13.98+15.016</f>
        <v>37.26</v>
      </c>
      <c r="BZ30" s="745">
        <f>3.113+2.13+0.903+0.273</f>
        <v>6.4190000000000005</v>
      </c>
      <c r="CA30" s="745">
        <f>-1.498+1.568-BZ30+6.501+4.163</f>
        <v>4.3150000000000004</v>
      </c>
      <c r="CB30" s="745">
        <f>8.849+6.137+2.004+0.128+10.784-CA30-BZ30</f>
        <v>17.167999999999999</v>
      </c>
      <c r="CC30" s="745">
        <f t="shared" si="3"/>
        <v>6.9579999999999913</v>
      </c>
      <c r="CD30" s="746">
        <f>14.942+8.799+8.12+2.434+0.565</f>
        <v>34.859999999999992</v>
      </c>
      <c r="CE30" s="745">
        <f>3.253+2.01+1.404</f>
        <v>6.6669999999999998</v>
      </c>
      <c r="CF30" s="745">
        <f>1.747+25.195+4.148+6.694-CE30</f>
        <v>31.116999999999997</v>
      </c>
      <c r="CG30" s="745">
        <f>75.076+10.76+6.06+0.254+5.882-SUM(CE30:CF30)</f>
        <v>60.248000000000012</v>
      </c>
      <c r="CH30" s="745">
        <f t="shared" si="4"/>
        <v>3.825999999999981</v>
      </c>
      <c r="CI30" s="746">
        <f>75.076+3.093+0.442+7.973+15.274</f>
        <v>101.85799999999999</v>
      </c>
      <c r="CJ30" s="745">
        <f>2.701+1.929-7.784</f>
        <v>-3.1539999999999999</v>
      </c>
      <c r="CK30" s="745">
        <f>21.019+6.026+5.938+3.747-4.396-CJ30</f>
        <v>35.488</v>
      </c>
      <c r="CL30" s="745">
        <f>21.019+18.359+5.281-0.795+10.148-SUM(CJ30:CK30)</f>
        <v>21.677999999999997</v>
      </c>
      <c r="CM30" s="745">
        <f t="shared" si="5"/>
        <v>-64.013000000000005</v>
      </c>
      <c r="CN30" s="746">
        <f>-49.714-8.908+28.563+14.116+5.942</f>
        <v>-10.001000000000001</v>
      </c>
      <c r="CO30" s="745">
        <f>2.197-18.144+3.164+0.296+0.566-6.571</f>
        <v>-18.491999999999997</v>
      </c>
      <c r="CP30" s="745">
        <f>6.443+0.592+1.193-7.831-17.667-CO30</f>
        <v>1.2219999999999942</v>
      </c>
      <c r="CQ30" s="745">
        <f>-11.979-0.69+10.028+2.708-5.553-CP30-CO30</f>
        <v>11.784000000000006</v>
      </c>
      <c r="CR30" s="745">
        <f t="shared" si="6"/>
        <v>-0.48000000000000131</v>
      </c>
      <c r="CS30" s="746">
        <f>-9.363+13.896+1.187-11.686</f>
        <v>-5.9659999999999984</v>
      </c>
      <c r="CT30" s="745">
        <f>-26.978+2.378+0.615-2.804+0.3</f>
        <v>-26.489000000000001</v>
      </c>
      <c r="CU30" s="745">
        <f>-46.374+5.825-7.337+7.295+0.6+1.589+1.06-CT30</f>
        <v>-10.852999999999991</v>
      </c>
      <c r="CV30" s="745">
        <f>9.198+0.307+4.972-CU30-CT30</f>
        <v>51.818999999999988</v>
      </c>
      <c r="CW30" s="745">
        <f>CX30-SUM(CT30:CV30)</f>
        <v>-3.694999999999995</v>
      </c>
      <c r="CX30" s="1222">
        <f>12.451-4.318+1.204+7.295-7.337+1.487</f>
        <v>10.782000000000002</v>
      </c>
      <c r="CY30" s="745">
        <f>-1.962+2.689+0.304+1.869+2.804+0.723</f>
        <v>6.4270000000000005</v>
      </c>
      <c r="CZ30" s="745">
        <f>5.786+0.608+3.769+1.447+1.731-CY30</f>
        <v>6.9139999999999988</v>
      </c>
      <c r="DA30" s="745">
        <f>-CZ30-CY30+8.451+4.229+8.752</f>
        <v>8.0910000000000011</v>
      </c>
      <c r="DB30" s="745">
        <f>DC30-SUM(CY30:DA30)</f>
        <v>5.9329999999999963</v>
      </c>
      <c r="DC30" s="746">
        <f>11.426+11.767+4.172</f>
        <v>27.364999999999998</v>
      </c>
      <c r="DD30" s="745">
        <f>2.439+0.308+2+0.723+1.59</f>
        <v>7.06</v>
      </c>
      <c r="DE30" s="745">
        <f>5.524+0.617+1.447+3.974+3.552-DD30</f>
        <v>8.054000000000002</v>
      </c>
      <c r="DF30" s="745">
        <f>5.524+0.927+2.17+2.395-SUM(DD30:DE30)</f>
        <v>-4.0980000000000008</v>
      </c>
      <c r="DG30" s="745">
        <f>DH30-SUM(DD30:DF30)</f>
        <v>6.5340000000000007</v>
      </c>
      <c r="DH30" s="746">
        <f>11.713+1.237+2.894+1.706</f>
        <v>17.55</v>
      </c>
      <c r="DI30" s="745">
        <v>0</v>
      </c>
      <c r="DJ30" s="745">
        <v>0</v>
      </c>
      <c r="DK30" s="745">
        <v>0</v>
      </c>
      <c r="DL30" s="745">
        <v>0</v>
      </c>
      <c r="DM30" s="746">
        <f t="shared" ref="DM30" si="21">SUM(DI30:DL30)</f>
        <v>0</v>
      </c>
      <c r="DN30" s="745">
        <v>0</v>
      </c>
      <c r="DO30" s="745">
        <v>0</v>
      </c>
      <c r="DP30" s="745">
        <v>0</v>
      </c>
      <c r="DQ30" s="745">
        <v>0</v>
      </c>
      <c r="DR30" s="746">
        <f t="shared" si="18"/>
        <v>0</v>
      </c>
      <c r="DS30" s="745">
        <v>0</v>
      </c>
      <c r="DT30" s="745">
        <v>0</v>
      </c>
      <c r="DU30" s="745">
        <v>0</v>
      </c>
      <c r="DV30" s="745">
        <v>0</v>
      </c>
      <c r="DW30" s="746">
        <f t="shared" si="19"/>
        <v>0</v>
      </c>
    </row>
    <row r="31" spans="1:139" s="49" customFormat="1">
      <c r="A31" s="749" t="s">
        <v>430</v>
      </c>
      <c r="B31" s="328"/>
      <c r="C31" s="109"/>
      <c r="D31" s="110"/>
      <c r="E31" s="110"/>
      <c r="F31" s="110"/>
      <c r="G31" s="236"/>
      <c r="H31" s="110"/>
      <c r="I31" s="110"/>
      <c r="J31" s="110"/>
      <c r="K31" s="110"/>
      <c r="L31" s="236"/>
      <c r="M31" s="110"/>
      <c r="N31" s="114"/>
      <c r="O31" s="114"/>
      <c r="P31" s="114"/>
      <c r="Q31" s="236"/>
      <c r="R31" s="110"/>
      <c r="S31" s="110"/>
      <c r="T31" s="110"/>
      <c r="U31" s="110"/>
      <c r="V31" s="236"/>
      <c r="W31" s="110"/>
      <c r="X31" s="110"/>
      <c r="Y31" s="110"/>
      <c r="Z31" s="110"/>
      <c r="AA31" s="236"/>
      <c r="AB31" s="110"/>
      <c r="AC31" s="110"/>
      <c r="AD31" s="110"/>
      <c r="AE31" s="110"/>
      <c r="AF31" s="236"/>
      <c r="AG31" s="110"/>
      <c r="AH31" s="110"/>
      <c r="AI31" s="110"/>
      <c r="AJ31" s="110"/>
      <c r="AK31" s="236"/>
      <c r="AL31" s="110"/>
      <c r="AM31" s="110"/>
      <c r="AN31" s="110"/>
      <c r="AO31" s="110"/>
      <c r="AP31" s="236"/>
      <c r="AQ31" s="110"/>
      <c r="AR31" s="110"/>
      <c r="AS31" s="110"/>
      <c r="AT31" s="110"/>
      <c r="AU31" s="236"/>
      <c r="AV31" s="110"/>
      <c r="AW31" s="110"/>
      <c r="AX31" s="110"/>
      <c r="AY31" s="110"/>
      <c r="AZ31" s="236"/>
      <c r="BA31" s="110"/>
      <c r="BB31" s="110"/>
      <c r="BC31" s="110"/>
      <c r="BD31" s="110"/>
      <c r="BE31" s="739"/>
      <c r="BF31" s="740"/>
      <c r="BG31" s="740"/>
      <c r="BH31" s="740"/>
      <c r="BI31" s="740">
        <f t="shared" si="20"/>
        <v>0</v>
      </c>
      <c r="BJ31" s="739"/>
      <c r="BK31" s="740">
        <f t="shared" ref="BK31:BQ31" si="22">SUM(BK33:BK36)</f>
        <v>-7.1840000000000002</v>
      </c>
      <c r="BL31" s="740">
        <f t="shared" si="22"/>
        <v>-2.1329999999999991</v>
      </c>
      <c r="BM31" s="740">
        <f t="shared" si="22"/>
        <v>-2.3739999999999988</v>
      </c>
      <c r="BN31" s="740">
        <f t="shared" si="22"/>
        <v>-15.203999999999997</v>
      </c>
      <c r="BO31" s="739">
        <f t="shared" si="22"/>
        <v>-26.895000000000003</v>
      </c>
      <c r="BP31" s="740">
        <f t="shared" si="22"/>
        <v>-42.109000000000002</v>
      </c>
      <c r="BQ31" s="740">
        <f t="shared" si="22"/>
        <v>21.975000000000001</v>
      </c>
      <c r="BR31" s="740">
        <f>-1.137-BQ31-BP31</f>
        <v>18.997</v>
      </c>
      <c r="BS31" s="740">
        <f t="shared" ref="BS31:CS31" si="23">SUM(BS33:BS36)</f>
        <v>-1.597999999999999</v>
      </c>
      <c r="BT31" s="739">
        <f t="shared" si="23"/>
        <v>-2.7350000000000003</v>
      </c>
      <c r="BU31" s="740">
        <f t="shared" si="23"/>
        <v>-57.575000000000003</v>
      </c>
      <c r="BV31" s="740">
        <f t="shared" si="23"/>
        <v>0.27400000000000091</v>
      </c>
      <c r="BW31" s="740">
        <f t="shared" si="23"/>
        <v>1.6900000000000035</v>
      </c>
      <c r="BX31" s="740">
        <f t="shared" si="0"/>
        <v>7.4859999999999971</v>
      </c>
      <c r="BY31" s="739">
        <f t="shared" si="23"/>
        <v>-48.125</v>
      </c>
      <c r="BZ31" s="740">
        <f t="shared" si="23"/>
        <v>-35.576999999999998</v>
      </c>
      <c r="CA31" s="740">
        <f t="shared" si="23"/>
        <v>23.092999999999996</v>
      </c>
      <c r="CB31" s="740">
        <f t="shared" si="23"/>
        <v>2.3160000000000012</v>
      </c>
      <c r="CC31" s="740">
        <f t="shared" si="3"/>
        <v>21.865000000000002</v>
      </c>
      <c r="CD31" s="742">
        <f t="shared" si="23"/>
        <v>11.697000000000003</v>
      </c>
      <c r="CE31" s="740">
        <f>SUM(CE33:CE36)</f>
        <v>-55.779000000000003</v>
      </c>
      <c r="CF31" s="740">
        <f t="shared" si="23"/>
        <v>14.610000000000008</v>
      </c>
      <c r="CG31" s="740">
        <f t="shared" si="23"/>
        <v>-1.0770000000000017</v>
      </c>
      <c r="CH31" s="740">
        <f t="shared" si="23"/>
        <v>-7.8479999999999963</v>
      </c>
      <c r="CI31" s="742">
        <f t="shared" si="23"/>
        <v>-50.093999999999994</v>
      </c>
      <c r="CJ31" s="740">
        <f>SUM(CJ33:CJ36)</f>
        <v>-21.29</v>
      </c>
      <c r="CK31" s="740">
        <f t="shared" si="23"/>
        <v>-2.3400000000000025</v>
      </c>
      <c r="CL31" s="740">
        <f t="shared" si="23"/>
        <v>25.992000000000004</v>
      </c>
      <c r="CM31" s="740">
        <f t="shared" si="23"/>
        <v>6.352999999999998</v>
      </c>
      <c r="CN31" s="742">
        <f t="shared" si="23"/>
        <v>8.7149999999999999</v>
      </c>
      <c r="CO31" s="740">
        <f t="shared" si="23"/>
        <v>-42.48</v>
      </c>
      <c r="CP31" s="740">
        <f t="shared" si="23"/>
        <v>-19.267000000000003</v>
      </c>
      <c r="CQ31" s="740">
        <f t="shared" si="23"/>
        <v>3.7469999999999994</v>
      </c>
      <c r="CR31" s="740">
        <f t="shared" si="23"/>
        <v>14.330000000000009</v>
      </c>
      <c r="CS31" s="742">
        <f t="shared" si="23"/>
        <v>-43.669999999999995</v>
      </c>
      <c r="CT31" s="740">
        <f t="shared" ref="CT31:CY31" si="24">SUM(CT32:CT36)</f>
        <v>-30.5</v>
      </c>
      <c r="CU31" s="740">
        <f t="shared" si="24"/>
        <v>-33.710999999999999</v>
      </c>
      <c r="CV31" s="740">
        <f t="shared" si="24"/>
        <v>-0.29800000000000892</v>
      </c>
      <c r="CW31" s="741">
        <f t="shared" si="24"/>
        <v>-33.478999999999999</v>
      </c>
      <c r="CX31" s="739">
        <f t="shared" si="24"/>
        <v>-97.941999999999993</v>
      </c>
      <c r="CY31" s="740">
        <f t="shared" si="24"/>
        <v>-23.179000000000002</v>
      </c>
      <c r="CZ31" s="740">
        <f>SUM(CZ33:CZ36)</f>
        <v>-7.3059999999999974</v>
      </c>
      <c r="DA31" s="740">
        <f>SUM(DA33:DA36)</f>
        <v>-7.2999999999999989</v>
      </c>
      <c r="DB31" s="740">
        <f>SUM(DB33:DB36)</f>
        <v>7.9900000000000011</v>
      </c>
      <c r="DC31" s="739">
        <f t="shared" ref="DC31" si="25">SUM(DC32:DC36)</f>
        <v>-29.608999999999995</v>
      </c>
      <c r="DD31" s="740">
        <f>SUM(DD32:DD36)</f>
        <v>-26.666</v>
      </c>
      <c r="DE31" s="740">
        <f>SUM(DE32:DE36)</f>
        <v>6.4309999999999992</v>
      </c>
      <c r="DF31" s="740">
        <f>SUM(DF32:DF36)</f>
        <v>6.4320000000000004</v>
      </c>
      <c r="DG31" s="740">
        <f>SUM(DG33:DG36)</f>
        <v>-4.4049999999999994</v>
      </c>
      <c r="DH31" s="739">
        <f t="shared" ref="DH31" si="26">SUM(DH32:DH36)</f>
        <v>-18.276999999999997</v>
      </c>
      <c r="DI31" s="740">
        <f>SUM(DI32:DI36)</f>
        <v>48.142861735934844</v>
      </c>
      <c r="DJ31" s="740">
        <f>SUM(DJ32:DJ36)</f>
        <v>-12.039124365891876</v>
      </c>
      <c r="DK31" s="740">
        <f>SUM(DK32:DK36)</f>
        <v>-4.8277149527093108</v>
      </c>
      <c r="DL31" s="740">
        <f>SUM(DL32:DL36)</f>
        <v>-10.771400498012476</v>
      </c>
      <c r="DM31" s="739">
        <f t="shared" ref="DM31" si="27">SUM(DM32:DM36)</f>
        <v>20.504621919321185</v>
      </c>
      <c r="DN31" s="740">
        <f>SUM(DN32:DN36)</f>
        <v>34.708118712241244</v>
      </c>
      <c r="DO31" s="740">
        <f>SUM(DO32:DO36)</f>
        <v>-11.465004187042657</v>
      </c>
      <c r="DP31" s="740">
        <f>SUM(DP32:DP36)</f>
        <v>-5.151786633106834</v>
      </c>
      <c r="DQ31" s="740">
        <f>SUM(DQ32:DQ36)</f>
        <v>-11.980242079740485</v>
      </c>
      <c r="DR31" s="739">
        <f t="shared" ref="DR31" si="28">SUM(DR32:DR36)</f>
        <v>6.1110858123512699</v>
      </c>
      <c r="DS31" s="740">
        <f>SUM(DS32:DS36)</f>
        <v>35.713225198889504</v>
      </c>
      <c r="DT31" s="740">
        <f>SUM(DT32:DT36)</f>
        <v>-10.937933328770105</v>
      </c>
      <c r="DU31" s="740">
        <f>SUM(DU32:DU36)</f>
        <v>-5.6290111604317552</v>
      </c>
      <c r="DV31" s="740">
        <f>SUM(DV32:DV36)</f>
        <v>-13.209597227139348</v>
      </c>
      <c r="DW31" s="739">
        <f t="shared" ref="DW31" si="29">SUM(DW32:DW36)</f>
        <v>5.9366834825482941</v>
      </c>
      <c r="ED31"/>
      <c r="EE31"/>
      <c r="EF31"/>
      <c r="EG31"/>
      <c r="EH31"/>
      <c r="EI31"/>
    </row>
    <row r="32" spans="1:139">
      <c r="A32" s="748" t="s">
        <v>589</v>
      </c>
      <c r="B32" s="301"/>
      <c r="C32" s="87"/>
      <c r="D32" s="88"/>
      <c r="E32" s="88"/>
      <c r="F32" s="88"/>
      <c r="G32" s="121"/>
      <c r="H32" s="88"/>
      <c r="I32" s="88"/>
      <c r="J32" s="88"/>
      <c r="K32" s="88"/>
      <c r="L32" s="121"/>
      <c r="M32" s="88"/>
      <c r="N32" s="92"/>
      <c r="O32" s="92"/>
      <c r="P32" s="92"/>
      <c r="Q32" s="121"/>
      <c r="R32" s="88"/>
      <c r="S32" s="88"/>
      <c r="T32" s="88"/>
      <c r="U32" s="88"/>
      <c r="V32" s="121"/>
      <c r="W32" s="88"/>
      <c r="X32" s="88"/>
      <c r="Y32" s="88"/>
      <c r="Z32" s="88"/>
      <c r="AA32" s="121"/>
      <c r="AB32" s="88"/>
      <c r="AC32" s="88"/>
      <c r="AD32" s="88"/>
      <c r="AE32" s="88"/>
      <c r="AF32" s="121"/>
      <c r="AG32" s="88"/>
      <c r="AH32" s="88"/>
      <c r="AI32" s="88"/>
      <c r="AJ32" s="88"/>
      <c r="AK32" s="121"/>
      <c r="AL32" s="88"/>
      <c r="AM32" s="88"/>
      <c r="AN32" s="88"/>
      <c r="AO32" s="88"/>
      <c r="AP32" s="121"/>
      <c r="AQ32" s="88"/>
      <c r="AR32" s="88"/>
      <c r="AS32" s="88"/>
      <c r="AT32" s="88"/>
      <c r="AU32" s="121"/>
      <c r="AV32" s="88"/>
      <c r="AW32" s="88"/>
      <c r="AX32" s="88"/>
      <c r="AY32" s="88"/>
      <c r="AZ32" s="121"/>
      <c r="BA32" s="88"/>
      <c r="BB32" s="88"/>
      <c r="BC32" s="88"/>
      <c r="BD32" s="88"/>
      <c r="BE32" s="744"/>
      <c r="BF32" s="745"/>
      <c r="BG32" s="745"/>
      <c r="BH32" s="745"/>
      <c r="BI32" s="745"/>
      <c r="BJ32" s="744"/>
      <c r="BK32" s="745"/>
      <c r="BL32" s="745"/>
      <c r="BM32" s="745"/>
      <c r="BN32" s="745"/>
      <c r="BO32" s="744"/>
      <c r="BP32" s="745"/>
      <c r="BQ32" s="745"/>
      <c r="BR32" s="745"/>
      <c r="BS32" s="745"/>
      <c r="BT32" s="744"/>
      <c r="BU32" s="745"/>
      <c r="BV32" s="745"/>
      <c r="BW32" s="745"/>
      <c r="BX32" s="745"/>
      <c r="BY32" s="744"/>
      <c r="BZ32" s="745"/>
      <c r="CA32" s="745"/>
      <c r="CB32" s="745"/>
      <c r="CC32" s="745"/>
      <c r="CD32" s="746"/>
      <c r="CE32" s="745"/>
      <c r="CF32" s="745"/>
      <c r="CG32" s="745"/>
      <c r="CH32" s="745"/>
      <c r="CI32" s="746"/>
      <c r="CJ32" s="745"/>
      <c r="CK32" s="745"/>
      <c r="CL32" s="745"/>
      <c r="CM32" s="745"/>
      <c r="CN32" s="746"/>
      <c r="CO32" s="745"/>
      <c r="CP32" s="745"/>
      <c r="CQ32" s="745"/>
      <c r="CR32" s="745"/>
      <c r="CS32" s="746"/>
      <c r="CT32" s="745"/>
      <c r="CU32" s="745"/>
      <c r="CV32" s="745">
        <f>-23.686-CU32-CT32</f>
        <v>-23.686</v>
      </c>
      <c r="CW32" s="745"/>
      <c r="CX32" s="746">
        <v>-23.64</v>
      </c>
      <c r="CY32" s="745">
        <v>4.2000000000000003E-2</v>
      </c>
      <c r="CZ32" s="745">
        <f>0.135-CY32</f>
        <v>9.2999999999999999E-2</v>
      </c>
      <c r="DA32" s="745">
        <f>0.181-CZ32-CY32</f>
        <v>4.5999999999999992E-2</v>
      </c>
      <c r="DB32" s="745">
        <f>DC32-SUM(CY32:DA32)</f>
        <v>4.7000000000000014E-2</v>
      </c>
      <c r="DC32" s="746">
        <v>0.22800000000000001</v>
      </c>
      <c r="DD32" s="745">
        <v>1.4999999999999999E-2</v>
      </c>
      <c r="DE32" s="745">
        <f>0.044-DD32</f>
        <v>2.8999999999999998E-2</v>
      </c>
      <c r="DF32" s="745">
        <f>0.233-SUM(DD32:DE32)</f>
        <v>0.189</v>
      </c>
      <c r="DG32" s="745">
        <f>DH32-SUM(DD32:DF32)</f>
        <v>-6.8999999999999978E-2</v>
      </c>
      <c r="DH32" s="746">
        <v>0.16400000000000001</v>
      </c>
      <c r="DI32" s="745"/>
      <c r="DJ32" s="745"/>
      <c r="DK32" s="745"/>
      <c r="DL32" s="745"/>
      <c r="DM32" s="746">
        <f>SUM(DI32:DL32)</f>
        <v>0</v>
      </c>
      <c r="DN32" s="745"/>
      <c r="DO32" s="745"/>
      <c r="DP32" s="745"/>
      <c r="DQ32" s="745"/>
      <c r="DR32" s="746">
        <f>SUM(DN32:DQ32)</f>
        <v>0</v>
      </c>
      <c r="DS32" s="745"/>
      <c r="DT32" s="745"/>
      <c r="DU32" s="745"/>
      <c r="DV32" s="745"/>
      <c r="DW32" s="746">
        <f>SUM(DS32:DV32)</f>
        <v>0</v>
      </c>
    </row>
    <row r="33" spans="1:139">
      <c r="A33" s="755" t="s">
        <v>304</v>
      </c>
      <c r="B33" s="301"/>
      <c r="C33" s="87"/>
      <c r="D33" s="88"/>
      <c r="E33" s="88"/>
      <c r="F33" s="88"/>
      <c r="G33" s="121"/>
      <c r="H33" s="88"/>
      <c r="I33" s="88"/>
      <c r="J33" s="88"/>
      <c r="K33" s="88"/>
      <c r="L33" s="121"/>
      <c r="M33" s="88"/>
      <c r="N33" s="92"/>
      <c r="O33" s="92"/>
      <c r="P33" s="92"/>
      <c r="Q33" s="121"/>
      <c r="R33" s="88"/>
      <c r="S33" s="88"/>
      <c r="T33" s="88"/>
      <c r="U33" s="88"/>
      <c r="V33" s="121"/>
      <c r="W33" s="88"/>
      <c r="X33" s="88"/>
      <c r="Y33" s="88"/>
      <c r="Z33" s="88"/>
      <c r="AA33" s="121"/>
      <c r="AB33" s="88"/>
      <c r="AC33" s="88"/>
      <c r="AD33" s="88"/>
      <c r="AE33" s="88"/>
      <c r="AF33" s="121"/>
      <c r="AG33" s="88"/>
      <c r="AH33" s="88"/>
      <c r="AI33" s="88"/>
      <c r="AJ33" s="88"/>
      <c r="AK33" s="121"/>
      <c r="AL33" s="88"/>
      <c r="AM33" s="88"/>
      <c r="AN33" s="88"/>
      <c r="AO33" s="88"/>
      <c r="AP33" s="121"/>
      <c r="AQ33" s="88"/>
      <c r="AR33" s="88"/>
      <c r="AS33" s="88"/>
      <c r="AT33" s="88"/>
      <c r="AU33" s="121"/>
      <c r="AV33" s="88"/>
      <c r="AW33" s="88"/>
      <c r="AX33" s="88"/>
      <c r="AY33" s="88"/>
      <c r="AZ33" s="121"/>
      <c r="BA33" s="88"/>
      <c r="BB33" s="88"/>
      <c r="BC33" s="88"/>
      <c r="BD33" s="88"/>
      <c r="BE33" s="744">
        <v>2.7709999999999999</v>
      </c>
      <c r="BF33" s="745">
        <v>16.282</v>
      </c>
      <c r="BG33" s="745">
        <f>16.514-BF33</f>
        <v>0.23199999999999932</v>
      </c>
      <c r="BH33" s="745">
        <f>15.328-BG33-BF33</f>
        <v>-1.1859999999999999</v>
      </c>
      <c r="BI33" s="745">
        <f t="shared" si="20"/>
        <v>-0.30600000000000094</v>
      </c>
      <c r="BJ33" s="744">
        <v>15.022</v>
      </c>
      <c r="BK33" s="745">
        <v>-2.5230000000000001</v>
      </c>
      <c r="BL33" s="745">
        <f>-1.802-BK33</f>
        <v>0.72100000000000009</v>
      </c>
      <c r="BM33" s="745">
        <f>-2.508-BL33-BK33</f>
        <v>-0.70599999999999996</v>
      </c>
      <c r="BN33" s="745">
        <f>BO33-BM33-BL33-BK33</f>
        <v>-1.6789999999999998</v>
      </c>
      <c r="BO33" s="744">
        <v>-4.1870000000000003</v>
      </c>
      <c r="BP33" s="745">
        <v>-3.6669999999999998</v>
      </c>
      <c r="BQ33" s="745">
        <f>0.747-BP33</f>
        <v>4.4139999999999997</v>
      </c>
      <c r="BR33" s="745">
        <f>BR$31/4</f>
        <v>4.74925</v>
      </c>
      <c r="BS33" s="745">
        <f>BT33-BR33-BQ33-BP33</f>
        <v>-11.57025</v>
      </c>
      <c r="BT33" s="744">
        <v>-6.0739999999999998</v>
      </c>
      <c r="BU33" s="745">
        <v>1.762</v>
      </c>
      <c r="BV33" s="745">
        <f>-7.016-BU33</f>
        <v>-8.7780000000000005</v>
      </c>
      <c r="BW33" s="745">
        <f>-6.971-BV33-BU33</f>
        <v>4.5000000000000373E-2</v>
      </c>
      <c r="BX33" s="745">
        <f t="shared" si="0"/>
        <v>2.2410000000000001</v>
      </c>
      <c r="BY33" s="744">
        <v>-4.7300000000000004</v>
      </c>
      <c r="BZ33" s="745">
        <v>2.3420000000000001</v>
      </c>
      <c r="CA33" s="745">
        <f>-5.575-BZ33</f>
        <v>-7.9169999999999998</v>
      </c>
      <c r="CB33" s="745">
        <f>-6.55-CA33-BZ33</f>
        <v>-0.97500000000000009</v>
      </c>
      <c r="CC33" s="745">
        <f t="shared" si="3"/>
        <v>3.86</v>
      </c>
      <c r="CD33" s="746">
        <v>-2.69</v>
      </c>
      <c r="CE33" s="745">
        <v>-7.3999999999999996E-2</v>
      </c>
      <c r="CF33" s="745">
        <f>-3.115-CE33</f>
        <v>-3.0410000000000004</v>
      </c>
      <c r="CG33" s="745">
        <f>3.447-SUM(CE33:CF33)</f>
        <v>6.5620000000000003</v>
      </c>
      <c r="CH33" s="745">
        <f>CI33-CG33-CF33-CE33</f>
        <v>0.55200000000000016</v>
      </c>
      <c r="CI33" s="746">
        <v>3.9990000000000001</v>
      </c>
      <c r="CJ33" s="745">
        <v>1.8580000000000001</v>
      </c>
      <c r="CK33" s="745">
        <f>-1.829-CJ33</f>
        <v>-3.6870000000000003</v>
      </c>
      <c r="CL33" s="745">
        <f>-1.643-SUM(CJ33:CK33)</f>
        <v>0.18600000000000017</v>
      </c>
      <c r="CM33" s="745">
        <f t="shared" si="5"/>
        <v>1.8169999999999999</v>
      </c>
      <c r="CN33" s="746">
        <v>0.17399999999999999</v>
      </c>
      <c r="CO33" s="745">
        <v>-0.34</v>
      </c>
      <c r="CP33" s="745">
        <f>-9.65-CO33</f>
        <v>-9.31</v>
      </c>
      <c r="CQ33" s="745">
        <f>-6.074-CP33-CO33</f>
        <v>3.5760000000000005</v>
      </c>
      <c r="CR33" s="745">
        <f t="shared" si="6"/>
        <v>3.3109999999999999</v>
      </c>
      <c r="CS33" s="746">
        <v>-2.7629999999999999</v>
      </c>
      <c r="CT33" s="745">
        <v>-5.04</v>
      </c>
      <c r="CU33" s="745">
        <f>-14.876-CT33</f>
        <v>-9.8359999999999985</v>
      </c>
      <c r="CV33" s="745">
        <f>-29.046-CU33-CT33</f>
        <v>-14.170000000000002</v>
      </c>
      <c r="CW33" s="745">
        <f>CX33-SUM(CT33:CV33)</f>
        <v>-23.573999999999998</v>
      </c>
      <c r="CX33" s="746">
        <v>-52.62</v>
      </c>
      <c r="CY33" s="745">
        <v>-1.843</v>
      </c>
      <c r="CZ33" s="745">
        <f>-30.02-CY33</f>
        <v>-28.177</v>
      </c>
      <c r="DA33" s="745">
        <f>-33.26-CZ33-CY33</f>
        <v>-3.2399999999999984</v>
      </c>
      <c r="DB33" s="745">
        <f>DC33-SUM(CY33:DA33)</f>
        <v>-5.3969999999999985</v>
      </c>
      <c r="DC33" s="746">
        <v>-38.656999999999996</v>
      </c>
      <c r="DD33" s="745">
        <v>-1.8180000000000001</v>
      </c>
      <c r="DE33" s="745">
        <f>-9.557-DD33</f>
        <v>-7.7390000000000008</v>
      </c>
      <c r="DF33" s="745">
        <f>-14.193-SUM(DD33:DE33)</f>
        <v>-4.6359999999999992</v>
      </c>
      <c r="DG33" s="745">
        <f>DH33-SUM(DD33:DF33)</f>
        <v>-3.1470000000000002</v>
      </c>
      <c r="DH33" s="746">
        <v>-17.34</v>
      </c>
      <c r="DI33" s="745">
        <f>'Balance Sheet '!DH15-'Balance Sheet '!DI15</f>
        <v>42.854739655578584</v>
      </c>
      <c r="DJ33" s="745">
        <f>'Balance Sheet '!DI15-'Balance Sheet '!DJ15</f>
        <v>-13.581324471497936</v>
      </c>
      <c r="DK33" s="745">
        <f>'Balance Sheet '!DJ15-'Balance Sheet '!DK15</f>
        <v>-6.5729635342142529</v>
      </c>
      <c r="DL33" s="745">
        <f>'Balance Sheet '!DK15-'Balance Sheet '!DL15</f>
        <v>-5.9735484168015915</v>
      </c>
      <c r="DM33" s="746">
        <f>SUM(DI33:DL33)</f>
        <v>16.726903233064803</v>
      </c>
      <c r="DN33" s="745">
        <f>'Balance Sheet '!DM15-'Balance Sheet '!DN15</f>
        <v>28.43171510130486</v>
      </c>
      <c r="DO33" s="745">
        <f>'Balance Sheet '!DN15-'Balance Sheet '!DO15</f>
        <v>-13.080376182912715</v>
      </c>
      <c r="DP33" s="745">
        <f>'Balance Sheet '!DO15-'Balance Sheet '!DP15</f>
        <v>-7.17184532202063</v>
      </c>
      <c r="DQ33" s="745">
        <f>'Balance Sheet '!DP15-'Balance Sheet '!DQ15</f>
        <v>-7.0858564932363919</v>
      </c>
      <c r="DR33" s="746">
        <f>SUM(DN33:DQ33)</f>
        <v>1.0936371031351229</v>
      </c>
      <c r="DS33" s="745">
        <f>'Balance Sheet '!DR15-'Balance Sheet '!DS15</f>
        <v>31.884354957665039</v>
      </c>
      <c r="DT33" s="745">
        <f>'Balance Sheet '!DS15-'Balance Sheet '!DT15</f>
        <v>-12.53652626642652</v>
      </c>
      <c r="DU33" s="745">
        <f>'Balance Sheet '!DT15-'Balance Sheet '!DU15</f>
        <v>-7.8983688935136342</v>
      </c>
      <c r="DV33" s="745">
        <f>'Balance Sheet '!DU15-'Balance Sheet '!DV15</f>
        <v>-8.3276731546776404</v>
      </c>
      <c r="DW33" s="746">
        <f>SUM(DS33:DV33)</f>
        <v>3.1217866430472441</v>
      </c>
    </row>
    <row r="34" spans="1:139">
      <c r="A34" s="755" t="s">
        <v>305</v>
      </c>
      <c r="B34" s="301"/>
      <c r="C34" s="87"/>
      <c r="D34" s="88"/>
      <c r="E34" s="88"/>
      <c r="F34" s="88"/>
      <c r="G34" s="121"/>
      <c r="H34" s="88"/>
      <c r="I34" s="88"/>
      <c r="J34" s="88"/>
      <c r="K34" s="88"/>
      <c r="L34" s="121"/>
      <c r="M34" s="88"/>
      <c r="N34" s="92"/>
      <c r="O34" s="92"/>
      <c r="P34" s="92"/>
      <c r="Q34" s="121"/>
      <c r="R34" s="88"/>
      <c r="S34" s="88"/>
      <c r="T34" s="88"/>
      <c r="U34" s="88"/>
      <c r="V34" s="121"/>
      <c r="W34" s="88"/>
      <c r="X34" s="88"/>
      <c r="Y34" s="88"/>
      <c r="Z34" s="88"/>
      <c r="AA34" s="121"/>
      <c r="AB34" s="88"/>
      <c r="AC34" s="88"/>
      <c r="AD34" s="88"/>
      <c r="AE34" s="88"/>
      <c r="AF34" s="121"/>
      <c r="AG34" s="88"/>
      <c r="AH34" s="88"/>
      <c r="AI34" s="88"/>
      <c r="AJ34" s="88"/>
      <c r="AK34" s="121"/>
      <c r="AL34" s="88"/>
      <c r="AM34" s="88"/>
      <c r="AN34" s="88"/>
      <c r="AO34" s="88"/>
      <c r="AP34" s="121"/>
      <c r="AQ34" s="88"/>
      <c r="AR34" s="88"/>
      <c r="AS34" s="88"/>
      <c r="AT34" s="88"/>
      <c r="AU34" s="121"/>
      <c r="AV34" s="88"/>
      <c r="AW34" s="88"/>
      <c r="AX34" s="88"/>
      <c r="AY34" s="88"/>
      <c r="AZ34" s="121"/>
      <c r="BA34" s="88"/>
      <c r="BB34" s="88"/>
      <c r="BC34" s="88"/>
      <c r="BD34" s="88"/>
      <c r="BE34" s="744">
        <v>1.0720000000000001</v>
      </c>
      <c r="BF34" s="745">
        <v>1.3129999999999999</v>
      </c>
      <c r="BG34" s="745">
        <f>0.476-BF34</f>
        <v>-0.83699999999999997</v>
      </c>
      <c r="BH34" s="745">
        <f>0.325-BG34-BF34</f>
        <v>-0.15100000000000002</v>
      </c>
      <c r="BI34" s="745">
        <f t="shared" si="20"/>
        <v>-1.3119999999999998</v>
      </c>
      <c r="BJ34" s="744">
        <v>-0.98699999999999999</v>
      </c>
      <c r="BK34" s="745">
        <v>0.96399999999999997</v>
      </c>
      <c r="BL34" s="745">
        <f>0.787-BK34</f>
        <v>-0.17699999999999994</v>
      </c>
      <c r="BM34" s="745">
        <f>0.064-BL34-BK34</f>
        <v>-0.72300000000000009</v>
      </c>
      <c r="BN34" s="745">
        <f>BO34-BM34-BL34-BK34</f>
        <v>-0.20399999999999996</v>
      </c>
      <c r="BO34" s="744">
        <v>-0.14000000000000001</v>
      </c>
      <c r="BP34" s="745">
        <v>0.34799999999999998</v>
      </c>
      <c r="BQ34" s="745">
        <f>0.324-BP34</f>
        <v>-2.3999999999999966E-2</v>
      </c>
      <c r="BR34" s="745">
        <f>BR$31/4</f>
        <v>4.74925</v>
      </c>
      <c r="BS34" s="745">
        <f>BT34-BR34-BQ34-BP34</f>
        <v>-3.1942499999999998</v>
      </c>
      <c r="BT34" s="744">
        <v>1.879</v>
      </c>
      <c r="BU34" s="745">
        <v>1.2949999999999999</v>
      </c>
      <c r="BV34" s="745">
        <f>0.616-BU34</f>
        <v>-0.67899999999999994</v>
      </c>
      <c r="BW34" s="745">
        <f>1.824-BV34-BU34</f>
        <v>1.2080000000000002</v>
      </c>
      <c r="BX34" s="745">
        <f t="shared" si="0"/>
        <v>-1.4300000000000002</v>
      </c>
      <c r="BY34" s="744">
        <v>0.39400000000000002</v>
      </c>
      <c r="BZ34" s="745">
        <v>-0.37</v>
      </c>
      <c r="CA34" s="745">
        <f>-0.75-BZ34</f>
        <v>-0.38</v>
      </c>
      <c r="CB34" s="745">
        <f>-0.21-CA34-BZ34</f>
        <v>0.54</v>
      </c>
      <c r="CC34" s="745">
        <f t="shared" si="3"/>
        <v>-0.30699999999999994</v>
      </c>
      <c r="CD34" s="746">
        <v>-0.51700000000000002</v>
      </c>
      <c r="CE34" s="745">
        <v>0.92</v>
      </c>
      <c r="CF34" s="745">
        <f>0.73-CE34</f>
        <v>-0.19000000000000006</v>
      </c>
      <c r="CG34" s="745">
        <f>0.965-SUM(CE34:CF34)</f>
        <v>0.23499999999999999</v>
      </c>
      <c r="CH34" s="745">
        <f>CI34-CG34-CF34-CE34</f>
        <v>-1.526</v>
      </c>
      <c r="CI34" s="746">
        <v>-0.56100000000000005</v>
      </c>
      <c r="CJ34" s="745">
        <v>1.2849999999999999</v>
      </c>
      <c r="CK34" s="745">
        <f>1.54-CJ34</f>
        <v>0.25500000000000012</v>
      </c>
      <c r="CL34" s="745">
        <f>2.237-SUM(CJ34:CK34)</f>
        <v>0.69700000000000006</v>
      </c>
      <c r="CM34" s="745">
        <f t="shared" si="5"/>
        <v>-0.76</v>
      </c>
      <c r="CN34" s="746">
        <v>1.4770000000000001</v>
      </c>
      <c r="CO34" s="745">
        <v>1.1559999999999999</v>
      </c>
      <c r="CP34" s="745">
        <f>1.2-CO34</f>
        <v>4.4000000000000039E-2</v>
      </c>
      <c r="CQ34" s="745">
        <f>0.925-CP34-CO34</f>
        <v>-0.27499999999999991</v>
      </c>
      <c r="CR34" s="745">
        <f t="shared" si="6"/>
        <v>-0.21900000000000008</v>
      </c>
      <c r="CS34" s="746">
        <v>0.70599999999999996</v>
      </c>
      <c r="CT34" s="745">
        <v>0.89100000000000001</v>
      </c>
      <c r="CU34" s="745">
        <f>0.168-CT34</f>
        <v>-0.72299999999999998</v>
      </c>
      <c r="CV34" s="745">
        <f>0.203-CU34-CT34</f>
        <v>3.499999999999992E-2</v>
      </c>
      <c r="CW34" s="745">
        <f>CX34-SUM(CT34:CV34)</f>
        <v>-0.26499999999999996</v>
      </c>
      <c r="CX34" s="746">
        <v>-6.2E-2</v>
      </c>
      <c r="CY34" s="745">
        <v>0.43099999999999999</v>
      </c>
      <c r="CZ34" s="745">
        <f>0.148-CY34</f>
        <v>-0.28300000000000003</v>
      </c>
      <c r="DA34" s="745">
        <f>0.126-CZ34-CY34</f>
        <v>-2.1999999999999964E-2</v>
      </c>
      <c r="DB34" s="745">
        <f>DC34-SUM(CY34:DA34)</f>
        <v>-9.1999999999999998E-2</v>
      </c>
      <c r="DC34" s="746">
        <v>3.4000000000000002E-2</v>
      </c>
      <c r="DD34" s="745">
        <v>0.13</v>
      </c>
      <c r="DE34" s="745">
        <f>-0.071-DD34</f>
        <v>-0.20100000000000001</v>
      </c>
      <c r="DF34" s="745">
        <f>-0.044-SUM(DD34:DE34)</f>
        <v>2.700000000000001E-2</v>
      </c>
      <c r="DG34" s="745">
        <f>DH34-SUM(DD34:DF34)</f>
        <v>-0.26100000000000001</v>
      </c>
      <c r="DH34" s="746">
        <v>-0.30499999999999999</v>
      </c>
      <c r="DI34" s="745">
        <f>'Balance Sheet '!DH16-'Balance Sheet '!DI16</f>
        <v>0.25150285951889373</v>
      </c>
      <c r="DJ34" s="745">
        <f>'Balance Sheet '!DI16-'Balance Sheet '!DJ16</f>
        <v>0.42074468947641019</v>
      </c>
      <c r="DK34" s="745">
        <f>'Balance Sheet '!DJ16-'Balance Sheet '!DK16</f>
        <v>1.2667405930923081E-2</v>
      </c>
      <c r="DL34" s="745">
        <f>'Balance Sheet '!DK16-'Balance Sheet '!DL16</f>
        <v>-0.36641975107813263</v>
      </c>
      <c r="DM34" s="746">
        <f>SUM(DI34:DL34)</f>
        <v>0.31849520384809438</v>
      </c>
      <c r="DN34" s="745">
        <f>'Balance Sheet '!DM16-'Balance Sheet '!DN16</f>
        <v>-0.2528801613199918</v>
      </c>
      <c r="DO34" s="745">
        <f>'Balance Sheet '!DN16-'Balance Sheet '!DO16</f>
        <v>0.46531176139674235</v>
      </c>
      <c r="DP34" s="745">
        <f>'Balance Sheet '!DO16-'Balance Sheet '!DP16</f>
        <v>5.9414063274485507E-3</v>
      </c>
      <c r="DQ34" s="745">
        <f>'Balance Sheet '!DP16-'Balance Sheet '!DQ16</f>
        <v>-0.4258733571360116</v>
      </c>
      <c r="DR34" s="746">
        <f>SUM(DN34:DQ34)</f>
        <v>-0.2075003507318125</v>
      </c>
      <c r="DS34" s="745">
        <f>'Balance Sheet '!DR16-'Balance Sheet '!DS16</f>
        <v>-0.27262542473337703</v>
      </c>
      <c r="DT34" s="745">
        <f>'Balance Sheet '!DS16-'Balance Sheet '!DT16</f>
        <v>0.51906626225589214</v>
      </c>
      <c r="DU34" s="745">
        <f>'Balance Sheet '!DT16-'Balance Sheet '!DU16</f>
        <v>-1.316278681048999E-3</v>
      </c>
      <c r="DV34" s="745">
        <f>'Balance Sheet '!DU16-'Balance Sheet '!DV16</f>
        <v>-0.49512449807116443</v>
      </c>
      <c r="DW34" s="746">
        <f>SUM(DS34:DV34)</f>
        <v>-0.24999993922969832</v>
      </c>
    </row>
    <row r="35" spans="1:139">
      <c r="A35" s="755" t="s">
        <v>496</v>
      </c>
      <c r="B35" s="301"/>
      <c r="C35" s="87"/>
      <c r="D35" s="88"/>
      <c r="E35" s="88"/>
      <c r="F35" s="88"/>
      <c r="G35" s="121"/>
      <c r="H35" s="88"/>
      <c r="I35" s="88"/>
      <c r="J35" s="88"/>
      <c r="K35" s="88"/>
      <c r="L35" s="121"/>
      <c r="M35" s="88"/>
      <c r="N35" s="92"/>
      <c r="O35" s="92"/>
      <c r="P35" s="92"/>
      <c r="Q35" s="121"/>
      <c r="R35" s="88"/>
      <c r="S35" s="88"/>
      <c r="T35" s="88"/>
      <c r="U35" s="88"/>
      <c r="V35" s="121"/>
      <c r="W35" s="88"/>
      <c r="X35" s="88"/>
      <c r="Y35" s="88"/>
      <c r="Z35" s="88"/>
      <c r="AA35" s="121"/>
      <c r="AB35" s="88"/>
      <c r="AC35" s="88"/>
      <c r="AD35" s="88"/>
      <c r="AE35" s="88"/>
      <c r="AF35" s="121"/>
      <c r="AG35" s="88"/>
      <c r="AH35" s="88"/>
      <c r="AI35" s="88"/>
      <c r="AJ35" s="88"/>
      <c r="AK35" s="121"/>
      <c r="AL35" s="88"/>
      <c r="AM35" s="88"/>
      <c r="AN35" s="88"/>
      <c r="AO35" s="88"/>
      <c r="AP35" s="121"/>
      <c r="AQ35" s="88"/>
      <c r="AR35" s="88"/>
      <c r="AS35" s="88"/>
      <c r="AT35" s="88"/>
      <c r="AU35" s="121"/>
      <c r="AV35" s="88"/>
      <c r="AW35" s="88"/>
      <c r="AX35" s="88"/>
      <c r="AY35" s="88"/>
      <c r="AZ35" s="121"/>
      <c r="BA35" s="88"/>
      <c r="BB35" s="88"/>
      <c r="BC35" s="88"/>
      <c r="BD35" s="88"/>
      <c r="BE35" s="744">
        <v>-2.7189999999999999</v>
      </c>
      <c r="BF35" s="745">
        <v>-1.0049999999999999</v>
      </c>
      <c r="BG35" s="745">
        <f>0.41-BF35</f>
        <v>1.4149999999999998</v>
      </c>
      <c r="BH35" s="745">
        <f>-7.137-BG35-BF35</f>
        <v>-7.5469999999999997</v>
      </c>
      <c r="BI35" s="745">
        <f t="shared" si="20"/>
        <v>4.0139999999999993</v>
      </c>
      <c r="BJ35" s="744">
        <v>-3.1230000000000002</v>
      </c>
      <c r="BK35" s="745">
        <v>5.2859999999999996</v>
      </c>
      <c r="BL35" s="745">
        <f>9.154-BK35</f>
        <v>3.8680000000000003</v>
      </c>
      <c r="BM35" s="745">
        <f>0.152-BL35-BK35</f>
        <v>-9.0019999999999989</v>
      </c>
      <c r="BN35" s="745">
        <f>BO35-BM35-BL35-BK35</f>
        <v>8.6559999999999988</v>
      </c>
      <c r="BO35" s="744">
        <v>8.8079999999999998</v>
      </c>
      <c r="BP35" s="745">
        <v>-15.577</v>
      </c>
      <c r="BQ35" s="745">
        <f>-11.646-BP35</f>
        <v>3.9309999999999992</v>
      </c>
      <c r="BR35" s="745">
        <f>BR$31/4</f>
        <v>4.74925</v>
      </c>
      <c r="BS35" s="745">
        <f>BT35-BR35-BQ35-BP35</f>
        <v>10.883750000000001</v>
      </c>
      <c r="BT35" s="744">
        <v>3.9870000000000001</v>
      </c>
      <c r="BU35" s="745">
        <v>-5.3</v>
      </c>
      <c r="BV35" s="745">
        <f>-7.462-BU35</f>
        <v>-2.1619999999999999</v>
      </c>
      <c r="BW35" s="745">
        <f>-6.853-BV35-BU35</f>
        <v>0.60899999999999999</v>
      </c>
      <c r="BX35" s="745">
        <f t="shared" si="0"/>
        <v>8.3670000000000009</v>
      </c>
      <c r="BY35" s="744">
        <v>1.514</v>
      </c>
      <c r="BZ35" s="745">
        <v>-8.6760000000000002</v>
      </c>
      <c r="CA35" s="745">
        <f>-12.147-BZ35</f>
        <v>-3.4710000000000001</v>
      </c>
      <c r="CB35" s="745">
        <f>-8.138-CA35-BZ35</f>
        <v>4.0090000000000003</v>
      </c>
      <c r="CC35" s="745">
        <f t="shared" si="3"/>
        <v>0.55799999999999983</v>
      </c>
      <c r="CD35" s="746">
        <v>-7.58</v>
      </c>
      <c r="CE35" s="745">
        <v>-2.6579999999999999</v>
      </c>
      <c r="CF35" s="745">
        <f>-6.74-CE35</f>
        <v>-4.0820000000000007</v>
      </c>
      <c r="CG35" s="745">
        <f>-4.219-SUM(CE35:CF35)</f>
        <v>2.5209999999999999</v>
      </c>
      <c r="CH35" s="745">
        <f>CI35-CG35-CF35-CE35</f>
        <v>2.8590000000000004</v>
      </c>
      <c r="CI35" s="746">
        <v>-1.36</v>
      </c>
      <c r="CJ35" s="745">
        <v>0.14799999999999999</v>
      </c>
      <c r="CK35" s="745">
        <f>-2.389-CJ35</f>
        <v>-2.5369999999999999</v>
      </c>
      <c r="CL35" s="745">
        <f>-5.962-SUM(CJ35:CK35)</f>
        <v>-3.573</v>
      </c>
      <c r="CM35" s="745">
        <f t="shared" si="5"/>
        <v>1.3359999999999994</v>
      </c>
      <c r="CN35" s="746">
        <v>-4.6260000000000003</v>
      </c>
      <c r="CO35" s="745">
        <v>-6.0570000000000004</v>
      </c>
      <c r="CP35" s="745">
        <f>-7.197-CO35</f>
        <v>-1.1399999999999997</v>
      </c>
      <c r="CQ35" s="745">
        <f>-8.889-CP35-CO35</f>
        <v>-1.6919999999999993</v>
      </c>
      <c r="CR35" s="745">
        <f t="shared" si="6"/>
        <v>5.9129999999999994</v>
      </c>
      <c r="CS35" s="746">
        <v>-2.976</v>
      </c>
      <c r="CT35" s="745">
        <v>-5.641</v>
      </c>
      <c r="CU35" s="745">
        <f>-3.869-CT35</f>
        <v>1.7719999999999998</v>
      </c>
      <c r="CV35" s="745">
        <f>-6.53-CU35-CT35</f>
        <v>-2.6609999999999996</v>
      </c>
      <c r="CW35" s="745">
        <f>CX35-SUM(CT35:CV35)</f>
        <v>1.1209999999999996</v>
      </c>
      <c r="CX35" s="746">
        <v>-5.4089999999999998</v>
      </c>
      <c r="CY35" s="745">
        <v>-3.665</v>
      </c>
      <c r="CZ35" s="745">
        <f>-4.638-CY35</f>
        <v>-0.97299999999999986</v>
      </c>
      <c r="DA35" s="745">
        <f>-3.958-CZ35-CY35</f>
        <v>0.67999999999999972</v>
      </c>
      <c r="DB35" s="745">
        <f>DC35-SUM(CY35:DA35)</f>
        <v>0.68200000000000038</v>
      </c>
      <c r="DC35" s="746">
        <v>-3.2759999999999998</v>
      </c>
      <c r="DD35" s="745">
        <v>-1.3280000000000001</v>
      </c>
      <c r="DE35" s="745">
        <f>-2.116-DD35</f>
        <v>-0.78800000000000003</v>
      </c>
      <c r="DF35" s="745">
        <f>-1.281-SUM(DD35:DE35)</f>
        <v>0.83500000000000019</v>
      </c>
      <c r="DG35" s="745">
        <f>DH35-SUM(DD35:DF35)</f>
        <v>-2.2069999999999999</v>
      </c>
      <c r="DH35" s="746">
        <v>-3.488</v>
      </c>
      <c r="DI35" s="745">
        <f>'Balance Sheet '!DH18-'Balance Sheet '!DI18</f>
        <v>0</v>
      </c>
      <c r="DJ35" s="745">
        <f>'Balance Sheet '!DI18-'Balance Sheet '!DJ18</f>
        <v>0</v>
      </c>
      <c r="DK35" s="745">
        <f>'Balance Sheet '!DJ18-'Balance Sheet '!DK18</f>
        <v>0</v>
      </c>
      <c r="DL35" s="745">
        <f>'Balance Sheet '!DK18-'Balance Sheet '!DL18</f>
        <v>0</v>
      </c>
      <c r="DM35" s="746">
        <f>SUM(DI35:DL35)</f>
        <v>0</v>
      </c>
      <c r="DN35" s="745">
        <f>'Balance Sheet '!DM18-'Balance Sheet '!DN18</f>
        <v>0</v>
      </c>
      <c r="DO35" s="745">
        <f>'Balance Sheet '!DN18-'Balance Sheet '!DO18</f>
        <v>0</v>
      </c>
      <c r="DP35" s="745">
        <f>'Balance Sheet '!DO18-'Balance Sheet '!DP18</f>
        <v>0</v>
      </c>
      <c r="DQ35" s="745">
        <f>'Balance Sheet '!DP18-'Balance Sheet '!DQ18</f>
        <v>0</v>
      </c>
      <c r="DR35" s="746">
        <f>SUM(DN35:DQ35)</f>
        <v>0</v>
      </c>
      <c r="DS35" s="745">
        <f>'Balance Sheet '!DR18-'Balance Sheet '!DS18</f>
        <v>0</v>
      </c>
      <c r="DT35" s="745">
        <f>'Balance Sheet '!DS18-'Balance Sheet '!DT18</f>
        <v>0</v>
      </c>
      <c r="DU35" s="745">
        <f>'Balance Sheet '!DT18-'Balance Sheet '!DU18</f>
        <v>0</v>
      </c>
      <c r="DV35" s="745">
        <f>'Balance Sheet '!DU18-'Balance Sheet '!DV18</f>
        <v>0</v>
      </c>
      <c r="DW35" s="746">
        <f>SUM(DS35:DV35)</f>
        <v>0</v>
      </c>
    </row>
    <row r="36" spans="1:139">
      <c r="A36" s="755" t="s">
        <v>45</v>
      </c>
      <c r="B36" s="301"/>
      <c r="C36" s="87"/>
      <c r="D36" s="88"/>
      <c r="E36" s="88"/>
      <c r="F36" s="88"/>
      <c r="G36" s="121"/>
      <c r="H36" s="88"/>
      <c r="I36" s="88"/>
      <c r="J36" s="88"/>
      <c r="K36" s="88"/>
      <c r="L36" s="121"/>
      <c r="M36" s="88"/>
      <c r="N36" s="92"/>
      <c r="O36" s="92"/>
      <c r="P36" s="92"/>
      <c r="Q36" s="121"/>
      <c r="R36" s="88"/>
      <c r="S36" s="88"/>
      <c r="T36" s="88"/>
      <c r="U36" s="88"/>
      <c r="V36" s="121"/>
      <c r="W36" s="88"/>
      <c r="X36" s="88"/>
      <c r="Y36" s="88"/>
      <c r="Z36" s="88"/>
      <c r="AA36" s="121"/>
      <c r="AB36" s="88"/>
      <c r="AC36" s="88"/>
      <c r="AD36" s="88"/>
      <c r="AE36" s="88"/>
      <c r="AF36" s="121"/>
      <c r="AG36" s="88"/>
      <c r="AH36" s="88"/>
      <c r="AI36" s="88"/>
      <c r="AJ36" s="88"/>
      <c r="AK36" s="121"/>
      <c r="AL36" s="88"/>
      <c r="AM36" s="88"/>
      <c r="AN36" s="88"/>
      <c r="AO36" s="88"/>
      <c r="AP36" s="121"/>
      <c r="AQ36" s="88"/>
      <c r="AR36" s="88"/>
      <c r="AS36" s="88"/>
      <c r="AT36" s="88"/>
      <c r="AU36" s="121"/>
      <c r="AV36" s="88"/>
      <c r="AW36" s="88"/>
      <c r="AX36" s="88"/>
      <c r="AY36" s="88"/>
      <c r="AZ36" s="121"/>
      <c r="BA36" s="88"/>
      <c r="BB36" s="88"/>
      <c r="BC36" s="88"/>
      <c r="BD36" s="88"/>
      <c r="BE36" s="744">
        <v>-7.6630000000000003</v>
      </c>
      <c r="BF36" s="745">
        <v>-49.255000000000003</v>
      </c>
      <c r="BG36" s="745">
        <f>-39.375-BF36</f>
        <v>9.8800000000000026</v>
      </c>
      <c r="BH36" s="745">
        <f>-44.946-BG36-BF36</f>
        <v>-5.570999999999998</v>
      </c>
      <c r="BI36" s="745">
        <f t="shared" si="20"/>
        <v>37.501999999999995</v>
      </c>
      <c r="BJ36" s="744">
        <v>-7.444</v>
      </c>
      <c r="BK36" s="745">
        <v>-10.911</v>
      </c>
      <c r="BL36" s="745">
        <f>-17.456-BK36</f>
        <v>-6.5449999999999999</v>
      </c>
      <c r="BM36" s="745">
        <f>-9.399-BL36-BK36</f>
        <v>8.0570000000000004</v>
      </c>
      <c r="BN36" s="745">
        <f>BO36-BM36-BL36-BK36</f>
        <v>-21.976999999999997</v>
      </c>
      <c r="BO36" s="744">
        <v>-31.376000000000001</v>
      </c>
      <c r="BP36" s="745">
        <v>-23.213000000000001</v>
      </c>
      <c r="BQ36" s="745">
        <f>-9.559-BP36</f>
        <v>13.654000000000002</v>
      </c>
      <c r="BR36" s="745">
        <f>BR$31/4</f>
        <v>4.74925</v>
      </c>
      <c r="BS36" s="745">
        <f>BT36-BR36-BQ36-BP36</f>
        <v>2.2827500000000001</v>
      </c>
      <c r="BT36" s="744">
        <v>-2.5270000000000001</v>
      </c>
      <c r="BU36" s="745">
        <f>-13.025-42.307</f>
        <v>-55.332000000000001</v>
      </c>
      <c r="BV36" s="745">
        <f>-14.006-29.433-BU36</f>
        <v>11.893000000000001</v>
      </c>
      <c r="BW36" s="745">
        <f>-8.973-34.638-BV36-BU36</f>
        <v>-0.17199999999999704</v>
      </c>
      <c r="BX36" s="745">
        <f t="shared" si="0"/>
        <v>-1.6920000000000002</v>
      </c>
      <c r="BY36" s="744">
        <f>-15.795-29.508</f>
        <v>-45.302999999999997</v>
      </c>
      <c r="BZ36" s="745">
        <f>4.234-33.107</f>
        <v>-28.872999999999998</v>
      </c>
      <c r="CA36" s="745">
        <f>14.604-BZ36-8.616</f>
        <v>34.860999999999997</v>
      </c>
      <c r="CB36" s="745">
        <f>9.365-4.635-CA36-BZ36</f>
        <v>-1.2579999999999991</v>
      </c>
      <c r="CC36" s="745">
        <f t="shared" si="3"/>
        <v>17.754000000000001</v>
      </c>
      <c r="CD36" s="746">
        <f>11.364+11.12</f>
        <v>22.484000000000002</v>
      </c>
      <c r="CE36" s="745">
        <f>-12.313-41.654</f>
        <v>-53.967000000000006</v>
      </c>
      <c r="CF36" s="745">
        <f>-7.14-24.904-CE36</f>
        <v>21.923000000000009</v>
      </c>
      <c r="CG36" s="745">
        <f>0.85-43.289-SUM(CE36:CF36)</f>
        <v>-10.395000000000003</v>
      </c>
      <c r="CH36" s="745">
        <f>CI36-CG36-CF36-CE36</f>
        <v>-9.732999999999997</v>
      </c>
      <c r="CI36" s="746">
        <f>-9.266-42.906</f>
        <v>-52.171999999999997</v>
      </c>
      <c r="CJ36" s="745">
        <f>-2.409-22.172</f>
        <v>-24.581</v>
      </c>
      <c r="CK36" s="745">
        <f>0.776-21.728-CJ36</f>
        <v>3.6289999999999978</v>
      </c>
      <c r="CL36" s="745">
        <f>-2.715+10.445-SUM(CJ36:CK36)</f>
        <v>28.682000000000002</v>
      </c>
      <c r="CM36" s="745">
        <f t="shared" si="5"/>
        <v>3.9599999999999991</v>
      </c>
      <c r="CN36" s="746">
        <f>-0.38+12.07</f>
        <v>11.69</v>
      </c>
      <c r="CO36" s="745">
        <f>-3.012-34.227</f>
        <v>-37.238999999999997</v>
      </c>
      <c r="CP36" s="745">
        <f>-3.699-42.401-CO36</f>
        <v>-8.8610000000000042</v>
      </c>
      <c r="CQ36" s="745">
        <f>-3.347-40.615-CP36-CO36</f>
        <v>2.1379999999999981</v>
      </c>
      <c r="CR36" s="745">
        <f t="shared" si="6"/>
        <v>5.3250000000000099</v>
      </c>
      <c r="CS36" s="746">
        <f>-3.105-35.532</f>
        <v>-38.636999999999993</v>
      </c>
      <c r="CT36" s="745">
        <f>4.043-24.753</f>
        <v>-20.71</v>
      </c>
      <c r="CU36" s="745">
        <f>-27.19 - 29.108 +10.664-CT36</f>
        <v>-24.923999999999999</v>
      </c>
      <c r="CV36" s="745">
        <f>9.212-14.662-CU36-CT36</f>
        <v>40.183999999999997</v>
      </c>
      <c r="CW36" s="745">
        <f>CX36-SUM(CT36:CV36)</f>
        <v>-10.760999999999996</v>
      </c>
      <c r="CX36" s="746">
        <f>-7.787-8.424</f>
        <v>-16.210999999999999</v>
      </c>
      <c r="CY36" s="745">
        <f>0.854+-18.998</f>
        <v>-18.144000000000002</v>
      </c>
      <c r="CZ36" s="745">
        <f>-1.884+5.867-CY36</f>
        <v>22.127000000000002</v>
      </c>
      <c r="DA36" s="745">
        <f>-6.412+5.677-CZ36-CY36</f>
        <v>-4.718</v>
      </c>
      <c r="DB36" s="745">
        <f>DC36-SUM(CY36:DA36)</f>
        <v>12.796999999999999</v>
      </c>
      <c r="DC36" s="746">
        <f>18.697-6.635</f>
        <v>12.061999999999999</v>
      </c>
      <c r="DD36" s="745">
        <f>-2.485-21.18</f>
        <v>-23.664999999999999</v>
      </c>
      <c r="DE36" s="745">
        <f>-4.484-4.051-DD36</f>
        <v>15.129999999999999</v>
      </c>
      <c r="DF36" s="745">
        <f>-1.557+3.039-SUM(DD36:DE36)</f>
        <v>10.016999999999999</v>
      </c>
      <c r="DG36" s="745">
        <f>DH36-SUM(DD36:DF36)</f>
        <v>1.2100000000000009</v>
      </c>
      <c r="DH36" s="746">
        <f>-2.29+4.982</f>
        <v>2.6920000000000002</v>
      </c>
      <c r="DI36" s="745">
        <f>('Balance Sheet '!DI34-'Balance Sheet '!DH34)+('Balance Sheet '!DH35-'Balance Sheet '!DI35)</f>
        <v>5.0366192208373697</v>
      </c>
      <c r="DJ36" s="745">
        <f>('Balance Sheet '!DJ34-'Balance Sheet '!DI34)+('Balance Sheet '!DI35-'Balance Sheet '!DJ35)</f>
        <v>1.1214554161296491</v>
      </c>
      <c r="DK36" s="745">
        <f>('Balance Sheet '!DK34-'Balance Sheet '!DJ34)+('Balance Sheet '!DJ35-'Balance Sheet '!DK35)</f>
        <v>1.732581175574019</v>
      </c>
      <c r="DL36" s="745">
        <f>('Balance Sheet '!DL34-'Balance Sheet '!DK34)+('Balance Sheet '!DK35-'Balance Sheet '!DL35)</f>
        <v>-4.4314323301327505</v>
      </c>
      <c r="DM36" s="746">
        <f>SUM(DI36:DL36)</f>
        <v>3.4592234824082873</v>
      </c>
      <c r="DN36" s="745">
        <f>('Balance Sheet '!DN34-'Balance Sheet '!DM34)+('Balance Sheet '!DM35-'Balance Sheet '!DN35)</f>
        <v>6.5292837722563775</v>
      </c>
      <c r="DO36" s="745">
        <f>('Balance Sheet '!DO34-'Balance Sheet '!DN34)+('Balance Sheet '!DN35-'Balance Sheet '!DO35)</f>
        <v>1.1500602344733153</v>
      </c>
      <c r="DP36" s="745">
        <f>('Balance Sheet '!DP34-'Balance Sheet '!DO34)+('Balance Sheet '!DO35-'Balance Sheet '!DP35)</f>
        <v>2.0141172825863478</v>
      </c>
      <c r="DQ36" s="745">
        <f>('Balance Sheet '!DQ34-'Balance Sheet '!DP34)+('Balance Sheet '!DP35-'Balance Sheet '!DQ35)</f>
        <v>-4.4685122293680806</v>
      </c>
      <c r="DR36" s="746">
        <f>SUM(DN36:DQ36)</f>
        <v>5.22494905994796</v>
      </c>
      <c r="DS36" s="745">
        <f>('Balance Sheet '!DS34-'Balance Sheet '!DR34)+('Balance Sheet '!DR35-'Balance Sheet '!DS35)</f>
        <v>4.1014956659578417</v>
      </c>
      <c r="DT36" s="745">
        <f>('Balance Sheet '!DT34-'Balance Sheet '!DS34)+('Balance Sheet '!DS35-'Balance Sheet '!DT35)</f>
        <v>1.0795266754005226</v>
      </c>
      <c r="DU36" s="745">
        <f>('Balance Sheet '!DU34-'Balance Sheet '!DT34)+('Balance Sheet '!DT35-'Balance Sheet '!DU35)</f>
        <v>2.270674011762928</v>
      </c>
      <c r="DV36" s="745">
        <f>('Balance Sheet '!DV34-'Balance Sheet '!DU34)+('Balance Sheet '!DU35-'Balance Sheet '!DV35)</f>
        <v>-4.3867995743905439</v>
      </c>
      <c r="DW36" s="746">
        <f>SUM(DS36:DV36)</f>
        <v>3.0648967787307484</v>
      </c>
    </row>
    <row r="37" spans="1:139">
      <c r="A37" s="990" t="s">
        <v>224</v>
      </c>
      <c r="B37" s="991"/>
      <c r="C37" s="992"/>
      <c r="D37" s="993"/>
      <c r="E37" s="993"/>
      <c r="F37" s="993"/>
      <c r="G37" s="994"/>
      <c r="H37" s="993"/>
      <c r="I37" s="993"/>
      <c r="J37" s="993"/>
      <c r="K37" s="993"/>
      <c r="L37" s="994"/>
      <c r="M37" s="993"/>
      <c r="N37" s="995"/>
      <c r="O37" s="995"/>
      <c r="P37" s="995"/>
      <c r="Q37" s="994"/>
      <c r="R37" s="993"/>
      <c r="S37" s="993"/>
      <c r="T37" s="993"/>
      <c r="U37" s="993"/>
      <c r="V37" s="994"/>
      <c r="W37" s="993"/>
      <c r="X37" s="993"/>
      <c r="Y37" s="993"/>
      <c r="Z37" s="993"/>
      <c r="AA37" s="994"/>
      <c r="AB37" s="993"/>
      <c r="AC37" s="993"/>
      <c r="AD37" s="993"/>
      <c r="AE37" s="993"/>
      <c r="AF37" s="994"/>
      <c r="AG37" s="993"/>
      <c r="AH37" s="993"/>
      <c r="AI37" s="993"/>
      <c r="AJ37" s="993"/>
      <c r="AK37" s="994"/>
      <c r="AL37" s="993"/>
      <c r="AM37" s="993"/>
      <c r="AN37" s="993"/>
      <c r="AO37" s="993"/>
      <c r="AP37" s="994"/>
      <c r="AQ37" s="993"/>
      <c r="AR37" s="993"/>
      <c r="AS37" s="993"/>
      <c r="AT37" s="993"/>
      <c r="AU37" s="994"/>
      <c r="AV37" s="993"/>
      <c r="AW37" s="993"/>
      <c r="AX37" s="993"/>
      <c r="AY37" s="993"/>
      <c r="AZ37" s="994"/>
      <c r="BA37" s="993"/>
      <c r="BB37" s="993"/>
      <c r="BC37" s="993"/>
      <c r="BD37" s="993"/>
      <c r="BE37" s="996">
        <f t="shared" ref="BE37:BJ37" si="30">SUM(BE10:BE36)</f>
        <v>602.05099999999982</v>
      </c>
      <c r="BF37" s="997">
        <f t="shared" si="30"/>
        <v>-2.7539999999999978</v>
      </c>
      <c r="BG37" s="997">
        <f t="shared" si="30"/>
        <v>30.304000000000006</v>
      </c>
      <c r="BH37" s="997">
        <f t="shared" si="30"/>
        <v>12.619999999999994</v>
      </c>
      <c r="BI37" s="997">
        <f t="shared" si="30"/>
        <v>12.253999999999994</v>
      </c>
      <c r="BJ37" s="996">
        <f t="shared" si="30"/>
        <v>20.804000000000006</v>
      </c>
      <c r="BK37" s="997">
        <f t="shared" ref="BK37:CP37" si="31">SUM(BK10:BK31)</f>
        <v>16.932999999999989</v>
      </c>
      <c r="BL37" s="997">
        <f t="shared" si="31"/>
        <v>6.0340000000000042</v>
      </c>
      <c r="BM37" s="997">
        <f t="shared" si="31"/>
        <v>19.489000000000004</v>
      </c>
      <c r="BN37" s="998">
        <f t="shared" si="31"/>
        <v>31.149000000000054</v>
      </c>
      <c r="BO37" s="999">
        <f t="shared" si="31"/>
        <v>73.60499999999999</v>
      </c>
      <c r="BP37" s="997">
        <f t="shared" si="31"/>
        <v>58.264000000000003</v>
      </c>
      <c r="BQ37" s="997">
        <f t="shared" si="31"/>
        <v>88.183999999999997</v>
      </c>
      <c r="BR37" s="997">
        <f t="shared" si="31"/>
        <v>104.85299999999998</v>
      </c>
      <c r="BS37" s="998">
        <f t="shared" si="31"/>
        <v>47.497000000000014</v>
      </c>
      <c r="BT37" s="1000">
        <f t="shared" si="31"/>
        <v>298.79799999999989</v>
      </c>
      <c r="BU37" s="997">
        <f t="shared" si="31"/>
        <v>35.241</v>
      </c>
      <c r="BV37" s="997">
        <f t="shared" si="31"/>
        <v>66.967999999999975</v>
      </c>
      <c r="BW37" s="997">
        <f t="shared" si="31"/>
        <v>65.163000000000011</v>
      </c>
      <c r="BX37" s="998">
        <f t="shared" si="31"/>
        <v>58.877999999999979</v>
      </c>
      <c r="BY37" s="999">
        <f t="shared" si="31"/>
        <v>226.25</v>
      </c>
      <c r="BZ37" s="1001">
        <f t="shared" si="31"/>
        <v>53.462999999999994</v>
      </c>
      <c r="CA37" s="1001">
        <f t="shared" si="31"/>
        <v>79.135999999999996</v>
      </c>
      <c r="CB37" s="1001">
        <f t="shared" si="31"/>
        <v>49.503999999999991</v>
      </c>
      <c r="CC37" s="1001">
        <f t="shared" si="31"/>
        <v>64.61399999999999</v>
      </c>
      <c r="CD37" s="1002">
        <f t="shared" si="31"/>
        <v>246.71699999999996</v>
      </c>
      <c r="CE37" s="1003">
        <f t="shared" si="31"/>
        <v>-15.143999999999998</v>
      </c>
      <c r="CF37" s="1003">
        <f t="shared" si="31"/>
        <v>83.674000000000021</v>
      </c>
      <c r="CG37" s="1003">
        <f t="shared" si="31"/>
        <v>56.101000000000013</v>
      </c>
      <c r="CH37" s="1003">
        <f t="shared" si="31"/>
        <v>65.783999999999963</v>
      </c>
      <c r="CI37" s="1002">
        <f t="shared" si="31"/>
        <v>190.41500000000008</v>
      </c>
      <c r="CJ37" s="997">
        <f t="shared" si="31"/>
        <v>32.604000000000006</v>
      </c>
      <c r="CK37" s="997">
        <f t="shared" si="31"/>
        <v>110.76000000000002</v>
      </c>
      <c r="CL37" s="997">
        <f t="shared" si="31"/>
        <v>109.32700000000001</v>
      </c>
      <c r="CM37" s="998">
        <f t="shared" si="31"/>
        <v>77.155999999999963</v>
      </c>
      <c r="CN37" s="1002">
        <f t="shared" si="31"/>
        <v>329.84699999999998</v>
      </c>
      <c r="CO37" s="997">
        <f t="shared" si="31"/>
        <v>14.740999999999985</v>
      </c>
      <c r="CP37" s="997">
        <f t="shared" si="31"/>
        <v>66.268000000000001</v>
      </c>
      <c r="CQ37" s="997">
        <f t="shared" ref="CQ37:DW37" si="32">SUM(CQ10:CQ31)</f>
        <v>101.58700000000002</v>
      </c>
      <c r="CR37" s="998">
        <f t="shared" si="32"/>
        <v>72.180000000000021</v>
      </c>
      <c r="CS37" s="1002">
        <f t="shared" si="32"/>
        <v>254.77600000000004</v>
      </c>
      <c r="CT37" s="997">
        <f t="shared" si="32"/>
        <v>21.739999999999995</v>
      </c>
      <c r="CU37" s="997">
        <f t="shared" si="32"/>
        <v>31.374000000000024</v>
      </c>
      <c r="CV37" s="997">
        <f>SUM(CV10:CV31)</f>
        <v>65.514999999999986</v>
      </c>
      <c r="CW37" s="998">
        <f t="shared" si="32"/>
        <v>93.804999999999993</v>
      </c>
      <c r="CX37" s="1223">
        <f t="shared" si="32"/>
        <v>212.47999999999996</v>
      </c>
      <c r="CY37" s="997">
        <f>SUM(CY10:CY31)</f>
        <v>47.274000000000001</v>
      </c>
      <c r="CZ37" s="997">
        <f t="shared" si="32"/>
        <v>53.594000000000015</v>
      </c>
      <c r="DA37" s="997">
        <f>SUM(DA10:DA31)</f>
        <v>29.789999999999985</v>
      </c>
      <c r="DB37" s="998">
        <f t="shared" si="32"/>
        <v>50.563999999999986</v>
      </c>
      <c r="DC37" s="1223">
        <f t="shared" si="32"/>
        <v>181.40800000000002</v>
      </c>
      <c r="DD37" s="997">
        <f t="shared" si="32"/>
        <v>38.652000000000001</v>
      </c>
      <c r="DE37" s="997">
        <f t="shared" si="32"/>
        <v>81.930999999999997</v>
      </c>
      <c r="DF37" s="997">
        <f t="shared" si="32"/>
        <v>56.160000000000004</v>
      </c>
      <c r="DG37" s="998">
        <f t="shared" ref="DG37" si="33">SUM(DG10:DG31)</f>
        <v>74.966000000000079</v>
      </c>
      <c r="DH37" s="1002">
        <f t="shared" si="32"/>
        <v>251.64000000000004</v>
      </c>
      <c r="DI37" s="997">
        <f t="shared" si="32"/>
        <v>107.6994656737603</v>
      </c>
      <c r="DJ37" s="997">
        <f t="shared" si="32"/>
        <v>64.541286356006523</v>
      </c>
      <c r="DK37" s="997">
        <f t="shared" si="32"/>
        <v>66.637039951397369</v>
      </c>
      <c r="DL37" s="998">
        <f t="shared" si="32"/>
        <v>61.309683284419997</v>
      </c>
      <c r="DM37" s="1002">
        <f t="shared" si="32"/>
        <v>300.18747526558423</v>
      </c>
      <c r="DN37" s="997">
        <f t="shared" si="32"/>
        <v>104.12453473625743</v>
      </c>
      <c r="DO37" s="997">
        <f t="shared" si="32"/>
        <v>74.669652670587411</v>
      </c>
      <c r="DP37" s="997">
        <f t="shared" si="32"/>
        <v>75.835349617188655</v>
      </c>
      <c r="DQ37" s="998">
        <f t="shared" si="32"/>
        <v>69.992591892794252</v>
      </c>
      <c r="DR37" s="1002">
        <f t="shared" si="32"/>
        <v>324.62212891682776</v>
      </c>
      <c r="DS37" s="997">
        <f t="shared" si="32"/>
        <v>114.3455108692866</v>
      </c>
      <c r="DT37" s="997">
        <f t="shared" si="32"/>
        <v>84.215274918830403</v>
      </c>
      <c r="DU37" s="997">
        <f t="shared" si="32"/>
        <v>84.462071953211336</v>
      </c>
      <c r="DV37" s="998">
        <f t="shared" si="32"/>
        <v>78.359803593952989</v>
      </c>
      <c r="DW37" s="1002">
        <f t="shared" si="32"/>
        <v>361.38266133528128</v>
      </c>
      <c r="DX37" s="1246"/>
    </row>
    <row r="38" spans="1:139" s="49" customFormat="1">
      <c r="A38" s="754" t="s">
        <v>327</v>
      </c>
      <c r="B38" s="986"/>
      <c r="C38" s="987"/>
      <c r="D38" s="988"/>
      <c r="E38" s="988"/>
      <c r="F38" s="988"/>
      <c r="G38" s="989"/>
      <c r="H38" s="988"/>
      <c r="I38" s="988"/>
      <c r="J38" s="988"/>
      <c r="K38" s="988"/>
      <c r="L38" s="989"/>
      <c r="M38" s="988"/>
      <c r="N38" s="988"/>
      <c r="O38" s="988"/>
      <c r="P38" s="988"/>
      <c r="Q38" s="989"/>
      <c r="R38" s="988"/>
      <c r="S38" s="988"/>
      <c r="T38" s="988"/>
      <c r="U38" s="988"/>
      <c r="V38" s="989"/>
      <c r="W38" s="988"/>
      <c r="X38" s="988"/>
      <c r="Y38" s="988"/>
      <c r="Z38" s="988"/>
      <c r="AA38" s="989"/>
      <c r="AB38" s="988"/>
      <c r="AC38" s="988"/>
      <c r="AD38" s="988"/>
      <c r="AE38" s="988"/>
      <c r="AF38" s="989"/>
      <c r="AG38" s="987"/>
      <c r="AH38" s="988"/>
      <c r="AI38" s="988"/>
      <c r="AJ38" s="988"/>
      <c r="AK38" s="989"/>
      <c r="AL38" s="988"/>
      <c r="AM38" s="988"/>
      <c r="AN38" s="988"/>
      <c r="AO38" s="988"/>
      <c r="AP38" s="989"/>
      <c r="AQ38" s="988"/>
      <c r="AR38" s="988"/>
      <c r="AS38" s="988"/>
      <c r="AT38" s="988"/>
      <c r="AU38" s="989"/>
      <c r="AV38" s="988"/>
      <c r="AW38" s="988"/>
      <c r="AX38" s="988"/>
      <c r="AY38" s="988"/>
      <c r="AZ38" s="989"/>
      <c r="BA38" s="988"/>
      <c r="BB38" s="988"/>
      <c r="BC38" s="988"/>
      <c r="BD38" s="988"/>
      <c r="BE38" s="183"/>
      <c r="BF38" s="180"/>
      <c r="BG38" s="180"/>
      <c r="BH38" s="180"/>
      <c r="BI38" s="180"/>
      <c r="BJ38" s="744"/>
      <c r="BK38" s="760"/>
      <c r="BL38" s="745"/>
      <c r="BM38" s="745"/>
      <c r="BN38" s="817"/>
      <c r="BO38" s="818"/>
      <c r="BP38" s="760"/>
      <c r="BQ38" s="745"/>
      <c r="BR38" s="745"/>
      <c r="BS38" s="817"/>
      <c r="BT38" s="818"/>
      <c r="BU38" s="760"/>
      <c r="BV38" s="745"/>
      <c r="BW38" s="745"/>
      <c r="BX38" s="817"/>
      <c r="BY38" s="818"/>
      <c r="BZ38" s="760"/>
      <c r="CA38" s="745"/>
      <c r="CB38" s="745"/>
      <c r="CC38" s="817"/>
      <c r="CD38" s="861"/>
      <c r="CE38" s="760"/>
      <c r="CF38" s="745"/>
      <c r="CG38" s="745"/>
      <c r="CH38" s="817"/>
      <c r="CI38" s="861"/>
      <c r="CJ38" s="760"/>
      <c r="CK38" s="745"/>
      <c r="CL38" s="745"/>
      <c r="CM38" s="817"/>
      <c r="CN38" s="861">
        <f>329.847-CN37</f>
        <v>0</v>
      </c>
      <c r="CO38" s="760"/>
      <c r="CP38" s="745"/>
      <c r="CQ38" s="817"/>
      <c r="CR38" s="817"/>
      <c r="CS38" s="861"/>
      <c r="CT38" s="760"/>
      <c r="CU38" s="745"/>
      <c r="CV38" s="745"/>
      <c r="CW38" s="817"/>
      <c r="CX38" s="861"/>
      <c r="CY38" s="760"/>
      <c r="CZ38" s="745"/>
      <c r="DA38" s="745"/>
      <c r="DB38" s="817"/>
      <c r="DC38" s="861"/>
      <c r="DD38" s="760"/>
      <c r="DE38" s="745"/>
      <c r="DF38" s="745"/>
      <c r="DG38" s="817"/>
      <c r="DH38" s="861"/>
      <c r="DI38" s="760"/>
      <c r="DJ38" s="745"/>
      <c r="DK38" s="745"/>
      <c r="DL38" s="817"/>
      <c r="DM38" s="861"/>
      <c r="DN38" s="760"/>
      <c r="DO38" s="745"/>
      <c r="DP38" s="745"/>
      <c r="DQ38" s="817"/>
      <c r="DR38" s="861"/>
      <c r="DS38" s="760"/>
      <c r="DT38" s="745"/>
      <c r="DU38" s="745"/>
      <c r="DV38" s="817"/>
      <c r="DW38" s="861"/>
      <c r="ED38"/>
      <c r="EE38"/>
      <c r="EF38"/>
      <c r="EG38"/>
      <c r="EH38"/>
      <c r="EI38"/>
    </row>
    <row r="39" spans="1:139" s="49" customFormat="1">
      <c r="A39" s="749" t="s">
        <v>225</v>
      </c>
      <c r="B39" s="293"/>
      <c r="C39" s="81"/>
      <c r="D39" s="82"/>
      <c r="E39" s="82"/>
      <c r="F39" s="82"/>
      <c r="G39" s="506"/>
      <c r="H39" s="82"/>
      <c r="I39" s="82"/>
      <c r="J39" s="82"/>
      <c r="K39" s="82"/>
      <c r="L39" s="506"/>
      <c r="M39" s="82"/>
      <c r="N39" s="82"/>
      <c r="O39" s="82"/>
      <c r="P39" s="82"/>
      <c r="Q39" s="506"/>
      <c r="R39" s="82"/>
      <c r="S39" s="82"/>
      <c r="T39" s="82"/>
      <c r="U39" s="82"/>
      <c r="V39" s="506"/>
      <c r="W39" s="82"/>
      <c r="X39" s="82"/>
      <c r="Y39" s="82"/>
      <c r="Z39" s="82"/>
      <c r="AA39" s="506"/>
      <c r="AB39" s="82"/>
      <c r="AC39" s="82"/>
      <c r="AD39" s="82"/>
      <c r="AE39" s="82"/>
      <c r="AF39" s="506"/>
      <c r="AG39" s="82"/>
      <c r="AH39" s="82"/>
      <c r="AI39" s="82"/>
      <c r="AJ39" s="82"/>
      <c r="AK39" s="506"/>
      <c r="AL39" s="82"/>
      <c r="AM39" s="82"/>
      <c r="AN39" s="82"/>
      <c r="AO39" s="82"/>
      <c r="AP39" s="506"/>
      <c r="AQ39" s="82"/>
      <c r="AR39" s="82"/>
      <c r="AS39" s="82"/>
      <c r="AT39" s="82"/>
      <c r="AU39" s="506"/>
      <c r="AV39" s="82"/>
      <c r="AW39" s="82"/>
      <c r="AX39" s="82"/>
      <c r="AY39" s="82"/>
      <c r="AZ39" s="506"/>
      <c r="BA39" s="82"/>
      <c r="BB39" s="82"/>
      <c r="BC39" s="82"/>
      <c r="BD39" s="82"/>
      <c r="BE39" s="739">
        <v>-80.25</v>
      </c>
      <c r="BF39" s="740">
        <v>-16.515000000000001</v>
      </c>
      <c r="BG39" s="740">
        <f>-34.154-BF39</f>
        <v>-17.639000000000003</v>
      </c>
      <c r="BH39" s="740">
        <f>-56.27-BG39-BF39</f>
        <v>-22.116</v>
      </c>
      <c r="BI39" s="740">
        <f>BJ39-BH39-BG39-BF39</f>
        <v>-16.719999999999992</v>
      </c>
      <c r="BJ39" s="739">
        <v>-72.989999999999995</v>
      </c>
      <c r="BK39" s="740">
        <v>-16.77</v>
      </c>
      <c r="BL39" s="740">
        <f>-40.443-BK39</f>
        <v>-23.672999999999998</v>
      </c>
      <c r="BM39" s="740">
        <f>-58.401-BL39-BK39</f>
        <v>-17.958000000000009</v>
      </c>
      <c r="BN39" s="740">
        <f t="shared" ref="BN39:BN45" si="34">BO39-BM39-BL39-BK39</f>
        <v>-48.587999999999994</v>
      </c>
      <c r="BO39" s="739">
        <v>-106.989</v>
      </c>
      <c r="BP39" s="110">
        <v>-17.202999999999999</v>
      </c>
      <c r="BQ39" s="110">
        <f>-40.015-BP39</f>
        <v>-22.812000000000001</v>
      </c>
      <c r="BR39" s="110">
        <f>-65.28-BQ39-BP39</f>
        <v>-25.265000000000004</v>
      </c>
      <c r="BS39" s="110">
        <f t="shared" ref="BS39:BS45" si="35">BT39-BR39-BQ39-BP39</f>
        <v>-36.634</v>
      </c>
      <c r="BT39" s="547">
        <v>-101.914</v>
      </c>
      <c r="BU39" s="110">
        <v>-27.143000000000001</v>
      </c>
      <c r="BV39" s="110">
        <f>-52.73-BU39</f>
        <v>-25.586999999999996</v>
      </c>
      <c r="BW39" s="110">
        <f>-94.736-BV39-BU39</f>
        <v>-42.006</v>
      </c>
      <c r="BX39" s="110">
        <f t="shared" ref="BX39:BX45" si="36">BY39-BW39-BV39-BU39</f>
        <v>-53.233000000000004</v>
      </c>
      <c r="BY39" s="547">
        <v>-147.96899999999999</v>
      </c>
      <c r="BZ39" s="110">
        <v>-28.568000000000001</v>
      </c>
      <c r="CA39" s="110">
        <f>-55.966-BZ39</f>
        <v>-27.398</v>
      </c>
      <c r="CB39" s="110">
        <f>-91.913-CA39-BZ39</f>
        <v>-35.947000000000003</v>
      </c>
      <c r="CC39" s="110">
        <f t="shared" ref="CC39:CC45" si="37">CD39-CB39-CA39-BZ39</f>
        <v>-54.850000000000009</v>
      </c>
      <c r="CD39" s="547">
        <v>-146.76300000000001</v>
      </c>
      <c r="CE39" s="110">
        <v>-46.997999999999998</v>
      </c>
      <c r="CF39" s="110">
        <f>-84.079-CE39</f>
        <v>-37.080999999999996</v>
      </c>
      <c r="CG39" s="110">
        <f>-126.325-SUM(CE39:CF39)</f>
        <v>-42.246000000000009</v>
      </c>
      <c r="CH39" s="110">
        <f t="shared" ref="CH39:CH45" si="38">CI39-CG39-CF39-CE39</f>
        <v>-71.265000000000015</v>
      </c>
      <c r="CI39" s="547">
        <v>-197.59</v>
      </c>
      <c r="CJ39" s="110">
        <v>-39.976999999999997</v>
      </c>
      <c r="CK39" s="110">
        <f>-81.77-CJ39</f>
        <v>-41.792999999999999</v>
      </c>
      <c r="CL39" s="110">
        <f>-130.802-SUM(CJ39:CK39)</f>
        <v>-49.031999999999996</v>
      </c>
      <c r="CM39" s="110">
        <f t="shared" ref="CM39:CM45" si="39">CN39-SUM(CJ39:CL39)</f>
        <v>-93.443000000000012</v>
      </c>
      <c r="CN39" s="547">
        <v>-224.245</v>
      </c>
      <c r="CO39" s="110">
        <v>-53.058</v>
      </c>
      <c r="CP39" s="110">
        <f>-114.521-CO39</f>
        <v>-61.463000000000001</v>
      </c>
      <c r="CQ39" s="110">
        <f>-197.886-CP39-CO39</f>
        <v>-83.365000000000009</v>
      </c>
      <c r="CR39" s="110">
        <f t="shared" ref="CR39:CR45" si="40">CS39-SUM(CO39:CQ39)</f>
        <v>-100.58499999999998</v>
      </c>
      <c r="CS39" s="547">
        <f>-298.471</f>
        <v>-298.471</v>
      </c>
      <c r="CT39" s="110">
        <v>-61.28</v>
      </c>
      <c r="CU39" s="110">
        <f>-130.548-CT39</f>
        <v>-69.268000000000001</v>
      </c>
      <c r="CV39" s="110">
        <f>-188.246-CU39-CT39</f>
        <v>-57.698000000000008</v>
      </c>
      <c r="CW39" s="110">
        <f t="shared" ref="CW39:CW45" si="41">CX39-SUM(CT39:CV39)</f>
        <v>-63.376000000000005</v>
      </c>
      <c r="CX39" s="547">
        <v>-251.62200000000001</v>
      </c>
      <c r="CY39" s="515">
        <v>-38.857999999999997</v>
      </c>
      <c r="CZ39" s="515">
        <f>-68.495-CY39</f>
        <v>-29.637000000000008</v>
      </c>
      <c r="DA39" s="110">
        <f>-108.744-CZ39-CY39</f>
        <v>-40.249000000000002</v>
      </c>
      <c r="DB39" s="110">
        <f t="shared" ref="DB39:DB45" si="42">DC39-SUM(CY39:DA39)</f>
        <v>-41.278999999999996</v>
      </c>
      <c r="DC39" s="547">
        <v>-150.023</v>
      </c>
      <c r="DD39" s="110">
        <v>-14.811</v>
      </c>
      <c r="DE39" s="110">
        <f>-32.117-DD39</f>
        <v>-17.305999999999997</v>
      </c>
      <c r="DF39" s="110">
        <f>-53.711-SUM(DD39:DE39)</f>
        <v>-21.594000000000001</v>
      </c>
      <c r="DG39" s="110">
        <f t="shared" ref="DG39:DG45" si="43">DH39-SUM(DD39:DF39)</f>
        <v>-27.998999999999995</v>
      </c>
      <c r="DH39" s="547">
        <v>-81.709999999999994</v>
      </c>
      <c r="DI39" s="115">
        <f>-DI95</f>
        <v>-18.80078125</v>
      </c>
      <c r="DJ39" s="115">
        <f>-DJ95</f>
        <v>-18.80828125</v>
      </c>
      <c r="DK39" s="115">
        <f>-DK95</f>
        <v>-18.815781250000001</v>
      </c>
      <c r="DL39" s="115">
        <f>-DL95</f>
        <v>-18.823281250000001</v>
      </c>
      <c r="DM39" s="547">
        <f>SUM(DI39:DL39)</f>
        <v>-75.248125000000002</v>
      </c>
      <c r="DN39" s="115">
        <f>-DN95</f>
        <v>-17.498124999999998</v>
      </c>
      <c r="DO39" s="115">
        <f>-DO95</f>
        <v>-17.510624999999997</v>
      </c>
      <c r="DP39" s="115">
        <f>-DP95</f>
        <v>-17.523125</v>
      </c>
      <c r="DQ39" s="115">
        <f>-DQ95</f>
        <v>-17.535624999999996</v>
      </c>
      <c r="DR39" s="547">
        <f>SUM(DN39:DQ39)</f>
        <v>-70.067499999999995</v>
      </c>
      <c r="DS39" s="115">
        <f>-DS95</f>
        <v>-16.142968749999998</v>
      </c>
      <c r="DT39" s="115">
        <f>-DT95</f>
        <v>-16.161718749999999</v>
      </c>
      <c r="DU39" s="115">
        <f>-DU95</f>
        <v>-16.180468749999999</v>
      </c>
      <c r="DV39" s="115">
        <f>-DV95</f>
        <v>-16.19921875</v>
      </c>
      <c r="DW39" s="547">
        <f t="shared" ref="DW39:DW45" si="44">SUM(DS39:DV39)</f>
        <v>-64.684375000000003</v>
      </c>
      <c r="DX39" s="1045"/>
      <c r="ED39"/>
      <c r="EE39"/>
      <c r="EF39"/>
      <c r="EG39"/>
      <c r="EH39"/>
      <c r="EI39"/>
    </row>
    <row r="40" spans="1:139">
      <c r="A40" s="748" t="s">
        <v>226</v>
      </c>
      <c r="B40" s="328"/>
      <c r="C40" s="301"/>
      <c r="D40" s="321"/>
      <c r="E40" s="321"/>
      <c r="F40" s="321"/>
      <c r="G40" s="322"/>
      <c r="H40" s="321"/>
      <c r="I40" s="321"/>
      <c r="J40" s="321"/>
      <c r="K40" s="321"/>
      <c r="L40" s="322"/>
      <c r="M40" s="321"/>
      <c r="N40" s="321"/>
      <c r="O40" s="321"/>
      <c r="P40" s="321"/>
      <c r="Q40" s="322"/>
      <c r="R40" s="321"/>
      <c r="S40" s="321"/>
      <c r="T40" s="321"/>
      <c r="U40" s="321"/>
      <c r="V40" s="322"/>
      <c r="W40" s="321"/>
      <c r="X40" s="324"/>
      <c r="Y40" s="324"/>
      <c r="Z40" s="321"/>
      <c r="AA40" s="322"/>
      <c r="AB40" s="325"/>
      <c r="AC40" s="325"/>
      <c r="AD40" s="325"/>
      <c r="AE40" s="325"/>
      <c r="AF40" s="326"/>
      <c r="AG40" s="325"/>
      <c r="AH40" s="325"/>
      <c r="AI40" s="325"/>
      <c r="AJ40" s="325"/>
      <c r="AK40" s="326"/>
      <c r="AL40" s="325"/>
      <c r="AM40" s="325"/>
      <c r="AN40" s="325"/>
      <c r="AO40" s="325"/>
      <c r="AP40" s="326"/>
      <c r="AQ40" s="325"/>
      <c r="AR40" s="325"/>
      <c r="AS40" s="325"/>
      <c r="AT40" s="325"/>
      <c r="AU40" s="326"/>
      <c r="AV40" s="327"/>
      <c r="AW40" s="305"/>
      <c r="AX40" s="307"/>
      <c r="AY40" s="325"/>
      <c r="AZ40" s="326"/>
      <c r="BA40" s="327"/>
      <c r="BB40" s="327"/>
      <c r="BC40" s="325"/>
      <c r="BD40" s="325"/>
      <c r="BE40" s="744">
        <v>-2.8860000000000001</v>
      </c>
      <c r="BF40" s="745">
        <v>-0.83799999999999997</v>
      </c>
      <c r="BG40" s="745">
        <f>-1.254-BF40</f>
        <v>-0.41600000000000004</v>
      </c>
      <c r="BH40" s="745">
        <f>-1.529-BG40-BF40</f>
        <v>-0.27500000000000002</v>
      </c>
      <c r="BI40" s="745">
        <f>BJ40-BH40-BG40-BF40</f>
        <v>-2.5650000000000004</v>
      </c>
      <c r="BJ40" s="744">
        <v>-4.0940000000000003</v>
      </c>
      <c r="BK40" s="745">
        <v>-9.4860000000000007</v>
      </c>
      <c r="BL40" s="745">
        <f>-9.537-BK40</f>
        <v>-5.1000000000000156E-2</v>
      </c>
      <c r="BM40" s="745">
        <f>-9.54-BL40-BK40</f>
        <v>-2.9999999999983373E-3</v>
      </c>
      <c r="BN40" s="745">
        <f t="shared" si="34"/>
        <v>-8.2000000000000739E-2</v>
      </c>
      <c r="BO40" s="744">
        <v>-9.6219999999999999</v>
      </c>
      <c r="BP40" s="745">
        <v>0</v>
      </c>
      <c r="BQ40" s="745">
        <v>0</v>
      </c>
      <c r="BR40" s="745">
        <v>0</v>
      </c>
      <c r="BS40" s="745">
        <f t="shared" si="35"/>
        <v>-2.3570000000000002</v>
      </c>
      <c r="BT40" s="744">
        <v>-2.3570000000000002</v>
      </c>
      <c r="BU40" s="745">
        <v>0</v>
      </c>
      <c r="BV40" s="745">
        <v>0</v>
      </c>
      <c r="BW40" s="745">
        <v>0</v>
      </c>
      <c r="BX40" s="745">
        <f t="shared" si="36"/>
        <v>0</v>
      </c>
      <c r="BY40" s="744">
        <v>0</v>
      </c>
      <c r="BZ40" s="745">
        <v>0</v>
      </c>
      <c r="CA40" s="745">
        <v>-6.6130000000000004</v>
      </c>
      <c r="CB40" s="745">
        <f>-6.613-CA40-BZ40</f>
        <v>0</v>
      </c>
      <c r="CC40" s="745">
        <f t="shared" si="37"/>
        <v>-4.5970000000000004</v>
      </c>
      <c r="CD40" s="746">
        <v>-11.21</v>
      </c>
      <c r="CE40" s="745">
        <v>0</v>
      </c>
      <c r="CF40" s="745">
        <f>-21.779-CE40</f>
        <v>-21.779</v>
      </c>
      <c r="CG40" s="745">
        <f>-40.594-SUM(CE40:CF40)</f>
        <v>-18.815000000000001</v>
      </c>
      <c r="CH40" s="745">
        <f t="shared" si="38"/>
        <v>-1.3999999999995794E-2</v>
      </c>
      <c r="CI40" s="746">
        <v>-40.607999999999997</v>
      </c>
      <c r="CJ40" s="745">
        <v>0</v>
      </c>
      <c r="CK40" s="745">
        <f>-0.812</f>
        <v>-0.81200000000000006</v>
      </c>
      <c r="CL40" s="745">
        <f>-1.812-CK40</f>
        <v>-1</v>
      </c>
      <c r="CM40" s="745">
        <f t="shared" si="39"/>
        <v>-2.8</v>
      </c>
      <c r="CN40" s="746">
        <v>-4.6120000000000001</v>
      </c>
      <c r="CO40" s="745">
        <v>0</v>
      </c>
      <c r="CP40" s="745">
        <f>-2.335-CO40</f>
        <v>-2.335</v>
      </c>
      <c r="CQ40" s="745">
        <f>-5.949-CP40-CO40</f>
        <v>-3.6139999999999999</v>
      </c>
      <c r="CR40" s="745">
        <f t="shared" si="40"/>
        <v>-48.005000000000003</v>
      </c>
      <c r="CS40" s="746">
        <v>-53.954000000000001</v>
      </c>
      <c r="CT40" s="745">
        <v>-1.232</v>
      </c>
      <c r="CU40" s="745">
        <f>-1.232-CT40</f>
        <v>0</v>
      </c>
      <c r="CV40" s="745">
        <f>-1.232-CU40-CT40</f>
        <v>0</v>
      </c>
      <c r="CW40" s="745">
        <f t="shared" si="41"/>
        <v>0</v>
      </c>
      <c r="CX40" s="746">
        <v>-1.232</v>
      </c>
      <c r="CY40" s="745">
        <v>-2.2090000000000001</v>
      </c>
      <c r="CZ40" s="745">
        <f>-2.209-CY40</f>
        <v>0</v>
      </c>
      <c r="DA40" s="745">
        <f>-2.209-CZ40-CY40</f>
        <v>0</v>
      </c>
      <c r="DB40" s="745">
        <f t="shared" si="42"/>
        <v>0</v>
      </c>
      <c r="DC40" s="746">
        <v>-2.2090000000000001</v>
      </c>
      <c r="DD40" s="745">
        <v>0</v>
      </c>
      <c r="DE40" s="745">
        <v>-86.787999999999997</v>
      </c>
      <c r="DF40" s="745">
        <f>-86.788-SUM(DD40:DE40)</f>
        <v>0</v>
      </c>
      <c r="DG40" s="745">
        <f t="shared" si="43"/>
        <v>0</v>
      </c>
      <c r="DH40" s="746">
        <v>-86.787999999999997</v>
      </c>
      <c r="DI40" s="745">
        <v>0</v>
      </c>
      <c r="DJ40" s="745">
        <v>0</v>
      </c>
      <c r="DK40" s="745">
        <v>0</v>
      </c>
      <c r="DL40" s="745">
        <v>0</v>
      </c>
      <c r="DM40" s="746">
        <f t="shared" ref="DM40:DM45" si="45">SUM(DI40:DL40)</f>
        <v>0</v>
      </c>
      <c r="DN40" s="745">
        <v>0</v>
      </c>
      <c r="DO40" s="745">
        <v>0</v>
      </c>
      <c r="DP40" s="745">
        <v>0</v>
      </c>
      <c r="DQ40" s="745">
        <v>0</v>
      </c>
      <c r="DR40" s="746">
        <f t="shared" ref="DR40:DR45" si="46">SUM(DN40:DQ40)</f>
        <v>0</v>
      </c>
      <c r="DS40" s="745">
        <v>0</v>
      </c>
      <c r="DT40" s="745">
        <v>0</v>
      </c>
      <c r="DU40" s="745">
        <v>0</v>
      </c>
      <c r="DV40" s="745">
        <v>0</v>
      </c>
      <c r="DW40" s="746">
        <f t="shared" si="44"/>
        <v>0</v>
      </c>
      <c r="DX40" s="1045"/>
    </row>
    <row r="41" spans="1:139" ht="12" customHeight="1">
      <c r="A41" s="748" t="s">
        <v>107</v>
      </c>
      <c r="B41" s="301"/>
      <c r="C41" s="302"/>
      <c r="D41" s="303"/>
      <c r="E41" s="303"/>
      <c r="F41" s="303"/>
      <c r="G41" s="304"/>
      <c r="H41" s="303"/>
      <c r="I41" s="303"/>
      <c r="J41" s="303"/>
      <c r="K41" s="303"/>
      <c r="L41" s="304"/>
      <c r="M41" s="303"/>
      <c r="N41" s="303"/>
      <c r="O41" s="303"/>
      <c r="P41" s="92"/>
      <c r="Q41" s="304"/>
      <c r="R41" s="303"/>
      <c r="S41" s="303"/>
      <c r="T41" s="303"/>
      <c r="U41" s="92"/>
      <c r="V41" s="304"/>
      <c r="W41" s="303"/>
      <c r="X41" s="329"/>
      <c r="Y41" s="329"/>
      <c r="Z41" s="92"/>
      <c r="AA41" s="121"/>
      <c r="AB41" s="305"/>
      <c r="AC41" s="305"/>
      <c r="AD41" s="305"/>
      <c r="AE41" s="305"/>
      <c r="AF41" s="121"/>
      <c r="AG41" s="305"/>
      <c r="AH41" s="305"/>
      <c r="AI41" s="305"/>
      <c r="AJ41" s="88"/>
      <c r="AK41" s="121"/>
      <c r="AL41" s="305"/>
      <c r="AM41" s="305"/>
      <c r="AN41" s="305"/>
      <c r="AO41" s="88"/>
      <c r="AP41" s="121"/>
      <c r="AQ41" s="305"/>
      <c r="AR41" s="305"/>
      <c r="AS41" s="305"/>
      <c r="AT41" s="88"/>
      <c r="AU41" s="121"/>
      <c r="AV41" s="305"/>
      <c r="AW41" s="305"/>
      <c r="AX41" s="305"/>
      <c r="AY41" s="305"/>
      <c r="AZ41" s="121"/>
      <c r="BA41" s="305"/>
      <c r="BB41" s="200"/>
      <c r="BC41" s="305"/>
      <c r="BD41" s="305"/>
      <c r="BE41" s="744"/>
      <c r="BF41" s="745"/>
      <c r="BG41" s="745"/>
      <c r="BH41" s="745"/>
      <c r="BI41" s="745"/>
      <c r="BJ41" s="744"/>
      <c r="BK41" s="745"/>
      <c r="BL41" s="745"/>
      <c r="BM41" s="745"/>
      <c r="BN41" s="745">
        <f t="shared" si="34"/>
        <v>199.785</v>
      </c>
      <c r="BO41" s="744">
        <v>199.785</v>
      </c>
      <c r="BP41" s="745">
        <v>0</v>
      </c>
      <c r="BQ41" s="745">
        <v>0</v>
      </c>
      <c r="BR41" s="745">
        <v>0</v>
      </c>
      <c r="BS41" s="745">
        <f t="shared" si="35"/>
        <v>0</v>
      </c>
      <c r="BT41" s="744">
        <v>0</v>
      </c>
      <c r="BU41" s="745">
        <v>0</v>
      </c>
      <c r="BV41" s="745">
        <v>0</v>
      </c>
      <c r="BW41" s="745">
        <v>0</v>
      </c>
      <c r="BX41" s="745">
        <f t="shared" si="36"/>
        <v>0</v>
      </c>
      <c r="BY41" s="744">
        <v>0</v>
      </c>
      <c r="BZ41" s="745">
        <v>0</v>
      </c>
      <c r="CA41" s="745">
        <v>0</v>
      </c>
      <c r="CB41" s="745">
        <v>0</v>
      </c>
      <c r="CC41" s="745">
        <f t="shared" si="37"/>
        <v>0</v>
      </c>
      <c r="CD41" s="746">
        <v>0</v>
      </c>
      <c r="CE41" s="745">
        <v>0</v>
      </c>
      <c r="CF41" s="745">
        <f>0-CE41</f>
        <v>0</v>
      </c>
      <c r="CG41" s="745">
        <f>0-SUM(CE41:CF41)</f>
        <v>0</v>
      </c>
      <c r="CH41" s="745">
        <f t="shared" si="38"/>
        <v>0</v>
      </c>
      <c r="CI41" s="746">
        <v>0</v>
      </c>
      <c r="CJ41" s="745">
        <v>0</v>
      </c>
      <c r="CK41" s="745">
        <v>0</v>
      </c>
      <c r="CL41" s="745">
        <v>0</v>
      </c>
      <c r="CM41" s="745">
        <f t="shared" si="39"/>
        <v>0</v>
      </c>
      <c r="CN41" s="746">
        <v>0</v>
      </c>
      <c r="CO41" s="745">
        <v>0</v>
      </c>
      <c r="CP41" s="745">
        <v>0</v>
      </c>
      <c r="CQ41" s="745">
        <v>0</v>
      </c>
      <c r="CR41" s="745">
        <f t="shared" si="40"/>
        <v>0</v>
      </c>
      <c r="CS41" s="746">
        <v>0</v>
      </c>
      <c r="CT41" s="745">
        <v>0</v>
      </c>
      <c r="CU41" s="745">
        <v>0</v>
      </c>
      <c r="CV41" s="745">
        <v>0</v>
      </c>
      <c r="CW41" s="745">
        <f t="shared" si="41"/>
        <v>0</v>
      </c>
      <c r="CX41" s="746">
        <v>0</v>
      </c>
      <c r="CY41" s="745">
        <v>0</v>
      </c>
      <c r="CZ41" s="745">
        <v>0</v>
      </c>
      <c r="DA41" s="745">
        <v>0</v>
      </c>
      <c r="DB41" s="745">
        <f t="shared" si="42"/>
        <v>0</v>
      </c>
      <c r="DC41" s="746">
        <v>0</v>
      </c>
      <c r="DD41" s="745">
        <v>0</v>
      </c>
      <c r="DE41" s="745">
        <v>0</v>
      </c>
      <c r="DF41" s="745">
        <v>0</v>
      </c>
      <c r="DG41" s="745">
        <f t="shared" si="43"/>
        <v>0</v>
      </c>
      <c r="DH41" s="746">
        <v>0</v>
      </c>
      <c r="DI41" s="745">
        <v>0</v>
      </c>
      <c r="DJ41" s="745">
        <v>0</v>
      </c>
      <c r="DK41" s="745">
        <v>0</v>
      </c>
      <c r="DL41" s="745">
        <v>0</v>
      </c>
      <c r="DM41" s="746">
        <f t="shared" si="45"/>
        <v>0</v>
      </c>
      <c r="DN41" s="745">
        <v>0</v>
      </c>
      <c r="DO41" s="745">
        <v>0</v>
      </c>
      <c r="DP41" s="745">
        <v>0</v>
      </c>
      <c r="DQ41" s="745">
        <v>0</v>
      </c>
      <c r="DR41" s="746">
        <f t="shared" si="46"/>
        <v>0</v>
      </c>
      <c r="DS41" s="745">
        <v>0</v>
      </c>
      <c r="DT41" s="745">
        <v>0</v>
      </c>
      <c r="DU41" s="745">
        <v>0</v>
      </c>
      <c r="DV41" s="745">
        <v>0</v>
      </c>
      <c r="DW41" s="746">
        <f t="shared" si="44"/>
        <v>0</v>
      </c>
      <c r="DX41" s="1045"/>
    </row>
    <row r="42" spans="1:139" ht="12" customHeight="1">
      <c r="A42" s="748" t="s">
        <v>227</v>
      </c>
      <c r="B42" s="301"/>
      <c r="C42" s="302"/>
      <c r="D42" s="303"/>
      <c r="E42" s="303"/>
      <c r="F42" s="303"/>
      <c r="G42" s="304"/>
      <c r="H42" s="303"/>
      <c r="I42" s="303"/>
      <c r="J42" s="303"/>
      <c r="K42" s="303"/>
      <c r="L42" s="304"/>
      <c r="M42" s="303"/>
      <c r="N42" s="303"/>
      <c r="O42" s="303"/>
      <c r="P42" s="92"/>
      <c r="Q42" s="304"/>
      <c r="R42" s="303"/>
      <c r="S42" s="303"/>
      <c r="T42" s="303"/>
      <c r="U42" s="92"/>
      <c r="V42" s="304"/>
      <c r="W42" s="303"/>
      <c r="X42" s="329"/>
      <c r="Y42" s="329"/>
      <c r="Z42" s="92"/>
      <c r="AA42" s="121"/>
      <c r="AB42" s="305"/>
      <c r="AC42" s="305"/>
      <c r="AD42" s="305"/>
      <c r="AE42" s="305"/>
      <c r="AF42" s="121"/>
      <c r="AG42" s="305"/>
      <c r="AH42" s="305"/>
      <c r="AI42" s="305"/>
      <c r="AJ42" s="88"/>
      <c r="AK42" s="121"/>
      <c r="AL42" s="305"/>
      <c r="AM42" s="305"/>
      <c r="AN42" s="305"/>
      <c r="AO42" s="88"/>
      <c r="AP42" s="121"/>
      <c r="AQ42" s="305"/>
      <c r="AR42" s="305"/>
      <c r="AS42" s="305"/>
      <c r="AT42" s="88"/>
      <c r="AU42" s="121"/>
      <c r="AV42" s="305"/>
      <c r="AW42" s="305"/>
      <c r="AX42" s="305"/>
      <c r="AY42" s="305"/>
      <c r="AZ42" s="121"/>
      <c r="BA42" s="41"/>
      <c r="BB42" s="305"/>
      <c r="BC42" s="305"/>
      <c r="BD42" s="305"/>
      <c r="BE42" s="744">
        <v>0</v>
      </c>
      <c r="BF42" s="745">
        <v>0</v>
      </c>
      <c r="BG42" s="745">
        <v>0</v>
      </c>
      <c r="BH42" s="745">
        <v>0</v>
      </c>
      <c r="BI42" s="745">
        <f>BJ42-BH42-BG42-BF42</f>
        <v>0</v>
      </c>
      <c r="BJ42" s="744">
        <v>0</v>
      </c>
      <c r="BK42" s="745">
        <v>-1.65</v>
      </c>
      <c r="BL42" s="745">
        <f>-5.443-BK42</f>
        <v>-3.7929999999999997</v>
      </c>
      <c r="BM42" s="745">
        <f>-7.543-BL42-BK42</f>
        <v>-2.1000000000000005</v>
      </c>
      <c r="BN42" s="745">
        <f t="shared" si="34"/>
        <v>-10.859999999999998</v>
      </c>
      <c r="BO42" s="744">
        <v>-18.402999999999999</v>
      </c>
      <c r="BP42" s="745">
        <v>0</v>
      </c>
      <c r="BQ42" s="745">
        <v>0</v>
      </c>
      <c r="BR42" s="745">
        <v>0</v>
      </c>
      <c r="BS42" s="745">
        <f t="shared" si="35"/>
        <v>-0.60799999999999998</v>
      </c>
      <c r="BT42" s="744">
        <v>-0.60799999999999998</v>
      </c>
      <c r="BU42" s="745">
        <v>0</v>
      </c>
      <c r="BV42" s="745">
        <v>0</v>
      </c>
      <c r="BW42" s="745">
        <v>0</v>
      </c>
      <c r="BX42" s="745">
        <f t="shared" si="36"/>
        <v>0</v>
      </c>
      <c r="BY42" s="744">
        <v>0</v>
      </c>
      <c r="BZ42" s="745">
        <v>0</v>
      </c>
      <c r="CA42" s="745">
        <v>0</v>
      </c>
      <c r="CB42" s="745">
        <v>0</v>
      </c>
      <c r="CC42" s="745">
        <f t="shared" si="37"/>
        <v>0</v>
      </c>
      <c r="CD42" s="746">
        <v>0</v>
      </c>
      <c r="CE42" s="745">
        <v>0</v>
      </c>
      <c r="CF42" s="745">
        <f>0-CE42</f>
        <v>0</v>
      </c>
      <c r="CG42" s="745">
        <f>0-SUM(CE42:CF42)</f>
        <v>0</v>
      </c>
      <c r="CH42" s="745">
        <f t="shared" si="38"/>
        <v>0</v>
      </c>
      <c r="CI42" s="746">
        <v>0</v>
      </c>
      <c r="CJ42" s="745">
        <v>0</v>
      </c>
      <c r="CK42" s="745">
        <v>0</v>
      </c>
      <c r="CL42" s="745">
        <v>0</v>
      </c>
      <c r="CM42" s="745">
        <f t="shared" si="39"/>
        <v>0</v>
      </c>
      <c r="CN42" s="746">
        <v>0</v>
      </c>
      <c r="CO42" s="745">
        <v>0</v>
      </c>
      <c r="CP42" s="745">
        <v>0</v>
      </c>
      <c r="CQ42" s="745">
        <v>0</v>
      </c>
      <c r="CR42" s="745">
        <f t="shared" si="40"/>
        <v>0</v>
      </c>
      <c r="CS42" s="746">
        <v>0</v>
      </c>
      <c r="CT42" s="745">
        <v>0</v>
      </c>
      <c r="CU42" s="745">
        <v>0</v>
      </c>
      <c r="CV42" s="745">
        <v>0</v>
      </c>
      <c r="CW42" s="745">
        <f t="shared" si="41"/>
        <v>0</v>
      </c>
      <c r="CX42" s="746">
        <v>0</v>
      </c>
      <c r="CY42" s="745">
        <v>0</v>
      </c>
      <c r="CZ42" s="745">
        <v>0</v>
      </c>
      <c r="DA42" s="745">
        <v>0</v>
      </c>
      <c r="DB42" s="745">
        <f t="shared" si="42"/>
        <v>0</v>
      </c>
      <c r="DC42" s="746">
        <v>0</v>
      </c>
      <c r="DD42" s="745">
        <v>0</v>
      </c>
      <c r="DE42" s="745">
        <v>0</v>
      </c>
      <c r="DF42" s="745">
        <v>0</v>
      </c>
      <c r="DG42" s="745">
        <f t="shared" si="43"/>
        <v>0</v>
      </c>
      <c r="DH42" s="746">
        <v>0</v>
      </c>
      <c r="DI42" s="745">
        <v>0</v>
      </c>
      <c r="DJ42" s="745">
        <v>0</v>
      </c>
      <c r="DK42" s="745">
        <v>0</v>
      </c>
      <c r="DL42" s="745">
        <v>0</v>
      </c>
      <c r="DM42" s="746">
        <f t="shared" si="45"/>
        <v>0</v>
      </c>
      <c r="DN42" s="745">
        <v>0</v>
      </c>
      <c r="DO42" s="745">
        <v>0</v>
      </c>
      <c r="DP42" s="745">
        <v>0</v>
      </c>
      <c r="DQ42" s="745">
        <v>0</v>
      </c>
      <c r="DR42" s="746">
        <f t="shared" si="46"/>
        <v>0</v>
      </c>
      <c r="DS42" s="745">
        <v>0</v>
      </c>
      <c r="DT42" s="745">
        <v>0</v>
      </c>
      <c r="DU42" s="745">
        <v>0</v>
      </c>
      <c r="DV42" s="745">
        <v>0</v>
      </c>
      <c r="DW42" s="746">
        <f t="shared" si="44"/>
        <v>0</v>
      </c>
      <c r="DX42" s="1045"/>
    </row>
    <row r="43" spans="1:139" s="45" customFormat="1">
      <c r="A43" s="748" t="s">
        <v>228</v>
      </c>
      <c r="B43" s="328"/>
      <c r="C43" s="301"/>
      <c r="D43" s="321"/>
      <c r="E43" s="321"/>
      <c r="F43" s="321"/>
      <c r="G43" s="322"/>
      <c r="H43" s="321"/>
      <c r="I43" s="321"/>
      <c r="J43" s="321"/>
      <c r="K43" s="321"/>
      <c r="L43" s="322"/>
      <c r="M43" s="321"/>
      <c r="N43" s="321"/>
      <c r="O43" s="321"/>
      <c r="P43" s="321"/>
      <c r="Q43" s="322"/>
      <c r="R43" s="321"/>
      <c r="S43" s="321"/>
      <c r="T43" s="321"/>
      <c r="U43" s="321"/>
      <c r="V43" s="322"/>
      <c r="W43" s="321"/>
      <c r="X43" s="324"/>
      <c r="Y43" s="324"/>
      <c r="Z43" s="321"/>
      <c r="AA43" s="322"/>
      <c r="AB43" s="325"/>
      <c r="AC43" s="325"/>
      <c r="AD43" s="325"/>
      <c r="AE43" s="325"/>
      <c r="AF43" s="326"/>
      <c r="AG43" s="325"/>
      <c r="AH43" s="325"/>
      <c r="AI43" s="325"/>
      <c r="AJ43" s="325"/>
      <c r="AK43" s="326"/>
      <c r="AL43" s="325"/>
      <c r="AM43" s="325"/>
      <c r="AN43" s="325"/>
      <c r="AO43" s="325"/>
      <c r="AP43" s="326"/>
      <c r="AQ43" s="325"/>
      <c r="AR43" s="325"/>
      <c r="AS43" s="325"/>
      <c r="AT43" s="325"/>
      <c r="AU43" s="326"/>
      <c r="AV43" s="327"/>
      <c r="AW43" s="305"/>
      <c r="AX43" s="307"/>
      <c r="AY43" s="325"/>
      <c r="AZ43" s="326"/>
      <c r="BA43" s="88"/>
      <c r="BB43" s="305"/>
      <c r="BC43" s="305"/>
      <c r="BD43" s="325"/>
      <c r="BE43" s="744">
        <v>-426.65300000000002</v>
      </c>
      <c r="BF43" s="745">
        <v>35.485999999999997</v>
      </c>
      <c r="BG43" s="745">
        <f>18.849-BF43</f>
        <v>-16.636999999999997</v>
      </c>
      <c r="BH43" s="745">
        <f>33.013-BG43-BF43</f>
        <v>14.163999999999994</v>
      </c>
      <c r="BI43" s="745">
        <f>BJ43-BH43-BG43-BF43</f>
        <v>18.518000000000008</v>
      </c>
      <c r="BJ43" s="744">
        <v>51.530999999999999</v>
      </c>
      <c r="BK43" s="745">
        <v>0.112</v>
      </c>
      <c r="BL43" s="745">
        <f>0.155-BK43</f>
        <v>4.2999999999999997E-2</v>
      </c>
      <c r="BM43" s="745">
        <f>34.205-BL43-BK43</f>
        <v>34.049999999999997</v>
      </c>
      <c r="BN43" s="745">
        <f t="shared" si="34"/>
        <v>16.861000000000008</v>
      </c>
      <c r="BO43" s="744">
        <v>51.066000000000003</v>
      </c>
      <c r="BP43" s="745">
        <v>0.70399999999999996</v>
      </c>
      <c r="BQ43" s="745">
        <f>36.911-BP43</f>
        <v>36.207000000000001</v>
      </c>
      <c r="BR43" s="745">
        <f>36.756-BQ43-BP43</f>
        <v>-0.15500000000000047</v>
      </c>
      <c r="BS43" s="745">
        <f t="shared" si="35"/>
        <v>1.3849999999999987</v>
      </c>
      <c r="BT43" s="744">
        <v>38.140999999999998</v>
      </c>
      <c r="BU43" s="745">
        <v>0.52600000000000002</v>
      </c>
      <c r="BV43" s="745">
        <f>32.187-BU43</f>
        <v>31.660999999999998</v>
      </c>
      <c r="BW43" s="745">
        <f>32.237-BV43-BU43</f>
        <v>5.0000000000004041E-2</v>
      </c>
      <c r="BX43" s="745">
        <f t="shared" si="36"/>
        <v>-7.9000000000000847E-2</v>
      </c>
      <c r="BY43" s="744">
        <v>32.158000000000001</v>
      </c>
      <c r="BZ43" s="745">
        <v>-2.9</v>
      </c>
      <c r="CA43" s="745">
        <f>-0.828-BZ43</f>
        <v>2.0720000000000001</v>
      </c>
      <c r="CB43" s="745">
        <f>-0.818-CA43-BZ43</f>
        <v>9.9999999999997868E-3</v>
      </c>
      <c r="CC43" s="745">
        <f t="shared" si="37"/>
        <v>-2.3000000000000131E-2</v>
      </c>
      <c r="CD43" s="746">
        <v>-0.84099999999999997</v>
      </c>
      <c r="CE43" s="745">
        <v>-2.5939999999999999</v>
      </c>
      <c r="CF43" s="745">
        <f>0-CE43</f>
        <v>2.5939999999999999</v>
      </c>
      <c r="CG43" s="745">
        <f>24.374-SUM(CE43:CF43)</f>
        <v>24.373999999999999</v>
      </c>
      <c r="CH43" s="745">
        <f t="shared" si="38"/>
        <v>3.5750000000000028</v>
      </c>
      <c r="CI43" s="746">
        <v>27.949000000000002</v>
      </c>
      <c r="CJ43" s="745">
        <v>0.151</v>
      </c>
      <c r="CK43" s="745">
        <f>0.151-CJ43</f>
        <v>0</v>
      </c>
      <c r="CL43" s="745">
        <f>2.68-SUM(CJ43:CK43)</f>
        <v>2.5290000000000004</v>
      </c>
      <c r="CM43" s="745">
        <f t="shared" si="39"/>
        <v>19.010999999999999</v>
      </c>
      <c r="CN43" s="746">
        <v>21.690999999999999</v>
      </c>
      <c r="CO43" s="745">
        <v>0</v>
      </c>
      <c r="CP43" s="745">
        <v>0</v>
      </c>
      <c r="CQ43" s="745">
        <v>0</v>
      </c>
      <c r="CR43" s="745">
        <f t="shared" si="40"/>
        <v>0</v>
      </c>
      <c r="CS43" s="746">
        <v>0</v>
      </c>
      <c r="CT43" s="745">
        <v>-2</v>
      </c>
      <c r="CU43" s="745">
        <f>0-CT43</f>
        <v>2</v>
      </c>
      <c r="CV43" s="745">
        <f>-2.082-CU43-CT43</f>
        <v>-2.0819999999999999</v>
      </c>
      <c r="CW43" s="745">
        <f t="shared" si="41"/>
        <v>80.489999999999995</v>
      </c>
      <c r="CX43" s="1222">
        <v>78.408000000000001</v>
      </c>
      <c r="CY43" s="745">
        <v>0</v>
      </c>
      <c r="CZ43" s="745">
        <f>-0.113-CY43</f>
        <v>-0.113</v>
      </c>
      <c r="DA43" s="745">
        <f>-0.172-CZ43-CY43</f>
        <v>-5.8999999999999983E-2</v>
      </c>
      <c r="DB43" s="745">
        <f t="shared" si="42"/>
        <v>0.17199999999999999</v>
      </c>
      <c r="DC43" s="746">
        <v>0</v>
      </c>
      <c r="DD43" s="745">
        <v>-5.8000000000000003E-2</v>
      </c>
      <c r="DE43" s="745">
        <f>-0.375-DD43</f>
        <v>-0.317</v>
      </c>
      <c r="DF43" s="745">
        <f>-0.375-SUM(DD43:DE43)</f>
        <v>0</v>
      </c>
      <c r="DG43" s="745">
        <f t="shared" si="43"/>
        <v>0</v>
      </c>
      <c r="DH43" s="746">
        <v>-0.375</v>
      </c>
      <c r="DI43" s="745">
        <v>0</v>
      </c>
      <c r="DJ43" s="745">
        <v>0</v>
      </c>
      <c r="DK43" s="745">
        <v>0</v>
      </c>
      <c r="DL43" s="745">
        <v>0</v>
      </c>
      <c r="DM43" s="746">
        <f t="shared" si="45"/>
        <v>0</v>
      </c>
      <c r="DN43" s="745">
        <v>0</v>
      </c>
      <c r="DO43" s="745">
        <v>0</v>
      </c>
      <c r="DP43" s="745">
        <v>0</v>
      </c>
      <c r="DQ43" s="745">
        <v>0</v>
      </c>
      <c r="DR43" s="746">
        <f t="shared" si="46"/>
        <v>0</v>
      </c>
      <c r="DS43" s="745">
        <v>0</v>
      </c>
      <c r="DT43" s="745">
        <v>0</v>
      </c>
      <c r="DU43" s="745">
        <v>0</v>
      </c>
      <c r="DV43" s="745">
        <v>0</v>
      </c>
      <c r="DW43" s="746">
        <f t="shared" si="44"/>
        <v>0</v>
      </c>
      <c r="DX43" s="1045"/>
      <c r="ED43"/>
      <c r="EE43"/>
      <c r="EF43"/>
      <c r="EG43"/>
      <c r="EH43"/>
      <c r="EI43"/>
    </row>
    <row r="44" spans="1:139" s="80" customFormat="1">
      <c r="A44" s="749" t="s">
        <v>229</v>
      </c>
      <c r="B44" s="328"/>
      <c r="C44" s="109"/>
      <c r="D44" s="110"/>
      <c r="E44" s="110"/>
      <c r="F44" s="110"/>
      <c r="G44" s="236"/>
      <c r="H44" s="110"/>
      <c r="I44" s="110"/>
      <c r="J44" s="110"/>
      <c r="K44" s="110"/>
      <c r="L44" s="236"/>
      <c r="M44" s="110"/>
      <c r="N44" s="114"/>
      <c r="O44" s="114"/>
      <c r="P44" s="114"/>
      <c r="Q44" s="236"/>
      <c r="R44" s="110"/>
      <c r="S44" s="114"/>
      <c r="T44" s="114"/>
      <c r="U44" s="114"/>
      <c r="V44" s="236"/>
      <c r="W44" s="114"/>
      <c r="X44" s="114"/>
      <c r="Y44" s="114"/>
      <c r="Z44" s="114"/>
      <c r="AA44" s="236"/>
      <c r="AB44" s="110"/>
      <c r="AC44" s="110"/>
      <c r="AD44" s="110"/>
      <c r="AE44" s="110"/>
      <c r="AF44" s="236"/>
      <c r="AG44" s="110"/>
      <c r="AH44" s="110"/>
      <c r="AI44" s="110"/>
      <c r="AJ44" s="110"/>
      <c r="AK44" s="236"/>
      <c r="AL44" s="110"/>
      <c r="AM44" s="110"/>
      <c r="AN44" s="110"/>
      <c r="AO44" s="110"/>
      <c r="AP44" s="236"/>
      <c r="AQ44" s="110"/>
      <c r="AR44" s="110"/>
      <c r="AS44" s="110"/>
      <c r="AT44" s="110"/>
      <c r="AU44" s="236"/>
      <c r="AV44" s="110"/>
      <c r="AW44" s="110"/>
      <c r="AX44" s="110"/>
      <c r="AY44" s="110"/>
      <c r="AZ44" s="236"/>
      <c r="BA44" s="110"/>
      <c r="BB44" s="110"/>
      <c r="BC44" s="110"/>
      <c r="BD44" s="110"/>
      <c r="BE44" s="739">
        <v>8.0809999999999995</v>
      </c>
      <c r="BF44" s="740">
        <v>0</v>
      </c>
      <c r="BG44" s="740">
        <v>0</v>
      </c>
      <c r="BH44" s="740">
        <f>2.615-BG44-BF44</f>
        <v>2.6150000000000002</v>
      </c>
      <c r="BI44" s="740">
        <f>BJ44-BH44-BG44-BF44</f>
        <v>0.11899999999999977</v>
      </c>
      <c r="BJ44" s="739">
        <v>2.734</v>
      </c>
      <c r="BK44" s="740">
        <v>4.9000000000000002E-2</v>
      </c>
      <c r="BL44" s="740">
        <f>0-BK44</f>
        <v>-4.9000000000000002E-2</v>
      </c>
      <c r="BM44" s="740">
        <f>0.69-BL44-BK44</f>
        <v>0.69</v>
      </c>
      <c r="BN44" s="740">
        <f t="shared" si="34"/>
        <v>0.63200000000000012</v>
      </c>
      <c r="BO44" s="739">
        <v>1.3220000000000001</v>
      </c>
      <c r="BP44" s="740">
        <v>6.2460000000000004</v>
      </c>
      <c r="BQ44" s="740">
        <f>7.68-BP44</f>
        <v>1.4339999999999993</v>
      </c>
      <c r="BR44" s="740">
        <f>9.386-BQ44-BP44</f>
        <v>1.7059999999999995</v>
      </c>
      <c r="BS44" s="740">
        <f t="shared" si="35"/>
        <v>1.4960000000000004</v>
      </c>
      <c r="BT44" s="739">
        <v>10.882</v>
      </c>
      <c r="BU44" s="740">
        <v>2.492</v>
      </c>
      <c r="BV44" s="740">
        <f>4.111-BU44</f>
        <v>1.6189999999999998</v>
      </c>
      <c r="BW44" s="740">
        <f>4.394-BV44-BU44</f>
        <v>0.28300000000000036</v>
      </c>
      <c r="BX44" s="740">
        <f t="shared" si="36"/>
        <v>1.266</v>
      </c>
      <c r="BY44" s="739">
        <v>5.66</v>
      </c>
      <c r="BZ44" s="740">
        <v>0</v>
      </c>
      <c r="CA44" s="740">
        <f>2.565-BZ44</f>
        <v>2.5649999999999999</v>
      </c>
      <c r="CB44" s="740">
        <f>103.162+3.799-CA44-BZ44</f>
        <v>104.39600000000002</v>
      </c>
      <c r="CC44" s="740">
        <f t="shared" si="37"/>
        <v>-2.076000000000024</v>
      </c>
      <c r="CD44" s="742">
        <f>97.925+6.96</f>
        <v>104.88499999999999</v>
      </c>
      <c r="CE44" s="740">
        <v>24.373999999999999</v>
      </c>
      <c r="CF44" s="740">
        <f>24.374+0.907-CE44</f>
        <v>0.90700000000000003</v>
      </c>
      <c r="CG44" s="740">
        <f>6.273-SUM(CE44:CF44)</f>
        <v>-19.007999999999999</v>
      </c>
      <c r="CH44" s="740">
        <f t="shared" si="38"/>
        <v>14.749999999999996</v>
      </c>
      <c r="CI44" s="742">
        <v>21.023</v>
      </c>
      <c r="CJ44" s="740">
        <v>0</v>
      </c>
      <c r="CK44" s="740">
        <f>16.011-CJ44</f>
        <v>16.010999999999999</v>
      </c>
      <c r="CL44" s="740">
        <f>44.055-SUM(CJ44:CK44)</f>
        <v>28.044</v>
      </c>
      <c r="CM44" s="740">
        <f t="shared" si="39"/>
        <v>105.05699999999999</v>
      </c>
      <c r="CN44" s="742">
        <v>149.11199999999999</v>
      </c>
      <c r="CO44" s="740">
        <v>108.45699999999999</v>
      </c>
      <c r="CP44" s="740">
        <f>116.204-CO44</f>
        <v>7.7469999999999999</v>
      </c>
      <c r="CQ44" s="740">
        <f>119.892-CP44-CO44</f>
        <v>3.6880000000000024</v>
      </c>
      <c r="CR44" s="740">
        <f t="shared" si="40"/>
        <v>41.494</v>
      </c>
      <c r="CS44" s="742">
        <v>161.386</v>
      </c>
      <c r="CT44" s="740">
        <v>6.2830000000000004</v>
      </c>
      <c r="CU44" s="740">
        <f>38.697+78.408-CT44</f>
        <v>110.822</v>
      </c>
      <c r="CV44" s="740">
        <f>46.357-CU44-CT44</f>
        <v>-70.748000000000005</v>
      </c>
      <c r="CW44" s="740">
        <f t="shared" si="41"/>
        <v>158.03100000000001</v>
      </c>
      <c r="CX44" s="742">
        <v>204.38800000000001</v>
      </c>
      <c r="CY44" s="740">
        <v>41.185000000000002</v>
      </c>
      <c r="CZ44" s="740">
        <f>45.078-CY44</f>
        <v>3.8930000000000007</v>
      </c>
      <c r="DA44" s="740">
        <f>173.849-CZ44-CY44</f>
        <v>128.77099999999999</v>
      </c>
      <c r="DB44" s="740">
        <f t="shared" si="42"/>
        <v>88.324000000000012</v>
      </c>
      <c r="DC44" s="742">
        <v>262.173</v>
      </c>
      <c r="DD44" s="740">
        <v>1.65</v>
      </c>
      <c r="DE44" s="740">
        <f>77.98-DD44</f>
        <v>76.33</v>
      </c>
      <c r="DF44" s="740">
        <f>80.058-SUM(DD44:DE44)</f>
        <v>2.078000000000003</v>
      </c>
      <c r="DG44" s="740">
        <f t="shared" si="43"/>
        <v>1.4579999999999984</v>
      </c>
      <c r="DH44" s="742">
        <v>81.516000000000005</v>
      </c>
      <c r="DI44" s="740">
        <v>0</v>
      </c>
      <c r="DJ44" s="740">
        <v>0</v>
      </c>
      <c r="DK44" s="740">
        <v>0</v>
      </c>
      <c r="DL44" s="740">
        <v>0</v>
      </c>
      <c r="DM44" s="742">
        <f t="shared" si="45"/>
        <v>0</v>
      </c>
      <c r="DN44" s="740">
        <v>0</v>
      </c>
      <c r="DO44" s="740">
        <v>0</v>
      </c>
      <c r="DP44" s="740">
        <v>0</v>
      </c>
      <c r="DQ44" s="740">
        <v>0</v>
      </c>
      <c r="DR44" s="742">
        <f t="shared" si="46"/>
        <v>0</v>
      </c>
      <c r="DS44" s="740">
        <v>0</v>
      </c>
      <c r="DT44" s="740">
        <v>0</v>
      </c>
      <c r="DU44" s="740">
        <v>0</v>
      </c>
      <c r="DV44" s="740">
        <v>0</v>
      </c>
      <c r="DW44" s="742">
        <f t="shared" si="44"/>
        <v>0</v>
      </c>
      <c r="DX44" s="1045"/>
      <c r="ED44"/>
      <c r="EE44"/>
      <c r="EF44"/>
      <c r="EG44"/>
      <c r="EH44"/>
      <c r="EI44"/>
    </row>
    <row r="45" spans="1:139">
      <c r="A45" s="748" t="s">
        <v>297</v>
      </c>
      <c r="B45" s="301"/>
      <c r="C45" s="87"/>
      <c r="D45" s="88"/>
      <c r="E45" s="88"/>
      <c r="F45" s="88"/>
      <c r="G45" s="121"/>
      <c r="H45" s="88"/>
      <c r="I45" s="88"/>
      <c r="J45" s="88"/>
      <c r="K45" s="88"/>
      <c r="L45" s="121"/>
      <c r="M45" s="88"/>
      <c r="N45" s="92"/>
      <c r="O45" s="92"/>
      <c r="P45" s="92"/>
      <c r="Q45" s="121"/>
      <c r="R45" s="88"/>
      <c r="S45" s="92"/>
      <c r="T45" s="92"/>
      <c r="U45" s="92"/>
      <c r="V45" s="121"/>
      <c r="W45" s="88"/>
      <c r="X45" s="92"/>
      <c r="Y45" s="92"/>
      <c r="Z45" s="92"/>
      <c r="AA45" s="121"/>
      <c r="AB45" s="88"/>
      <c r="AC45" s="88"/>
      <c r="AD45" s="88"/>
      <c r="AE45" s="88"/>
      <c r="AF45" s="121"/>
      <c r="AG45" s="88"/>
      <c r="AH45" s="88"/>
      <c r="AI45" s="88"/>
      <c r="AJ45" s="88"/>
      <c r="AK45" s="121"/>
      <c r="AL45" s="88"/>
      <c r="AM45" s="88"/>
      <c r="AN45" s="88"/>
      <c r="AO45" s="88"/>
      <c r="AP45" s="121"/>
      <c r="AQ45" s="88"/>
      <c r="AR45" s="88"/>
      <c r="AS45" s="88"/>
      <c r="AT45" s="88"/>
      <c r="AU45" s="121"/>
      <c r="AV45" s="88"/>
      <c r="AW45" s="88"/>
      <c r="AX45" s="88"/>
      <c r="AY45" s="88"/>
      <c r="AZ45" s="121"/>
      <c r="BA45" s="88"/>
      <c r="BB45" s="88"/>
      <c r="BC45" s="88"/>
      <c r="BD45" s="88"/>
      <c r="BE45" s="744">
        <f>-3.668+0.931</f>
        <v>-2.7370000000000001</v>
      </c>
      <c r="BF45" s="745">
        <v>-1.0129999999999999</v>
      </c>
      <c r="BG45" s="745">
        <f>-0.093-BF45</f>
        <v>0.91999999999999993</v>
      </c>
      <c r="BH45" s="745">
        <f>0.457-BG45-BF45</f>
        <v>0.55000000000000004</v>
      </c>
      <c r="BI45" s="745">
        <f>BJ45-BH45-BG45-BF45</f>
        <v>-17.562000000000005</v>
      </c>
      <c r="BJ45" s="744">
        <f>2.516-2.5-15.104-2.017</f>
        <v>-17.105</v>
      </c>
      <c r="BK45" s="745">
        <v>0</v>
      </c>
      <c r="BL45" s="745">
        <f>-0.088-BK45</f>
        <v>-8.7999999999999995E-2</v>
      </c>
      <c r="BM45" s="745">
        <f>-0.391-BL45-BK45</f>
        <v>-0.30300000000000005</v>
      </c>
      <c r="BN45" s="745">
        <f t="shared" si="34"/>
        <v>0.16300000000000003</v>
      </c>
      <c r="BO45" s="744">
        <v>-0.22800000000000001</v>
      </c>
      <c r="BP45" s="745">
        <v>-1.39</v>
      </c>
      <c r="BQ45" s="745">
        <f>1.166-BP45</f>
        <v>2.556</v>
      </c>
      <c r="BR45" s="745">
        <f>-0.664+2.968-BQ45-BP45</f>
        <v>1.1379999999999997</v>
      </c>
      <c r="BS45" s="745">
        <f t="shared" si="35"/>
        <v>-2.0670000000000002</v>
      </c>
      <c r="BT45" s="744">
        <v>0.23699999999999999</v>
      </c>
      <c r="BU45" s="745">
        <v>-0.06</v>
      </c>
      <c r="BV45" s="745">
        <f>0.067-BU45</f>
        <v>0.127</v>
      </c>
      <c r="BW45" s="745">
        <f>0.407-BV45-BU45</f>
        <v>0.33999999999999997</v>
      </c>
      <c r="BX45" s="745">
        <f t="shared" si="36"/>
        <v>-3.1780000000000004</v>
      </c>
      <c r="BY45" s="744">
        <f>-3.123+0.352</f>
        <v>-2.7710000000000004</v>
      </c>
      <c r="BZ45" s="745">
        <v>0.3</v>
      </c>
      <c r="CA45" s="745">
        <f>-0.208-BZ45</f>
        <v>-0.50800000000000001</v>
      </c>
      <c r="CB45" s="745">
        <f>-0.245-CA45-BZ45-1.269</f>
        <v>-1.3059999999999998</v>
      </c>
      <c r="CC45" s="745">
        <f t="shared" si="37"/>
        <v>-2.7539999999999996</v>
      </c>
      <c r="CD45" s="746">
        <f>-4.003-0.265</f>
        <v>-4.2679999999999998</v>
      </c>
      <c r="CE45" s="745">
        <f>-1.096+0.277</f>
        <v>-0.81900000000000006</v>
      </c>
      <c r="CF45" s="745">
        <f>-1.001-0.564-CE45</f>
        <v>-0.74599999999999989</v>
      </c>
      <c r="CG45" s="745">
        <f>2.048-0.374-SUM(CE45:CF45)</f>
        <v>3.2389999999999999</v>
      </c>
      <c r="CH45" s="745">
        <f t="shared" si="38"/>
        <v>-1.8329999999999997</v>
      </c>
      <c r="CI45" s="746">
        <f>-3.251+3.092</f>
        <v>-0.15899999999999981</v>
      </c>
      <c r="CJ45" s="745">
        <f>0.127+2.104</f>
        <v>2.2309999999999999</v>
      </c>
      <c r="CK45" s="745">
        <f>0.257-CJ45</f>
        <v>-1.9739999999999998</v>
      </c>
      <c r="CL45" s="745">
        <f>2.757-22.593-SUM(CJ45:CK45)</f>
        <v>-20.093</v>
      </c>
      <c r="CM45" s="745">
        <f t="shared" si="39"/>
        <v>1.1999999999999993</v>
      </c>
      <c r="CN45" s="746">
        <f>-18.593-0.043</f>
        <v>-18.635999999999999</v>
      </c>
      <c r="CO45" s="745">
        <f>0.292+0.033</f>
        <v>0.32499999999999996</v>
      </c>
      <c r="CP45" s="745">
        <f>1.75+1.041-CO45</f>
        <v>2.4660000000000002</v>
      </c>
      <c r="CQ45" s="745">
        <f>1.75+1.789+0.434-CP45-CO45</f>
        <v>1.1819999999999997</v>
      </c>
      <c r="CR45" s="745">
        <f t="shared" si="40"/>
        <v>-0.74599999999999955</v>
      </c>
      <c r="CS45" s="746">
        <f>1.75+1.043+0.434</f>
        <v>3.2270000000000003</v>
      </c>
      <c r="CT45" s="745">
        <v>-0.151</v>
      </c>
      <c r="CU45" s="745">
        <f>-2+0.484+0.919-CT45</f>
        <v>-0.44599999999999995</v>
      </c>
      <c r="CV45" s="745">
        <f>78.408+2.631+0.088+0.484-CU45-CT45</f>
        <v>82.207999999999984</v>
      </c>
      <c r="CW45" s="745">
        <f t="shared" si="41"/>
        <v>-76.172999999999988</v>
      </c>
      <c r="CX45" s="746">
        <f>3.634+3.289-1.485</f>
        <v>5.4379999999999997</v>
      </c>
      <c r="CY45" s="745">
        <f>-0.064+-1.327+1.045</f>
        <v>-0.34600000000000009</v>
      </c>
      <c r="CZ45" s="745">
        <f>7.04-3.439-0.017-CY45</f>
        <v>3.93</v>
      </c>
      <c r="DA45" s="745">
        <f>-2.282+1.912+0.103-CZ45-CY45</f>
        <v>-3.851</v>
      </c>
      <c r="DB45" s="745">
        <f t="shared" si="42"/>
        <v>-17.567</v>
      </c>
      <c r="DC45" s="746">
        <f>-14.971-3.581+0.89-0.172</f>
        <v>-17.834</v>
      </c>
      <c r="DD45" s="745">
        <f>-1.754+8.545</f>
        <v>6.7910000000000004</v>
      </c>
      <c r="DE45" s="745">
        <f>3.282-2.225+18.711-DD45</f>
        <v>12.976999999999997</v>
      </c>
      <c r="DF45" s="745">
        <f>3.282+-4.174+23.624-SUM(DD45:DE45)</f>
        <v>2.9640000000000022</v>
      </c>
      <c r="DG45" s="745">
        <f t="shared" si="43"/>
        <v>-2.6859999999999999</v>
      </c>
      <c r="DH45" s="746">
        <f>24.935+-9+4.111</f>
        <v>20.045999999999999</v>
      </c>
      <c r="DI45" s="745">
        <v>0</v>
      </c>
      <c r="DJ45" s="745">
        <v>0</v>
      </c>
      <c r="DK45" s="745">
        <v>0</v>
      </c>
      <c r="DL45" s="740">
        <v>0</v>
      </c>
      <c r="DM45" s="746">
        <f t="shared" si="45"/>
        <v>0</v>
      </c>
      <c r="DN45" s="740">
        <v>0</v>
      </c>
      <c r="DO45" s="740">
        <v>0</v>
      </c>
      <c r="DP45" s="740">
        <v>0</v>
      </c>
      <c r="DQ45" s="740">
        <v>0</v>
      </c>
      <c r="DR45" s="746">
        <f t="shared" si="46"/>
        <v>0</v>
      </c>
      <c r="DS45" s="745">
        <v>0</v>
      </c>
      <c r="DT45" s="745">
        <v>0</v>
      </c>
      <c r="DU45" s="745">
        <v>0</v>
      </c>
      <c r="DV45" s="745">
        <v>0</v>
      </c>
      <c r="DW45" s="746">
        <f t="shared" si="44"/>
        <v>0</v>
      </c>
      <c r="DX45" s="1045"/>
    </row>
    <row r="46" spans="1:139">
      <c r="A46" s="1250" t="s">
        <v>230</v>
      </c>
      <c r="B46" s="1251"/>
      <c r="C46" s="1252"/>
      <c r="D46" s="1253"/>
      <c r="E46" s="1253"/>
      <c r="F46" s="1253"/>
      <c r="G46" s="1254"/>
      <c r="H46" s="1253"/>
      <c r="I46" s="1253"/>
      <c r="J46" s="1253"/>
      <c r="K46" s="1253"/>
      <c r="L46" s="1254"/>
      <c r="M46" s="1253"/>
      <c r="N46" s="1253"/>
      <c r="O46" s="1253"/>
      <c r="P46" s="1255"/>
      <c r="Q46" s="1254"/>
      <c r="R46" s="1253"/>
      <c r="S46" s="1253"/>
      <c r="T46" s="1253"/>
      <c r="U46" s="1255"/>
      <c r="V46" s="1254"/>
      <c r="W46" s="1253"/>
      <c r="X46" s="1256"/>
      <c r="Y46" s="1256"/>
      <c r="Z46" s="1255"/>
      <c r="AA46" s="1257"/>
      <c r="AB46" s="1258"/>
      <c r="AC46" s="1258"/>
      <c r="AD46" s="1258"/>
      <c r="AE46" s="1258"/>
      <c r="AF46" s="1257"/>
      <c r="AG46" s="1258"/>
      <c r="AH46" s="1258"/>
      <c r="AI46" s="1258"/>
      <c r="AJ46" s="1259"/>
      <c r="AK46" s="1257"/>
      <c r="AL46" s="1258"/>
      <c r="AM46" s="1258"/>
      <c r="AN46" s="1258"/>
      <c r="AO46" s="1259"/>
      <c r="AP46" s="1257"/>
      <c r="AQ46" s="1258"/>
      <c r="AR46" s="1258"/>
      <c r="AS46" s="1258"/>
      <c r="AT46" s="1259"/>
      <c r="AU46" s="1257"/>
      <c r="AV46" s="1258"/>
      <c r="AW46" s="1258"/>
      <c r="AX46" s="1258"/>
      <c r="AY46" s="1258"/>
      <c r="AZ46" s="1257"/>
      <c r="BA46" s="1259"/>
      <c r="BB46" s="1258"/>
      <c r="BC46" s="1258"/>
      <c r="BD46" s="1258"/>
      <c r="BE46" s="1260">
        <f t="shared" ref="BE46:CI46" si="47">SUM(BE39:BE45)</f>
        <v>-504.44499999999999</v>
      </c>
      <c r="BF46" s="1261">
        <f t="shared" si="47"/>
        <v>17.119999999999997</v>
      </c>
      <c r="BG46" s="1261">
        <f t="shared" si="47"/>
        <v>-33.771999999999998</v>
      </c>
      <c r="BH46" s="1261">
        <f t="shared" si="47"/>
        <v>-5.0620000000000038</v>
      </c>
      <c r="BI46" s="1261">
        <f t="shared" si="47"/>
        <v>-18.20999999999999</v>
      </c>
      <c r="BJ46" s="1262">
        <f t="shared" si="47"/>
        <v>-39.923999999999992</v>
      </c>
      <c r="BK46" s="1261">
        <f t="shared" si="47"/>
        <v>-27.745000000000001</v>
      </c>
      <c r="BL46" s="1261">
        <f t="shared" si="47"/>
        <v>-27.610999999999997</v>
      </c>
      <c r="BM46" s="1261">
        <f t="shared" si="47"/>
        <v>14.375999999999989</v>
      </c>
      <c r="BN46" s="1263">
        <f t="shared" si="47"/>
        <v>157.91100000000006</v>
      </c>
      <c r="BO46" s="1260">
        <f t="shared" si="47"/>
        <v>116.931</v>
      </c>
      <c r="BP46" s="1264">
        <f t="shared" si="47"/>
        <v>-11.642999999999999</v>
      </c>
      <c r="BQ46" s="1264">
        <f t="shared" si="47"/>
        <v>17.384999999999998</v>
      </c>
      <c r="BR46" s="1264">
        <f t="shared" si="47"/>
        <v>-22.576000000000008</v>
      </c>
      <c r="BS46" s="1264">
        <f t="shared" si="47"/>
        <v>-38.784999999999997</v>
      </c>
      <c r="BT46" s="1265">
        <f t="shared" si="47"/>
        <v>-55.619</v>
      </c>
      <c r="BU46" s="1264">
        <f t="shared" si="47"/>
        <v>-24.184999999999999</v>
      </c>
      <c r="BV46" s="1264">
        <f t="shared" si="47"/>
        <v>7.8200000000000012</v>
      </c>
      <c r="BW46" s="1264">
        <f t="shared" si="47"/>
        <v>-41.332999999999991</v>
      </c>
      <c r="BX46" s="1264">
        <f t="shared" si="47"/>
        <v>-55.224000000000004</v>
      </c>
      <c r="BY46" s="1265">
        <f t="shared" si="47"/>
        <v>-112.922</v>
      </c>
      <c r="BZ46" s="1264">
        <f t="shared" si="47"/>
        <v>-31.167999999999999</v>
      </c>
      <c r="CA46" s="1264">
        <f t="shared" si="47"/>
        <v>-29.882000000000001</v>
      </c>
      <c r="CB46" s="1264">
        <f t="shared" si="47"/>
        <v>67.153000000000006</v>
      </c>
      <c r="CC46" s="1264">
        <f t="shared" si="47"/>
        <v>-64.30000000000004</v>
      </c>
      <c r="CD46" s="1266">
        <f t="shared" si="47"/>
        <v>-58.197000000000031</v>
      </c>
      <c r="CE46" s="1264">
        <f t="shared" si="47"/>
        <v>-26.036999999999999</v>
      </c>
      <c r="CF46" s="1264">
        <f t="shared" si="47"/>
        <v>-56.104999999999997</v>
      </c>
      <c r="CG46" s="1264">
        <f t="shared" si="47"/>
        <v>-52.45600000000001</v>
      </c>
      <c r="CH46" s="1264">
        <f t="shared" si="47"/>
        <v>-54.787000000000006</v>
      </c>
      <c r="CI46" s="1267">
        <f t="shared" si="47"/>
        <v>-189.38499999999999</v>
      </c>
      <c r="CJ46" s="1264">
        <f t="shared" ref="CJ46:CS46" si="48">SUM(CJ39:CJ45)</f>
        <v>-37.594999999999992</v>
      </c>
      <c r="CK46" s="1264">
        <f t="shared" si="48"/>
        <v>-28.567999999999998</v>
      </c>
      <c r="CL46" s="1264">
        <f t="shared" si="48"/>
        <v>-39.551999999999992</v>
      </c>
      <c r="CM46" s="1264">
        <f t="shared" si="48"/>
        <v>29.024999999999974</v>
      </c>
      <c r="CN46" s="1267">
        <f t="shared" si="48"/>
        <v>-76.69</v>
      </c>
      <c r="CO46" s="1264">
        <f t="shared" si="48"/>
        <v>55.723999999999997</v>
      </c>
      <c r="CP46" s="1264">
        <f t="shared" si="48"/>
        <v>-53.585000000000001</v>
      </c>
      <c r="CQ46" s="1264">
        <f t="shared" si="48"/>
        <v>-82.109000000000009</v>
      </c>
      <c r="CR46" s="1264">
        <f t="shared" si="48"/>
        <v>-107.84199999999997</v>
      </c>
      <c r="CS46" s="1267">
        <f t="shared" si="48"/>
        <v>-187.81200000000001</v>
      </c>
      <c r="CT46" s="1264">
        <f>SUM(CT39:CT45)</f>
        <v>-58.38</v>
      </c>
      <c r="CU46" s="1264">
        <f t="shared" ref="CU46:DC46" si="49">SUM(CU39:CU45)</f>
        <v>43.108000000000004</v>
      </c>
      <c r="CV46" s="1264">
        <f t="shared" si="49"/>
        <v>-48.320000000000036</v>
      </c>
      <c r="CW46" s="1264">
        <f t="shared" si="49"/>
        <v>98.971999999999994</v>
      </c>
      <c r="CX46" s="1267">
        <f t="shared" si="49"/>
        <v>35.379999999999981</v>
      </c>
      <c r="CY46" s="1263">
        <f t="shared" si="49"/>
        <v>-0.22799999999999798</v>
      </c>
      <c r="CZ46" s="1263">
        <f t="shared" si="49"/>
        <v>-21.927000000000007</v>
      </c>
      <c r="DA46" s="1264">
        <f t="shared" si="49"/>
        <v>84.611999999999995</v>
      </c>
      <c r="DB46" s="1264">
        <f t="shared" si="49"/>
        <v>29.650000000000013</v>
      </c>
      <c r="DC46" s="1267">
        <f t="shared" si="49"/>
        <v>92.106999999999999</v>
      </c>
      <c r="DD46" s="1264">
        <f t="shared" ref="DD46:DW46" si="50">SUM(DD39:DD45)</f>
        <v>-6.427999999999999</v>
      </c>
      <c r="DE46" s="1264">
        <f t="shared" si="50"/>
        <v>-15.103999999999992</v>
      </c>
      <c r="DF46" s="1264">
        <f t="shared" si="50"/>
        <v>-16.551999999999996</v>
      </c>
      <c r="DG46" s="1264">
        <f t="shared" si="50"/>
        <v>-29.226999999999997</v>
      </c>
      <c r="DH46" s="1267">
        <f t="shared" si="50"/>
        <v>-67.310999999999979</v>
      </c>
      <c r="DI46" s="1264">
        <f t="shared" si="50"/>
        <v>-18.80078125</v>
      </c>
      <c r="DJ46" s="1264">
        <f t="shared" si="50"/>
        <v>-18.80828125</v>
      </c>
      <c r="DK46" s="1264">
        <f t="shared" si="50"/>
        <v>-18.815781250000001</v>
      </c>
      <c r="DL46" s="1264">
        <f t="shared" si="50"/>
        <v>-18.823281250000001</v>
      </c>
      <c r="DM46" s="1267">
        <f t="shared" si="50"/>
        <v>-75.248125000000002</v>
      </c>
      <c r="DN46" s="1264">
        <f t="shared" si="50"/>
        <v>-17.498124999999998</v>
      </c>
      <c r="DO46" s="1264">
        <f t="shared" si="50"/>
        <v>-17.510624999999997</v>
      </c>
      <c r="DP46" s="1264">
        <f t="shared" si="50"/>
        <v>-17.523125</v>
      </c>
      <c r="DQ46" s="1264">
        <f t="shared" si="50"/>
        <v>-17.535624999999996</v>
      </c>
      <c r="DR46" s="1267">
        <f t="shared" si="50"/>
        <v>-70.067499999999995</v>
      </c>
      <c r="DS46" s="1264">
        <f t="shared" si="50"/>
        <v>-16.142968749999998</v>
      </c>
      <c r="DT46" s="1264">
        <f t="shared" si="50"/>
        <v>-16.161718749999999</v>
      </c>
      <c r="DU46" s="1264">
        <f t="shared" si="50"/>
        <v>-16.180468749999999</v>
      </c>
      <c r="DV46" s="1264">
        <f t="shared" si="50"/>
        <v>-16.19921875</v>
      </c>
      <c r="DW46" s="1260">
        <f t="shared" si="50"/>
        <v>-64.684375000000003</v>
      </c>
      <c r="DX46" s="1045"/>
    </row>
    <row r="47" spans="1:139">
      <c r="A47" s="754" t="s">
        <v>328</v>
      </c>
      <c r="B47" s="301"/>
      <c r="C47" s="302"/>
      <c r="D47" s="303"/>
      <c r="E47" s="303"/>
      <c r="F47" s="303"/>
      <c r="G47" s="304"/>
      <c r="H47" s="303"/>
      <c r="I47" s="303"/>
      <c r="J47" s="303"/>
      <c r="K47" s="303"/>
      <c r="L47" s="304"/>
      <c r="M47" s="303"/>
      <c r="N47" s="303"/>
      <c r="O47" s="303"/>
      <c r="P47" s="92"/>
      <c r="Q47" s="304"/>
      <c r="R47" s="303"/>
      <c r="S47" s="303"/>
      <c r="T47" s="303"/>
      <c r="U47" s="92"/>
      <c r="V47" s="304"/>
      <c r="W47" s="303"/>
      <c r="X47" s="329"/>
      <c r="Y47" s="329"/>
      <c r="Z47" s="92"/>
      <c r="AA47" s="121"/>
      <c r="AB47" s="305"/>
      <c r="AC47" s="305"/>
      <c r="AD47" s="305"/>
      <c r="AE47" s="305"/>
      <c r="AF47" s="121"/>
      <c r="AG47" s="305"/>
      <c r="AH47" s="305"/>
      <c r="AI47" s="305"/>
      <c r="AJ47" s="88"/>
      <c r="AK47" s="121"/>
      <c r="AL47" s="305"/>
      <c r="AM47" s="305"/>
      <c r="AN47" s="305"/>
      <c r="AO47" s="88"/>
      <c r="AP47" s="121"/>
      <c r="AQ47" s="305"/>
      <c r="AR47" s="305"/>
      <c r="AS47" s="305"/>
      <c r="AT47" s="88"/>
      <c r="AU47" s="121"/>
      <c r="AV47" s="305"/>
      <c r="AW47" s="305"/>
      <c r="AX47" s="305"/>
      <c r="AY47" s="305"/>
      <c r="AZ47" s="121"/>
      <c r="BA47" s="305"/>
      <c r="BB47" s="305"/>
      <c r="BC47" s="305"/>
      <c r="BD47" s="305"/>
      <c r="BE47" s="747"/>
      <c r="BF47" s="745"/>
      <c r="BG47" s="745"/>
      <c r="BH47" s="745"/>
      <c r="BI47" s="745"/>
      <c r="BJ47" s="744"/>
      <c r="BK47" s="745"/>
      <c r="BL47" s="745"/>
      <c r="BM47" s="745"/>
      <c r="BN47" s="745"/>
      <c r="BO47" s="744"/>
      <c r="BP47" s="745"/>
      <c r="BQ47" s="745"/>
      <c r="BR47" s="745"/>
      <c r="BS47" s="745"/>
      <c r="BT47" s="744"/>
      <c r="BU47" s="745"/>
      <c r="BV47" s="745"/>
      <c r="BW47" s="745"/>
      <c r="BX47" s="745"/>
      <c r="BY47" s="744"/>
      <c r="BZ47" s="745"/>
      <c r="CA47" s="745"/>
      <c r="CB47" s="745"/>
      <c r="CC47" s="745"/>
      <c r="CD47" s="746"/>
      <c r="CE47" s="745"/>
      <c r="CF47" s="745"/>
      <c r="CG47" s="745"/>
      <c r="CH47" s="745"/>
      <c r="CI47" s="746"/>
      <c r="CJ47" s="745"/>
      <c r="CK47" s="745"/>
      <c r="CL47" s="745"/>
      <c r="CM47" s="745"/>
      <c r="CN47" s="746"/>
      <c r="CO47" s="745"/>
      <c r="CP47" s="745"/>
      <c r="CQ47" s="817"/>
      <c r="CR47" s="745"/>
      <c r="CS47" s="746"/>
      <c r="CT47" s="745"/>
      <c r="CU47" s="745"/>
      <c r="CV47" s="745"/>
      <c r="CW47" s="745"/>
      <c r="CX47" s="746"/>
      <c r="CY47" s="745"/>
      <c r="CZ47" s="745"/>
      <c r="DA47" s="745"/>
      <c r="DB47" s="745"/>
      <c r="DC47" s="746"/>
      <c r="DD47" s="745"/>
      <c r="DE47" s="745"/>
      <c r="DF47" s="745"/>
      <c r="DG47" s="745"/>
      <c r="DH47" s="746"/>
      <c r="DI47" s="745"/>
      <c r="DJ47" s="745"/>
      <c r="DK47" s="745"/>
      <c r="DL47" s="745"/>
      <c r="DM47" s="746"/>
      <c r="DN47" s="745"/>
      <c r="DO47" s="745"/>
      <c r="DP47" s="745"/>
      <c r="DQ47" s="745"/>
      <c r="DR47" s="746"/>
      <c r="DS47" s="745"/>
      <c r="DT47" s="745"/>
      <c r="DU47" s="745"/>
      <c r="DV47" s="745"/>
      <c r="DW47" s="746"/>
    </row>
    <row r="48" spans="1:139">
      <c r="A48" s="748" t="s">
        <v>329</v>
      </c>
      <c r="B48" s="301"/>
      <c r="C48" s="302"/>
      <c r="D48" s="303"/>
      <c r="E48" s="303"/>
      <c r="F48" s="303"/>
      <c r="G48" s="304"/>
      <c r="H48" s="303"/>
      <c r="I48" s="303"/>
      <c r="J48" s="303"/>
      <c r="K48" s="303"/>
      <c r="L48" s="304"/>
      <c r="M48" s="303"/>
      <c r="N48" s="303"/>
      <c r="O48" s="303"/>
      <c r="P48" s="92"/>
      <c r="Q48" s="304"/>
      <c r="R48" s="303"/>
      <c r="S48" s="303"/>
      <c r="T48" s="303"/>
      <c r="U48" s="92"/>
      <c r="V48" s="304"/>
      <c r="W48" s="303"/>
      <c r="X48" s="329"/>
      <c r="Y48" s="329"/>
      <c r="Z48" s="92"/>
      <c r="AA48" s="121"/>
      <c r="AB48" s="305"/>
      <c r="AC48" s="305"/>
      <c r="AD48" s="305"/>
      <c r="AE48" s="305"/>
      <c r="AF48" s="121"/>
      <c r="AG48" s="305"/>
      <c r="AH48" s="305"/>
      <c r="AI48" s="305"/>
      <c r="AJ48" s="88"/>
      <c r="AK48" s="121"/>
      <c r="AL48" s="305"/>
      <c r="AM48" s="305"/>
      <c r="AN48" s="305"/>
      <c r="AO48" s="88"/>
      <c r="AP48" s="121"/>
      <c r="AQ48" s="305"/>
      <c r="AR48" s="305"/>
      <c r="AS48" s="305"/>
      <c r="AT48" s="88"/>
      <c r="AU48" s="121"/>
      <c r="AV48" s="305"/>
      <c r="AW48" s="305"/>
      <c r="AX48" s="305"/>
      <c r="AY48" s="305"/>
      <c r="AZ48" s="121"/>
      <c r="BA48" s="305"/>
      <c r="BB48" s="305"/>
      <c r="BC48" s="305"/>
      <c r="BD48" s="305"/>
      <c r="BE48" s="744">
        <v>25.876000000000001</v>
      </c>
      <c r="BF48" s="745">
        <v>4.1399999999999997</v>
      </c>
      <c r="BG48" s="745">
        <f>10.047-BF48</f>
        <v>5.9070000000000009</v>
      </c>
      <c r="BH48" s="745">
        <f>15.908-BG48-BF48</f>
        <v>5.860999999999998</v>
      </c>
      <c r="BI48" s="745">
        <f>BJ48-BH48-BG48-BF48</f>
        <v>7.1520000000000019</v>
      </c>
      <c r="BJ48" s="744">
        <v>23.06</v>
      </c>
      <c r="BK48" s="745">
        <v>4.1289999999999996</v>
      </c>
      <c r="BL48" s="745">
        <f>19.622-BK48</f>
        <v>15.493</v>
      </c>
      <c r="BM48" s="745">
        <f>53.668-BL48-BK48</f>
        <v>34.045999999999999</v>
      </c>
      <c r="BN48" s="745">
        <f>BO48-BM48-BL48-BK48</f>
        <v>-15.914999999999999</v>
      </c>
      <c r="BO48" s="744">
        <v>37.753</v>
      </c>
      <c r="BP48" s="745">
        <v>1.4510000000000001</v>
      </c>
      <c r="BQ48" s="745">
        <f>553.776-BP48</f>
        <v>552.32499999999993</v>
      </c>
      <c r="BR48" s="745">
        <f>556.006-BQ48-BP48</f>
        <v>2.23000000000004</v>
      </c>
      <c r="BS48" s="745">
        <f t="shared" ref="BS48:BS58" si="51">BT48-BR48-BQ48-BP48</f>
        <v>51.500999999999998</v>
      </c>
      <c r="BT48" s="744">
        <v>607.50699999999995</v>
      </c>
      <c r="BU48" s="745">
        <v>0.161</v>
      </c>
      <c r="BV48" s="745">
        <f>497.661-BU48</f>
        <v>497.5</v>
      </c>
      <c r="BW48" s="745">
        <f>497.661-BV48-BU48</f>
        <v>1.3600232051658168E-15</v>
      </c>
      <c r="BX48" s="745">
        <f t="shared" ref="BX48:BX54" si="52">BY48-BW48-BV48-BU48</f>
        <v>1.3600232051658168E-15</v>
      </c>
      <c r="BY48" s="744">
        <v>497.661</v>
      </c>
      <c r="BZ48" s="745">
        <v>0</v>
      </c>
      <c r="CA48" s="745">
        <v>0</v>
      </c>
      <c r="CB48" s="745">
        <v>0</v>
      </c>
      <c r="CC48" s="745">
        <f t="shared" ref="CC48:CC56" si="53">CD48-CB48-CA48-BZ48</f>
        <v>0</v>
      </c>
      <c r="CD48" s="746">
        <v>0</v>
      </c>
      <c r="CE48" s="745">
        <v>0</v>
      </c>
      <c r="CF48" s="745">
        <f>619.437-CE48</f>
        <v>619.43700000000001</v>
      </c>
      <c r="CG48" s="745">
        <f>1113.75-SUM(CE48:CF48)</f>
        <v>494.31299999999999</v>
      </c>
      <c r="CH48" s="745">
        <f t="shared" ref="CH48:CH56" si="54">CI48-CG48-CF48-CE48</f>
        <v>0</v>
      </c>
      <c r="CI48" s="746">
        <v>1113.75</v>
      </c>
      <c r="CJ48" s="745">
        <v>0</v>
      </c>
      <c r="CK48" s="745">
        <f>350</f>
        <v>350</v>
      </c>
      <c r="CL48" s="745">
        <f>350-SUM(CJ48:CK48)</f>
        <v>0</v>
      </c>
      <c r="CM48" s="745">
        <f t="shared" ref="CM48:CM54" si="55">CN48-SUM(CJ48:CL48)</f>
        <v>225</v>
      </c>
      <c r="CN48" s="746">
        <v>575</v>
      </c>
      <c r="CO48" s="745">
        <v>0</v>
      </c>
      <c r="CP48" s="745">
        <v>0</v>
      </c>
      <c r="CQ48" s="745">
        <v>0</v>
      </c>
      <c r="CR48" s="745">
        <f t="shared" ref="CR48:CR56" si="56">CS48-SUM(CO48:CQ48)</f>
        <v>0</v>
      </c>
      <c r="CS48" s="746">
        <v>0</v>
      </c>
      <c r="CT48" s="745">
        <v>0</v>
      </c>
      <c r="CU48" s="745">
        <f>2275-CT48</f>
        <v>2275</v>
      </c>
      <c r="CV48" s="745">
        <f>2294-CU48-CT48</f>
        <v>19</v>
      </c>
      <c r="CW48" s="745">
        <f t="shared" ref="CW48:CW56" si="57">CX48-SUM(CT48:CV48)</f>
        <v>0</v>
      </c>
      <c r="CX48" s="746">
        <v>2294</v>
      </c>
      <c r="CY48" s="745">
        <v>0</v>
      </c>
      <c r="CZ48" s="745">
        <f>0-CY48</f>
        <v>0</v>
      </c>
      <c r="DA48" s="745">
        <v>0</v>
      </c>
      <c r="DB48" s="745">
        <f t="shared" ref="DB48:DB56" si="58">DC48-SUM(CY48:DA48)</f>
        <v>0</v>
      </c>
      <c r="DC48" s="746">
        <v>0</v>
      </c>
      <c r="DD48" s="745">
        <v>0</v>
      </c>
      <c r="DE48" s="745">
        <v>0</v>
      </c>
      <c r="DF48" s="745">
        <v>0</v>
      </c>
      <c r="DG48" s="745">
        <f t="shared" ref="DG48" si="59">DH48-SUM(DD48:DF48)</f>
        <v>0</v>
      </c>
      <c r="DH48" s="746">
        <v>0</v>
      </c>
      <c r="DI48" s="745">
        <v>0</v>
      </c>
      <c r="DJ48" s="745">
        <v>0</v>
      </c>
      <c r="DK48" s="745">
        <v>0</v>
      </c>
      <c r="DL48" s="745">
        <v>0</v>
      </c>
      <c r="DM48" s="746">
        <f t="shared" ref="DM48:DM54" si="60">SUM(DI48:DL48)</f>
        <v>0</v>
      </c>
      <c r="DN48" s="745">
        <v>0</v>
      </c>
      <c r="DO48" s="745">
        <v>0</v>
      </c>
      <c r="DP48" s="745">
        <v>0</v>
      </c>
      <c r="DQ48" s="745">
        <v>0</v>
      </c>
      <c r="DR48" s="746">
        <f t="shared" ref="DR48:DR54" si="61">SUM(DN48:DQ48)</f>
        <v>0</v>
      </c>
      <c r="DS48" s="745">
        <v>0</v>
      </c>
      <c r="DT48" s="745">
        <v>0</v>
      </c>
      <c r="DU48" s="745">
        <v>0</v>
      </c>
      <c r="DV48" s="745">
        <v>0</v>
      </c>
      <c r="DW48" s="746">
        <f t="shared" ref="DW48:DW54" si="62">SUM(DS48:DV48)</f>
        <v>0</v>
      </c>
      <c r="DX48" s="1046"/>
    </row>
    <row r="49" spans="1:211">
      <c r="A49" s="748" t="s">
        <v>330</v>
      </c>
      <c r="B49" s="319"/>
      <c r="C49" s="330"/>
      <c r="D49" s="331"/>
      <c r="E49" s="331"/>
      <c r="F49" s="331"/>
      <c r="G49" s="332"/>
      <c r="H49" s="331"/>
      <c r="I49" s="331"/>
      <c r="J49" s="331"/>
      <c r="K49" s="331"/>
      <c r="L49" s="332"/>
      <c r="M49" s="331"/>
      <c r="N49" s="331"/>
      <c r="O49" s="331"/>
      <c r="P49" s="331"/>
      <c r="Q49" s="332"/>
      <c r="R49" s="331"/>
      <c r="S49" s="331"/>
      <c r="T49" s="331"/>
      <c r="U49" s="331"/>
      <c r="V49" s="332"/>
      <c r="W49" s="331"/>
      <c r="X49" s="331"/>
      <c r="Y49" s="331"/>
      <c r="Z49" s="331"/>
      <c r="AA49" s="332"/>
      <c r="AB49" s="333"/>
      <c r="AC49" s="333"/>
      <c r="AD49" s="333"/>
      <c r="AE49" s="333"/>
      <c r="AF49" s="334"/>
      <c r="AG49" s="335"/>
      <c r="AH49" s="333"/>
      <c r="AI49" s="333"/>
      <c r="AJ49" s="333"/>
      <c r="AK49" s="507"/>
      <c r="AL49" s="447"/>
      <c r="AM49" s="447"/>
      <c r="AN49" s="447"/>
      <c r="AO49" s="447"/>
      <c r="AP49" s="507"/>
      <c r="AQ49" s="447"/>
      <c r="AR49" s="447"/>
      <c r="AS49" s="447"/>
      <c r="AT49" s="447"/>
      <c r="AU49" s="507"/>
      <c r="AV49" s="447"/>
      <c r="AW49" s="447"/>
      <c r="AX49" s="447"/>
      <c r="AY49" s="447"/>
      <c r="AZ49" s="507"/>
      <c r="BA49" s="447"/>
      <c r="BB49" s="447"/>
      <c r="BC49" s="447"/>
      <c r="BD49" s="447"/>
      <c r="BE49" s="744">
        <v>-76.721000000000004</v>
      </c>
      <c r="BF49" s="745">
        <v>-6.6529999999999996</v>
      </c>
      <c r="BG49" s="745">
        <f>-11.145-BF49</f>
        <v>-4.492</v>
      </c>
      <c r="BH49" s="745">
        <f>-15.948-BG49-BF49</f>
        <v>-4.8029999999999999</v>
      </c>
      <c r="BI49" s="745">
        <f>BJ49-BH49-BG49-BF49</f>
        <v>-8.5569999999999986</v>
      </c>
      <c r="BJ49" s="744">
        <v>-24.504999999999999</v>
      </c>
      <c r="BK49" s="745">
        <v>-4.3579999999999997</v>
      </c>
      <c r="BL49" s="745">
        <f>-29.394-BK49</f>
        <v>-25.035999999999998</v>
      </c>
      <c r="BM49" s="745">
        <f>-89.313-BL49-BK49</f>
        <v>-59.919000000000004</v>
      </c>
      <c r="BN49" s="745">
        <f>BO49-BM49-BL49-BK49</f>
        <v>-88.57</v>
      </c>
      <c r="BO49" s="744">
        <v>-177.88300000000001</v>
      </c>
      <c r="BP49" s="305">
        <v>-4.4950000000000001</v>
      </c>
      <c r="BQ49" s="305">
        <f>-138.402-BP49</f>
        <v>-133.90699999999998</v>
      </c>
      <c r="BR49" s="305">
        <f>-154.427-BQ49-BP49</f>
        <v>-16.025000000000009</v>
      </c>
      <c r="BS49" s="305">
        <f t="shared" si="51"/>
        <v>-55.944000000000024</v>
      </c>
      <c r="BT49" s="545">
        <v>-210.37100000000001</v>
      </c>
      <c r="BU49" s="305">
        <v>-10.215999999999999</v>
      </c>
      <c r="BV49" s="305">
        <f>-466.362-BU49</f>
        <v>-456.14600000000002</v>
      </c>
      <c r="BW49" s="305">
        <f>-470.942-BV49-BU49</f>
        <v>-4.579999999999993</v>
      </c>
      <c r="BX49" s="305">
        <f t="shared" si="52"/>
        <v>-3.8489999999999984</v>
      </c>
      <c r="BY49" s="545">
        <v>-474.791</v>
      </c>
      <c r="BZ49" s="305">
        <v>-30.210999999999999</v>
      </c>
      <c r="CA49" s="305">
        <f>-34.768-BZ49</f>
        <v>-4.5570000000000022</v>
      </c>
      <c r="CB49" s="305">
        <f>-36.611-CA49-BZ49</f>
        <v>-1.8429999999999964</v>
      </c>
      <c r="CC49" s="305">
        <f t="shared" si="53"/>
        <v>-2.0910000000000011</v>
      </c>
      <c r="CD49" s="545">
        <v>-38.701999999999998</v>
      </c>
      <c r="CE49" s="305">
        <v>-6.3540000000000001</v>
      </c>
      <c r="CF49" s="305">
        <f>-602.823-10.093-CE49</f>
        <v>-606.5619999999999</v>
      </c>
      <c r="CG49" s="305">
        <f>-1044.011-43.151-SUM(CE49:CF49)</f>
        <v>-474.24600000000009</v>
      </c>
      <c r="CH49" s="305">
        <f t="shared" si="54"/>
        <v>-0.29900000000001992</v>
      </c>
      <c r="CI49" s="545">
        <f>-1044.31-43.151</f>
        <v>-1087.461</v>
      </c>
      <c r="CJ49" s="305">
        <v>-6.5060000000000002</v>
      </c>
      <c r="CK49" s="305">
        <f>-357.419-CJ49</f>
        <v>-350.91300000000001</v>
      </c>
      <c r="CL49" s="305">
        <f>-358.364-SUM(CJ49:CK49)</f>
        <v>-0.94499999999999318</v>
      </c>
      <c r="CM49" s="305">
        <f t="shared" si="55"/>
        <v>-231.92900000000003</v>
      </c>
      <c r="CN49" s="545">
        <v>-590.29300000000001</v>
      </c>
      <c r="CO49" s="305">
        <v>-9.9</v>
      </c>
      <c r="CP49" s="305">
        <f>-19.486-CO49</f>
        <v>-9.5860000000000003</v>
      </c>
      <c r="CQ49" s="305">
        <f>-28.983-CP49-CO49</f>
        <v>-9.4969999999999981</v>
      </c>
      <c r="CR49" s="305">
        <f t="shared" si="56"/>
        <v>-9.3970000000000056</v>
      </c>
      <c r="CS49" s="545">
        <f>-38.38</f>
        <v>-38.380000000000003</v>
      </c>
      <c r="CT49" s="305">
        <v>-9.4440000000000008</v>
      </c>
      <c r="CU49" s="305">
        <f>-1302.055-CT49</f>
        <v>-1292.6110000000001</v>
      </c>
      <c r="CV49" s="305">
        <f>-1321.169-CU49-CT49</f>
        <v>-19.11399999999999</v>
      </c>
      <c r="CW49" s="305">
        <f t="shared" si="57"/>
        <v>-6.0539999999998599</v>
      </c>
      <c r="CX49" s="545">
        <v>-1327.223</v>
      </c>
      <c r="CY49" s="313">
        <v>-6.6959999999999997</v>
      </c>
      <c r="CZ49" s="313">
        <f>-12.651-CY49</f>
        <v>-5.9550000000000001</v>
      </c>
      <c r="DA49" s="305">
        <f>-18.678-CZ49-CY49</f>
        <v>-6.027000000000001</v>
      </c>
      <c r="DB49" s="305">
        <f t="shared" si="58"/>
        <v>-5.9390000000000001</v>
      </c>
      <c r="DC49" s="545">
        <v>-24.617000000000001</v>
      </c>
      <c r="DD49" s="305">
        <v>-6.1589999999999998</v>
      </c>
      <c r="DE49" s="305">
        <f>-13.646-DD49</f>
        <v>-7.487000000000001</v>
      </c>
      <c r="DF49" s="305">
        <f>-20.291-SUM(DD49:DE49)</f>
        <v>-6.6449999999999996</v>
      </c>
      <c r="DG49" s="305">
        <f t="shared" ref="DG49:DG56" si="63">DH49-SUM(DD49:DF49)</f>
        <v>-7.9789999999999992</v>
      </c>
      <c r="DH49" s="545">
        <v>-28.27</v>
      </c>
      <c r="DI49" s="307">
        <v>0</v>
      </c>
      <c r="DJ49" s="307">
        <v>0</v>
      </c>
      <c r="DK49" s="307">
        <v>0</v>
      </c>
      <c r="DL49" s="307">
        <v>0</v>
      </c>
      <c r="DM49" s="545">
        <f t="shared" si="60"/>
        <v>0</v>
      </c>
      <c r="DN49" s="307">
        <v>0</v>
      </c>
      <c r="DO49" s="307">
        <v>0</v>
      </c>
      <c r="DP49" s="307">
        <v>0</v>
      </c>
      <c r="DQ49" s="307">
        <v>0</v>
      </c>
      <c r="DR49" s="545">
        <f t="shared" si="61"/>
        <v>0</v>
      </c>
      <c r="DS49" s="307">
        <v>0</v>
      </c>
      <c r="DT49" s="307">
        <v>0</v>
      </c>
      <c r="DU49" s="307">
        <v>0</v>
      </c>
      <c r="DV49" s="307">
        <v>0</v>
      </c>
      <c r="DW49" s="545">
        <f t="shared" si="62"/>
        <v>0</v>
      </c>
      <c r="DX49" s="1046"/>
    </row>
    <row r="50" spans="1:211" s="49" customFormat="1">
      <c r="A50" s="749" t="s">
        <v>331</v>
      </c>
      <c r="B50" s="328"/>
      <c r="C50" s="328"/>
      <c r="D50" s="369"/>
      <c r="E50" s="369"/>
      <c r="F50" s="369"/>
      <c r="G50" s="949"/>
      <c r="H50" s="369"/>
      <c r="I50" s="369"/>
      <c r="J50" s="369"/>
      <c r="K50" s="369"/>
      <c r="L50" s="949"/>
      <c r="M50" s="369"/>
      <c r="N50" s="369"/>
      <c r="O50" s="369"/>
      <c r="P50" s="369"/>
      <c r="Q50" s="949"/>
      <c r="R50" s="369"/>
      <c r="S50" s="369"/>
      <c r="T50" s="369"/>
      <c r="U50" s="369"/>
      <c r="V50" s="949"/>
      <c r="W50" s="369"/>
      <c r="X50" s="950"/>
      <c r="Y50" s="950"/>
      <c r="Z50" s="369"/>
      <c r="AA50" s="949"/>
      <c r="AB50" s="951"/>
      <c r="AC50" s="951"/>
      <c r="AD50" s="951"/>
      <c r="AE50" s="951"/>
      <c r="AF50" s="952"/>
      <c r="AG50" s="951"/>
      <c r="AH50" s="951"/>
      <c r="AI50" s="951"/>
      <c r="AJ50" s="951"/>
      <c r="AK50" s="952"/>
      <c r="AL50" s="951"/>
      <c r="AM50" s="951"/>
      <c r="AN50" s="951"/>
      <c r="AO50" s="951"/>
      <c r="AP50" s="952"/>
      <c r="AQ50" s="951"/>
      <c r="AR50" s="951"/>
      <c r="AS50" s="951"/>
      <c r="AT50" s="951"/>
      <c r="AU50" s="952"/>
      <c r="AV50" s="953"/>
      <c r="AW50" s="954"/>
      <c r="AX50" s="955"/>
      <c r="AY50" s="951"/>
      <c r="AZ50" s="956"/>
      <c r="BA50" s="951"/>
      <c r="BB50" s="951"/>
      <c r="BC50" s="955"/>
      <c r="BD50" s="951"/>
      <c r="BE50" s="739">
        <v>-70.040000000000006</v>
      </c>
      <c r="BF50" s="740">
        <v>-8.0009999999999994</v>
      </c>
      <c r="BG50" s="740">
        <f>-16.119-BF50</f>
        <v>-8.1180000000000003</v>
      </c>
      <c r="BH50" s="740">
        <f>-24.162-BG50-BF50</f>
        <v>-8.0429999999999975</v>
      </c>
      <c r="BI50" s="740">
        <f>BJ50-BH50-BG50-BF50</f>
        <v>-7.9549999999999983</v>
      </c>
      <c r="BJ50" s="739">
        <v>-32.116999999999997</v>
      </c>
      <c r="BK50" s="740">
        <v>-8.0449999999999999</v>
      </c>
      <c r="BL50" s="740">
        <f>-16.101-BK50</f>
        <v>-8.0559999999999992</v>
      </c>
      <c r="BM50" s="740">
        <f>-16.101-BL50-BK50</f>
        <v>0</v>
      </c>
      <c r="BN50" s="740">
        <f>BO50-BM50-BL50-BK50</f>
        <v>-14.436999999999999</v>
      </c>
      <c r="BO50" s="739">
        <v>-30.538</v>
      </c>
      <c r="BP50" s="740">
        <v>0</v>
      </c>
      <c r="BQ50" s="740">
        <f>-14.073-BP50</f>
        <v>-14.073</v>
      </c>
      <c r="BR50" s="740">
        <f>-21.088-BQ50-BP50</f>
        <v>-7.0150000000000006</v>
      </c>
      <c r="BS50" s="740">
        <f t="shared" si="51"/>
        <v>-6.8879999999999981</v>
      </c>
      <c r="BT50" s="739">
        <v>-27.975999999999999</v>
      </c>
      <c r="BU50" s="740">
        <v>-6.6529999999999996</v>
      </c>
      <c r="BV50" s="740">
        <f>-12.989-BU50</f>
        <v>-6.3360000000000012</v>
      </c>
      <c r="BW50" s="740">
        <f>-19.26-BV50-BU50</f>
        <v>-6.2709999999999999</v>
      </c>
      <c r="BX50" s="740">
        <f t="shared" si="52"/>
        <v>-8.3609999999999971</v>
      </c>
      <c r="BY50" s="739">
        <v>-27.620999999999999</v>
      </c>
      <c r="BZ50" s="740">
        <v>-8.3740000000000006</v>
      </c>
      <c r="CA50" s="740">
        <f>-16.75-BZ50</f>
        <v>-8.3759999999999994</v>
      </c>
      <c r="CB50" s="740">
        <f>-24.584-CA50-BZ50</f>
        <v>-7.8339999999999979</v>
      </c>
      <c r="CC50" s="740">
        <f t="shared" si="53"/>
        <v>-7.7820000000000054</v>
      </c>
      <c r="CD50" s="742">
        <v>-32.366</v>
      </c>
      <c r="CE50" s="740">
        <v>-7.7949999999999999</v>
      </c>
      <c r="CF50" s="1092">
        <f>-15.597-CE50</f>
        <v>-7.8019999999999996</v>
      </c>
      <c r="CG50" s="1092">
        <f>-23.406-SUM(CE50:CF50)</f>
        <v>-7.8089999999999993</v>
      </c>
      <c r="CH50" s="1092">
        <f t="shared" si="54"/>
        <v>-15.637000000000002</v>
      </c>
      <c r="CI50" s="742">
        <v>-39.042999999999999</v>
      </c>
      <c r="CJ50" s="1092">
        <v>-15.702999999999999</v>
      </c>
      <c r="CK50" s="1092">
        <f>-31.44-CJ50</f>
        <v>-15.737000000000002</v>
      </c>
      <c r="CL50" s="1092">
        <f>-51.065-SUM(CJ50:CK50)</f>
        <v>-19.624999999999996</v>
      </c>
      <c r="CM50" s="1092">
        <f t="shared" si="55"/>
        <v>-19.616</v>
      </c>
      <c r="CN50" s="742">
        <v>-70.680999999999997</v>
      </c>
      <c r="CO50" s="1092">
        <v>-18.306000000000001</v>
      </c>
      <c r="CP50" s="1092">
        <f>-36.648-CO50</f>
        <v>-18.342000000000002</v>
      </c>
      <c r="CQ50" s="1092">
        <f>-55.012-CP50-CO50</f>
        <v>-18.364000000000001</v>
      </c>
      <c r="CR50" s="1092">
        <f t="shared" si="56"/>
        <v>-20.105000000000004</v>
      </c>
      <c r="CS50" s="742">
        <v>-75.117000000000004</v>
      </c>
      <c r="CT50" s="1092">
        <v>-20.199000000000002</v>
      </c>
      <c r="CU50" s="1092">
        <f>-40.189-CT50</f>
        <v>-19.989999999999998</v>
      </c>
      <c r="CV50" s="1092">
        <f>-55.414-CU50-CT50</f>
        <v>-15.225000000000005</v>
      </c>
      <c r="CW50" s="1092">
        <f t="shared" si="57"/>
        <v>-16.430999999999997</v>
      </c>
      <c r="CX50" s="742">
        <v>-71.844999999999999</v>
      </c>
      <c r="CY50" s="1247">
        <v>-16.213999999999999</v>
      </c>
      <c r="CZ50" s="1247">
        <f>-32.152-CY50</f>
        <v>-15.938000000000002</v>
      </c>
      <c r="DA50" s="1092">
        <f>-47.793-CZ50-CY50</f>
        <v>-15.640999999999998</v>
      </c>
      <c r="DB50" s="1092">
        <f t="shared" si="58"/>
        <v>-16.039000000000001</v>
      </c>
      <c r="DC50" s="742">
        <v>-63.832000000000001</v>
      </c>
      <c r="DD50" s="1092">
        <v>-17.273</v>
      </c>
      <c r="DE50" s="1092">
        <f>-34.447-DD50</f>
        <v>-17.174000000000003</v>
      </c>
      <c r="DF50" s="1092">
        <f>-51.464-SUM(DD50:DE50)</f>
        <v>-17.016999999999996</v>
      </c>
      <c r="DG50" s="1092">
        <f t="shared" si="63"/>
        <v>-16.858000000000004</v>
      </c>
      <c r="DH50" s="742">
        <v>-68.322000000000003</v>
      </c>
      <c r="DI50" s="1092">
        <f>-IncomeStatement!BZ199</f>
        <v>-21.115807575786999</v>
      </c>
      <c r="DJ50" s="1092">
        <f>-IncomeStatement!CA199</f>
        <v>-20.985579205584397</v>
      </c>
      <c r="DK50" s="1092">
        <f>-IncomeStatement!CB199</f>
        <v>-20.864790281581918</v>
      </c>
      <c r="DL50" s="1092">
        <f>-IncomeStatement!CC199</f>
        <v>-21.973755500832137</v>
      </c>
      <c r="DM50" s="742">
        <f t="shared" si="60"/>
        <v>-84.939932563785447</v>
      </c>
      <c r="DN50" s="1092">
        <f>-IncomeStatement!CE199</f>
        <v>-21.861844320149014</v>
      </c>
      <c r="DO50" s="1092">
        <f>-IncomeStatement!CF199</f>
        <v>-21.753539241047918</v>
      </c>
      <c r="DP50" s="1092">
        <f>-IncomeStatement!CG199</f>
        <v>-21.648769555654685</v>
      </c>
      <c r="DQ50" s="1092">
        <f>-IncomeStatement!CH199</f>
        <v>-23.941628825026736</v>
      </c>
      <c r="DR50" s="742">
        <f t="shared" si="61"/>
        <v>-89.205781941878357</v>
      </c>
      <c r="DS50" s="1092">
        <f>-IncomeStatement!CJ199</f>
        <v>-23.879573618940245</v>
      </c>
      <c r="DT50" s="1092">
        <f>-IncomeStatement!CK199</f>
        <v>-23.867032495264191</v>
      </c>
      <c r="DU50" s="1092">
        <f>-IncomeStatement!CL199</f>
        <v>-23.856305903424921</v>
      </c>
      <c r="DV50" s="1092">
        <f>-IncomeStatement!CM199</f>
        <v>-26.232094090803496</v>
      </c>
      <c r="DW50" s="742">
        <f t="shared" si="62"/>
        <v>-97.835006108432864</v>
      </c>
      <c r="DX50" s="1093"/>
      <c r="DY50" s="142"/>
      <c r="DZ50" s="1007"/>
      <c r="EA50" s="1007"/>
      <c r="ED50"/>
      <c r="EE50"/>
      <c r="EF50"/>
      <c r="EG50"/>
      <c r="EH50"/>
      <c r="EI50"/>
    </row>
    <row r="51" spans="1:211" s="49" customFormat="1">
      <c r="A51" s="749" t="s">
        <v>47</v>
      </c>
      <c r="B51" s="328"/>
      <c r="C51" s="328"/>
      <c r="D51" s="369"/>
      <c r="E51" s="369"/>
      <c r="F51" s="369"/>
      <c r="G51" s="949"/>
      <c r="H51" s="369"/>
      <c r="I51" s="369"/>
      <c r="J51" s="369"/>
      <c r="K51" s="369"/>
      <c r="L51" s="949"/>
      <c r="M51" s="369"/>
      <c r="N51" s="369"/>
      <c r="O51" s="369"/>
      <c r="P51" s="369"/>
      <c r="Q51" s="949"/>
      <c r="R51" s="369"/>
      <c r="S51" s="369"/>
      <c r="T51" s="369"/>
      <c r="U51" s="369"/>
      <c r="V51" s="949"/>
      <c r="W51" s="369"/>
      <c r="X51" s="950"/>
      <c r="Y51" s="950"/>
      <c r="Z51" s="369"/>
      <c r="AA51" s="949"/>
      <c r="AB51" s="951"/>
      <c r="AC51" s="951"/>
      <c r="AD51" s="951"/>
      <c r="AE51" s="951"/>
      <c r="AF51" s="952"/>
      <c r="AG51" s="951"/>
      <c r="AH51" s="951"/>
      <c r="AI51" s="951"/>
      <c r="AJ51" s="951"/>
      <c r="AK51" s="952"/>
      <c r="AL51" s="951"/>
      <c r="AM51" s="951"/>
      <c r="AN51" s="951"/>
      <c r="AO51" s="951"/>
      <c r="AP51" s="952"/>
      <c r="AQ51" s="951"/>
      <c r="AR51" s="951"/>
      <c r="AS51" s="951"/>
      <c r="AT51" s="951"/>
      <c r="AU51" s="952"/>
      <c r="AV51" s="953"/>
      <c r="AW51" s="954"/>
      <c r="AX51" s="955"/>
      <c r="AY51" s="951"/>
      <c r="AZ51" s="956"/>
      <c r="BA51" s="951"/>
      <c r="BB51" s="951"/>
      <c r="BC51" s="955"/>
      <c r="BD51" s="951"/>
      <c r="BE51" s="739"/>
      <c r="BF51" s="740"/>
      <c r="BG51" s="740"/>
      <c r="BH51" s="740"/>
      <c r="BI51" s="740"/>
      <c r="BJ51" s="739"/>
      <c r="BK51" s="115"/>
      <c r="BL51" s="115"/>
      <c r="BM51" s="115"/>
      <c r="BN51" s="115"/>
      <c r="BO51" s="236"/>
      <c r="BP51" s="110">
        <v>0</v>
      </c>
      <c r="BQ51" s="110">
        <v>0</v>
      </c>
      <c r="BR51" s="110">
        <f>-25.244-BQ51-BP51</f>
        <v>-25.244</v>
      </c>
      <c r="BS51" s="110">
        <f t="shared" si="51"/>
        <v>-47.683000000000007</v>
      </c>
      <c r="BT51" s="236">
        <v>-72.927000000000007</v>
      </c>
      <c r="BU51" s="110">
        <v>-80.841999999999999</v>
      </c>
      <c r="BV51" s="110">
        <f>-173.537-BU51</f>
        <v>-92.695000000000007</v>
      </c>
      <c r="BW51" s="110">
        <f>-173.537-BV51-BU51</f>
        <v>0</v>
      </c>
      <c r="BX51" s="110">
        <f t="shared" si="52"/>
        <v>0</v>
      </c>
      <c r="BY51" s="236">
        <v>-173.53700000000001</v>
      </c>
      <c r="BZ51" s="110">
        <v>0</v>
      </c>
      <c r="CA51" s="110">
        <f>-37.4-BZ51</f>
        <v>-37.4</v>
      </c>
      <c r="CB51" s="110">
        <f>-152.681-CA51-BZ51</f>
        <v>-115.28100000000001</v>
      </c>
      <c r="CC51" s="110">
        <f t="shared" si="53"/>
        <v>-4.8750000000000071</v>
      </c>
      <c r="CD51" s="547">
        <v>-157.55600000000001</v>
      </c>
      <c r="CE51" s="110">
        <v>0</v>
      </c>
      <c r="CF51" s="110">
        <f>0-CE51</f>
        <v>0</v>
      </c>
      <c r="CG51" s="110">
        <f>0-SUM(CE51:CF51)</f>
        <v>0</v>
      </c>
      <c r="CH51" s="110">
        <f t="shared" si="54"/>
        <v>0</v>
      </c>
      <c r="CI51" s="547">
        <v>0</v>
      </c>
      <c r="CJ51" s="110">
        <v>0</v>
      </c>
      <c r="CK51" s="115">
        <v>0</v>
      </c>
      <c r="CL51" s="110">
        <f>-41.469-SUM(CJ51:CK51)</f>
        <v>-41.469000000000001</v>
      </c>
      <c r="CM51" s="110">
        <f t="shared" si="55"/>
        <v>-27.850999999999992</v>
      </c>
      <c r="CN51" s="547">
        <v>-69.319999999999993</v>
      </c>
      <c r="CO51" s="110">
        <v>-277.26100000000002</v>
      </c>
      <c r="CP51" s="110">
        <f>-277.275-CO51</f>
        <v>-1.3999999999953161E-2</v>
      </c>
      <c r="CQ51" s="110">
        <f>-291.24-CP51-CO51</f>
        <v>-13.965000000000032</v>
      </c>
      <c r="CR51" s="110">
        <f t="shared" si="56"/>
        <v>-9.9759999999999991</v>
      </c>
      <c r="CS51" s="547">
        <v>-301.21600000000001</v>
      </c>
      <c r="CT51" s="110">
        <v>-36.963000000000001</v>
      </c>
      <c r="CU51" s="110">
        <f>-63.206-CT51</f>
        <v>-26.243000000000002</v>
      </c>
      <c r="CV51" s="110">
        <f>-1078.404-CU51-CT51</f>
        <v>-1015.1980000000001</v>
      </c>
      <c r="CW51" s="110">
        <f t="shared" si="57"/>
        <v>-20.313000000000102</v>
      </c>
      <c r="CX51" s="547">
        <v>-1098.7170000000001</v>
      </c>
      <c r="CY51" s="515">
        <v>-47.600999999999999</v>
      </c>
      <c r="CZ51" s="515">
        <f>-108.057-CY51</f>
        <v>-60.456000000000003</v>
      </c>
      <c r="DA51" s="110">
        <f>-161.194-CZ51-CY51</f>
        <v>-53.136999999999986</v>
      </c>
      <c r="DB51" s="110">
        <f t="shared" si="58"/>
        <v>-175.76400000000004</v>
      </c>
      <c r="DC51" s="547">
        <v>-336.95800000000003</v>
      </c>
      <c r="DD51" s="110">
        <v>-16.026</v>
      </c>
      <c r="DE51" s="110">
        <f>-50.527-DD51</f>
        <v>-34.501000000000005</v>
      </c>
      <c r="DF51" s="110">
        <f>-90.065-SUM(DD51:DE51)</f>
        <v>-39.537999999999997</v>
      </c>
      <c r="DG51" s="110">
        <f t="shared" si="63"/>
        <v>-36.165999999999997</v>
      </c>
      <c r="DH51" s="547">
        <v>-126.23099999999999</v>
      </c>
      <c r="DI51" s="115">
        <v>-40</v>
      </c>
      <c r="DJ51" s="115">
        <v>-40</v>
      </c>
      <c r="DK51" s="115">
        <v>-40</v>
      </c>
      <c r="DL51" s="115">
        <v>-40</v>
      </c>
      <c r="DM51" s="547">
        <f t="shared" si="60"/>
        <v>-160</v>
      </c>
      <c r="DN51" s="115">
        <v>-40</v>
      </c>
      <c r="DO51" s="115">
        <v>-40</v>
      </c>
      <c r="DP51" s="115">
        <v>-40</v>
      </c>
      <c r="DQ51" s="115">
        <v>-40</v>
      </c>
      <c r="DR51" s="547">
        <f t="shared" si="61"/>
        <v>-160</v>
      </c>
      <c r="DS51" s="115">
        <v>-20</v>
      </c>
      <c r="DT51" s="115">
        <v>-20</v>
      </c>
      <c r="DU51" s="115">
        <v>-20</v>
      </c>
      <c r="DV51" s="115">
        <v>-20</v>
      </c>
      <c r="DW51" s="547">
        <f t="shared" si="62"/>
        <v>-80</v>
      </c>
      <c r="DX51" s="1046"/>
      <c r="ED51"/>
      <c r="EE51"/>
      <c r="EF51"/>
      <c r="EG51"/>
      <c r="EH51"/>
      <c r="EI51"/>
    </row>
    <row r="52" spans="1:211">
      <c r="A52" s="748" t="s">
        <v>332</v>
      </c>
      <c r="B52" s="301"/>
      <c r="C52" s="301"/>
      <c r="D52" s="321"/>
      <c r="E52" s="321"/>
      <c r="F52" s="321"/>
      <c r="G52" s="322"/>
      <c r="H52" s="321"/>
      <c r="I52" s="321"/>
      <c r="J52" s="321"/>
      <c r="K52" s="321"/>
      <c r="L52" s="322"/>
      <c r="M52" s="321"/>
      <c r="N52" s="321"/>
      <c r="O52" s="321"/>
      <c r="P52" s="321"/>
      <c r="Q52" s="322"/>
      <c r="R52" s="321"/>
      <c r="S52" s="321"/>
      <c r="T52" s="321"/>
      <c r="U52" s="321"/>
      <c r="V52" s="322"/>
      <c r="W52" s="321"/>
      <c r="X52" s="324"/>
      <c r="Y52" s="324"/>
      <c r="Z52" s="321"/>
      <c r="AA52" s="322"/>
      <c r="AB52" s="325"/>
      <c r="AC52" s="325"/>
      <c r="AD52" s="325"/>
      <c r="AE52" s="325"/>
      <c r="AF52" s="121"/>
      <c r="AG52" s="88"/>
      <c r="AH52" s="88"/>
      <c r="AI52" s="88"/>
      <c r="AJ52" s="88"/>
      <c r="AK52" s="121"/>
      <c r="AL52" s="88"/>
      <c r="AM52" s="88"/>
      <c r="AN52" s="88"/>
      <c r="AO52" s="88"/>
      <c r="AP52" s="121"/>
      <c r="AQ52" s="305"/>
      <c r="AR52" s="305"/>
      <c r="AS52" s="305"/>
      <c r="AT52" s="305"/>
      <c r="AU52" s="121"/>
      <c r="AV52" s="305"/>
      <c r="AW52" s="305"/>
      <c r="AX52" s="305"/>
      <c r="AY52" s="305"/>
      <c r="AZ52" s="121"/>
      <c r="BA52" s="305"/>
      <c r="BB52" s="305"/>
      <c r="BC52" s="305"/>
      <c r="BD52" s="305"/>
      <c r="BE52" s="744">
        <v>-39.932000000000002</v>
      </c>
      <c r="BF52" s="745">
        <v>-4.2359999999999998</v>
      </c>
      <c r="BG52" s="745">
        <f>-7.378-BF52</f>
        <v>-3.1420000000000003</v>
      </c>
      <c r="BH52" s="745">
        <f>-7.911-BG52-BF52</f>
        <v>-0.53299999999999947</v>
      </c>
      <c r="BI52" s="745">
        <f>BJ52-BH52-BG52-BF52</f>
        <v>-5.5829999999999993</v>
      </c>
      <c r="BJ52" s="744">
        <v>-13.494</v>
      </c>
      <c r="BK52" s="745">
        <v>0</v>
      </c>
      <c r="BL52" s="745">
        <f>-0.742-BK52</f>
        <v>-0.74199999999999999</v>
      </c>
      <c r="BM52" s="745">
        <f>-1.144-BL52-BK52</f>
        <v>-0.40199999999999991</v>
      </c>
      <c r="BN52" s="745">
        <f>BO52-BM52-BL52-BK52</f>
        <v>0</v>
      </c>
      <c r="BO52" s="744">
        <v>-1.1439999999999999</v>
      </c>
      <c r="BP52" s="745">
        <v>0</v>
      </c>
      <c r="BQ52" s="745">
        <v>0</v>
      </c>
      <c r="BR52" s="745">
        <v>0</v>
      </c>
      <c r="BS52" s="745">
        <f t="shared" si="51"/>
        <v>-0.156</v>
      </c>
      <c r="BT52" s="744">
        <v>-0.156</v>
      </c>
      <c r="BU52" s="745">
        <v>0</v>
      </c>
      <c r="BV52" s="745">
        <v>0</v>
      </c>
      <c r="BW52" s="745">
        <v>0</v>
      </c>
      <c r="BX52" s="745">
        <f t="shared" si="52"/>
        <v>0</v>
      </c>
      <c r="BY52" s="744">
        <v>0</v>
      </c>
      <c r="BZ52" s="745">
        <v>0</v>
      </c>
      <c r="CA52" s="745">
        <v>0</v>
      </c>
      <c r="CB52" s="745">
        <v>0</v>
      </c>
      <c r="CC52" s="745">
        <f t="shared" si="53"/>
        <v>0</v>
      </c>
      <c r="CD52" s="746">
        <v>0</v>
      </c>
      <c r="CE52" s="745">
        <v>0</v>
      </c>
      <c r="CF52" s="745">
        <f>-3.667-CE52</f>
        <v>-3.6669999999999998</v>
      </c>
      <c r="CG52" s="745">
        <f>-3.667-SUM(CE52:CF52)</f>
        <v>0</v>
      </c>
      <c r="CH52" s="745">
        <f t="shared" si="54"/>
        <v>0</v>
      </c>
      <c r="CI52" s="746">
        <v>-3.6669999999999998</v>
      </c>
      <c r="CJ52" s="745">
        <v>0</v>
      </c>
      <c r="CK52" s="745">
        <v>0</v>
      </c>
      <c r="CL52" s="745">
        <v>0</v>
      </c>
      <c r="CM52" s="745">
        <f t="shared" si="55"/>
        <v>0</v>
      </c>
      <c r="CN52" s="746">
        <v>0</v>
      </c>
      <c r="CO52" s="745">
        <v>0</v>
      </c>
      <c r="CP52" s="745">
        <v>0</v>
      </c>
      <c r="CQ52" s="745">
        <v>0</v>
      </c>
      <c r="CR52" s="745">
        <f t="shared" si="56"/>
        <v>0</v>
      </c>
      <c r="CS52" s="746">
        <v>0</v>
      </c>
      <c r="CT52" s="745">
        <v>0</v>
      </c>
      <c r="CU52" s="745">
        <v>0</v>
      </c>
      <c r="CV52" s="745">
        <v>0</v>
      </c>
      <c r="CW52" s="745">
        <f t="shared" si="57"/>
        <v>0</v>
      </c>
      <c r="CX52" s="746">
        <v>0</v>
      </c>
      <c r="CY52" s="745">
        <v>0</v>
      </c>
      <c r="CZ52" s="745">
        <v>0</v>
      </c>
      <c r="DA52" s="745">
        <v>0</v>
      </c>
      <c r="DB52" s="745">
        <f t="shared" si="58"/>
        <v>0</v>
      </c>
      <c r="DC52" s="746">
        <v>0</v>
      </c>
      <c r="DD52" s="745">
        <v>0</v>
      </c>
      <c r="DE52" s="745">
        <v>0</v>
      </c>
      <c r="DF52" s="745">
        <v>0</v>
      </c>
      <c r="DG52" s="745">
        <f t="shared" si="63"/>
        <v>0</v>
      </c>
      <c r="DH52" s="746">
        <v>0</v>
      </c>
      <c r="DI52" s="745">
        <v>0</v>
      </c>
      <c r="DJ52" s="745">
        <v>0</v>
      </c>
      <c r="DK52" s="745">
        <v>0</v>
      </c>
      <c r="DL52" s="745">
        <v>0</v>
      </c>
      <c r="DM52" s="746">
        <f t="shared" si="60"/>
        <v>0</v>
      </c>
      <c r="DN52" s="745">
        <v>0</v>
      </c>
      <c r="DO52" s="745">
        <v>0</v>
      </c>
      <c r="DP52" s="745">
        <v>0</v>
      </c>
      <c r="DQ52" s="745">
        <v>0</v>
      </c>
      <c r="DR52" s="746">
        <f t="shared" si="61"/>
        <v>0</v>
      </c>
      <c r="DS52" s="745">
        <v>0</v>
      </c>
      <c r="DT52" s="745">
        <v>0</v>
      </c>
      <c r="DU52" s="745">
        <v>0</v>
      </c>
      <c r="DV52" s="745">
        <v>0</v>
      </c>
      <c r="DW52" s="746">
        <f t="shared" si="62"/>
        <v>0</v>
      </c>
      <c r="DX52" s="1046"/>
    </row>
    <row r="53" spans="1:211">
      <c r="A53" s="748" t="s">
        <v>0</v>
      </c>
      <c r="B53" s="301"/>
      <c r="C53" s="301"/>
      <c r="D53" s="321"/>
      <c r="E53" s="321"/>
      <c r="F53" s="321"/>
      <c r="G53" s="322"/>
      <c r="H53" s="321"/>
      <c r="I53" s="321"/>
      <c r="J53" s="321"/>
      <c r="K53" s="321"/>
      <c r="L53" s="322"/>
      <c r="M53" s="321"/>
      <c r="N53" s="321"/>
      <c r="O53" s="321"/>
      <c r="P53" s="321"/>
      <c r="Q53" s="322"/>
      <c r="R53" s="321"/>
      <c r="S53" s="321"/>
      <c r="T53" s="321"/>
      <c r="U53" s="321"/>
      <c r="V53" s="322"/>
      <c r="W53" s="321"/>
      <c r="X53" s="324"/>
      <c r="Y53" s="324"/>
      <c r="Z53" s="321"/>
      <c r="AA53" s="322"/>
      <c r="AB53" s="325"/>
      <c r="AC53" s="325"/>
      <c r="AD53" s="325"/>
      <c r="AE53" s="325"/>
      <c r="AF53" s="121"/>
      <c r="AG53" s="88"/>
      <c r="AH53" s="88"/>
      <c r="AI53" s="88"/>
      <c r="AJ53" s="88"/>
      <c r="AK53" s="121"/>
      <c r="AL53" s="88"/>
      <c r="AM53" s="88"/>
      <c r="AN53" s="88"/>
      <c r="AO53" s="88"/>
      <c r="AP53" s="121"/>
      <c r="AQ53" s="305"/>
      <c r="AR53" s="305"/>
      <c r="AS53" s="305"/>
      <c r="AT53" s="305"/>
      <c r="AU53" s="121"/>
      <c r="AV53" s="305"/>
      <c r="AW53" s="305"/>
      <c r="AX53" s="305"/>
      <c r="AY53" s="305"/>
      <c r="AZ53" s="121"/>
      <c r="BA53" s="305"/>
      <c r="BB53" s="305"/>
      <c r="BC53" s="305"/>
      <c r="BD53" s="305"/>
      <c r="BE53" s="744"/>
      <c r="BF53" s="745"/>
      <c r="BG53" s="745"/>
      <c r="BH53" s="745"/>
      <c r="BI53" s="745"/>
      <c r="BJ53" s="744"/>
      <c r="BK53" s="745"/>
      <c r="BL53" s="745"/>
      <c r="BM53" s="745"/>
      <c r="BN53" s="745"/>
      <c r="BO53" s="744"/>
      <c r="BP53" s="745"/>
      <c r="BQ53" s="745"/>
      <c r="BR53" s="745"/>
      <c r="BS53" s="745"/>
      <c r="BT53" s="744"/>
      <c r="BU53" s="745"/>
      <c r="BV53" s="745"/>
      <c r="BW53" s="745"/>
      <c r="BX53" s="745"/>
      <c r="BY53" s="744"/>
      <c r="BZ53" s="745"/>
      <c r="CA53" s="745"/>
      <c r="CB53" s="745"/>
      <c r="CC53" s="745"/>
      <c r="CD53" s="746"/>
      <c r="CE53" s="745"/>
      <c r="CF53" s="745"/>
      <c r="CG53" s="745"/>
      <c r="CH53" s="745"/>
      <c r="CI53" s="746"/>
      <c r="CJ53" s="745"/>
      <c r="CK53" s="745"/>
      <c r="CL53" s="745"/>
      <c r="CM53" s="745"/>
      <c r="CN53" s="746"/>
      <c r="CO53" s="745">
        <v>23.146999999999998</v>
      </c>
      <c r="CP53" s="745">
        <f>23.8-CO53</f>
        <v>0.65300000000000225</v>
      </c>
      <c r="CQ53" s="745">
        <f>25.254-CP53-CO53</f>
        <v>1.4540000000000006</v>
      </c>
      <c r="CR53" s="745">
        <f t="shared" si="56"/>
        <v>5.5339999999999989</v>
      </c>
      <c r="CS53" s="746">
        <v>30.788</v>
      </c>
      <c r="CT53" s="745">
        <v>17.123999999999999</v>
      </c>
      <c r="CU53" s="745">
        <f>19.688-CT53</f>
        <v>2.5640000000000001</v>
      </c>
      <c r="CV53" s="745">
        <f>22.419-CU53-CT53</f>
        <v>2.7310000000000016</v>
      </c>
      <c r="CW53" s="745">
        <f t="shared" si="57"/>
        <v>27.193999999999999</v>
      </c>
      <c r="CX53" s="746">
        <v>49.613</v>
      </c>
      <c r="CY53" s="745">
        <v>3.6739999999999999</v>
      </c>
      <c r="CZ53" s="745">
        <f>6.696-CY53</f>
        <v>3.0219999999999998</v>
      </c>
      <c r="DA53" s="745">
        <f>10.623-CZ53-CY53</f>
        <v>3.9269999999999992</v>
      </c>
      <c r="DB53" s="745">
        <f t="shared" si="58"/>
        <v>9.15</v>
      </c>
      <c r="DC53" s="746">
        <v>19.773</v>
      </c>
      <c r="DD53" s="745">
        <v>4.4589999999999996</v>
      </c>
      <c r="DE53" s="745">
        <f>6.385-DD53</f>
        <v>1.9260000000000002</v>
      </c>
      <c r="DF53" s="745">
        <f>10.419-SUM(DD53:DE53)</f>
        <v>4.0340000000000007</v>
      </c>
      <c r="DG53" s="745">
        <f t="shared" si="63"/>
        <v>2.4649999999999999</v>
      </c>
      <c r="DH53" s="746">
        <v>12.884</v>
      </c>
      <c r="DI53" s="745"/>
      <c r="DJ53" s="745"/>
      <c r="DK53" s="745"/>
      <c r="DL53" s="745"/>
      <c r="DM53" s="746">
        <f t="shared" si="60"/>
        <v>0</v>
      </c>
      <c r="DN53" s="745"/>
      <c r="DO53" s="745"/>
      <c r="DP53" s="745"/>
      <c r="DQ53" s="745"/>
      <c r="DR53" s="746">
        <f t="shared" si="61"/>
        <v>0</v>
      </c>
      <c r="DS53" s="745"/>
      <c r="DT53" s="745"/>
      <c r="DU53" s="745"/>
      <c r="DV53" s="745"/>
      <c r="DW53" s="746">
        <f t="shared" si="62"/>
        <v>0</v>
      </c>
      <c r="DX53" s="1046"/>
    </row>
    <row r="54" spans="1:211">
      <c r="A54" s="748" t="s">
        <v>333</v>
      </c>
      <c r="B54" s="328"/>
      <c r="C54" s="338"/>
      <c r="D54" s="323"/>
      <c r="E54" s="323"/>
      <c r="F54" s="323"/>
      <c r="G54" s="339"/>
      <c r="H54" s="323"/>
      <c r="I54" s="323"/>
      <c r="J54" s="323"/>
      <c r="K54" s="323"/>
      <c r="L54" s="339"/>
      <c r="M54" s="323"/>
      <c r="N54" s="323"/>
      <c r="O54" s="323"/>
      <c r="P54" s="323"/>
      <c r="Q54" s="339"/>
      <c r="R54" s="323"/>
      <c r="S54" s="323"/>
      <c r="T54" s="323"/>
      <c r="U54" s="323"/>
      <c r="V54" s="339"/>
      <c r="W54" s="323"/>
      <c r="X54" s="323"/>
      <c r="Y54" s="323"/>
      <c r="Z54" s="323"/>
      <c r="AA54" s="339"/>
      <c r="AB54" s="323"/>
      <c r="AC54" s="323"/>
      <c r="AD54" s="323"/>
      <c r="AE54" s="323"/>
      <c r="AF54" s="340"/>
      <c r="AG54" s="336"/>
      <c r="AH54" s="336"/>
      <c r="AI54" s="336"/>
      <c r="AJ54" s="336"/>
      <c r="AK54" s="340"/>
      <c r="AL54" s="336"/>
      <c r="AM54" s="336"/>
      <c r="AN54" s="336"/>
      <c r="AO54" s="336"/>
      <c r="AP54" s="340"/>
      <c r="AQ54" s="336"/>
      <c r="AR54" s="336"/>
      <c r="AS54" s="336"/>
      <c r="AT54" s="336"/>
      <c r="AU54" s="340"/>
      <c r="AV54" s="336"/>
      <c r="AW54" s="336"/>
      <c r="AX54" s="336"/>
      <c r="AY54" s="336"/>
      <c r="AZ54" s="340"/>
      <c r="BA54" s="336"/>
      <c r="BB54" s="336"/>
      <c r="BC54" s="336"/>
      <c r="BD54" s="336"/>
      <c r="BE54" s="744">
        <f>8.596+0</f>
        <v>8.5960000000000001</v>
      </c>
      <c r="BF54" s="745">
        <v>0.67600000000000005</v>
      </c>
      <c r="BG54" s="745">
        <f>1.371-1.164-BF54</f>
        <v>-0.46899999999999997</v>
      </c>
      <c r="BH54" s="745">
        <f>0.207-BG54-BF54</f>
        <v>0</v>
      </c>
      <c r="BI54" s="745">
        <f>BJ54-BH54-BG54-BF54</f>
        <v>-3.3540000000000005</v>
      </c>
      <c r="BJ54" s="744">
        <f>-4.517+1.37</f>
        <v>-3.1470000000000002</v>
      </c>
      <c r="BK54" s="745">
        <v>0</v>
      </c>
      <c r="BL54" s="745">
        <v>0</v>
      </c>
      <c r="BM54" s="745">
        <f>0</f>
        <v>0</v>
      </c>
      <c r="BN54" s="745">
        <f>BO54-BM54-BL54-BK54</f>
        <v>-1.113</v>
      </c>
      <c r="BO54" s="744">
        <v>-1.113</v>
      </c>
      <c r="BP54" s="745">
        <f>0.052-11.148</f>
        <v>-11.096</v>
      </c>
      <c r="BQ54" s="745">
        <f>1.384-29.613-BP54</f>
        <v>-17.132999999999999</v>
      </c>
      <c r="BR54" s="745">
        <f>-37.976+1.685-BQ54-BP54</f>
        <v>-8.0619999999999976</v>
      </c>
      <c r="BS54" s="745">
        <f t="shared" si="51"/>
        <v>-0.39300000000000068</v>
      </c>
      <c r="BT54" s="744">
        <f>-38.399+1.715</f>
        <v>-36.683999999999997</v>
      </c>
      <c r="BU54" s="745">
        <v>0.80100000000000005</v>
      </c>
      <c r="BV54" s="745">
        <f>-14.375+0.681-BU54</f>
        <v>-14.494999999999999</v>
      </c>
      <c r="BW54" s="745">
        <f>-16.286+0.591-BV54-BU54</f>
        <v>-2.001000000000003</v>
      </c>
      <c r="BX54" s="745">
        <f t="shared" si="52"/>
        <v>-0.1669999999999997</v>
      </c>
      <c r="BY54" s="744">
        <f>-16.353+0.491</f>
        <v>-15.862000000000002</v>
      </c>
      <c r="BZ54" s="745">
        <f>-0.018+2.902</f>
        <v>2.8840000000000003</v>
      </c>
      <c r="CA54" s="745">
        <f>-0.119-0.036+3.34-BZ54</f>
        <v>0.30099999999999971</v>
      </c>
      <c r="CB54" s="745">
        <f>-0.753-0.057+5.345-CA54-BZ54</f>
        <v>1.3499999999999996</v>
      </c>
      <c r="CC54" s="745">
        <f t="shared" si="53"/>
        <v>-0.49499999999999966</v>
      </c>
      <c r="CD54" s="746">
        <f>-2.262-0.057+6.359</f>
        <v>4.04</v>
      </c>
      <c r="CE54" s="745">
        <f>-3.667+1.156+0.052</f>
        <v>-2.4590000000000001</v>
      </c>
      <c r="CF54" s="745">
        <f>-15.602+1.544+0.052-CE54</f>
        <v>-11.547000000000001</v>
      </c>
      <c r="CG54" s="745">
        <f>-15.511+2.526+0.052-SUM(CE54:CF54)</f>
        <v>1.0730000000000004</v>
      </c>
      <c r="CH54" s="745">
        <f t="shared" si="54"/>
        <v>5.2249999999999979</v>
      </c>
      <c r="CI54" s="746">
        <f>0.052+7.806-15.566</f>
        <v>-7.7080000000000011</v>
      </c>
      <c r="CJ54" s="745">
        <v>3.5640000000000001</v>
      </c>
      <c r="CK54" s="745">
        <f>-5.811+5.539+0.219-CJ54</f>
        <v>-3.6170000000000004</v>
      </c>
      <c r="CL54" s="745">
        <f>20.95+0.438-5.827-SUM(CJ54:CK54)</f>
        <v>15.613999999999999</v>
      </c>
      <c r="CM54" s="745">
        <f t="shared" si="55"/>
        <v>16.832000000000001</v>
      </c>
      <c r="CN54" s="746">
        <f>-7.684-8.439+5.708+42.37+0.438</f>
        <v>32.393000000000001</v>
      </c>
      <c r="CO54" s="745">
        <v>18.143999999999998</v>
      </c>
      <c r="CP54" s="745">
        <f>17.667-CO54</f>
        <v>-0.47699999999999676</v>
      </c>
      <c r="CQ54" s="745">
        <f>11.979-CP54-CO54</f>
        <v>-5.6880000000000024</v>
      </c>
      <c r="CR54" s="745">
        <f t="shared" si="56"/>
        <v>-2.6159999999999997</v>
      </c>
      <c r="CS54" s="746">
        <v>9.3629999999999995</v>
      </c>
      <c r="CT54" s="745">
        <f>-0.112+26.978</f>
        <v>26.866000000000003</v>
      </c>
      <c r="CU54" s="745">
        <f>46.374-39.374-CT54</f>
        <v>-19.866000000000003</v>
      </c>
      <c r="CV54" s="745">
        <f>49.87-42.098-5.687-CU54-CT54</f>
        <v>-4.9150000000000027</v>
      </c>
      <c r="CW54" s="745">
        <f t="shared" si="57"/>
        <v>-23.636999999999997</v>
      </c>
      <c r="CX54" s="746">
        <f>27.952-43.817-5.687</f>
        <v>-21.552</v>
      </c>
      <c r="CY54" s="745">
        <f>-0.138+0.933</f>
        <v>0.79500000000000004</v>
      </c>
      <c r="CZ54" s="745">
        <f>1.774-0.867-CY54</f>
        <v>0.11199999999999999</v>
      </c>
      <c r="DA54" s="745">
        <f>2.367-CZ54-1.017-CY54</f>
        <v>0.44299999999999995</v>
      </c>
      <c r="DB54" s="745">
        <f t="shared" si="58"/>
        <v>-0.25100000000000033</v>
      </c>
      <c r="DC54" s="746">
        <f>3.082-1.983</f>
        <v>1.0989999999999998</v>
      </c>
      <c r="DD54" s="745">
        <f>-2.559-0.415</f>
        <v>-2.9740000000000002</v>
      </c>
      <c r="DE54" s="745">
        <f>-2.956-0.74-DD54</f>
        <v>-0.72199999999999953</v>
      </c>
      <c r="DF54" s="745">
        <f>-4.484+-1.069-SUM(DD54:DE54)</f>
        <v>-1.8570000000000002</v>
      </c>
      <c r="DG54" s="745">
        <f t="shared" si="63"/>
        <v>-1.5919999999999996</v>
      </c>
      <c r="DH54" s="746">
        <f>-1.424+-5.721</f>
        <v>-7.1449999999999996</v>
      </c>
      <c r="DI54" s="745">
        <v>0</v>
      </c>
      <c r="DJ54" s="745">
        <v>0</v>
      </c>
      <c r="DK54" s="745">
        <v>0</v>
      </c>
      <c r="DL54" s="745">
        <v>0</v>
      </c>
      <c r="DM54" s="746">
        <f t="shared" si="60"/>
        <v>0</v>
      </c>
      <c r="DN54" s="745">
        <v>0</v>
      </c>
      <c r="DO54" s="745">
        <v>0</v>
      </c>
      <c r="DP54" s="745">
        <v>0</v>
      </c>
      <c r="DQ54" s="745">
        <v>0</v>
      </c>
      <c r="DR54" s="746">
        <f t="shared" si="61"/>
        <v>0</v>
      </c>
      <c r="DS54" s="745">
        <v>0</v>
      </c>
      <c r="DT54" s="745">
        <v>0</v>
      </c>
      <c r="DU54" s="745">
        <v>0</v>
      </c>
      <c r="DV54" s="745">
        <v>0</v>
      </c>
      <c r="DW54" s="746">
        <f t="shared" si="62"/>
        <v>0</v>
      </c>
      <c r="DX54" s="1046"/>
    </row>
    <row r="55" spans="1:211">
      <c r="A55" s="756" t="s">
        <v>334</v>
      </c>
      <c r="B55" s="301"/>
      <c r="C55" s="87"/>
      <c r="D55" s="88"/>
      <c r="E55" s="88"/>
      <c r="F55" s="88"/>
      <c r="G55" s="121"/>
      <c r="H55" s="88"/>
      <c r="I55" s="88"/>
      <c r="J55" s="88"/>
      <c r="K55" s="88"/>
      <c r="L55" s="121"/>
      <c r="M55" s="88"/>
      <c r="N55" s="88"/>
      <c r="O55" s="88"/>
      <c r="P55" s="88"/>
      <c r="Q55" s="121"/>
      <c r="R55" s="88"/>
      <c r="S55" s="88"/>
      <c r="T55" s="88"/>
      <c r="U55" s="88"/>
      <c r="V55" s="121"/>
      <c r="W55" s="88"/>
      <c r="X55" s="88"/>
      <c r="Y55" s="88"/>
      <c r="Z55" s="88"/>
      <c r="AA55" s="121"/>
      <c r="AB55" s="88"/>
      <c r="AC55" s="88"/>
      <c r="AD55" s="88"/>
      <c r="AE55" s="88"/>
      <c r="AF55" s="121"/>
      <c r="AG55" s="88"/>
      <c r="AH55" s="88"/>
      <c r="AI55" s="88"/>
      <c r="AJ55" s="88"/>
      <c r="AK55" s="121"/>
      <c r="AL55" s="88"/>
      <c r="AM55" s="88"/>
      <c r="AN55" s="88"/>
      <c r="AO55" s="88"/>
      <c r="AP55" s="121"/>
      <c r="AQ55" s="88"/>
      <c r="AR55" s="88"/>
      <c r="AS55" s="88"/>
      <c r="AT55" s="88"/>
      <c r="AU55" s="121"/>
      <c r="AV55" s="88"/>
      <c r="AW55" s="88"/>
      <c r="AX55" s="88"/>
      <c r="AY55" s="88"/>
      <c r="AZ55" s="121"/>
      <c r="BA55" s="88"/>
      <c r="BB55" s="88"/>
      <c r="BC55" s="88"/>
      <c r="BD55" s="88"/>
      <c r="BE55" s="810">
        <f t="shared" ref="BE55:CI55" si="64">SUM(BE48:BE54)</f>
        <v>-152.221</v>
      </c>
      <c r="BF55" s="811">
        <f t="shared" si="64"/>
        <v>-14.074</v>
      </c>
      <c r="BG55" s="811">
        <f t="shared" si="64"/>
        <v>-10.313999999999998</v>
      </c>
      <c r="BH55" s="811">
        <f t="shared" si="64"/>
        <v>-7.5179999999999989</v>
      </c>
      <c r="BI55" s="811">
        <f t="shared" si="64"/>
        <v>-18.296999999999993</v>
      </c>
      <c r="BJ55" s="810">
        <f t="shared" si="64"/>
        <v>-50.202999999999996</v>
      </c>
      <c r="BK55" s="811">
        <f t="shared" si="64"/>
        <v>-8.2740000000000009</v>
      </c>
      <c r="BL55" s="811">
        <f t="shared" si="64"/>
        <v>-18.340999999999998</v>
      </c>
      <c r="BM55" s="811">
        <f t="shared" si="64"/>
        <v>-26.275000000000006</v>
      </c>
      <c r="BN55" s="740">
        <f t="shared" si="64"/>
        <v>-120.03499999999998</v>
      </c>
      <c r="BO55" s="739">
        <f t="shared" si="64"/>
        <v>-172.92500000000001</v>
      </c>
      <c r="BP55" s="811">
        <f t="shared" si="64"/>
        <v>-14.14</v>
      </c>
      <c r="BQ55" s="811">
        <f t="shared" si="64"/>
        <v>387.21199999999999</v>
      </c>
      <c r="BR55" s="811">
        <f t="shared" si="64"/>
        <v>-54.115999999999971</v>
      </c>
      <c r="BS55" s="740">
        <f t="shared" si="64"/>
        <v>-59.563000000000031</v>
      </c>
      <c r="BT55" s="739">
        <f t="shared" si="64"/>
        <v>259.39299999999992</v>
      </c>
      <c r="BU55" s="811">
        <f t="shared" si="64"/>
        <v>-96.748999999999995</v>
      </c>
      <c r="BV55" s="811">
        <f t="shared" si="64"/>
        <v>-72.172000000000025</v>
      </c>
      <c r="BW55" s="811">
        <f t="shared" si="64"/>
        <v>-12.851999999999995</v>
      </c>
      <c r="BX55" s="740">
        <f t="shared" si="64"/>
        <v>-12.376999999999994</v>
      </c>
      <c r="BY55" s="739">
        <f t="shared" si="64"/>
        <v>-194.15</v>
      </c>
      <c r="BZ55" s="811">
        <f t="shared" si="64"/>
        <v>-35.701000000000001</v>
      </c>
      <c r="CA55" s="811">
        <f t="shared" si="64"/>
        <v>-50.031999999999996</v>
      </c>
      <c r="CB55" s="811">
        <f t="shared" si="64"/>
        <v>-123.608</v>
      </c>
      <c r="CC55" s="740">
        <f t="shared" si="64"/>
        <v>-15.243000000000013</v>
      </c>
      <c r="CD55" s="742">
        <f t="shared" si="64"/>
        <v>-224.58400000000003</v>
      </c>
      <c r="CE55" s="811">
        <f t="shared" si="64"/>
        <v>-16.608000000000001</v>
      </c>
      <c r="CF55" s="811">
        <f t="shared" si="64"/>
        <v>-10.140999999999886</v>
      </c>
      <c r="CG55" s="811">
        <f t="shared" si="64"/>
        <v>13.330999999999895</v>
      </c>
      <c r="CH55" s="740">
        <f t="shared" si="64"/>
        <v>-10.711000000000023</v>
      </c>
      <c r="CI55" s="742">
        <f t="shared" si="64"/>
        <v>-24.129000000000016</v>
      </c>
      <c r="CJ55" s="811">
        <f t="shared" ref="CJ55:CS55" si="65">SUM(CJ48:CJ54)</f>
        <v>-18.645</v>
      </c>
      <c r="CK55" s="811">
        <f t="shared" si="65"/>
        <v>-20.267000000000014</v>
      </c>
      <c r="CL55" s="811">
        <f t="shared" si="65"/>
        <v>-46.42499999999999</v>
      </c>
      <c r="CM55" s="740">
        <f t="shared" si="65"/>
        <v>-37.564000000000021</v>
      </c>
      <c r="CN55" s="742">
        <f t="shared" si="65"/>
        <v>-122.90099999999998</v>
      </c>
      <c r="CO55" s="811">
        <f t="shared" si="65"/>
        <v>-264.17600000000004</v>
      </c>
      <c r="CP55" s="811">
        <f t="shared" si="65"/>
        <v>-27.765999999999952</v>
      </c>
      <c r="CQ55" s="811">
        <f t="shared" si="65"/>
        <v>-46.060000000000031</v>
      </c>
      <c r="CR55" s="740">
        <f t="shared" si="65"/>
        <v>-36.560000000000009</v>
      </c>
      <c r="CS55" s="742">
        <f t="shared" si="65"/>
        <v>-374.56200000000001</v>
      </c>
      <c r="CT55" s="811">
        <f t="shared" ref="CT55:DC55" si="66">SUM(CT48:CT54)</f>
        <v>-22.615999999999996</v>
      </c>
      <c r="CU55" s="811">
        <f t="shared" si="66"/>
        <v>918.85399999999981</v>
      </c>
      <c r="CV55" s="811">
        <f t="shared" si="66"/>
        <v>-1032.721</v>
      </c>
      <c r="CW55" s="740">
        <f t="shared" si="66"/>
        <v>-39.240999999999957</v>
      </c>
      <c r="CX55" s="1224">
        <f t="shared" si="66"/>
        <v>-175.72400000000007</v>
      </c>
      <c r="CY55" s="740">
        <f t="shared" si="66"/>
        <v>-66.041999999999987</v>
      </c>
      <c r="CZ55" s="740">
        <f t="shared" si="66"/>
        <v>-79.215000000000003</v>
      </c>
      <c r="DA55" s="811">
        <f t="shared" si="66"/>
        <v>-70.434999999999988</v>
      </c>
      <c r="DB55" s="740">
        <f t="shared" ref="DB55" si="67">SUM(DB48:DB54)</f>
        <v>-188.84300000000005</v>
      </c>
      <c r="DC55" s="742">
        <f t="shared" si="66"/>
        <v>-404.53500000000003</v>
      </c>
      <c r="DD55" s="811">
        <f t="shared" ref="DD55:DW55" si="68">SUM(DD48:DD54)</f>
        <v>-37.972999999999999</v>
      </c>
      <c r="DE55" s="811">
        <f t="shared" si="68"/>
        <v>-57.958000000000006</v>
      </c>
      <c r="DF55" s="811">
        <f t="shared" si="68"/>
        <v>-61.022999999999989</v>
      </c>
      <c r="DG55" s="740">
        <f t="shared" si="68"/>
        <v>-60.129999999999995</v>
      </c>
      <c r="DH55" s="742">
        <f>SUM(DH48:DH54)</f>
        <v>-217.08399999999997</v>
      </c>
      <c r="DI55" s="811">
        <f t="shared" si="68"/>
        <v>-61.115807575787002</v>
      </c>
      <c r="DJ55" s="811">
        <f t="shared" si="68"/>
        <v>-60.985579205584401</v>
      </c>
      <c r="DK55" s="811">
        <f t="shared" si="68"/>
        <v>-60.864790281581918</v>
      </c>
      <c r="DL55" s="740">
        <f t="shared" si="68"/>
        <v>-61.973755500832141</v>
      </c>
      <c r="DM55" s="742">
        <f t="shared" si="68"/>
        <v>-244.93993256378545</v>
      </c>
      <c r="DN55" s="811">
        <f t="shared" si="68"/>
        <v>-61.861844320149018</v>
      </c>
      <c r="DO55" s="811">
        <f t="shared" si="68"/>
        <v>-61.753539241047918</v>
      </c>
      <c r="DP55" s="811">
        <f t="shared" si="68"/>
        <v>-61.648769555654681</v>
      </c>
      <c r="DQ55" s="740">
        <f t="shared" si="68"/>
        <v>-63.94162882502674</v>
      </c>
      <c r="DR55" s="742">
        <f t="shared" si="68"/>
        <v>-249.20578194187834</v>
      </c>
      <c r="DS55" s="811">
        <f t="shared" si="68"/>
        <v>-43.879573618940242</v>
      </c>
      <c r="DT55" s="811">
        <f t="shared" si="68"/>
        <v>-43.867032495264191</v>
      </c>
      <c r="DU55" s="811">
        <f t="shared" si="68"/>
        <v>-43.856305903424925</v>
      </c>
      <c r="DV55" s="740">
        <f t="shared" si="68"/>
        <v>-46.2320940908035</v>
      </c>
      <c r="DW55" s="742">
        <f t="shared" si="68"/>
        <v>-177.83500610843288</v>
      </c>
      <c r="DX55" s="1046">
        <f>+CX55--175.724</f>
        <v>0</v>
      </c>
      <c r="DY55" s="1164"/>
      <c r="DZ55" s="205"/>
      <c r="EA55" s="205"/>
    </row>
    <row r="56" spans="1:211">
      <c r="A56" s="743" t="s">
        <v>108</v>
      </c>
      <c r="B56" s="567"/>
      <c r="C56" s="568"/>
      <c r="D56" s="569"/>
      <c r="E56" s="569"/>
      <c r="F56" s="569"/>
      <c r="G56" s="570"/>
      <c r="H56" s="569"/>
      <c r="I56" s="569"/>
      <c r="J56" s="569"/>
      <c r="K56" s="569"/>
      <c r="L56" s="570"/>
      <c r="M56" s="569"/>
      <c r="N56" s="569"/>
      <c r="O56" s="569"/>
      <c r="P56" s="569"/>
      <c r="Q56" s="570"/>
      <c r="R56" s="569"/>
      <c r="S56" s="569"/>
      <c r="T56" s="569"/>
      <c r="U56" s="569"/>
      <c r="V56" s="570"/>
      <c r="W56" s="569"/>
      <c r="X56" s="569"/>
      <c r="Y56" s="569"/>
      <c r="Z56" s="569"/>
      <c r="AA56" s="570"/>
      <c r="AB56" s="569"/>
      <c r="AC56" s="569"/>
      <c r="AD56" s="569"/>
      <c r="AE56" s="569"/>
      <c r="AF56" s="570"/>
      <c r="AG56" s="571"/>
      <c r="AH56" s="572"/>
      <c r="AI56" s="572"/>
      <c r="AJ56" s="572"/>
      <c r="AK56" s="573"/>
      <c r="AL56" s="572"/>
      <c r="AM56" s="572"/>
      <c r="AN56" s="572"/>
      <c r="AO56" s="572"/>
      <c r="AP56" s="573"/>
      <c r="AQ56" s="572"/>
      <c r="AR56" s="572"/>
      <c r="AS56" s="572"/>
      <c r="AT56" s="572"/>
      <c r="AU56" s="573"/>
      <c r="AV56" s="572"/>
      <c r="AW56" s="572"/>
      <c r="AX56" s="572"/>
      <c r="AY56" s="572"/>
      <c r="AZ56" s="573"/>
      <c r="BA56" s="572"/>
      <c r="BB56" s="572"/>
      <c r="BC56" s="572"/>
      <c r="BD56" s="572"/>
      <c r="BE56" s="810"/>
      <c r="BF56" s="811"/>
      <c r="BG56" s="811"/>
      <c r="BH56" s="811"/>
      <c r="BI56" s="811"/>
      <c r="BJ56" s="810"/>
      <c r="BK56" s="811"/>
      <c r="BL56" s="811"/>
      <c r="BM56" s="811"/>
      <c r="BN56" s="745">
        <f>BO56-BM56-BL56-BK56</f>
        <v>-4.1230000000000002</v>
      </c>
      <c r="BO56" s="744">
        <v>-4.1230000000000002</v>
      </c>
      <c r="BP56" s="910">
        <v>-0.112</v>
      </c>
      <c r="BQ56" s="910">
        <f>0.703-BP56</f>
        <v>0.81499999999999995</v>
      </c>
      <c r="BR56" s="910">
        <f>1.671-BQ56-BP56</f>
        <v>0.96800000000000008</v>
      </c>
      <c r="BS56" s="745">
        <f t="shared" si="51"/>
        <v>1.0540000000000003</v>
      </c>
      <c r="BT56" s="744">
        <v>2.7250000000000001</v>
      </c>
      <c r="BU56" s="910">
        <v>1.258</v>
      </c>
      <c r="BV56" s="910">
        <f>-0.262-BU56</f>
        <v>-1.52</v>
      </c>
      <c r="BW56" s="910">
        <f>0.894-BV56-BU56</f>
        <v>1.1560000000000001</v>
      </c>
      <c r="BX56" s="745">
        <f>BY56-BW56-BV56-BU56</f>
        <v>0.71699999999999986</v>
      </c>
      <c r="BY56" s="744">
        <v>1.611</v>
      </c>
      <c r="BZ56" s="910">
        <v>0.95899999999999996</v>
      </c>
      <c r="CA56" s="910">
        <f>1.2-BZ56</f>
        <v>0.24099999999999999</v>
      </c>
      <c r="CB56" s="910">
        <f>-2.556-CA56-BZ56</f>
        <v>-3.7560000000000002</v>
      </c>
      <c r="CC56" s="745">
        <f t="shared" si="53"/>
        <v>1.343</v>
      </c>
      <c r="CD56" s="746">
        <v>-1.2130000000000001</v>
      </c>
      <c r="CE56" s="910">
        <v>0.96799999999999997</v>
      </c>
      <c r="CF56" s="910">
        <f>0.23-CE56</f>
        <v>-0.73799999999999999</v>
      </c>
      <c r="CG56" s="910">
        <f>1.746-SUM(CE56:CF56)</f>
        <v>1.516</v>
      </c>
      <c r="CH56" s="745">
        <f t="shared" si="54"/>
        <v>-0.5169999999999999</v>
      </c>
      <c r="CI56" s="746">
        <v>1.2290000000000001</v>
      </c>
      <c r="CJ56" s="910">
        <v>-1.0409999999999999</v>
      </c>
      <c r="CK56" s="910">
        <f>-2.633-CJ56</f>
        <v>-1.5920000000000001</v>
      </c>
      <c r="CL56" s="910">
        <f>-1.569-SUM(CJ56:CK56)</f>
        <v>1.0640000000000001</v>
      </c>
      <c r="CM56" s="745">
        <f>CN56-SUM(CJ56:CL56)</f>
        <v>-1.8959999999999999</v>
      </c>
      <c r="CN56" s="746">
        <v>-3.4649999999999999</v>
      </c>
      <c r="CO56" s="910">
        <v>-1.746</v>
      </c>
      <c r="CP56" s="910">
        <f>0.302-CO56</f>
        <v>2.048</v>
      </c>
      <c r="CQ56" s="910">
        <f>-2.33-CP56-CO56</f>
        <v>-2.6320000000000001</v>
      </c>
      <c r="CR56" s="745">
        <f t="shared" si="56"/>
        <v>-2.9479999999999995</v>
      </c>
      <c r="CS56" s="746">
        <v>-5.2779999999999996</v>
      </c>
      <c r="CT56" s="910">
        <v>-5.1580000000000004</v>
      </c>
      <c r="CU56" s="910">
        <f>-3.789-CT56</f>
        <v>1.3690000000000002</v>
      </c>
      <c r="CV56" s="910">
        <f>-10.13-CU56-CT56</f>
        <v>-6.3410000000000002</v>
      </c>
      <c r="CW56" s="745">
        <f t="shared" si="57"/>
        <v>-2.0659999999999989</v>
      </c>
      <c r="CX56" s="746">
        <v>-12.196</v>
      </c>
      <c r="CY56" s="745">
        <v>4.7030000000000003</v>
      </c>
      <c r="CZ56" s="745">
        <f>5.41-CY56</f>
        <v>0.70699999999999985</v>
      </c>
      <c r="DA56" s="910">
        <f>3.997-CZ56-CY56</f>
        <v>-1.4130000000000003</v>
      </c>
      <c r="DB56" s="745">
        <f t="shared" si="58"/>
        <v>-1.9529999999999998</v>
      </c>
      <c r="DC56" s="746">
        <v>2.044</v>
      </c>
      <c r="DD56" s="910">
        <v>0.74399999999999999</v>
      </c>
      <c r="DE56" s="910">
        <f>3.183-DD56</f>
        <v>2.4390000000000001</v>
      </c>
      <c r="DF56" s="910">
        <f>6.684-SUM(DD56:DE56)</f>
        <v>3.5010000000000003</v>
      </c>
      <c r="DG56" s="745">
        <f t="shared" si="63"/>
        <v>-0.72200000000000042</v>
      </c>
      <c r="DH56" s="746">
        <v>5.9619999999999997</v>
      </c>
      <c r="DI56" s="910"/>
      <c r="DJ56" s="910"/>
      <c r="DK56" s="910"/>
      <c r="DL56" s="745"/>
      <c r="DM56" s="746">
        <f>SUM(DI56:DL56)</f>
        <v>0</v>
      </c>
      <c r="DN56" s="910"/>
      <c r="DO56" s="910"/>
      <c r="DP56" s="910"/>
      <c r="DQ56" s="745"/>
      <c r="DR56" s="746">
        <f>SUM(DN56:DQ56)</f>
        <v>0</v>
      </c>
      <c r="DS56" s="910"/>
      <c r="DT56" s="910"/>
      <c r="DU56" s="910"/>
      <c r="DV56" s="745"/>
      <c r="DW56" s="746">
        <f>SUM(DS56:DV56)</f>
        <v>0</v>
      </c>
    </row>
    <row r="57" spans="1:211" s="205" customFormat="1">
      <c r="A57" s="743" t="s">
        <v>335</v>
      </c>
      <c r="B57" s="582"/>
      <c r="C57" s="582"/>
      <c r="D57" s="583"/>
      <c r="E57" s="583"/>
      <c r="F57" s="583"/>
      <c r="G57" s="584"/>
      <c r="H57" s="583"/>
      <c r="I57" s="583"/>
      <c r="J57" s="583"/>
      <c r="K57" s="583"/>
      <c r="L57" s="584"/>
      <c r="M57" s="583"/>
      <c r="N57" s="583"/>
      <c r="O57" s="583"/>
      <c r="P57" s="583"/>
      <c r="Q57" s="584"/>
      <c r="R57" s="583"/>
      <c r="S57" s="583"/>
      <c r="T57" s="583"/>
      <c r="U57" s="583"/>
      <c r="V57" s="584"/>
      <c r="W57" s="583"/>
      <c r="X57" s="583"/>
      <c r="Y57" s="583"/>
      <c r="Z57" s="583"/>
      <c r="AA57" s="584"/>
      <c r="AB57" s="583"/>
      <c r="AC57" s="583"/>
      <c r="AD57" s="583"/>
      <c r="AE57" s="583"/>
      <c r="AF57" s="584"/>
      <c r="AG57" s="206"/>
      <c r="AH57" s="206"/>
      <c r="AI57" s="206"/>
      <c r="AJ57" s="206"/>
      <c r="AK57" s="585"/>
      <c r="AL57" s="206"/>
      <c r="AM57" s="206"/>
      <c r="AN57" s="206"/>
      <c r="AO57" s="206"/>
      <c r="AP57" s="585"/>
      <c r="AQ57" s="206"/>
      <c r="AR57" s="206"/>
      <c r="AS57" s="206"/>
      <c r="AT57" s="206"/>
      <c r="AU57" s="585"/>
      <c r="AV57" s="206"/>
      <c r="AW57" s="206"/>
      <c r="AX57" s="206"/>
      <c r="AY57" s="206"/>
      <c r="AZ57" s="585"/>
      <c r="BA57" s="206"/>
      <c r="BB57" s="206"/>
      <c r="BC57" s="206"/>
      <c r="BD57" s="206"/>
      <c r="BE57" s="744">
        <f>BE55+BE46+BE37</f>
        <v>-54.615000000000123</v>
      </c>
      <c r="BF57" s="760">
        <f>BF55+BF46+BF37</f>
        <v>0.29199999999999982</v>
      </c>
      <c r="BG57" s="760">
        <f t="shared" ref="BG57:BM57" si="69">BG55+BG46+BG37</f>
        <v>-13.781999999999993</v>
      </c>
      <c r="BH57" s="760">
        <f t="shared" si="69"/>
        <v>3.9999999999992042E-2</v>
      </c>
      <c r="BI57" s="760">
        <f t="shared" si="69"/>
        <v>-24.252999999999989</v>
      </c>
      <c r="BJ57" s="761">
        <f t="shared" si="69"/>
        <v>-69.322999999999979</v>
      </c>
      <c r="BK57" s="760">
        <f t="shared" si="69"/>
        <v>-19.086000000000016</v>
      </c>
      <c r="BL57" s="760">
        <f t="shared" si="69"/>
        <v>-39.917999999999992</v>
      </c>
      <c r="BM57" s="760">
        <f t="shared" si="69"/>
        <v>7.5899999999999874</v>
      </c>
      <c r="BN57" s="745">
        <f t="shared" ref="BN57:BT57" si="70">BN55+BN46+BN37+BN56</f>
        <v>64.902000000000129</v>
      </c>
      <c r="BO57" s="744">
        <f t="shared" si="70"/>
        <v>13.487999999999975</v>
      </c>
      <c r="BP57" s="760">
        <f t="shared" si="70"/>
        <v>32.369</v>
      </c>
      <c r="BQ57" s="760">
        <f t="shared" si="70"/>
        <v>493.59599999999995</v>
      </c>
      <c r="BR57" s="760">
        <f t="shared" si="70"/>
        <v>29.129000000000001</v>
      </c>
      <c r="BS57" s="745">
        <f t="shared" si="70"/>
        <v>-49.797000000000011</v>
      </c>
      <c r="BT57" s="744">
        <f t="shared" si="70"/>
        <v>505.2969999999998</v>
      </c>
      <c r="BU57" s="745">
        <f t="shared" ref="BU57:CS57" si="71">BU55+BU46+BU37+BU56</f>
        <v>-84.435000000000002</v>
      </c>
      <c r="BV57" s="745">
        <f t="shared" si="71"/>
        <v>1.095999999999957</v>
      </c>
      <c r="BW57" s="745">
        <f t="shared" si="71"/>
        <v>12.134000000000023</v>
      </c>
      <c r="BX57" s="745">
        <f t="shared" si="71"/>
        <v>-8.0060000000000198</v>
      </c>
      <c r="BY57" s="744">
        <f t="shared" si="71"/>
        <v>-79.210999999999999</v>
      </c>
      <c r="BZ57" s="745">
        <f t="shared" si="71"/>
        <v>-12.447000000000006</v>
      </c>
      <c r="CA57" s="745">
        <f t="shared" si="71"/>
        <v>-0.53700000000000581</v>
      </c>
      <c r="CB57" s="745">
        <f t="shared" si="71"/>
        <v>-10.707000000000008</v>
      </c>
      <c r="CC57" s="745">
        <f t="shared" si="71"/>
        <v>-13.586000000000059</v>
      </c>
      <c r="CD57" s="746">
        <f t="shared" si="71"/>
        <v>-37.277000000000108</v>
      </c>
      <c r="CE57" s="745">
        <f t="shared" si="71"/>
        <v>-56.820999999999998</v>
      </c>
      <c r="CF57" s="745">
        <f t="shared" si="71"/>
        <v>16.69000000000014</v>
      </c>
      <c r="CG57" s="745">
        <f t="shared" si="71"/>
        <v>18.491999999999898</v>
      </c>
      <c r="CH57" s="745">
        <f t="shared" si="71"/>
        <v>-0.23100000000006959</v>
      </c>
      <c r="CI57" s="746">
        <f t="shared" si="71"/>
        <v>-21.869999999999933</v>
      </c>
      <c r="CJ57" s="745">
        <f t="shared" si="71"/>
        <v>-24.676999999999989</v>
      </c>
      <c r="CK57" s="745">
        <f t="shared" si="71"/>
        <v>60.333000000000013</v>
      </c>
      <c r="CL57" s="745">
        <f t="shared" si="71"/>
        <v>24.414000000000037</v>
      </c>
      <c r="CM57" s="745">
        <f t="shared" si="71"/>
        <v>66.720999999999918</v>
      </c>
      <c r="CN57" s="746">
        <f t="shared" si="71"/>
        <v>126.791</v>
      </c>
      <c r="CO57" s="745">
        <f>CO55+CO46+CO37+CO56</f>
        <v>-195.45700000000008</v>
      </c>
      <c r="CP57" s="745">
        <f t="shared" si="71"/>
        <v>-13.034999999999956</v>
      </c>
      <c r="CQ57" s="745">
        <f t="shared" si="71"/>
        <v>-29.214000000000024</v>
      </c>
      <c r="CR57" s="745">
        <f t="shared" si="71"/>
        <v>-75.169999999999959</v>
      </c>
      <c r="CS57" s="746">
        <f t="shared" si="71"/>
        <v>-312.87599999999998</v>
      </c>
      <c r="CT57" s="745">
        <f t="shared" ref="CT57:DC57" si="72">CT55+CT46+CT37+CT56</f>
        <v>-64.414000000000001</v>
      </c>
      <c r="CU57" s="745">
        <f t="shared" si="72"/>
        <v>994.70499999999981</v>
      </c>
      <c r="CV57" s="745">
        <f t="shared" si="72"/>
        <v>-1021.867</v>
      </c>
      <c r="CW57" s="745">
        <f t="shared" si="72"/>
        <v>151.47000000000003</v>
      </c>
      <c r="CX57" s="746">
        <f t="shared" si="72"/>
        <v>59.939999999999856</v>
      </c>
      <c r="CY57" s="745">
        <f t="shared" si="72"/>
        <v>-14.292999999999981</v>
      </c>
      <c r="CZ57" s="745">
        <f t="shared" si="72"/>
        <v>-46.840999999999994</v>
      </c>
      <c r="DA57" s="745">
        <f t="shared" si="72"/>
        <v>42.553999999999988</v>
      </c>
      <c r="DB57" s="745">
        <f t="shared" ref="DB57" si="73">DB55+DB46+DB37+DB56</f>
        <v>-110.58200000000005</v>
      </c>
      <c r="DC57" s="746">
        <f t="shared" si="72"/>
        <v>-128.97599999999997</v>
      </c>
      <c r="DD57" s="745">
        <f t="shared" ref="DD57:DW57" si="74">DD55+DD46+DD37+DD56</f>
        <v>-5.0049999999999955</v>
      </c>
      <c r="DE57" s="745">
        <f t="shared" si="74"/>
        <v>11.308</v>
      </c>
      <c r="DF57" s="745">
        <f t="shared" si="74"/>
        <v>-17.913999999999984</v>
      </c>
      <c r="DG57" s="745">
        <f t="shared" si="74"/>
        <v>-15.112999999999921</v>
      </c>
      <c r="DH57" s="746">
        <f t="shared" si="74"/>
        <v>-26.792999999999939</v>
      </c>
      <c r="DI57" s="745">
        <f t="shared" si="74"/>
        <v>27.782876847973299</v>
      </c>
      <c r="DJ57" s="745">
        <f t="shared" si="74"/>
        <v>-15.25257409957787</v>
      </c>
      <c r="DK57" s="745">
        <f t="shared" si="74"/>
        <v>-13.043531580184549</v>
      </c>
      <c r="DL57" s="745">
        <f t="shared" si="74"/>
        <v>-19.487353466412152</v>
      </c>
      <c r="DM57" s="746">
        <f t="shared" si="74"/>
        <v>-20.000582298201209</v>
      </c>
      <c r="DN57" s="745">
        <f t="shared" si="74"/>
        <v>24.764565416108411</v>
      </c>
      <c r="DO57" s="745">
        <f t="shared" si="74"/>
        <v>-4.5945115704605115</v>
      </c>
      <c r="DP57" s="745">
        <f t="shared" si="74"/>
        <v>-3.3365449384660337</v>
      </c>
      <c r="DQ57" s="745">
        <f t="shared" si="74"/>
        <v>-11.484661932232484</v>
      </c>
      <c r="DR57" s="746">
        <f t="shared" si="74"/>
        <v>5.3488469749494243</v>
      </c>
      <c r="DS57" s="745">
        <f t="shared" si="74"/>
        <v>54.322968500346363</v>
      </c>
      <c r="DT57" s="745">
        <f t="shared" si="74"/>
        <v>24.186523673566214</v>
      </c>
      <c r="DU57" s="745">
        <f t="shared" si="74"/>
        <v>24.425297299786408</v>
      </c>
      <c r="DV57" s="745">
        <f t="shared" si="74"/>
        <v>15.928490753149489</v>
      </c>
      <c r="DW57" s="746">
        <f t="shared" si="74"/>
        <v>118.86328022684842</v>
      </c>
      <c r="ED57"/>
      <c r="EE57"/>
      <c r="EF57"/>
      <c r="EG57"/>
      <c r="EH57"/>
      <c r="EI57"/>
    </row>
    <row r="58" spans="1:211" s="52" customFormat="1">
      <c r="A58" s="743" t="s">
        <v>336</v>
      </c>
      <c r="B58" s="301"/>
      <c r="C58" s="341"/>
      <c r="D58" s="191"/>
      <c r="E58" s="191"/>
      <c r="F58" s="191"/>
      <c r="G58" s="342"/>
      <c r="H58" s="191"/>
      <c r="I58" s="191"/>
      <c r="J58" s="191"/>
      <c r="K58" s="191"/>
      <c r="L58" s="342"/>
      <c r="M58" s="321"/>
      <c r="N58" s="321"/>
      <c r="O58" s="321"/>
      <c r="P58" s="321"/>
      <c r="Q58" s="322"/>
      <c r="R58" s="321"/>
      <c r="S58" s="191"/>
      <c r="T58" s="321"/>
      <c r="U58" s="321"/>
      <c r="V58" s="322"/>
      <c r="W58" s="321"/>
      <c r="X58" s="324"/>
      <c r="Y58" s="343"/>
      <c r="Z58" s="321"/>
      <c r="AA58" s="322"/>
      <c r="AB58" s="325"/>
      <c r="AC58" s="325"/>
      <c r="AD58" s="325"/>
      <c r="AE58" s="325"/>
      <c r="AF58" s="326"/>
      <c r="AG58" s="325"/>
      <c r="AH58" s="325"/>
      <c r="AI58" s="325"/>
      <c r="AJ58" s="325"/>
      <c r="AK58" s="326"/>
      <c r="AL58" s="325"/>
      <c r="AM58" s="325"/>
      <c r="AN58" s="325"/>
      <c r="AO58" s="325"/>
      <c r="AP58" s="326"/>
      <c r="AQ58" s="325"/>
      <c r="AR58" s="325"/>
      <c r="AS58" s="325"/>
      <c r="AT58" s="325"/>
      <c r="AU58" s="326"/>
      <c r="AV58" s="327"/>
      <c r="AW58" s="325"/>
      <c r="AX58" s="327"/>
      <c r="AY58" s="325"/>
      <c r="AZ58" s="326"/>
      <c r="BA58" s="327"/>
      <c r="BB58" s="325"/>
      <c r="BC58" s="327"/>
      <c r="BD58" s="325"/>
      <c r="BE58" s="744">
        <v>-7.2999999999999995E-2</v>
      </c>
      <c r="BF58" s="760">
        <v>-7.0000000000000001E-3</v>
      </c>
      <c r="BG58" s="760">
        <f>-0.119-BF58</f>
        <v>-0.11199999999999999</v>
      </c>
      <c r="BH58" s="760">
        <f>-0.13-BG58-BF58</f>
        <v>-1.1000000000000017E-2</v>
      </c>
      <c r="BI58" s="760">
        <f>BJ58-BH58-BG58-BF58</f>
        <v>-0.58299999999999996</v>
      </c>
      <c r="BJ58" s="761">
        <v>-0.71299999999999997</v>
      </c>
      <c r="BK58" s="760">
        <v>-4.0000000000000001E-3</v>
      </c>
      <c r="BL58" s="760">
        <f>-0.019-BK58</f>
        <v>-1.4999999999999999E-2</v>
      </c>
      <c r="BM58" s="760">
        <f>-0.67-BL58-BK58</f>
        <v>-0.65100000000000002</v>
      </c>
      <c r="BN58" s="745">
        <f>BO58-BM58-BL58-BK58</f>
        <v>-0.84399999999999997</v>
      </c>
      <c r="BO58" s="744">
        <v>-1.514</v>
      </c>
      <c r="BP58" s="745">
        <v>-2.5000000000000001E-2</v>
      </c>
      <c r="BQ58" s="745">
        <f>-0.054-BP58</f>
        <v>-2.8999999999999998E-2</v>
      </c>
      <c r="BR58" s="745">
        <f>-0.538-BQ58-BP58</f>
        <v>-0.48399999999999999</v>
      </c>
      <c r="BS58" s="745">
        <f t="shared" si="51"/>
        <v>-3.1300000000000003</v>
      </c>
      <c r="BT58" s="744">
        <v>-3.6680000000000001</v>
      </c>
      <c r="BU58" s="745">
        <v>0</v>
      </c>
      <c r="BV58" s="745">
        <v>0</v>
      </c>
      <c r="BW58" s="745">
        <v>0</v>
      </c>
      <c r="BX58" s="745">
        <v>0</v>
      </c>
      <c r="BY58" s="744">
        <f>SUM(BU58:BX58)</f>
        <v>0</v>
      </c>
      <c r="BZ58" s="745">
        <v>0</v>
      </c>
      <c r="CA58" s="745">
        <f>-7.076-BZ58</f>
        <v>-7.0759999999999996</v>
      </c>
      <c r="CB58" s="745">
        <f>0-CA58-BZ58</f>
        <v>7.0759999999999996</v>
      </c>
      <c r="CC58" s="745">
        <v>0</v>
      </c>
      <c r="CD58" s="746">
        <f>SUM(BZ58:CC58)</f>
        <v>0</v>
      </c>
      <c r="CE58" s="745">
        <v>0</v>
      </c>
      <c r="CF58" s="745">
        <v>0</v>
      </c>
      <c r="CG58" s="745">
        <v>0</v>
      </c>
      <c r="CH58" s="745">
        <v>0</v>
      </c>
      <c r="CI58" s="746">
        <v>0</v>
      </c>
      <c r="CJ58" s="745">
        <v>0</v>
      </c>
      <c r="CK58" s="745">
        <v>0</v>
      </c>
      <c r="CL58" s="745">
        <v>0</v>
      </c>
      <c r="CM58" s="745">
        <v>0</v>
      </c>
      <c r="CN58" s="746">
        <f>SUM(CJ58:CM58)</f>
        <v>0</v>
      </c>
      <c r="CO58" s="745">
        <v>0</v>
      </c>
      <c r="CP58" s="745">
        <v>0</v>
      </c>
      <c r="CQ58" s="745">
        <v>0</v>
      </c>
      <c r="CR58" s="745">
        <v>0</v>
      </c>
      <c r="CS58" s="746">
        <f>SUM(CO58:CR58)</f>
        <v>0</v>
      </c>
      <c r="CT58" s="745">
        <v>0</v>
      </c>
      <c r="CU58" s="745">
        <v>0</v>
      </c>
      <c r="CV58" s="745">
        <v>0</v>
      </c>
      <c r="CW58" s="745">
        <v>0</v>
      </c>
      <c r="CX58" s="746">
        <f>SUM(CT58:CW58)</f>
        <v>0</v>
      </c>
      <c r="CY58" s="745">
        <v>0</v>
      </c>
      <c r="CZ58" s="745">
        <v>0</v>
      </c>
      <c r="DA58" s="745">
        <v>0</v>
      </c>
      <c r="DB58" s="745">
        <v>0</v>
      </c>
      <c r="DC58" s="746">
        <v>0</v>
      </c>
      <c r="DD58" s="745">
        <v>0</v>
      </c>
      <c r="DE58" s="745">
        <v>0</v>
      </c>
      <c r="DF58" s="745">
        <v>0</v>
      </c>
      <c r="DG58" s="745">
        <v>0</v>
      </c>
      <c r="DH58" s="746">
        <f>SUM(DD58:DG58)</f>
        <v>0</v>
      </c>
      <c r="DI58" s="745">
        <v>0</v>
      </c>
      <c r="DJ58" s="745">
        <v>0</v>
      </c>
      <c r="DK58" s="745">
        <v>0</v>
      </c>
      <c r="DL58" s="745">
        <v>0</v>
      </c>
      <c r="DM58" s="746">
        <f>SUM(DI58:DL58)</f>
        <v>0</v>
      </c>
      <c r="DN58" s="745">
        <v>0</v>
      </c>
      <c r="DO58" s="745">
        <v>0</v>
      </c>
      <c r="DP58" s="745">
        <v>0</v>
      </c>
      <c r="DQ58" s="745">
        <v>0</v>
      </c>
      <c r="DR58" s="746">
        <f>SUM(DN58:DQ58)</f>
        <v>0</v>
      </c>
      <c r="DS58" s="745">
        <v>0</v>
      </c>
      <c r="DT58" s="745">
        <v>0</v>
      </c>
      <c r="DU58" s="745">
        <v>0</v>
      </c>
      <c r="DV58" s="745">
        <v>0</v>
      </c>
      <c r="DW58" s="746">
        <f>SUM(DS58:DV58)</f>
        <v>0</v>
      </c>
      <c r="DX58" s="45"/>
      <c r="DY58" s="45"/>
      <c r="DZ58" s="45"/>
      <c r="EA58" s="45"/>
      <c r="EB58" s="45"/>
      <c r="EC58" s="45"/>
      <c r="ED58"/>
      <c r="EE58"/>
      <c r="EF58"/>
      <c r="EG58"/>
      <c r="EH58"/>
      <c r="EI58"/>
      <c r="EJ58" s="45"/>
      <c r="EK58" s="45"/>
      <c r="EL58" s="45"/>
      <c r="EM58" s="45"/>
      <c r="EN58" s="45"/>
      <c r="EO58" s="45"/>
      <c r="EP58" s="45"/>
      <c r="EQ58" s="45"/>
      <c r="ER58" s="45"/>
      <c r="ES58" s="45"/>
      <c r="ET58" s="45"/>
      <c r="EU58" s="45"/>
      <c r="EV58" s="45"/>
      <c r="EW58" s="45"/>
      <c r="EX58" s="45"/>
      <c r="EY58" s="45"/>
      <c r="EZ58" s="45"/>
      <c r="FA58" s="45"/>
      <c r="FB58" s="45"/>
      <c r="FC58" s="45"/>
      <c r="FD58" s="45"/>
      <c r="FE58" s="45"/>
      <c r="FF58" s="45"/>
      <c r="FG58" s="45"/>
      <c r="FH58" s="45"/>
      <c r="FI58" s="45"/>
      <c r="FJ58" s="45"/>
      <c r="FK58" s="45"/>
      <c r="FL58" s="45"/>
      <c r="FM58" s="45"/>
      <c r="FN58" s="45"/>
      <c r="FO58" s="45"/>
      <c r="FP58" s="45"/>
      <c r="FQ58" s="45"/>
      <c r="FR58" s="45"/>
      <c r="FS58" s="45"/>
      <c r="FT58" s="45"/>
      <c r="FU58" s="45"/>
      <c r="FV58" s="45"/>
      <c r="FW58" s="45"/>
      <c r="FX58" s="45"/>
      <c r="FY58" s="45"/>
      <c r="FZ58" s="45"/>
      <c r="GA58" s="45"/>
      <c r="GB58" s="45"/>
      <c r="GC58" s="45"/>
      <c r="GD58" s="45"/>
      <c r="GE58" s="45"/>
      <c r="GF58" s="45"/>
      <c r="GG58" s="45"/>
      <c r="GH58" s="45"/>
      <c r="GI58" s="45"/>
      <c r="GJ58" s="45"/>
      <c r="GK58" s="45"/>
      <c r="GL58" s="45"/>
      <c r="GM58" s="45"/>
      <c r="GN58" s="45"/>
      <c r="GO58" s="45"/>
      <c r="GP58" s="45"/>
      <c r="GQ58" s="45"/>
      <c r="GR58" s="45"/>
      <c r="GS58" s="45"/>
      <c r="GT58" s="45"/>
      <c r="GU58" s="45"/>
      <c r="GV58" s="45"/>
      <c r="GW58" s="45"/>
      <c r="GX58" s="45"/>
      <c r="GY58" s="45"/>
      <c r="GZ58" s="45"/>
      <c r="HA58" s="45"/>
      <c r="HB58" s="45"/>
      <c r="HC58" s="45"/>
    </row>
    <row r="59" spans="1:211">
      <c r="A59" s="743" t="s">
        <v>265</v>
      </c>
      <c r="B59" s="382"/>
      <c r="C59" s="377"/>
      <c r="D59" s="377"/>
      <c r="E59" s="377"/>
      <c r="F59" s="377"/>
      <c r="G59" s="377"/>
      <c r="H59" s="377"/>
      <c r="I59" s="377"/>
      <c r="J59" s="377"/>
      <c r="K59" s="377"/>
      <c r="L59" s="377"/>
      <c r="M59" s="378"/>
      <c r="N59" s="378"/>
      <c r="O59" s="378"/>
      <c r="P59" s="378"/>
      <c r="Q59" s="378"/>
      <c r="R59" s="378"/>
      <c r="S59" s="377"/>
      <c r="T59" s="377"/>
      <c r="U59" s="377"/>
      <c r="V59" s="377"/>
      <c r="W59" s="377"/>
      <c r="X59" s="379"/>
      <c r="Y59" s="379"/>
      <c r="Z59" s="377"/>
      <c r="AA59" s="377"/>
      <c r="AB59" s="380"/>
      <c r="AC59" s="380"/>
      <c r="AD59" s="380"/>
      <c r="AE59" s="380"/>
      <c r="AF59" s="380"/>
      <c r="AG59" s="380"/>
      <c r="AH59" s="380"/>
      <c r="AI59" s="380"/>
      <c r="AJ59" s="380"/>
      <c r="AK59" s="380"/>
      <c r="AL59" s="380"/>
      <c r="AM59" s="380"/>
      <c r="AN59" s="380"/>
      <c r="AO59" s="380"/>
      <c r="AP59" s="380"/>
      <c r="AQ59" s="380"/>
      <c r="AR59" s="380"/>
      <c r="AS59" s="380"/>
      <c r="AT59" s="380"/>
      <c r="AU59" s="380"/>
      <c r="AV59" s="381"/>
      <c r="AW59" s="380"/>
      <c r="AX59" s="381"/>
      <c r="AY59" s="380"/>
      <c r="AZ59" s="380"/>
      <c r="BA59" s="381"/>
      <c r="BB59" s="380"/>
      <c r="BC59" s="381"/>
      <c r="BD59" s="380"/>
      <c r="BE59" s="744">
        <f t="shared" ref="BE59:CI59" si="75">BE58+BE57</f>
        <v>-54.688000000000123</v>
      </c>
      <c r="BF59" s="760">
        <f t="shared" si="75"/>
        <v>0.28499999999999981</v>
      </c>
      <c r="BG59" s="760">
        <f t="shared" si="75"/>
        <v>-13.893999999999993</v>
      </c>
      <c r="BH59" s="760">
        <f t="shared" si="75"/>
        <v>2.8999999999992025E-2</v>
      </c>
      <c r="BI59" s="760">
        <f t="shared" si="75"/>
        <v>-24.835999999999988</v>
      </c>
      <c r="BJ59" s="761">
        <f t="shared" si="75"/>
        <v>-70.035999999999973</v>
      </c>
      <c r="BK59" s="760">
        <f t="shared" si="75"/>
        <v>-19.090000000000018</v>
      </c>
      <c r="BL59" s="760">
        <f t="shared" si="75"/>
        <v>-39.932999999999993</v>
      </c>
      <c r="BM59" s="760">
        <f t="shared" si="75"/>
        <v>6.9389999999999876</v>
      </c>
      <c r="BN59" s="745">
        <f t="shared" si="75"/>
        <v>64.058000000000135</v>
      </c>
      <c r="BO59" s="744">
        <f t="shared" si="75"/>
        <v>11.973999999999975</v>
      </c>
      <c r="BP59" s="760">
        <f t="shared" si="75"/>
        <v>32.344000000000001</v>
      </c>
      <c r="BQ59" s="760">
        <f t="shared" si="75"/>
        <v>493.56699999999995</v>
      </c>
      <c r="BR59" s="760">
        <f t="shared" si="75"/>
        <v>28.645000000000003</v>
      </c>
      <c r="BS59" s="745">
        <f t="shared" si="75"/>
        <v>-52.927000000000014</v>
      </c>
      <c r="BT59" s="744">
        <f t="shared" si="75"/>
        <v>501.62899999999979</v>
      </c>
      <c r="BU59" s="745">
        <f t="shared" si="75"/>
        <v>-84.435000000000002</v>
      </c>
      <c r="BV59" s="745">
        <f t="shared" si="75"/>
        <v>1.095999999999957</v>
      </c>
      <c r="BW59" s="745">
        <f t="shared" si="75"/>
        <v>12.134000000000023</v>
      </c>
      <c r="BX59" s="745">
        <f t="shared" si="75"/>
        <v>-8.0060000000000198</v>
      </c>
      <c r="BY59" s="744">
        <f t="shared" si="75"/>
        <v>-79.210999999999999</v>
      </c>
      <c r="BZ59" s="745">
        <f t="shared" si="75"/>
        <v>-12.447000000000006</v>
      </c>
      <c r="CA59" s="745">
        <f t="shared" si="75"/>
        <v>-7.6130000000000058</v>
      </c>
      <c r="CB59" s="745">
        <f t="shared" si="75"/>
        <v>-3.6310000000000082</v>
      </c>
      <c r="CC59" s="745">
        <f t="shared" si="75"/>
        <v>-13.586000000000059</v>
      </c>
      <c r="CD59" s="746">
        <f t="shared" si="75"/>
        <v>-37.277000000000108</v>
      </c>
      <c r="CE59" s="745">
        <f t="shared" si="75"/>
        <v>-56.820999999999998</v>
      </c>
      <c r="CF59" s="745">
        <f t="shared" si="75"/>
        <v>16.69000000000014</v>
      </c>
      <c r="CG59" s="745">
        <f t="shared" si="75"/>
        <v>18.491999999999898</v>
      </c>
      <c r="CH59" s="745">
        <f t="shared" si="75"/>
        <v>-0.23100000000006959</v>
      </c>
      <c r="CI59" s="746">
        <f t="shared" si="75"/>
        <v>-21.869999999999933</v>
      </c>
      <c r="CJ59" s="745">
        <f t="shared" ref="CJ59:CS59" si="76">CJ58+CJ57</f>
        <v>-24.676999999999989</v>
      </c>
      <c r="CK59" s="745">
        <f t="shared" si="76"/>
        <v>60.333000000000013</v>
      </c>
      <c r="CL59" s="745">
        <f t="shared" si="76"/>
        <v>24.414000000000037</v>
      </c>
      <c r="CM59" s="745">
        <f t="shared" si="76"/>
        <v>66.720999999999918</v>
      </c>
      <c r="CN59" s="746">
        <f t="shared" si="76"/>
        <v>126.791</v>
      </c>
      <c r="CO59" s="745">
        <f>CO58+CO57</f>
        <v>-195.45700000000008</v>
      </c>
      <c r="CP59" s="745">
        <f t="shared" si="76"/>
        <v>-13.034999999999956</v>
      </c>
      <c r="CQ59" s="745">
        <f t="shared" si="76"/>
        <v>-29.214000000000024</v>
      </c>
      <c r="CR59" s="745">
        <f t="shared" si="76"/>
        <v>-75.169999999999959</v>
      </c>
      <c r="CS59" s="746">
        <f t="shared" si="76"/>
        <v>-312.87599999999998</v>
      </c>
      <c r="CT59" s="745">
        <f t="shared" ref="CT59:DC59" si="77">CT58+CT57</f>
        <v>-64.414000000000001</v>
      </c>
      <c r="CU59" s="745">
        <f t="shared" si="77"/>
        <v>994.70499999999981</v>
      </c>
      <c r="CV59" s="745">
        <f t="shared" si="77"/>
        <v>-1021.867</v>
      </c>
      <c r="CW59" s="745">
        <f>CW58+CW57</f>
        <v>151.47000000000003</v>
      </c>
      <c r="CX59" s="746">
        <f t="shared" si="77"/>
        <v>59.939999999999856</v>
      </c>
      <c r="CY59" s="745">
        <f t="shared" si="77"/>
        <v>-14.292999999999981</v>
      </c>
      <c r="CZ59" s="745">
        <f t="shared" si="77"/>
        <v>-46.840999999999994</v>
      </c>
      <c r="DA59" s="745">
        <f t="shared" si="77"/>
        <v>42.553999999999988</v>
      </c>
      <c r="DB59" s="745">
        <f t="shared" si="77"/>
        <v>-110.58200000000005</v>
      </c>
      <c r="DC59" s="746">
        <f t="shared" si="77"/>
        <v>-128.97599999999997</v>
      </c>
      <c r="DD59" s="745">
        <f t="shared" ref="DD59:DW59" si="78">DD58+DD57</f>
        <v>-5.0049999999999955</v>
      </c>
      <c r="DE59" s="745">
        <f t="shared" si="78"/>
        <v>11.308</v>
      </c>
      <c r="DF59" s="745">
        <f t="shared" si="78"/>
        <v>-17.913999999999984</v>
      </c>
      <c r="DG59" s="745">
        <f t="shared" si="78"/>
        <v>-15.112999999999921</v>
      </c>
      <c r="DH59" s="746">
        <f t="shared" si="78"/>
        <v>-26.792999999999939</v>
      </c>
      <c r="DI59" s="745">
        <f t="shared" si="78"/>
        <v>27.782876847973299</v>
      </c>
      <c r="DJ59" s="745">
        <f t="shared" si="78"/>
        <v>-15.25257409957787</v>
      </c>
      <c r="DK59" s="745">
        <f t="shared" si="78"/>
        <v>-13.043531580184549</v>
      </c>
      <c r="DL59" s="745">
        <f t="shared" si="78"/>
        <v>-19.487353466412152</v>
      </c>
      <c r="DM59" s="746">
        <f t="shared" si="78"/>
        <v>-20.000582298201209</v>
      </c>
      <c r="DN59" s="745">
        <f t="shared" si="78"/>
        <v>24.764565416108411</v>
      </c>
      <c r="DO59" s="745">
        <f t="shared" si="78"/>
        <v>-4.5945115704605115</v>
      </c>
      <c r="DP59" s="745">
        <f t="shared" si="78"/>
        <v>-3.3365449384660337</v>
      </c>
      <c r="DQ59" s="745">
        <f t="shared" si="78"/>
        <v>-11.484661932232484</v>
      </c>
      <c r="DR59" s="746">
        <f t="shared" si="78"/>
        <v>5.3488469749494243</v>
      </c>
      <c r="DS59" s="745">
        <f t="shared" si="78"/>
        <v>54.322968500346363</v>
      </c>
      <c r="DT59" s="745">
        <f t="shared" si="78"/>
        <v>24.186523673566214</v>
      </c>
      <c r="DU59" s="745">
        <f t="shared" si="78"/>
        <v>24.425297299786408</v>
      </c>
      <c r="DV59" s="745">
        <f t="shared" si="78"/>
        <v>15.928490753149489</v>
      </c>
      <c r="DW59" s="746">
        <f t="shared" si="78"/>
        <v>118.86328022684842</v>
      </c>
      <c r="DX59" s="45"/>
      <c r="DY59" s="72"/>
      <c r="DZ59" s="72"/>
      <c r="EA59" s="72"/>
      <c r="EB59" s="72"/>
      <c r="EC59" s="45"/>
      <c r="EJ59" s="45"/>
      <c r="EK59" s="45"/>
      <c r="EL59" s="45"/>
      <c r="EM59" s="45"/>
      <c r="EN59" s="45"/>
      <c r="EO59" s="45"/>
      <c r="EP59" s="45"/>
      <c r="EQ59" s="45"/>
      <c r="ER59" s="45"/>
      <c r="ES59" s="45"/>
      <c r="ET59" s="45"/>
      <c r="EU59" s="45"/>
      <c r="EV59" s="45"/>
      <c r="EW59" s="45"/>
      <c r="EX59" s="45"/>
      <c r="EY59" s="45"/>
      <c r="EZ59" s="45"/>
      <c r="FA59" s="45"/>
      <c r="FB59" s="45"/>
      <c r="FC59" s="45"/>
      <c r="FD59" s="45"/>
      <c r="FE59" s="45"/>
      <c r="FF59" s="45"/>
      <c r="FG59" s="45"/>
      <c r="FH59" s="45"/>
      <c r="FI59" s="45"/>
      <c r="FJ59" s="45"/>
      <c r="FK59" s="45"/>
      <c r="FL59" s="45"/>
      <c r="FM59" s="45"/>
      <c r="FN59" s="45"/>
      <c r="FO59" s="45"/>
      <c r="FP59" s="45"/>
      <c r="FQ59" s="45"/>
      <c r="FR59" s="45"/>
      <c r="FS59" s="45"/>
      <c r="FT59" s="45"/>
      <c r="FU59" s="45"/>
      <c r="FV59" s="45"/>
      <c r="FW59" s="45"/>
      <c r="FX59" s="45"/>
      <c r="FY59" s="45"/>
      <c r="FZ59" s="45"/>
      <c r="GA59" s="45"/>
      <c r="GB59" s="45"/>
      <c r="GC59" s="45"/>
      <c r="GD59" s="45"/>
      <c r="GE59" s="45"/>
      <c r="GF59" s="45"/>
      <c r="GG59" s="45"/>
      <c r="GH59" s="45"/>
      <c r="GI59" s="45"/>
      <c r="GJ59" s="45"/>
      <c r="GK59" s="45"/>
      <c r="GL59" s="45"/>
      <c r="GM59" s="45"/>
      <c r="GN59" s="45"/>
      <c r="GO59" s="45"/>
      <c r="GP59" s="45"/>
      <c r="GQ59" s="45"/>
      <c r="GR59" s="45"/>
      <c r="GS59" s="45"/>
      <c r="GT59" s="45"/>
      <c r="GU59" s="45"/>
      <c r="GV59" s="45"/>
      <c r="GW59" s="45"/>
      <c r="GX59" s="45"/>
      <c r="GY59" s="45"/>
      <c r="GZ59" s="45"/>
      <c r="HA59" s="45"/>
      <c r="HB59" s="45"/>
      <c r="HC59" s="45"/>
    </row>
    <row r="60" spans="1:211">
      <c r="A60" s="743" t="s">
        <v>338</v>
      </c>
      <c r="B60" s="328"/>
      <c r="C60" s="301"/>
      <c r="D60" s="321"/>
      <c r="E60" s="321"/>
      <c r="F60" s="321"/>
      <c r="G60" s="322"/>
      <c r="H60" s="321"/>
      <c r="I60" s="321"/>
      <c r="J60" s="321"/>
      <c r="K60" s="321"/>
      <c r="L60" s="322"/>
      <c r="M60" s="344"/>
      <c r="N60" s="344"/>
      <c r="O60" s="344"/>
      <c r="P60" s="344"/>
      <c r="Q60" s="345"/>
      <c r="R60" s="344"/>
      <c r="S60" s="321"/>
      <c r="T60" s="321"/>
      <c r="U60" s="321"/>
      <c r="V60" s="322"/>
      <c r="W60" s="321"/>
      <c r="X60" s="324"/>
      <c r="Y60" s="324"/>
      <c r="Z60" s="321"/>
      <c r="AA60" s="322"/>
      <c r="AB60" s="325"/>
      <c r="AC60" s="325"/>
      <c r="AD60" s="325"/>
      <c r="AE60" s="325"/>
      <c r="AF60" s="306"/>
      <c r="AG60" s="346"/>
      <c r="AH60" s="305"/>
      <c r="AI60" s="305"/>
      <c r="AJ60" s="347"/>
      <c r="AK60" s="306"/>
      <c r="AL60" s="346"/>
      <c r="AM60" s="305"/>
      <c r="AN60" s="305"/>
      <c r="AO60" s="347"/>
      <c r="AP60" s="306"/>
      <c r="AQ60" s="346"/>
      <c r="AR60" s="305"/>
      <c r="AS60" s="305"/>
      <c r="AT60" s="347"/>
      <c r="AU60" s="306"/>
      <c r="AV60" s="346"/>
      <c r="AW60" s="305"/>
      <c r="AX60" s="305"/>
      <c r="AY60" s="347"/>
      <c r="AZ60" s="306"/>
      <c r="BA60" s="346"/>
      <c r="BB60" s="305"/>
      <c r="BC60" s="305"/>
      <c r="BD60" s="347"/>
      <c r="BE60" s="744">
        <v>202.84</v>
      </c>
      <c r="BF60" s="760">
        <v>148.15199999999999</v>
      </c>
      <c r="BG60" s="760">
        <f>BF61</f>
        <v>148.43699999999998</v>
      </c>
      <c r="BH60" s="760">
        <f>BG61</f>
        <v>134.54299999999998</v>
      </c>
      <c r="BI60" s="760">
        <f>BH61</f>
        <v>134.57199999999997</v>
      </c>
      <c r="BJ60" s="761">
        <f>BE61</f>
        <v>148.15199999999987</v>
      </c>
      <c r="BK60" s="760">
        <v>78.116</v>
      </c>
      <c r="BL60" s="760">
        <f>BK61</f>
        <v>59.025999999999982</v>
      </c>
      <c r="BM60" s="760">
        <f>BL61</f>
        <v>19.092999999999989</v>
      </c>
      <c r="BN60" s="745">
        <f>BM61</f>
        <v>26.031999999999975</v>
      </c>
      <c r="BO60" s="744">
        <f>BJ61</f>
        <v>78.1159999999999</v>
      </c>
      <c r="BP60" s="760">
        <f>BO61</f>
        <v>90.089999999999876</v>
      </c>
      <c r="BQ60" s="760">
        <f>BP61</f>
        <v>122.43399999999988</v>
      </c>
      <c r="BR60" s="760">
        <f>BQ61</f>
        <v>616.00099999999986</v>
      </c>
      <c r="BS60" s="745">
        <f>BR61</f>
        <v>644.64599999999984</v>
      </c>
      <c r="BT60" s="744">
        <f>BO61</f>
        <v>90.089999999999876</v>
      </c>
      <c r="BU60" s="745">
        <f>BT61</f>
        <v>591.71899999999971</v>
      </c>
      <c r="BV60" s="745">
        <f>BU61</f>
        <v>507.28399999999971</v>
      </c>
      <c r="BW60" s="745">
        <f>BV61</f>
        <v>508.37999999999965</v>
      </c>
      <c r="BX60" s="745">
        <f>BW61</f>
        <v>520.51399999999967</v>
      </c>
      <c r="BY60" s="744">
        <f>BT61</f>
        <v>591.71899999999971</v>
      </c>
      <c r="BZ60" s="745">
        <f>BY61</f>
        <v>512.5079999999997</v>
      </c>
      <c r="CA60" s="745">
        <f>BZ61</f>
        <v>500.06099999999969</v>
      </c>
      <c r="CB60" s="745">
        <f>CA61</f>
        <v>492.44799999999969</v>
      </c>
      <c r="CC60" s="745">
        <f>CB61</f>
        <v>488.81699999999967</v>
      </c>
      <c r="CD60" s="746">
        <f>BY61</f>
        <v>512.5079999999997</v>
      </c>
      <c r="CE60" s="745">
        <f>CD61</f>
        <v>475.2309999999996</v>
      </c>
      <c r="CF60" s="745">
        <f>CE61</f>
        <v>418.40999999999963</v>
      </c>
      <c r="CG60" s="745">
        <f>CF61</f>
        <v>435.0999999999998</v>
      </c>
      <c r="CH60" s="745">
        <f>CG61</f>
        <v>453.5919999999997</v>
      </c>
      <c r="CI60" s="746">
        <f>CD61</f>
        <v>475.2309999999996</v>
      </c>
      <c r="CJ60" s="745">
        <f>CI61</f>
        <v>453.36099999999965</v>
      </c>
      <c r="CK60" s="745">
        <f>CJ61</f>
        <v>428.68399999999968</v>
      </c>
      <c r="CL60" s="745">
        <f>CK61</f>
        <v>489.01699999999971</v>
      </c>
      <c r="CM60" s="745">
        <f>CL61</f>
        <v>513.4309999999997</v>
      </c>
      <c r="CN60" s="746">
        <f>CI61</f>
        <v>453.36099999999965</v>
      </c>
      <c r="CO60" s="745">
        <f>CN61</f>
        <v>580.15199999999959</v>
      </c>
      <c r="CP60" s="745">
        <f>CO61</f>
        <v>384.69499999999948</v>
      </c>
      <c r="CQ60" s="745">
        <f>CP61</f>
        <v>371.65999999999951</v>
      </c>
      <c r="CR60" s="745">
        <f>CQ61</f>
        <v>342.44599999999951</v>
      </c>
      <c r="CS60" s="746">
        <f>CN61</f>
        <v>580.15199999999959</v>
      </c>
      <c r="CT60" s="745">
        <f>CS61</f>
        <v>267.27599999999961</v>
      </c>
      <c r="CU60" s="745">
        <f>CT61</f>
        <v>202.86199999999963</v>
      </c>
      <c r="CV60" s="745">
        <f>CU61</f>
        <v>1197.5669999999996</v>
      </c>
      <c r="CW60" s="745">
        <f>CV61</f>
        <v>175.69999999999959</v>
      </c>
      <c r="CX60" s="746">
        <f>CS61</f>
        <v>267.27599999999961</v>
      </c>
      <c r="CY60" s="745">
        <f>CX61</f>
        <v>327.21599999999944</v>
      </c>
      <c r="CZ60" s="745">
        <f>CY61</f>
        <v>312.92299999999943</v>
      </c>
      <c r="DA60" s="745">
        <f>CZ61</f>
        <v>266.08199999999943</v>
      </c>
      <c r="DB60" s="745">
        <f>DA61</f>
        <v>308.6359999999994</v>
      </c>
      <c r="DC60" s="746">
        <f>CX61</f>
        <v>327.21599999999944</v>
      </c>
      <c r="DD60" s="745">
        <f>DC61</f>
        <v>198.23999999999947</v>
      </c>
      <c r="DE60" s="745">
        <f>DD61</f>
        <v>193.23499999999947</v>
      </c>
      <c r="DF60" s="745">
        <f>DE61</f>
        <v>204.54299999999947</v>
      </c>
      <c r="DG60" s="745">
        <f>DF61</f>
        <v>186.62899999999948</v>
      </c>
      <c r="DH60" s="746">
        <f>DC61</f>
        <v>198.23999999999947</v>
      </c>
      <c r="DI60" s="745">
        <f>DH61</f>
        <v>171.44699999999952</v>
      </c>
      <c r="DJ60" s="745">
        <f>DI61</f>
        <v>199.22987684797283</v>
      </c>
      <c r="DK60" s="745">
        <f>DJ61</f>
        <v>183.97730274839495</v>
      </c>
      <c r="DL60" s="745">
        <f>DK61</f>
        <v>170.9337711682104</v>
      </c>
      <c r="DM60" s="746">
        <f>DH61</f>
        <v>171.44699999999952</v>
      </c>
      <c r="DN60" s="745">
        <f>DM61</f>
        <v>151.44641770179831</v>
      </c>
      <c r="DO60" s="745">
        <f>DN61</f>
        <v>176.21098311790672</v>
      </c>
      <c r="DP60" s="745">
        <f>DO61</f>
        <v>171.61647154744622</v>
      </c>
      <c r="DQ60" s="745">
        <f>DP61</f>
        <v>168.27992660898019</v>
      </c>
      <c r="DR60" s="746">
        <f>DM61</f>
        <v>151.44641770179831</v>
      </c>
      <c r="DS60" s="745">
        <f>DR61</f>
        <v>156.79526467674773</v>
      </c>
      <c r="DT60" s="745">
        <f>DS61</f>
        <v>211.11823317709411</v>
      </c>
      <c r="DU60" s="745">
        <f>DT61</f>
        <v>235.30475685066034</v>
      </c>
      <c r="DV60" s="745">
        <f>DU61</f>
        <v>259.73005415044673</v>
      </c>
      <c r="DW60" s="746">
        <f>DR61</f>
        <v>156.79526467674773</v>
      </c>
      <c r="DX60" s="45"/>
      <c r="DY60" s="45"/>
      <c r="DZ60" s="45"/>
      <c r="EA60" s="45"/>
      <c r="EB60" s="45"/>
      <c r="EC60" s="45"/>
      <c r="EJ60" s="45"/>
      <c r="EK60" s="45"/>
      <c r="EL60" s="45"/>
      <c r="EM60" s="45"/>
      <c r="EN60" s="45"/>
      <c r="EO60" s="45"/>
      <c r="EP60" s="45"/>
      <c r="EQ60" s="45"/>
      <c r="ER60" s="45"/>
      <c r="ES60" s="45"/>
      <c r="ET60" s="45"/>
      <c r="EU60" s="45"/>
      <c r="EV60" s="45"/>
      <c r="EW60" s="45"/>
      <c r="EX60" s="45"/>
      <c r="EY60" s="45"/>
      <c r="EZ60" s="45"/>
      <c r="FA60" s="45"/>
      <c r="FB60" s="45"/>
      <c r="FC60" s="45"/>
      <c r="FD60" s="45"/>
      <c r="FE60" s="45"/>
      <c r="FF60" s="45"/>
      <c r="FG60" s="45"/>
      <c r="FH60" s="45"/>
      <c r="FI60" s="45"/>
      <c r="FJ60" s="45"/>
      <c r="FK60" s="45"/>
      <c r="FL60" s="45"/>
      <c r="FM60" s="45"/>
      <c r="FN60" s="45"/>
      <c r="FO60" s="45"/>
      <c r="FP60" s="45"/>
      <c r="FQ60" s="45"/>
      <c r="FR60" s="45"/>
      <c r="FS60" s="45"/>
      <c r="FT60" s="45"/>
      <c r="FU60" s="45"/>
      <c r="FV60" s="45"/>
      <c r="FW60" s="45"/>
      <c r="FX60" s="45"/>
      <c r="FY60" s="45"/>
      <c r="FZ60" s="45"/>
      <c r="GA60" s="45"/>
      <c r="GB60" s="45"/>
      <c r="GC60" s="45"/>
      <c r="GD60" s="45"/>
      <c r="GE60" s="45"/>
      <c r="GF60" s="45"/>
      <c r="GG60" s="45"/>
      <c r="GH60" s="45"/>
      <c r="GI60" s="45"/>
      <c r="GJ60" s="45"/>
      <c r="GK60" s="45"/>
      <c r="GL60" s="45"/>
      <c r="GM60" s="45"/>
      <c r="GN60" s="45"/>
      <c r="GO60" s="45"/>
      <c r="GP60" s="45"/>
      <c r="GQ60" s="45"/>
      <c r="GR60" s="45"/>
      <c r="GS60" s="45"/>
      <c r="GT60" s="45"/>
      <c r="GU60" s="45"/>
      <c r="GV60" s="45"/>
      <c r="GW60" s="45"/>
      <c r="GX60" s="45"/>
      <c r="GY60" s="45"/>
      <c r="GZ60" s="45"/>
      <c r="HA60" s="45"/>
      <c r="HB60" s="45"/>
      <c r="HC60" s="45"/>
    </row>
    <row r="61" spans="1:211">
      <c r="A61" s="743" t="s">
        <v>337</v>
      </c>
      <c r="B61" s="328"/>
      <c r="C61" s="301"/>
      <c r="D61" s="321"/>
      <c r="E61" s="321"/>
      <c r="F61" s="321"/>
      <c r="G61" s="322"/>
      <c r="H61" s="321"/>
      <c r="I61" s="321"/>
      <c r="J61" s="321"/>
      <c r="K61" s="321"/>
      <c r="L61" s="322"/>
      <c r="M61" s="344"/>
      <c r="N61" s="344"/>
      <c r="O61" s="344"/>
      <c r="P61" s="344"/>
      <c r="Q61" s="345"/>
      <c r="R61" s="344"/>
      <c r="S61" s="321"/>
      <c r="T61" s="321"/>
      <c r="U61" s="321"/>
      <c r="V61" s="322"/>
      <c r="W61" s="321"/>
      <c r="X61" s="324"/>
      <c r="Y61" s="324"/>
      <c r="Z61" s="321"/>
      <c r="AA61" s="322"/>
      <c r="AB61" s="325"/>
      <c r="AC61" s="325"/>
      <c r="AD61" s="325"/>
      <c r="AE61" s="325"/>
      <c r="AF61" s="306"/>
      <c r="AG61" s="346"/>
      <c r="AH61" s="305"/>
      <c r="AI61" s="305"/>
      <c r="AJ61" s="347"/>
      <c r="AK61" s="306"/>
      <c r="AL61" s="346"/>
      <c r="AM61" s="305"/>
      <c r="AN61" s="305"/>
      <c r="AO61" s="347"/>
      <c r="AP61" s="306"/>
      <c r="AQ61" s="346"/>
      <c r="AR61" s="305"/>
      <c r="AS61" s="305"/>
      <c r="AT61" s="347"/>
      <c r="AU61" s="306"/>
      <c r="AV61" s="346"/>
      <c r="AW61" s="305"/>
      <c r="AX61" s="305"/>
      <c r="AY61" s="347"/>
      <c r="AZ61" s="306"/>
      <c r="BA61" s="346"/>
      <c r="BB61" s="305"/>
      <c r="BC61" s="305"/>
      <c r="BD61" s="347"/>
      <c r="BE61" s="739">
        <f t="shared" ref="BE61:CI61" si="79">BE60+BE59</f>
        <v>148.15199999999987</v>
      </c>
      <c r="BF61" s="758">
        <f t="shared" si="79"/>
        <v>148.43699999999998</v>
      </c>
      <c r="BG61" s="758">
        <f t="shared" si="79"/>
        <v>134.54299999999998</v>
      </c>
      <c r="BH61" s="758">
        <f t="shared" si="79"/>
        <v>134.57199999999997</v>
      </c>
      <c r="BI61" s="758">
        <f t="shared" si="79"/>
        <v>109.73599999999999</v>
      </c>
      <c r="BJ61" s="759">
        <f t="shared" si="79"/>
        <v>78.1159999999999</v>
      </c>
      <c r="BK61" s="758">
        <f t="shared" si="79"/>
        <v>59.025999999999982</v>
      </c>
      <c r="BL61" s="758">
        <f t="shared" si="79"/>
        <v>19.092999999999989</v>
      </c>
      <c r="BM61" s="758">
        <f t="shared" si="79"/>
        <v>26.031999999999975</v>
      </c>
      <c r="BN61" s="740">
        <f t="shared" si="79"/>
        <v>90.090000000000117</v>
      </c>
      <c r="BO61" s="739">
        <f t="shared" si="79"/>
        <v>90.089999999999876</v>
      </c>
      <c r="BP61" s="758">
        <f t="shared" si="79"/>
        <v>122.43399999999988</v>
      </c>
      <c r="BQ61" s="758">
        <f t="shared" si="79"/>
        <v>616.00099999999986</v>
      </c>
      <c r="BR61" s="758">
        <f t="shared" si="79"/>
        <v>644.64599999999984</v>
      </c>
      <c r="BS61" s="740">
        <f t="shared" si="79"/>
        <v>591.71899999999982</v>
      </c>
      <c r="BT61" s="739">
        <f t="shared" si="79"/>
        <v>591.71899999999971</v>
      </c>
      <c r="BU61" s="740">
        <f t="shared" si="79"/>
        <v>507.28399999999971</v>
      </c>
      <c r="BV61" s="740">
        <f t="shared" si="79"/>
        <v>508.37999999999965</v>
      </c>
      <c r="BW61" s="740">
        <f t="shared" si="79"/>
        <v>520.51399999999967</v>
      </c>
      <c r="BX61" s="740">
        <f t="shared" si="79"/>
        <v>512.5079999999997</v>
      </c>
      <c r="BY61" s="739">
        <f t="shared" si="79"/>
        <v>512.5079999999997</v>
      </c>
      <c r="BZ61" s="740">
        <f t="shared" si="79"/>
        <v>500.06099999999969</v>
      </c>
      <c r="CA61" s="740">
        <f t="shared" si="79"/>
        <v>492.44799999999969</v>
      </c>
      <c r="CB61" s="740">
        <f t="shared" si="79"/>
        <v>488.81699999999967</v>
      </c>
      <c r="CC61" s="740">
        <f t="shared" si="79"/>
        <v>475.2309999999996</v>
      </c>
      <c r="CD61" s="742">
        <f t="shared" si="79"/>
        <v>475.2309999999996</v>
      </c>
      <c r="CE61" s="740">
        <f t="shared" si="79"/>
        <v>418.40999999999963</v>
      </c>
      <c r="CF61" s="740">
        <f t="shared" si="79"/>
        <v>435.0999999999998</v>
      </c>
      <c r="CG61" s="740">
        <f t="shared" si="79"/>
        <v>453.5919999999997</v>
      </c>
      <c r="CH61" s="740">
        <f t="shared" si="79"/>
        <v>453.36099999999965</v>
      </c>
      <c r="CI61" s="742">
        <f t="shared" si="79"/>
        <v>453.36099999999965</v>
      </c>
      <c r="CJ61" s="740">
        <f t="shared" ref="CJ61:CS61" si="80">CJ60+CJ59</f>
        <v>428.68399999999968</v>
      </c>
      <c r="CK61" s="740">
        <f t="shared" si="80"/>
        <v>489.01699999999971</v>
      </c>
      <c r="CL61" s="740">
        <f t="shared" si="80"/>
        <v>513.4309999999997</v>
      </c>
      <c r="CM61" s="740">
        <f t="shared" si="80"/>
        <v>580.15199999999959</v>
      </c>
      <c r="CN61" s="742">
        <f t="shared" si="80"/>
        <v>580.15199999999959</v>
      </c>
      <c r="CO61" s="740">
        <f t="shared" si="80"/>
        <v>384.69499999999948</v>
      </c>
      <c r="CP61" s="740">
        <f t="shared" si="80"/>
        <v>371.65999999999951</v>
      </c>
      <c r="CQ61" s="740">
        <f t="shared" si="80"/>
        <v>342.44599999999951</v>
      </c>
      <c r="CR61" s="740">
        <f t="shared" si="80"/>
        <v>267.27599999999956</v>
      </c>
      <c r="CS61" s="742">
        <f t="shared" si="80"/>
        <v>267.27599999999961</v>
      </c>
      <c r="CT61" s="740">
        <f t="shared" ref="CT61:DC61" si="81">CT60+CT59</f>
        <v>202.86199999999963</v>
      </c>
      <c r="CU61" s="740">
        <f t="shared" si="81"/>
        <v>1197.5669999999996</v>
      </c>
      <c r="CV61" s="740">
        <f t="shared" si="81"/>
        <v>175.69999999999959</v>
      </c>
      <c r="CW61" s="1225">
        <f t="shared" si="81"/>
        <v>327.16999999999962</v>
      </c>
      <c r="CX61" s="742">
        <f t="shared" si="81"/>
        <v>327.21599999999944</v>
      </c>
      <c r="CY61" s="740">
        <f t="shared" si="81"/>
        <v>312.92299999999943</v>
      </c>
      <c r="CZ61" s="740">
        <f t="shared" si="81"/>
        <v>266.08199999999943</v>
      </c>
      <c r="DA61" s="740">
        <f t="shared" si="81"/>
        <v>308.6359999999994</v>
      </c>
      <c r="DB61" s="740">
        <f t="shared" si="81"/>
        <v>198.05399999999935</v>
      </c>
      <c r="DC61" s="742">
        <f t="shared" si="81"/>
        <v>198.23999999999947</v>
      </c>
      <c r="DD61" s="740">
        <f t="shared" ref="DD61:DW61" si="82">DD60+DD59</f>
        <v>193.23499999999947</v>
      </c>
      <c r="DE61" s="740">
        <f t="shared" si="82"/>
        <v>204.54299999999947</v>
      </c>
      <c r="DF61" s="740">
        <f t="shared" si="82"/>
        <v>186.62899999999948</v>
      </c>
      <c r="DG61" s="740">
        <f t="shared" si="82"/>
        <v>171.51599999999956</v>
      </c>
      <c r="DH61" s="742">
        <f t="shared" si="82"/>
        <v>171.44699999999952</v>
      </c>
      <c r="DI61" s="740">
        <f t="shared" si="82"/>
        <v>199.22987684797283</v>
      </c>
      <c r="DJ61" s="740">
        <f t="shared" si="82"/>
        <v>183.97730274839495</v>
      </c>
      <c r="DK61" s="740">
        <f t="shared" si="82"/>
        <v>170.9337711682104</v>
      </c>
      <c r="DL61" s="740">
        <f t="shared" si="82"/>
        <v>151.44641770179825</v>
      </c>
      <c r="DM61" s="742">
        <f t="shared" si="82"/>
        <v>151.44641770179831</v>
      </c>
      <c r="DN61" s="740">
        <f t="shared" si="82"/>
        <v>176.21098311790672</v>
      </c>
      <c r="DO61" s="740">
        <f t="shared" si="82"/>
        <v>171.61647154744622</v>
      </c>
      <c r="DP61" s="740">
        <f t="shared" si="82"/>
        <v>168.27992660898019</v>
      </c>
      <c r="DQ61" s="740">
        <f t="shared" si="82"/>
        <v>156.79526467674771</v>
      </c>
      <c r="DR61" s="742">
        <f t="shared" si="82"/>
        <v>156.79526467674773</v>
      </c>
      <c r="DS61" s="740">
        <f t="shared" si="82"/>
        <v>211.11823317709411</v>
      </c>
      <c r="DT61" s="740">
        <f t="shared" si="82"/>
        <v>235.30475685066034</v>
      </c>
      <c r="DU61" s="740">
        <f t="shared" si="82"/>
        <v>259.73005415044673</v>
      </c>
      <c r="DV61" s="740">
        <f t="shared" si="82"/>
        <v>275.65854490359624</v>
      </c>
      <c r="DW61" s="742">
        <f t="shared" si="82"/>
        <v>275.65854490359618</v>
      </c>
      <c r="DX61" s="45"/>
      <c r="DY61" s="45"/>
      <c r="DZ61" s="45"/>
      <c r="EA61" s="45"/>
      <c r="EB61" s="45"/>
      <c r="EC61" s="45"/>
      <c r="EJ61" s="45"/>
      <c r="EK61" s="45"/>
      <c r="EL61" s="45"/>
      <c r="EM61" s="45"/>
      <c r="EN61" s="45"/>
      <c r="EO61" s="45"/>
      <c r="EP61" s="45"/>
      <c r="EQ61" s="45"/>
      <c r="ER61" s="45"/>
      <c r="ES61" s="45"/>
      <c r="ET61" s="45"/>
      <c r="EU61" s="45"/>
      <c r="EV61" s="45"/>
      <c r="EW61" s="45"/>
      <c r="EX61" s="45"/>
      <c r="EY61" s="45"/>
      <c r="EZ61" s="45"/>
      <c r="FA61" s="45"/>
      <c r="FB61" s="45"/>
      <c r="FC61" s="45"/>
      <c r="FD61" s="45"/>
      <c r="FE61" s="45"/>
      <c r="FF61" s="45"/>
      <c r="FG61" s="45"/>
      <c r="FH61" s="45"/>
      <c r="FI61" s="45"/>
      <c r="FJ61" s="45"/>
      <c r="FK61" s="45"/>
      <c r="FL61" s="45"/>
      <c r="FM61" s="45"/>
      <c r="FN61" s="45"/>
      <c r="FO61" s="45"/>
      <c r="FP61" s="45"/>
      <c r="FQ61" s="45"/>
      <c r="FR61" s="45"/>
      <c r="FS61" s="45"/>
      <c r="FT61" s="45"/>
      <c r="FU61" s="45"/>
      <c r="FV61" s="45"/>
      <c r="FW61" s="45"/>
      <c r="FX61" s="45"/>
      <c r="FY61" s="45"/>
      <c r="FZ61" s="45"/>
      <c r="GA61" s="45"/>
      <c r="GB61" s="45"/>
      <c r="GC61" s="45"/>
      <c r="GD61" s="45"/>
      <c r="GE61" s="45"/>
      <c r="GF61" s="45"/>
      <c r="GG61" s="45"/>
      <c r="GH61" s="45"/>
      <c r="GI61" s="45"/>
      <c r="GJ61" s="45"/>
      <c r="GK61" s="45"/>
      <c r="GL61" s="45"/>
      <c r="GM61" s="45"/>
      <c r="GN61" s="45"/>
      <c r="GO61" s="45"/>
      <c r="GP61" s="45"/>
      <c r="GQ61" s="45"/>
      <c r="GR61" s="45"/>
      <c r="GS61" s="45"/>
      <c r="GT61" s="45"/>
      <c r="GU61" s="45"/>
      <c r="GV61" s="45"/>
      <c r="GW61" s="45"/>
      <c r="GX61" s="45"/>
      <c r="GY61" s="45"/>
      <c r="GZ61" s="45"/>
      <c r="HA61" s="45"/>
      <c r="HB61" s="45"/>
      <c r="HC61" s="45"/>
    </row>
    <row r="62" spans="1:211" hidden="1" outlineLevel="1">
      <c r="A62" s="757" t="s">
        <v>168</v>
      </c>
      <c r="B62" s="351"/>
      <c r="C62" s="352"/>
      <c r="D62" s="353"/>
      <c r="E62" s="353"/>
      <c r="F62" s="353"/>
      <c r="G62" s="354"/>
      <c r="H62" s="353"/>
      <c r="I62" s="353"/>
      <c r="J62" s="353"/>
      <c r="K62" s="353"/>
      <c r="L62" s="354"/>
      <c r="M62" s="353"/>
      <c r="N62" s="353"/>
      <c r="O62" s="353"/>
      <c r="P62" s="353"/>
      <c r="Q62" s="354"/>
      <c r="R62" s="353"/>
      <c r="S62" s="353"/>
      <c r="T62" s="353"/>
      <c r="U62" s="353"/>
      <c r="V62" s="354"/>
      <c r="W62" s="353"/>
      <c r="X62" s="353"/>
      <c r="Y62" s="353"/>
      <c r="Z62" s="353"/>
      <c r="AA62" s="354"/>
      <c r="AB62" s="353"/>
      <c r="AC62" s="353"/>
      <c r="AD62" s="353"/>
      <c r="AE62" s="353"/>
      <c r="AF62" s="354"/>
      <c r="AG62" s="352"/>
      <c r="AH62" s="353"/>
      <c r="AI62" s="353"/>
      <c r="AJ62" s="355"/>
      <c r="AK62" s="354"/>
      <c r="AL62" s="352"/>
      <c r="AM62" s="353"/>
      <c r="AN62" s="353"/>
      <c r="AO62" s="355"/>
      <c r="AP62" s="354"/>
      <c r="AQ62" s="352"/>
      <c r="AR62" s="356"/>
      <c r="AS62" s="356"/>
      <c r="AT62" s="357"/>
      <c r="AU62" s="358"/>
      <c r="AV62" s="359"/>
      <c r="AW62" s="356"/>
      <c r="AX62" s="356"/>
      <c r="AY62" s="357"/>
      <c r="AZ62" s="358"/>
      <c r="BA62" s="359"/>
      <c r="BB62" s="356"/>
      <c r="BC62" s="356"/>
      <c r="BD62" s="357"/>
      <c r="BE62" s="765">
        <f>BE61-'Balance Sheet '!BE11</f>
        <v>0</v>
      </c>
      <c r="BF62" s="764">
        <f>BF61-'Balance Sheet '!BF11</f>
        <v>148.43699999999998</v>
      </c>
      <c r="BG62" s="764">
        <f>BG61-'Balance Sheet '!BG11</f>
        <v>134.54299999999998</v>
      </c>
      <c r="BH62" s="764">
        <f>BH61-'Balance Sheet '!BH11</f>
        <v>134.57199999999997</v>
      </c>
      <c r="BI62" s="764">
        <f>BI61-'Balance Sheet '!BI11</f>
        <v>109.73599999999999</v>
      </c>
      <c r="BJ62" s="819">
        <f>BJ61-'Balance Sheet '!BJ11</f>
        <v>0</v>
      </c>
      <c r="BK62" s="762">
        <f>BK61-'Balance Sheet '!BK11</f>
        <v>0</v>
      </c>
      <c r="BL62" s="764">
        <f>BL61-'Balance Sheet '!BL11</f>
        <v>0</v>
      </c>
      <c r="BM62" s="764">
        <f>BM61-'Balance Sheet '!BM11</f>
        <v>0</v>
      </c>
      <c r="BN62" s="816">
        <f>BN61-'Balance Sheet '!BN11</f>
        <v>1.1368683772161603E-13</v>
      </c>
      <c r="BO62" s="765">
        <f>BO61-'Balance Sheet '!BO11</f>
        <v>-1.2789769243681803E-13</v>
      </c>
      <c r="BP62" s="764">
        <f>BP61-'Balance Sheet '!BP11</f>
        <v>-1.1368683772161603E-13</v>
      </c>
      <c r="BQ62" s="764">
        <f>BQ61-'Balance Sheet '!BQ11</f>
        <v>0</v>
      </c>
      <c r="BR62" s="764">
        <f>BR61-'Balance Sheet '!BR11</f>
        <v>0</v>
      </c>
      <c r="BS62" s="816">
        <f>BS61-'Balance Sheet '!BS11</f>
        <v>0</v>
      </c>
      <c r="BT62" s="819">
        <f>BT61-'Balance Sheet '!BT11</f>
        <v>0</v>
      </c>
      <c r="BU62" s="764">
        <f>BU61-'Balance Sheet '!BU11</f>
        <v>0</v>
      </c>
      <c r="BV62" s="764">
        <f>BV61-'Balance Sheet '!BV11</f>
        <v>0</v>
      </c>
      <c r="BW62" s="764">
        <f>BW61-'Balance Sheet '!BW11</f>
        <v>0</v>
      </c>
      <c r="BX62" s="816">
        <f>BX61-'Balance Sheet '!BX11</f>
        <v>0</v>
      </c>
      <c r="BY62" s="819">
        <f>BY61-'Balance Sheet '!BY11</f>
        <v>0</v>
      </c>
      <c r="BZ62" s="762">
        <f>BZ61-'Balance Sheet '!BZ11</f>
        <v>0</v>
      </c>
      <c r="CA62" s="764">
        <f>CA61-'Balance Sheet '!CA11</f>
        <v>0</v>
      </c>
      <c r="CB62" s="764">
        <f>CB61-'Balance Sheet '!CB11</f>
        <v>0</v>
      </c>
      <c r="CC62" s="816">
        <f>CC61-'Balance Sheet '!CC11</f>
        <v>0</v>
      </c>
      <c r="CD62" s="819">
        <f>CD61-'Balance Sheet '!CD11</f>
        <v>0</v>
      </c>
      <c r="CE62" s="762">
        <f>CE61-'Balance Sheet '!CE11</f>
        <v>0</v>
      </c>
      <c r="CF62" s="764">
        <f>CF61-'Balance Sheet '!CF11</f>
        <v>0</v>
      </c>
      <c r="CG62" s="764">
        <f>CG61-'Balance Sheet '!CG11</f>
        <v>0</v>
      </c>
      <c r="CH62" s="816">
        <f>CH61-'Balance Sheet '!CH11</f>
        <v>0</v>
      </c>
      <c r="CI62" s="765">
        <f>CI61-'Balance Sheet '!CI11</f>
        <v>0</v>
      </c>
      <c r="CJ62" s="764">
        <f>CJ61-'Balance Sheet '!CJ11</f>
        <v>0</v>
      </c>
      <c r="CK62" s="764">
        <f>CK61-'Balance Sheet '!CK11</f>
        <v>0</v>
      </c>
      <c r="CL62" s="764">
        <f>CL61-'Balance Sheet '!CL11</f>
        <v>0</v>
      </c>
      <c r="CM62" s="764">
        <f>CM61-'Balance Sheet '!CM11</f>
        <v>0</v>
      </c>
      <c r="CN62" s="765">
        <f>CN61-'Balance Sheet '!CN11</f>
        <v>0</v>
      </c>
      <c r="CO62" s="764">
        <f>CO61-'Balance Sheet '!CO11</f>
        <v>-5.1159076974727213E-13</v>
      </c>
      <c r="CP62" s="764">
        <f>CP61-'Balance Sheet '!CP11</f>
        <v>-5.1159076974727213E-13</v>
      </c>
      <c r="CQ62" s="764">
        <f>CQ61-'Balance Sheet '!CQ11</f>
        <v>-5.1159076974727213E-13</v>
      </c>
      <c r="CR62" s="764">
        <f>CR61-'Balance Sheet '!CR11</f>
        <v>-4.5474735088646412E-13</v>
      </c>
      <c r="CS62" s="765">
        <f>CS61-'Balance Sheet '!CS11</f>
        <v>0</v>
      </c>
      <c r="CT62" s="764">
        <f>CT61-'Balance Sheet '!CT11</f>
        <v>-3.694822225952521E-13</v>
      </c>
      <c r="CU62" s="764">
        <f>CU61-'Balance Sheet '!CU11</f>
        <v>0</v>
      </c>
      <c r="CV62" s="764">
        <f>CV61-'Balance Sheet '!CV11</f>
        <v>-3.979039320256561E-13</v>
      </c>
      <c r="CW62" s="764">
        <f>CW61-'Balance Sheet '!CW11</f>
        <v>-4.6000000000390173E-2</v>
      </c>
      <c r="CX62" s="765">
        <f>CX61-'Balance Sheet '!CX11</f>
        <v>-5.6843418860808015E-13</v>
      </c>
      <c r="CY62" s="764">
        <f>CY61-'Balance Sheet '!CY11</f>
        <v>-5.6843418860808015E-13</v>
      </c>
      <c r="CZ62" s="764">
        <f>CZ61-'Balance Sheet '!CZ11</f>
        <v>-9.8000000000581622E-2</v>
      </c>
      <c r="DA62" s="764">
        <f>DA61-'Balance Sheet '!DA11</f>
        <v>-0.14800000000059299</v>
      </c>
      <c r="DB62" s="764">
        <f>DB61-'Balance Sheet '!DB11</f>
        <v>-0.18600000000066075</v>
      </c>
      <c r="DC62" s="765">
        <f>DC61-'Balance Sheet '!DC11</f>
        <v>-5.4001247917767614E-13</v>
      </c>
      <c r="DD62" s="764">
        <f>DD61-'Balance Sheet '!DD11</f>
        <v>-5.4001247917767614E-13</v>
      </c>
      <c r="DE62" s="764">
        <f>DE61-'Balance Sheet '!DE11</f>
        <v>-5.4001247917767614E-13</v>
      </c>
      <c r="DF62" s="764">
        <f>DF61-'Balance Sheet '!DF11</f>
        <v>-5.1159076974727213E-13</v>
      </c>
      <c r="DG62" s="764">
        <f>DG61-'Balance Sheet '!DG11</f>
        <v>6.8999999999562078E-2</v>
      </c>
      <c r="DH62" s="765">
        <f>DH61-'Balance Sheet '!DH11</f>
        <v>-4.8316906031686813E-13</v>
      </c>
      <c r="DI62" s="764">
        <f>DI61-'Balance Sheet '!DI11</f>
        <v>0</v>
      </c>
      <c r="DJ62" s="764">
        <f>DJ61-'Balance Sheet '!DJ11</f>
        <v>0</v>
      </c>
      <c r="DK62" s="764">
        <f>DK61-'Balance Sheet '!DK11</f>
        <v>0</v>
      </c>
      <c r="DL62" s="764">
        <f>DL61-'Balance Sheet '!DL11</f>
        <v>0</v>
      </c>
      <c r="DM62" s="765">
        <f>DM61-'Balance Sheet '!DM11</f>
        <v>0</v>
      </c>
      <c r="DN62" s="764">
        <f>DN61-'Balance Sheet '!DN11</f>
        <v>0</v>
      </c>
      <c r="DO62" s="764">
        <f>DO61-'Balance Sheet '!DO11</f>
        <v>0</v>
      </c>
      <c r="DP62" s="764">
        <f>DP61-'Balance Sheet '!DP11</f>
        <v>0</v>
      </c>
      <c r="DQ62" s="764">
        <f>DQ61-'Balance Sheet '!DQ11</f>
        <v>0</v>
      </c>
      <c r="DR62" s="765">
        <f>DR61-'Balance Sheet '!DR11</f>
        <v>0</v>
      </c>
      <c r="DS62" s="764">
        <f>DS61-'Balance Sheet '!DS11</f>
        <v>0</v>
      </c>
      <c r="DT62" s="764">
        <f>DT61-'Balance Sheet '!DT11</f>
        <v>0</v>
      </c>
      <c r="DU62" s="764">
        <f>DU61-'Balance Sheet '!DU11</f>
        <v>0</v>
      </c>
      <c r="DV62" s="764">
        <f>DV61-'Balance Sheet '!DV11</f>
        <v>0</v>
      </c>
      <c r="DW62" s="765">
        <f>DW61-'Balance Sheet '!DW11</f>
        <v>0</v>
      </c>
    </row>
    <row r="63" spans="1:211" collapsed="1">
      <c r="A63" s="376" t="s">
        <v>136</v>
      </c>
      <c r="B63" s="363"/>
      <c r="C63" s="364"/>
      <c r="D63" s="364"/>
      <c r="E63" s="364"/>
      <c r="F63" s="364"/>
      <c r="G63" s="364"/>
      <c r="H63" s="364"/>
      <c r="I63" s="364"/>
      <c r="J63" s="364"/>
      <c r="K63" s="364"/>
      <c r="L63" s="364"/>
      <c r="M63" s="364"/>
      <c r="N63" s="364"/>
      <c r="O63" s="364"/>
      <c r="P63" s="364"/>
      <c r="Q63" s="364"/>
      <c r="R63" s="364"/>
      <c r="S63" s="364"/>
      <c r="T63" s="364"/>
      <c r="U63" s="364"/>
      <c r="V63" s="364"/>
      <c r="W63" s="364"/>
      <c r="X63" s="364"/>
      <c r="Y63" s="364"/>
      <c r="Z63" s="364"/>
      <c r="AA63" s="364"/>
      <c r="AB63" s="364"/>
      <c r="AC63" s="364"/>
      <c r="AD63" s="364"/>
      <c r="AE63" s="364"/>
      <c r="AF63" s="364"/>
      <c r="AG63" s="364"/>
      <c r="AH63" s="364"/>
      <c r="AI63" s="364"/>
      <c r="AJ63" s="364"/>
      <c r="AK63" s="455"/>
      <c r="AL63" s="455"/>
      <c r="AM63" s="455"/>
      <c r="AN63" s="455"/>
      <c r="AO63" s="455"/>
      <c r="AP63" s="455"/>
      <c r="AQ63" s="455"/>
      <c r="AR63" s="456"/>
      <c r="AS63" s="456"/>
      <c r="AT63" s="456"/>
      <c r="AU63" s="456"/>
      <c r="AV63" s="456"/>
      <c r="AW63" s="456"/>
      <c r="AX63" s="456"/>
      <c r="AY63" s="456"/>
      <c r="AZ63" s="456"/>
      <c r="BA63" s="456"/>
      <c r="BB63" s="456"/>
      <c r="BC63" s="456"/>
      <c r="BD63" s="456"/>
      <c r="BE63" s="454"/>
      <c r="BF63" s="380"/>
      <c r="BG63" s="381"/>
      <c r="BH63" s="380"/>
      <c r="BI63" s="381"/>
      <c r="BJ63" s="380"/>
      <c r="BK63" s="380"/>
      <c r="BL63" s="380"/>
      <c r="BM63" s="381"/>
      <c r="BN63" s="381"/>
      <c r="BO63" s="454"/>
      <c r="BP63" s="380"/>
      <c r="BQ63" s="380"/>
      <c r="BR63" s="380"/>
      <c r="BS63" s="380"/>
      <c r="BT63" s="454"/>
      <c r="BU63" s="380"/>
      <c r="BV63" s="380"/>
      <c r="BW63" s="380"/>
      <c r="BX63" s="380"/>
      <c r="BY63" s="454"/>
      <c r="BZ63" s="380"/>
      <c r="CA63" s="380"/>
      <c r="CB63" s="380"/>
      <c r="CC63" s="380"/>
      <c r="CD63" s="454"/>
      <c r="CE63" s="381"/>
      <c r="CF63" s="380"/>
      <c r="CG63" s="380"/>
      <c r="CH63" s="381"/>
      <c r="CI63" s="454"/>
      <c r="CJ63" s="381"/>
      <c r="CK63" s="381"/>
      <c r="CL63" s="1128"/>
      <c r="CM63" s="381"/>
      <c r="CN63" s="454"/>
      <c r="CO63" s="381"/>
      <c r="CP63" s="380"/>
      <c r="CQ63" s="381"/>
      <c r="CR63" s="381"/>
      <c r="CS63" s="454"/>
      <c r="CT63" s="380"/>
      <c r="CU63" s="380"/>
      <c r="CV63" s="380"/>
      <c r="CW63" s="380"/>
      <c r="CX63" s="454"/>
      <c r="CY63" s="380"/>
      <c r="CZ63" s="380"/>
      <c r="DA63" s="380"/>
      <c r="DB63" s="380"/>
      <c r="DC63" s="454"/>
      <c r="DD63" s="380"/>
      <c r="DE63" s="380"/>
      <c r="DF63" s="380"/>
      <c r="DG63" s="380"/>
      <c r="DH63" s="454"/>
      <c r="DI63" s="381"/>
      <c r="DJ63" s="381"/>
      <c r="DK63" s="381"/>
      <c r="DL63" s="381"/>
      <c r="DM63" s="454"/>
      <c r="DN63" s="381"/>
      <c r="DO63" s="381"/>
      <c r="DP63" s="381"/>
      <c r="DQ63" s="381"/>
      <c r="DR63" s="454"/>
      <c r="DS63" s="381"/>
      <c r="DT63" s="381"/>
      <c r="DU63" s="381"/>
      <c r="DV63" s="381"/>
      <c r="DW63" s="454"/>
    </row>
    <row r="64" spans="1:211">
      <c r="A64" s="301" t="s">
        <v>447</v>
      </c>
      <c r="B64" s="363"/>
      <c r="C64" s="364"/>
      <c r="D64" s="364"/>
      <c r="E64" s="364"/>
      <c r="F64" s="364"/>
      <c r="G64" s="364"/>
      <c r="H64" s="364"/>
      <c r="I64" s="364"/>
      <c r="J64" s="364"/>
      <c r="K64" s="364"/>
      <c r="L64" s="364"/>
      <c r="M64" s="364"/>
      <c r="N64" s="364"/>
      <c r="O64" s="364"/>
      <c r="P64" s="364"/>
      <c r="Q64" s="364"/>
      <c r="R64" s="364"/>
      <c r="S64" s="364"/>
      <c r="T64" s="364"/>
      <c r="U64" s="364"/>
      <c r="V64" s="364"/>
      <c r="W64" s="364"/>
      <c r="X64" s="364"/>
      <c r="Y64" s="364"/>
      <c r="Z64" s="364"/>
      <c r="AA64" s="364"/>
      <c r="AB64" s="364"/>
      <c r="AC64" s="364"/>
      <c r="AD64" s="364"/>
      <c r="AE64" s="364"/>
      <c r="AF64" s="364"/>
      <c r="AG64" s="364"/>
      <c r="AH64" s="364"/>
      <c r="AI64" s="364"/>
      <c r="AJ64" s="364"/>
      <c r="AK64" s="457"/>
      <c r="AL64" s="457"/>
      <c r="AM64" s="457"/>
      <c r="AN64" s="457"/>
      <c r="AO64" s="457"/>
      <c r="AP64" s="457"/>
      <c r="AQ64" s="457"/>
      <c r="AR64" s="458"/>
      <c r="AS64" s="458"/>
      <c r="AT64" s="458"/>
      <c r="AU64" s="458"/>
      <c r="AV64" s="458"/>
      <c r="AW64" s="458"/>
      <c r="AX64" s="458"/>
      <c r="AY64" s="458"/>
      <c r="AZ64" s="458"/>
      <c r="BA64" s="458"/>
      <c r="BB64" s="458"/>
      <c r="BC64" s="458"/>
      <c r="BD64" s="458"/>
      <c r="BE64" s="306">
        <f t="shared" ref="BE64:BO64" si="83">BE37</f>
        <v>602.05099999999982</v>
      </c>
      <c r="BF64" s="346">
        <f t="shared" si="83"/>
        <v>-2.7539999999999978</v>
      </c>
      <c r="BG64" s="305">
        <f t="shared" si="83"/>
        <v>30.304000000000006</v>
      </c>
      <c r="BH64" s="305">
        <f t="shared" si="83"/>
        <v>12.619999999999994</v>
      </c>
      <c r="BI64" s="347">
        <f t="shared" si="83"/>
        <v>12.253999999999994</v>
      </c>
      <c r="BJ64" s="306">
        <f t="shared" si="83"/>
        <v>20.804000000000006</v>
      </c>
      <c r="BK64" s="346">
        <f t="shared" si="83"/>
        <v>16.932999999999989</v>
      </c>
      <c r="BL64" s="305">
        <f t="shared" si="83"/>
        <v>6.0340000000000042</v>
      </c>
      <c r="BM64" s="305">
        <f t="shared" si="83"/>
        <v>19.489000000000004</v>
      </c>
      <c r="BN64" s="347">
        <f t="shared" si="83"/>
        <v>31.149000000000054</v>
      </c>
      <c r="BO64" s="306">
        <f t="shared" si="83"/>
        <v>73.60499999999999</v>
      </c>
      <c r="BP64" s="346">
        <f t="shared" ref="BP64:CI64" si="84">BP37</f>
        <v>58.264000000000003</v>
      </c>
      <c r="BQ64" s="305">
        <f t="shared" si="84"/>
        <v>88.183999999999997</v>
      </c>
      <c r="BR64" s="305">
        <f t="shared" si="84"/>
        <v>104.85299999999998</v>
      </c>
      <c r="BS64" s="347">
        <f t="shared" si="84"/>
        <v>47.497000000000014</v>
      </c>
      <c r="BT64" s="306">
        <f t="shared" si="84"/>
        <v>298.79799999999989</v>
      </c>
      <c r="BU64" s="346">
        <f t="shared" si="84"/>
        <v>35.241</v>
      </c>
      <c r="BV64" s="305">
        <f t="shared" si="84"/>
        <v>66.967999999999975</v>
      </c>
      <c r="BW64" s="305">
        <f t="shared" si="84"/>
        <v>65.163000000000011</v>
      </c>
      <c r="BX64" s="347">
        <f t="shared" si="84"/>
        <v>58.877999999999979</v>
      </c>
      <c r="BY64" s="306">
        <f t="shared" si="84"/>
        <v>226.25</v>
      </c>
      <c r="BZ64" s="346">
        <f t="shared" si="84"/>
        <v>53.462999999999994</v>
      </c>
      <c r="CA64" s="305">
        <f t="shared" si="84"/>
        <v>79.135999999999996</v>
      </c>
      <c r="CB64" s="305">
        <f t="shared" si="84"/>
        <v>49.503999999999991</v>
      </c>
      <c r="CC64" s="347">
        <f t="shared" si="84"/>
        <v>64.61399999999999</v>
      </c>
      <c r="CD64" s="306">
        <f t="shared" si="84"/>
        <v>246.71699999999996</v>
      </c>
      <c r="CE64" s="346">
        <f t="shared" si="84"/>
        <v>-15.143999999999998</v>
      </c>
      <c r="CF64" s="305">
        <f>CF37</f>
        <v>83.674000000000021</v>
      </c>
      <c r="CG64" s="305">
        <f>CG37</f>
        <v>56.101000000000013</v>
      </c>
      <c r="CH64" s="347">
        <f t="shared" si="84"/>
        <v>65.783999999999963</v>
      </c>
      <c r="CI64" s="306">
        <f t="shared" si="84"/>
        <v>190.41500000000008</v>
      </c>
      <c r="CJ64" s="346">
        <f t="shared" ref="CJ64:CS64" si="85">CJ37</f>
        <v>32.604000000000006</v>
      </c>
      <c r="CK64" s="305">
        <f t="shared" si="85"/>
        <v>110.76000000000002</v>
      </c>
      <c r="CL64" s="305">
        <f t="shared" si="85"/>
        <v>109.32700000000001</v>
      </c>
      <c r="CM64" s="347">
        <f t="shared" si="85"/>
        <v>77.155999999999963</v>
      </c>
      <c r="CN64" s="306">
        <f t="shared" si="85"/>
        <v>329.84699999999998</v>
      </c>
      <c r="CO64" s="346">
        <f t="shared" si="85"/>
        <v>14.740999999999985</v>
      </c>
      <c r="CP64" s="305">
        <f t="shared" si="85"/>
        <v>66.268000000000001</v>
      </c>
      <c r="CQ64" s="305">
        <f t="shared" si="85"/>
        <v>101.58700000000002</v>
      </c>
      <c r="CR64" s="347">
        <f t="shared" si="85"/>
        <v>72.180000000000021</v>
      </c>
      <c r="CS64" s="306">
        <f t="shared" si="85"/>
        <v>254.77600000000004</v>
      </c>
      <c r="CT64" s="346">
        <f t="shared" ref="CT64:DC64" si="86">CT37</f>
        <v>21.739999999999995</v>
      </c>
      <c r="CU64" s="305">
        <f t="shared" si="86"/>
        <v>31.374000000000024</v>
      </c>
      <c r="CV64" s="305">
        <f t="shared" si="86"/>
        <v>65.514999999999986</v>
      </c>
      <c r="CW64" s="347">
        <f t="shared" si="86"/>
        <v>93.804999999999993</v>
      </c>
      <c r="CX64" s="306">
        <f t="shared" si="86"/>
        <v>212.47999999999996</v>
      </c>
      <c r="CY64" s="346">
        <f t="shared" si="86"/>
        <v>47.274000000000001</v>
      </c>
      <c r="CZ64" s="305">
        <f t="shared" si="86"/>
        <v>53.594000000000015</v>
      </c>
      <c r="DA64" s="305">
        <f t="shared" si="86"/>
        <v>29.789999999999985</v>
      </c>
      <c r="DB64" s="347">
        <f t="shared" ref="DB64" si="87">DB37</f>
        <v>50.563999999999986</v>
      </c>
      <c r="DC64" s="306">
        <f t="shared" si="86"/>
        <v>181.40800000000002</v>
      </c>
      <c r="DD64" s="346">
        <f t="shared" ref="DD64:DW64" si="88">DD37</f>
        <v>38.652000000000001</v>
      </c>
      <c r="DE64" s="305">
        <f t="shared" si="88"/>
        <v>81.930999999999997</v>
      </c>
      <c r="DF64" s="305">
        <f t="shared" si="88"/>
        <v>56.160000000000004</v>
      </c>
      <c r="DG64" s="347">
        <f t="shared" si="88"/>
        <v>74.966000000000079</v>
      </c>
      <c r="DH64" s="306">
        <f t="shared" si="88"/>
        <v>251.64000000000004</v>
      </c>
      <c r="DI64" s="348">
        <f t="shared" si="88"/>
        <v>107.6994656737603</v>
      </c>
      <c r="DJ64" s="307">
        <f t="shared" si="88"/>
        <v>64.541286356006523</v>
      </c>
      <c r="DK64" s="307">
        <f t="shared" si="88"/>
        <v>66.637039951397369</v>
      </c>
      <c r="DL64" s="349">
        <f t="shared" si="88"/>
        <v>61.309683284419997</v>
      </c>
      <c r="DM64" s="306">
        <f t="shared" si="88"/>
        <v>300.18747526558423</v>
      </c>
      <c r="DN64" s="348">
        <f t="shared" si="88"/>
        <v>104.12453473625743</v>
      </c>
      <c r="DO64" s="307">
        <f t="shared" si="88"/>
        <v>74.669652670587411</v>
      </c>
      <c r="DP64" s="307">
        <f t="shared" si="88"/>
        <v>75.835349617188655</v>
      </c>
      <c r="DQ64" s="349">
        <f t="shared" si="88"/>
        <v>69.992591892794252</v>
      </c>
      <c r="DR64" s="306">
        <f t="shared" si="88"/>
        <v>324.62212891682776</v>
      </c>
      <c r="DS64" s="348">
        <f t="shared" si="88"/>
        <v>114.3455108692866</v>
      </c>
      <c r="DT64" s="307">
        <f t="shared" si="88"/>
        <v>84.215274918830403</v>
      </c>
      <c r="DU64" s="307">
        <f t="shared" si="88"/>
        <v>84.462071953211336</v>
      </c>
      <c r="DV64" s="349">
        <f t="shared" si="88"/>
        <v>78.359803593952989</v>
      </c>
      <c r="DW64" s="306">
        <f t="shared" si="88"/>
        <v>361.38266133528128</v>
      </c>
    </row>
    <row r="65" spans="1:139">
      <c r="A65" s="350" t="s">
        <v>522</v>
      </c>
      <c r="B65" s="363"/>
      <c r="C65" s="364"/>
      <c r="D65" s="364"/>
      <c r="E65" s="364"/>
      <c r="F65" s="364"/>
      <c r="G65" s="364"/>
      <c r="H65" s="364"/>
      <c r="I65" s="364"/>
      <c r="J65" s="364"/>
      <c r="K65" s="364"/>
      <c r="L65" s="364"/>
      <c r="M65" s="364"/>
      <c r="N65" s="364"/>
      <c r="O65" s="364"/>
      <c r="P65" s="364"/>
      <c r="Q65" s="364"/>
      <c r="R65" s="364"/>
      <c r="S65" s="364"/>
      <c r="T65" s="364"/>
      <c r="U65" s="364"/>
      <c r="V65" s="364"/>
      <c r="W65" s="364"/>
      <c r="X65" s="364"/>
      <c r="Y65" s="364"/>
      <c r="Z65" s="364"/>
      <c r="AA65" s="364"/>
      <c r="AB65" s="364"/>
      <c r="AC65" s="364"/>
      <c r="AD65" s="364"/>
      <c r="AE65" s="364"/>
      <c r="AF65" s="364"/>
      <c r="AG65" s="364"/>
      <c r="AH65" s="364"/>
      <c r="AI65" s="364"/>
      <c r="AJ65" s="364"/>
      <c r="AK65" s="457"/>
      <c r="AL65" s="457"/>
      <c r="AM65" s="457"/>
      <c r="AN65" s="457"/>
      <c r="AO65" s="457"/>
      <c r="AP65" s="457"/>
      <c r="AQ65" s="457"/>
      <c r="AR65" s="458"/>
      <c r="AS65" s="458"/>
      <c r="AT65" s="458"/>
      <c r="AU65" s="458"/>
      <c r="AV65" s="458"/>
      <c r="AW65" s="458"/>
      <c r="AX65" s="458"/>
      <c r="AY65" s="458"/>
      <c r="AZ65" s="458"/>
      <c r="BA65" s="458"/>
      <c r="BB65" s="458"/>
      <c r="BC65" s="458"/>
      <c r="BD65" s="458"/>
      <c r="BE65" s="306">
        <f t="shared" ref="BE65:BO65" si="89">-BE39</f>
        <v>80.25</v>
      </c>
      <c r="BF65" s="346">
        <f t="shared" si="89"/>
        <v>16.515000000000001</v>
      </c>
      <c r="BG65" s="305">
        <f t="shared" si="89"/>
        <v>17.639000000000003</v>
      </c>
      <c r="BH65" s="305">
        <f t="shared" si="89"/>
        <v>22.116</v>
      </c>
      <c r="BI65" s="347">
        <f t="shared" si="89"/>
        <v>16.719999999999992</v>
      </c>
      <c r="BJ65" s="306">
        <f t="shared" si="89"/>
        <v>72.989999999999995</v>
      </c>
      <c r="BK65" s="346">
        <f t="shared" si="89"/>
        <v>16.77</v>
      </c>
      <c r="BL65" s="305">
        <f t="shared" si="89"/>
        <v>23.672999999999998</v>
      </c>
      <c r="BM65" s="305">
        <f t="shared" si="89"/>
        <v>17.958000000000009</v>
      </c>
      <c r="BN65" s="347">
        <f t="shared" si="89"/>
        <v>48.587999999999994</v>
      </c>
      <c r="BO65" s="306">
        <f t="shared" si="89"/>
        <v>106.989</v>
      </c>
      <c r="BP65" s="346">
        <f t="shared" ref="BP65:CI65" si="90">-BP39</f>
        <v>17.202999999999999</v>
      </c>
      <c r="BQ65" s="305">
        <f t="shared" si="90"/>
        <v>22.812000000000001</v>
      </c>
      <c r="BR65" s="305">
        <f t="shared" si="90"/>
        <v>25.265000000000004</v>
      </c>
      <c r="BS65" s="347">
        <f t="shared" si="90"/>
        <v>36.634</v>
      </c>
      <c r="BT65" s="306">
        <f t="shared" si="90"/>
        <v>101.914</v>
      </c>
      <c r="BU65" s="346">
        <f t="shared" si="90"/>
        <v>27.143000000000001</v>
      </c>
      <c r="BV65" s="305">
        <f t="shared" si="90"/>
        <v>25.586999999999996</v>
      </c>
      <c r="BW65" s="305">
        <f t="shared" si="90"/>
        <v>42.006</v>
      </c>
      <c r="BX65" s="347">
        <f t="shared" si="90"/>
        <v>53.233000000000004</v>
      </c>
      <c r="BY65" s="306">
        <f t="shared" si="90"/>
        <v>147.96899999999999</v>
      </c>
      <c r="BZ65" s="346">
        <f t="shared" si="90"/>
        <v>28.568000000000001</v>
      </c>
      <c r="CA65" s="305">
        <f t="shared" si="90"/>
        <v>27.398</v>
      </c>
      <c r="CB65" s="305">
        <f t="shared" si="90"/>
        <v>35.947000000000003</v>
      </c>
      <c r="CC65" s="347">
        <f t="shared" si="90"/>
        <v>54.850000000000009</v>
      </c>
      <c r="CD65" s="306">
        <f t="shared" si="90"/>
        <v>146.76300000000001</v>
      </c>
      <c r="CE65" s="346">
        <f t="shared" si="90"/>
        <v>46.997999999999998</v>
      </c>
      <c r="CF65" s="305">
        <f>-CF39</f>
        <v>37.080999999999996</v>
      </c>
      <c r="CG65" s="305">
        <f>-CG39</f>
        <v>42.246000000000009</v>
      </c>
      <c r="CH65" s="347">
        <f t="shared" si="90"/>
        <v>71.265000000000015</v>
      </c>
      <c r="CI65" s="306">
        <f t="shared" si="90"/>
        <v>197.59</v>
      </c>
      <c r="CJ65" s="346">
        <f t="shared" ref="CJ65:CS65" si="91">-CJ39</f>
        <v>39.976999999999997</v>
      </c>
      <c r="CK65" s="305">
        <f t="shared" si="91"/>
        <v>41.792999999999999</v>
      </c>
      <c r="CL65" s="305">
        <f t="shared" si="91"/>
        <v>49.031999999999996</v>
      </c>
      <c r="CM65" s="347">
        <f t="shared" si="91"/>
        <v>93.443000000000012</v>
      </c>
      <c r="CN65" s="306">
        <f t="shared" si="91"/>
        <v>224.245</v>
      </c>
      <c r="CO65" s="346">
        <f t="shared" si="91"/>
        <v>53.058</v>
      </c>
      <c r="CP65" s="305">
        <f t="shared" si="91"/>
        <v>61.463000000000001</v>
      </c>
      <c r="CQ65" s="305">
        <f t="shared" si="91"/>
        <v>83.365000000000009</v>
      </c>
      <c r="CR65" s="347">
        <f t="shared" si="91"/>
        <v>100.58499999999998</v>
      </c>
      <c r="CS65" s="306">
        <f t="shared" si="91"/>
        <v>298.471</v>
      </c>
      <c r="CT65" s="346">
        <f t="shared" ref="CT65:DC65" si="92">-CT39</f>
        <v>61.28</v>
      </c>
      <c r="CU65" s="305">
        <f t="shared" si="92"/>
        <v>69.268000000000001</v>
      </c>
      <c r="CV65" s="305">
        <f t="shared" si="92"/>
        <v>57.698000000000008</v>
      </c>
      <c r="CW65" s="347">
        <f t="shared" si="92"/>
        <v>63.376000000000005</v>
      </c>
      <c r="CX65" s="306">
        <f t="shared" si="92"/>
        <v>251.62200000000001</v>
      </c>
      <c r="CY65" s="346">
        <f t="shared" si="92"/>
        <v>38.857999999999997</v>
      </c>
      <c r="CZ65" s="305">
        <f t="shared" si="92"/>
        <v>29.637000000000008</v>
      </c>
      <c r="DA65" s="305">
        <f t="shared" si="92"/>
        <v>40.249000000000002</v>
      </c>
      <c r="DB65" s="347">
        <f t="shared" ref="DB65" si="93">-DB39</f>
        <v>41.278999999999996</v>
      </c>
      <c r="DC65" s="306">
        <f t="shared" si="92"/>
        <v>150.023</v>
      </c>
      <c r="DD65" s="346">
        <f t="shared" ref="DD65:DW65" si="94">-DD39</f>
        <v>14.811</v>
      </c>
      <c r="DE65" s="305">
        <f t="shared" si="94"/>
        <v>17.305999999999997</v>
      </c>
      <c r="DF65" s="305">
        <f t="shared" si="94"/>
        <v>21.594000000000001</v>
      </c>
      <c r="DG65" s="347">
        <f t="shared" si="94"/>
        <v>27.998999999999995</v>
      </c>
      <c r="DH65" s="306">
        <f t="shared" si="94"/>
        <v>81.709999999999994</v>
      </c>
      <c r="DI65" s="348">
        <f t="shared" si="94"/>
        <v>18.80078125</v>
      </c>
      <c r="DJ65" s="307">
        <f t="shared" si="94"/>
        <v>18.80828125</v>
      </c>
      <c r="DK65" s="307">
        <f t="shared" si="94"/>
        <v>18.815781250000001</v>
      </c>
      <c r="DL65" s="349">
        <f t="shared" si="94"/>
        <v>18.823281250000001</v>
      </c>
      <c r="DM65" s="306">
        <f t="shared" si="94"/>
        <v>75.248125000000002</v>
      </c>
      <c r="DN65" s="348">
        <f t="shared" si="94"/>
        <v>17.498124999999998</v>
      </c>
      <c r="DO65" s="307">
        <f t="shared" si="94"/>
        <v>17.510624999999997</v>
      </c>
      <c r="DP65" s="307">
        <f t="shared" si="94"/>
        <v>17.523125</v>
      </c>
      <c r="DQ65" s="349">
        <f t="shared" si="94"/>
        <v>17.535624999999996</v>
      </c>
      <c r="DR65" s="306">
        <f t="shared" si="94"/>
        <v>70.067499999999995</v>
      </c>
      <c r="DS65" s="348">
        <f t="shared" si="94"/>
        <v>16.142968749999998</v>
      </c>
      <c r="DT65" s="307">
        <f t="shared" si="94"/>
        <v>16.161718749999999</v>
      </c>
      <c r="DU65" s="307">
        <f t="shared" si="94"/>
        <v>16.180468749999999</v>
      </c>
      <c r="DV65" s="349">
        <f t="shared" si="94"/>
        <v>16.19921875</v>
      </c>
      <c r="DW65" s="306">
        <f t="shared" si="94"/>
        <v>64.684375000000003</v>
      </c>
    </row>
    <row r="66" spans="1:139">
      <c r="A66" s="319" t="s">
        <v>137</v>
      </c>
      <c r="B66" s="366"/>
      <c r="C66" s="367"/>
      <c r="D66" s="367"/>
      <c r="E66" s="367"/>
      <c r="F66" s="367"/>
      <c r="G66" s="367"/>
      <c r="H66" s="367"/>
      <c r="I66" s="367"/>
      <c r="J66" s="367"/>
      <c r="K66" s="367"/>
      <c r="L66" s="367"/>
      <c r="M66" s="367"/>
      <c r="N66" s="367"/>
      <c r="O66" s="367"/>
      <c r="P66" s="367"/>
      <c r="Q66" s="367"/>
      <c r="R66" s="367"/>
      <c r="S66" s="367"/>
      <c r="T66" s="367"/>
      <c r="U66" s="367"/>
      <c r="V66" s="367"/>
      <c r="W66" s="367"/>
      <c r="X66" s="367"/>
      <c r="Y66" s="367"/>
      <c r="Z66" s="367"/>
      <c r="AA66" s="367"/>
      <c r="AB66" s="367"/>
      <c r="AC66" s="367"/>
      <c r="AD66" s="367"/>
      <c r="AE66" s="367"/>
      <c r="AF66" s="367"/>
      <c r="AG66" s="367"/>
      <c r="AH66" s="367"/>
      <c r="AI66" s="367"/>
      <c r="AJ66" s="367"/>
      <c r="AK66" s="459"/>
      <c r="AL66" s="459"/>
      <c r="AM66" s="459"/>
      <c r="AN66" s="459"/>
      <c r="AO66" s="459"/>
      <c r="AP66" s="459"/>
      <c r="AQ66" s="459"/>
      <c r="AR66" s="460"/>
      <c r="AS66" s="460"/>
      <c r="AT66" s="460"/>
      <c r="AU66" s="460"/>
      <c r="AV66" s="460"/>
      <c r="AW66" s="460"/>
      <c r="AX66" s="460"/>
      <c r="AY66" s="460"/>
      <c r="AZ66" s="460"/>
      <c r="BA66" s="460"/>
      <c r="BB66" s="460"/>
      <c r="BC66" s="460"/>
      <c r="BD66" s="460"/>
      <c r="BE66" s="358">
        <f t="shared" ref="BE66:BO66" si="95">BE64-BE65</f>
        <v>521.80099999999982</v>
      </c>
      <c r="BF66" s="359">
        <f t="shared" si="95"/>
        <v>-19.268999999999998</v>
      </c>
      <c r="BG66" s="356">
        <f t="shared" si="95"/>
        <v>12.665000000000003</v>
      </c>
      <c r="BH66" s="356">
        <f t="shared" si="95"/>
        <v>-9.4960000000000058</v>
      </c>
      <c r="BI66" s="357">
        <f t="shared" si="95"/>
        <v>-4.4659999999999975</v>
      </c>
      <c r="BJ66" s="358">
        <f t="shared" si="95"/>
        <v>-52.185999999999993</v>
      </c>
      <c r="BK66" s="359">
        <f t="shared" si="95"/>
        <v>0.1629999999999896</v>
      </c>
      <c r="BL66" s="356">
        <f t="shared" si="95"/>
        <v>-17.638999999999996</v>
      </c>
      <c r="BM66" s="356">
        <f t="shared" si="95"/>
        <v>1.5309999999999953</v>
      </c>
      <c r="BN66" s="357">
        <f t="shared" si="95"/>
        <v>-17.43899999999994</v>
      </c>
      <c r="BO66" s="358">
        <f t="shared" si="95"/>
        <v>-33.384000000000015</v>
      </c>
      <c r="BP66" s="359">
        <f t="shared" ref="BP66:CI66" si="96">BP64-BP65</f>
        <v>41.061000000000007</v>
      </c>
      <c r="BQ66" s="356">
        <f t="shared" si="96"/>
        <v>65.372</v>
      </c>
      <c r="BR66" s="356">
        <f t="shared" si="96"/>
        <v>79.58799999999998</v>
      </c>
      <c r="BS66" s="357">
        <f t="shared" si="96"/>
        <v>10.863000000000014</v>
      </c>
      <c r="BT66" s="358">
        <f t="shared" si="96"/>
        <v>196.8839999999999</v>
      </c>
      <c r="BU66" s="359">
        <f t="shared" si="96"/>
        <v>8.097999999999999</v>
      </c>
      <c r="BV66" s="356">
        <f t="shared" si="96"/>
        <v>41.380999999999979</v>
      </c>
      <c r="BW66" s="356">
        <f t="shared" si="96"/>
        <v>23.157000000000011</v>
      </c>
      <c r="BX66" s="357">
        <f t="shared" si="96"/>
        <v>5.6449999999999747</v>
      </c>
      <c r="BY66" s="358">
        <f t="shared" si="96"/>
        <v>78.281000000000006</v>
      </c>
      <c r="BZ66" s="359">
        <f t="shared" si="96"/>
        <v>24.894999999999992</v>
      </c>
      <c r="CA66" s="356">
        <f t="shared" si="96"/>
        <v>51.738</v>
      </c>
      <c r="CB66" s="356">
        <f t="shared" si="96"/>
        <v>13.556999999999988</v>
      </c>
      <c r="CC66" s="357">
        <f t="shared" si="96"/>
        <v>9.7639999999999816</v>
      </c>
      <c r="CD66" s="358">
        <f t="shared" si="96"/>
        <v>99.953999999999951</v>
      </c>
      <c r="CE66" s="359">
        <f t="shared" si="96"/>
        <v>-62.141999999999996</v>
      </c>
      <c r="CF66" s="356">
        <f t="shared" si="96"/>
        <v>46.593000000000025</v>
      </c>
      <c r="CG66" s="356">
        <f t="shared" si="96"/>
        <v>13.855000000000004</v>
      </c>
      <c r="CH66" s="357">
        <f t="shared" si="96"/>
        <v>-5.4810000000000514</v>
      </c>
      <c r="CI66" s="358">
        <f t="shared" si="96"/>
        <v>-7.1749999999999261</v>
      </c>
      <c r="CJ66" s="359">
        <f t="shared" ref="CJ66:CS66" si="97">CJ64-CJ65</f>
        <v>-7.3729999999999905</v>
      </c>
      <c r="CK66" s="356">
        <f t="shared" si="97"/>
        <v>68.967000000000013</v>
      </c>
      <c r="CL66" s="356">
        <f t="shared" si="97"/>
        <v>60.295000000000016</v>
      </c>
      <c r="CM66" s="357">
        <f t="shared" si="97"/>
        <v>-16.287000000000049</v>
      </c>
      <c r="CN66" s="358">
        <f t="shared" si="97"/>
        <v>105.60199999999998</v>
      </c>
      <c r="CO66" s="359">
        <f t="shared" si="97"/>
        <v>-38.317000000000014</v>
      </c>
      <c r="CP66" s="356">
        <f t="shared" si="97"/>
        <v>4.8049999999999997</v>
      </c>
      <c r="CQ66" s="356">
        <f t="shared" si="97"/>
        <v>18.222000000000008</v>
      </c>
      <c r="CR66" s="357">
        <f t="shared" si="97"/>
        <v>-28.404999999999959</v>
      </c>
      <c r="CS66" s="358">
        <f t="shared" si="97"/>
        <v>-43.694999999999965</v>
      </c>
      <c r="CT66" s="359">
        <f t="shared" ref="CT66:DC66" si="98">CT64-CT65</f>
        <v>-39.540000000000006</v>
      </c>
      <c r="CU66" s="356">
        <f t="shared" si="98"/>
        <v>-37.893999999999977</v>
      </c>
      <c r="CV66" s="356">
        <f t="shared" si="98"/>
        <v>7.8169999999999789</v>
      </c>
      <c r="CW66" s="357">
        <f t="shared" si="98"/>
        <v>30.428999999999988</v>
      </c>
      <c r="CX66" s="358">
        <f t="shared" si="98"/>
        <v>-39.142000000000053</v>
      </c>
      <c r="CY66" s="359">
        <f t="shared" si="98"/>
        <v>8.4160000000000039</v>
      </c>
      <c r="CZ66" s="356">
        <f t="shared" si="98"/>
        <v>23.957000000000008</v>
      </c>
      <c r="DA66" s="356">
        <f t="shared" si="98"/>
        <v>-10.459000000000017</v>
      </c>
      <c r="DB66" s="357">
        <f t="shared" ref="DB66" si="99">DB64-DB65</f>
        <v>9.2849999999999895</v>
      </c>
      <c r="DC66" s="358">
        <f t="shared" si="98"/>
        <v>31.385000000000019</v>
      </c>
      <c r="DD66" s="359">
        <f t="shared" ref="DD66:DW66" si="100">DD64-DD65</f>
        <v>23.841000000000001</v>
      </c>
      <c r="DE66" s="356">
        <f t="shared" si="100"/>
        <v>64.625</v>
      </c>
      <c r="DF66" s="356">
        <f>DF64-DF65</f>
        <v>34.566000000000003</v>
      </c>
      <c r="DG66" s="357">
        <f t="shared" si="100"/>
        <v>46.967000000000084</v>
      </c>
      <c r="DH66" s="358">
        <f t="shared" si="100"/>
        <v>169.93000000000006</v>
      </c>
      <c r="DI66" s="360">
        <f t="shared" si="100"/>
        <v>88.898684423760301</v>
      </c>
      <c r="DJ66" s="361">
        <f t="shared" si="100"/>
        <v>45.733005106006523</v>
      </c>
      <c r="DK66" s="361">
        <f t="shared" si="100"/>
        <v>47.821258701397369</v>
      </c>
      <c r="DL66" s="362">
        <f t="shared" si="100"/>
        <v>42.486402034419996</v>
      </c>
      <c r="DM66" s="358">
        <f t="shared" si="100"/>
        <v>224.93935026558421</v>
      </c>
      <c r="DN66" s="360">
        <f t="shared" si="100"/>
        <v>86.626409736257429</v>
      </c>
      <c r="DO66" s="361">
        <f t="shared" si="100"/>
        <v>57.159027670587413</v>
      </c>
      <c r="DP66" s="361">
        <f t="shared" si="100"/>
        <v>58.312224617188654</v>
      </c>
      <c r="DQ66" s="362">
        <f t="shared" si="100"/>
        <v>52.456966892794256</v>
      </c>
      <c r="DR66" s="358">
        <f t="shared" si="100"/>
        <v>254.55462891682777</v>
      </c>
      <c r="DS66" s="360">
        <f t="shared" si="100"/>
        <v>98.202542119286605</v>
      </c>
      <c r="DT66" s="361">
        <f t="shared" si="100"/>
        <v>68.053556168830397</v>
      </c>
      <c r="DU66" s="361">
        <f t="shared" si="100"/>
        <v>68.281603203211333</v>
      </c>
      <c r="DV66" s="362">
        <f t="shared" si="100"/>
        <v>62.160584843952989</v>
      </c>
      <c r="DW66" s="358">
        <f t="shared" si="100"/>
        <v>296.6982863352813</v>
      </c>
    </row>
    <row r="67" spans="1:139">
      <c r="A67" s="350" t="s">
        <v>449</v>
      </c>
      <c r="B67" s="370"/>
      <c r="C67" s="371"/>
      <c r="D67" s="371"/>
      <c r="E67" s="371"/>
      <c r="F67" s="371"/>
      <c r="G67" s="371"/>
      <c r="H67" s="371"/>
      <c r="I67" s="371"/>
      <c r="J67" s="371"/>
      <c r="K67" s="371"/>
      <c r="L67" s="371"/>
      <c r="M67" s="371"/>
      <c r="N67" s="371"/>
      <c r="O67" s="371"/>
      <c r="P67" s="371"/>
      <c r="Q67" s="371"/>
      <c r="R67" s="371"/>
      <c r="S67" s="371"/>
      <c r="T67" s="371"/>
      <c r="U67" s="371"/>
      <c r="V67" s="371"/>
      <c r="W67" s="371"/>
      <c r="X67" s="371"/>
      <c r="Y67" s="371"/>
      <c r="Z67" s="371"/>
      <c r="AA67" s="371"/>
      <c r="AB67" s="371"/>
      <c r="AC67" s="371"/>
      <c r="AD67" s="371"/>
      <c r="AE67" s="371"/>
      <c r="AF67" s="371"/>
      <c r="AG67" s="371"/>
      <c r="AH67" s="371"/>
      <c r="AI67" s="371"/>
      <c r="AJ67" s="372"/>
      <c r="AK67" s="372"/>
      <c r="AL67" s="372"/>
      <c r="AM67" s="372"/>
      <c r="AN67" s="372"/>
      <c r="AO67" s="372"/>
      <c r="AP67" s="372"/>
      <c r="AQ67" s="372"/>
      <c r="AR67" s="372"/>
      <c r="AS67" s="372"/>
      <c r="AT67" s="372"/>
      <c r="AU67" s="372"/>
      <c r="AV67" s="373"/>
      <c r="AW67" s="373"/>
      <c r="AX67" s="373"/>
      <c r="AY67" s="373"/>
      <c r="AZ67" s="373"/>
      <c r="BA67" s="373"/>
      <c r="BB67" s="373"/>
      <c r="BC67" s="373"/>
      <c r="BD67" s="373"/>
      <c r="BE67" s="456">
        <f>-BE50</f>
        <v>70.040000000000006</v>
      </c>
      <c r="BF67" s="466"/>
      <c r="BG67" s="466"/>
      <c r="BH67" s="466"/>
      <c r="BI67" s="466"/>
      <c r="BJ67" s="456">
        <f t="shared" ref="BJ67:CI67" si="101">-BJ50</f>
        <v>32.116999999999997</v>
      </c>
      <c r="BK67" s="466">
        <f t="shared" si="101"/>
        <v>8.0449999999999999</v>
      </c>
      <c r="BL67" s="466">
        <f t="shared" si="101"/>
        <v>8.0559999999999992</v>
      </c>
      <c r="BM67" s="831">
        <f t="shared" si="101"/>
        <v>0</v>
      </c>
      <c r="BN67" s="831">
        <f t="shared" si="101"/>
        <v>14.436999999999999</v>
      </c>
      <c r="BO67" s="711">
        <f t="shared" si="101"/>
        <v>30.538</v>
      </c>
      <c r="BP67" s="831">
        <f t="shared" si="101"/>
        <v>0</v>
      </c>
      <c r="BQ67" s="831">
        <f t="shared" si="101"/>
        <v>14.073</v>
      </c>
      <c r="BR67" s="831">
        <f t="shared" si="101"/>
        <v>7.0150000000000006</v>
      </c>
      <c r="BS67" s="831">
        <f t="shared" si="101"/>
        <v>6.8879999999999981</v>
      </c>
      <c r="BT67" s="711">
        <f t="shared" si="101"/>
        <v>27.975999999999999</v>
      </c>
      <c r="BU67" s="831">
        <f t="shared" si="101"/>
        <v>6.6529999999999996</v>
      </c>
      <c r="BV67" s="831">
        <f t="shared" si="101"/>
        <v>6.3360000000000012</v>
      </c>
      <c r="BW67" s="831">
        <f t="shared" si="101"/>
        <v>6.2709999999999999</v>
      </c>
      <c r="BX67" s="831">
        <f t="shared" si="101"/>
        <v>8.3609999999999971</v>
      </c>
      <c r="BY67" s="711">
        <f t="shared" si="101"/>
        <v>27.620999999999999</v>
      </c>
      <c r="BZ67" s="831">
        <f t="shared" si="101"/>
        <v>8.3740000000000006</v>
      </c>
      <c r="CA67" s="831">
        <f t="shared" si="101"/>
        <v>8.3759999999999994</v>
      </c>
      <c r="CB67" s="831">
        <f t="shared" si="101"/>
        <v>7.8339999999999979</v>
      </c>
      <c r="CC67" s="831">
        <f t="shared" si="101"/>
        <v>7.7820000000000054</v>
      </c>
      <c r="CD67" s="711">
        <f t="shared" si="101"/>
        <v>32.366</v>
      </c>
      <c r="CE67" s="831">
        <f t="shared" si="101"/>
        <v>7.7949999999999999</v>
      </c>
      <c r="CF67" s="831">
        <f t="shared" si="101"/>
        <v>7.8019999999999996</v>
      </c>
      <c r="CG67" s="831">
        <f t="shared" si="101"/>
        <v>7.8089999999999993</v>
      </c>
      <c r="CH67" s="831">
        <f t="shared" si="101"/>
        <v>15.637000000000002</v>
      </c>
      <c r="CI67" s="711">
        <f t="shared" si="101"/>
        <v>39.042999999999999</v>
      </c>
      <c r="CJ67" s="831">
        <f t="shared" ref="CJ67:CW68" si="102">-CJ50</f>
        <v>15.702999999999999</v>
      </c>
      <c r="CK67" s="831">
        <f t="shared" si="102"/>
        <v>15.737000000000002</v>
      </c>
      <c r="CL67" s="831">
        <f t="shared" si="102"/>
        <v>19.624999999999996</v>
      </c>
      <c r="CM67" s="831">
        <f t="shared" si="102"/>
        <v>19.616</v>
      </c>
      <c r="CN67" s="711">
        <f t="shared" si="102"/>
        <v>70.680999999999997</v>
      </c>
      <c r="CO67" s="831">
        <f t="shared" si="102"/>
        <v>18.306000000000001</v>
      </c>
      <c r="CP67" s="831">
        <f t="shared" si="102"/>
        <v>18.342000000000002</v>
      </c>
      <c r="CQ67" s="831">
        <f t="shared" si="102"/>
        <v>18.364000000000001</v>
      </c>
      <c r="CR67" s="831">
        <f t="shared" si="102"/>
        <v>20.105000000000004</v>
      </c>
      <c r="CS67" s="711">
        <f t="shared" si="102"/>
        <v>75.117000000000004</v>
      </c>
      <c r="CT67" s="831">
        <f t="shared" ref="CT67:DF68" si="103">-CT50</f>
        <v>20.199000000000002</v>
      </c>
      <c r="CU67" s="831">
        <f t="shared" si="103"/>
        <v>19.989999999999998</v>
      </c>
      <c r="CV67" s="831">
        <f t="shared" si="103"/>
        <v>15.225000000000005</v>
      </c>
      <c r="CW67" s="831">
        <f t="shared" si="103"/>
        <v>16.430999999999997</v>
      </c>
      <c r="CX67" s="711">
        <f t="shared" si="103"/>
        <v>71.844999999999999</v>
      </c>
      <c r="CY67" s="831">
        <f t="shared" si="103"/>
        <v>16.213999999999999</v>
      </c>
      <c r="CZ67" s="831">
        <f t="shared" si="103"/>
        <v>15.938000000000002</v>
      </c>
      <c r="DA67" s="831">
        <f t="shared" si="103"/>
        <v>15.640999999999998</v>
      </c>
      <c r="DB67" s="831">
        <f t="shared" ref="DB67" si="104">-DB50</f>
        <v>16.039000000000001</v>
      </c>
      <c r="DC67" s="711">
        <f t="shared" si="103"/>
        <v>63.832000000000001</v>
      </c>
      <c r="DD67" s="831">
        <f t="shared" ref="DD67:DW68" si="105">-DD50</f>
        <v>17.273</v>
      </c>
      <c r="DE67" s="831">
        <f t="shared" si="105"/>
        <v>17.174000000000003</v>
      </c>
      <c r="DF67" s="831">
        <f t="shared" si="105"/>
        <v>17.016999999999996</v>
      </c>
      <c r="DG67" s="831">
        <f t="shared" si="105"/>
        <v>16.858000000000004</v>
      </c>
      <c r="DH67" s="711">
        <f t="shared" si="105"/>
        <v>68.322000000000003</v>
      </c>
      <c r="DI67" s="710">
        <f t="shared" si="105"/>
        <v>21.115807575786999</v>
      </c>
      <c r="DJ67" s="710">
        <f t="shared" si="105"/>
        <v>20.985579205584397</v>
      </c>
      <c r="DK67" s="710">
        <f t="shared" si="105"/>
        <v>20.864790281581918</v>
      </c>
      <c r="DL67" s="710">
        <f t="shared" si="105"/>
        <v>21.973755500832137</v>
      </c>
      <c r="DM67" s="711">
        <f t="shared" si="105"/>
        <v>84.939932563785447</v>
      </c>
      <c r="DN67" s="710">
        <f t="shared" si="105"/>
        <v>21.861844320149014</v>
      </c>
      <c r="DO67" s="710">
        <f t="shared" si="105"/>
        <v>21.753539241047918</v>
      </c>
      <c r="DP67" s="710">
        <f t="shared" si="105"/>
        <v>21.648769555654685</v>
      </c>
      <c r="DQ67" s="710">
        <f t="shared" si="105"/>
        <v>23.941628825026736</v>
      </c>
      <c r="DR67" s="711">
        <f t="shared" si="105"/>
        <v>89.205781941878357</v>
      </c>
      <c r="DS67" s="710">
        <f t="shared" si="105"/>
        <v>23.879573618940245</v>
      </c>
      <c r="DT67" s="710">
        <f t="shared" si="105"/>
        <v>23.867032495264191</v>
      </c>
      <c r="DU67" s="710">
        <f t="shared" si="105"/>
        <v>23.856305903424921</v>
      </c>
      <c r="DV67" s="710">
        <f t="shared" si="105"/>
        <v>26.232094090803496</v>
      </c>
      <c r="DW67" s="711">
        <f t="shared" si="105"/>
        <v>97.835006108432864</v>
      </c>
    </row>
    <row r="68" spans="1:139">
      <c r="A68" s="350" t="s">
        <v>176</v>
      </c>
      <c r="B68" s="370"/>
      <c r="C68" s="371"/>
      <c r="D68" s="371"/>
      <c r="E68" s="371"/>
      <c r="F68" s="371"/>
      <c r="G68" s="371"/>
      <c r="H68" s="371"/>
      <c r="I68" s="371"/>
      <c r="J68" s="371"/>
      <c r="K68" s="371"/>
      <c r="L68" s="371"/>
      <c r="M68" s="371"/>
      <c r="N68" s="371"/>
      <c r="O68" s="371"/>
      <c r="P68" s="371"/>
      <c r="Q68" s="371"/>
      <c r="R68" s="371"/>
      <c r="S68" s="371"/>
      <c r="T68" s="371"/>
      <c r="U68" s="371"/>
      <c r="V68" s="371"/>
      <c r="W68" s="371"/>
      <c r="X68" s="371"/>
      <c r="Y68" s="371"/>
      <c r="Z68" s="371"/>
      <c r="AA68" s="371"/>
      <c r="AB68" s="371"/>
      <c r="AC68" s="371"/>
      <c r="AD68" s="371"/>
      <c r="AE68" s="371"/>
      <c r="AF68" s="371"/>
      <c r="AG68" s="371"/>
      <c r="AH68" s="371"/>
      <c r="AI68" s="371"/>
      <c r="AJ68" s="372"/>
      <c r="AK68" s="372"/>
      <c r="AL68" s="372"/>
      <c r="AM68" s="372"/>
      <c r="AN68" s="372"/>
      <c r="AO68" s="372"/>
      <c r="AP68" s="372"/>
      <c r="AQ68" s="372"/>
      <c r="AR68" s="372"/>
      <c r="AS68" s="372"/>
      <c r="AT68" s="372"/>
      <c r="AU68" s="372"/>
      <c r="AV68" s="373"/>
      <c r="AW68" s="373"/>
      <c r="AX68" s="373"/>
      <c r="AY68" s="373"/>
      <c r="AZ68" s="373"/>
      <c r="BA68" s="373"/>
      <c r="BB68" s="373"/>
      <c r="BC68" s="373"/>
      <c r="BD68" s="373"/>
      <c r="BE68" s="458"/>
      <c r="BF68" s="466"/>
      <c r="BG68" s="466"/>
      <c r="BH68" s="466"/>
      <c r="BI68" s="466"/>
      <c r="BJ68" s="458"/>
      <c r="BK68" s="466"/>
      <c r="BL68" s="466"/>
      <c r="BM68" s="831"/>
      <c r="BN68" s="831"/>
      <c r="BO68" s="712"/>
      <c r="BP68" s="831"/>
      <c r="BQ68" s="831"/>
      <c r="BR68" s="831"/>
      <c r="BS68" s="831"/>
      <c r="BT68" s="712">
        <f t="shared" ref="BT68:CG68" si="106">-BT51</f>
        <v>72.927000000000007</v>
      </c>
      <c r="BU68" s="710">
        <f t="shared" si="106"/>
        <v>80.841999999999999</v>
      </c>
      <c r="BV68" s="710">
        <f t="shared" si="106"/>
        <v>92.695000000000007</v>
      </c>
      <c r="BW68" s="831">
        <f t="shared" si="106"/>
        <v>0</v>
      </c>
      <c r="BX68" s="831">
        <f t="shared" si="106"/>
        <v>0</v>
      </c>
      <c r="BY68" s="712">
        <f t="shared" si="106"/>
        <v>173.53700000000001</v>
      </c>
      <c r="BZ68" s="831">
        <f t="shared" si="106"/>
        <v>0</v>
      </c>
      <c r="CA68" s="831">
        <f t="shared" si="106"/>
        <v>37.4</v>
      </c>
      <c r="CB68" s="831">
        <f t="shared" si="106"/>
        <v>115.28100000000001</v>
      </c>
      <c r="CC68" s="831">
        <f t="shared" si="106"/>
        <v>4.8750000000000071</v>
      </c>
      <c r="CD68" s="712">
        <f t="shared" si="106"/>
        <v>157.55600000000001</v>
      </c>
      <c r="CE68" s="831">
        <f t="shared" si="106"/>
        <v>0</v>
      </c>
      <c r="CF68" s="831">
        <f t="shared" si="106"/>
        <v>0</v>
      </c>
      <c r="CG68" s="831">
        <f t="shared" si="106"/>
        <v>0</v>
      </c>
      <c r="CH68" s="831">
        <f t="shared" ref="CH68:CO68" si="107">-CH51</f>
        <v>0</v>
      </c>
      <c r="CI68" s="712">
        <f t="shared" si="107"/>
        <v>0</v>
      </c>
      <c r="CJ68" s="831">
        <f t="shared" si="107"/>
        <v>0</v>
      </c>
      <c r="CK68" s="831">
        <f t="shared" si="107"/>
        <v>0</v>
      </c>
      <c r="CL68" s="831">
        <f t="shared" si="107"/>
        <v>41.469000000000001</v>
      </c>
      <c r="CM68" s="831">
        <f t="shared" si="107"/>
        <v>27.850999999999992</v>
      </c>
      <c r="CN68" s="712">
        <f t="shared" si="107"/>
        <v>69.319999999999993</v>
      </c>
      <c r="CO68" s="831">
        <f t="shared" si="107"/>
        <v>277.26100000000002</v>
      </c>
      <c r="CP68" s="831">
        <f t="shared" si="102"/>
        <v>1.3999999999953161E-2</v>
      </c>
      <c r="CQ68" s="831">
        <f t="shared" si="102"/>
        <v>13.965000000000032</v>
      </c>
      <c r="CR68" s="831">
        <f t="shared" si="102"/>
        <v>9.9759999999999991</v>
      </c>
      <c r="CS68" s="712">
        <f>-CS51</f>
        <v>301.21600000000001</v>
      </c>
      <c r="CT68" s="831">
        <f t="shared" si="103"/>
        <v>36.963000000000001</v>
      </c>
      <c r="CU68" s="831">
        <f t="shared" si="102"/>
        <v>26.243000000000002</v>
      </c>
      <c r="CV68" s="831">
        <f t="shared" si="102"/>
        <v>1015.1980000000001</v>
      </c>
      <c r="CW68" s="831">
        <f t="shared" si="102"/>
        <v>20.313000000000102</v>
      </c>
      <c r="CX68" s="712">
        <f>-CX51</f>
        <v>1098.7170000000001</v>
      </c>
      <c r="CY68" s="831">
        <f t="shared" si="103"/>
        <v>47.600999999999999</v>
      </c>
      <c r="CZ68" s="831">
        <f t="shared" si="103"/>
        <v>60.456000000000003</v>
      </c>
      <c r="DA68" s="831">
        <f t="shared" si="103"/>
        <v>53.136999999999986</v>
      </c>
      <c r="DB68" s="831">
        <f t="shared" ref="DB68" si="108">-DB51</f>
        <v>175.76400000000004</v>
      </c>
      <c r="DC68" s="712">
        <f>-DC51</f>
        <v>336.95800000000003</v>
      </c>
      <c r="DD68" s="831">
        <f t="shared" si="103"/>
        <v>16.026</v>
      </c>
      <c r="DE68" s="831">
        <f t="shared" ref="DE68" si="109">-DE51</f>
        <v>34.501000000000005</v>
      </c>
      <c r="DF68" s="831">
        <f t="shared" si="103"/>
        <v>39.537999999999997</v>
      </c>
      <c r="DG68" s="831">
        <f t="shared" si="105"/>
        <v>36.165999999999997</v>
      </c>
      <c r="DH68" s="712">
        <f>-DH51</f>
        <v>126.23099999999999</v>
      </c>
      <c r="DI68" s="710">
        <f t="shared" si="105"/>
        <v>40</v>
      </c>
      <c r="DJ68" s="710">
        <f t="shared" si="105"/>
        <v>40</v>
      </c>
      <c r="DK68" s="710">
        <f t="shared" si="105"/>
        <v>40</v>
      </c>
      <c r="DL68" s="710">
        <f t="shared" si="105"/>
        <v>40</v>
      </c>
      <c r="DM68" s="712">
        <f>-DM51</f>
        <v>160</v>
      </c>
      <c r="DN68" s="710">
        <f t="shared" si="105"/>
        <v>40</v>
      </c>
      <c r="DO68" s="710">
        <f t="shared" si="105"/>
        <v>40</v>
      </c>
      <c r="DP68" s="710">
        <f t="shared" si="105"/>
        <v>40</v>
      </c>
      <c r="DQ68" s="710">
        <f t="shared" si="105"/>
        <v>40</v>
      </c>
      <c r="DR68" s="712">
        <f>-DR51</f>
        <v>160</v>
      </c>
      <c r="DS68" s="710">
        <f t="shared" si="105"/>
        <v>20</v>
      </c>
      <c r="DT68" s="710">
        <f t="shared" si="105"/>
        <v>20</v>
      </c>
      <c r="DU68" s="710">
        <f t="shared" si="105"/>
        <v>20</v>
      </c>
      <c r="DV68" s="710">
        <f t="shared" si="105"/>
        <v>20</v>
      </c>
      <c r="DW68" s="712">
        <f>-DW51</f>
        <v>80</v>
      </c>
    </row>
    <row r="69" spans="1:139">
      <c r="A69" s="350" t="s">
        <v>450</v>
      </c>
      <c r="B69" s="374"/>
      <c r="C69" s="321"/>
      <c r="D69" s="321"/>
      <c r="E69" s="321"/>
      <c r="F69" s="321"/>
      <c r="G69" s="321"/>
      <c r="H69" s="321"/>
      <c r="I69" s="321"/>
      <c r="J69" s="321"/>
      <c r="K69" s="321"/>
      <c r="L69" s="321"/>
      <c r="M69" s="321"/>
      <c r="N69" s="321"/>
      <c r="O69" s="321"/>
      <c r="P69" s="321"/>
      <c r="Q69" s="321"/>
      <c r="R69" s="321"/>
      <c r="S69" s="321"/>
      <c r="T69" s="321"/>
      <c r="U69" s="321"/>
      <c r="V69" s="321"/>
      <c r="W69" s="321"/>
      <c r="X69" s="321"/>
      <c r="Y69" s="324"/>
      <c r="Z69" s="324"/>
      <c r="AA69" s="323"/>
      <c r="AB69" s="325"/>
      <c r="AC69" s="325"/>
      <c r="AD69" s="327"/>
      <c r="AE69" s="325"/>
      <c r="AF69" s="336"/>
      <c r="AG69" s="325"/>
      <c r="AH69" s="325"/>
      <c r="AI69" s="325"/>
      <c r="AJ69" s="325"/>
      <c r="AK69" s="336"/>
      <c r="AL69" s="325"/>
      <c r="AM69" s="325"/>
      <c r="AN69" s="325"/>
      <c r="AO69" s="325"/>
      <c r="AP69" s="336"/>
      <c r="AQ69" s="325"/>
      <c r="AR69" s="325"/>
      <c r="AS69" s="325"/>
      <c r="AT69" s="325"/>
      <c r="AU69" s="336"/>
      <c r="AV69" s="327"/>
      <c r="AW69" s="327"/>
      <c r="AX69" s="327"/>
      <c r="AY69" s="327"/>
      <c r="AZ69" s="337"/>
      <c r="BA69" s="327"/>
      <c r="BB69" s="327"/>
      <c r="BC69" s="327"/>
      <c r="BD69" s="327"/>
      <c r="BE69" s="458">
        <f>BE44</f>
        <v>8.0809999999999995</v>
      </c>
      <c r="BF69" s="466"/>
      <c r="BG69" s="466"/>
      <c r="BH69" s="466"/>
      <c r="BI69" s="466"/>
      <c r="BJ69" s="458">
        <f>BJ44</f>
        <v>2.734</v>
      </c>
      <c r="BK69" s="466">
        <f t="shared" ref="BK69:CI69" si="110">BK44</f>
        <v>4.9000000000000002E-2</v>
      </c>
      <c r="BL69" s="466">
        <f t="shared" si="110"/>
        <v>-4.9000000000000002E-2</v>
      </c>
      <c r="BM69" s="831">
        <f t="shared" si="110"/>
        <v>0.69</v>
      </c>
      <c r="BN69" s="831">
        <f t="shared" si="110"/>
        <v>0.63200000000000012</v>
      </c>
      <c r="BO69" s="712">
        <f t="shared" si="110"/>
        <v>1.3220000000000001</v>
      </c>
      <c r="BP69" s="831">
        <f t="shared" si="110"/>
        <v>6.2460000000000004</v>
      </c>
      <c r="BQ69" s="831">
        <f t="shared" si="110"/>
        <v>1.4339999999999993</v>
      </c>
      <c r="BR69" s="831">
        <f t="shared" si="110"/>
        <v>1.7059999999999995</v>
      </c>
      <c r="BS69" s="831">
        <f t="shared" si="110"/>
        <v>1.4960000000000004</v>
      </c>
      <c r="BT69" s="712">
        <f t="shared" si="110"/>
        <v>10.882</v>
      </c>
      <c r="BU69" s="831">
        <f t="shared" si="110"/>
        <v>2.492</v>
      </c>
      <c r="BV69" s="831">
        <f t="shared" si="110"/>
        <v>1.6189999999999998</v>
      </c>
      <c r="BW69" s="831">
        <f t="shared" si="110"/>
        <v>0.28300000000000036</v>
      </c>
      <c r="BX69" s="831">
        <f t="shared" si="110"/>
        <v>1.266</v>
      </c>
      <c r="BY69" s="712">
        <f t="shared" si="110"/>
        <v>5.66</v>
      </c>
      <c r="BZ69" s="831">
        <f t="shared" si="110"/>
        <v>0</v>
      </c>
      <c r="CA69" s="831">
        <f t="shared" si="110"/>
        <v>2.5649999999999999</v>
      </c>
      <c r="CB69" s="831">
        <f t="shared" si="110"/>
        <v>104.39600000000002</v>
      </c>
      <c r="CC69" s="831">
        <f t="shared" si="110"/>
        <v>-2.076000000000024</v>
      </c>
      <c r="CD69" s="712">
        <f t="shared" si="110"/>
        <v>104.88499999999999</v>
      </c>
      <c r="CE69" s="831">
        <f t="shared" si="110"/>
        <v>24.373999999999999</v>
      </c>
      <c r="CF69" s="831">
        <f>CF44</f>
        <v>0.90700000000000003</v>
      </c>
      <c r="CG69" s="831">
        <f>CG44</f>
        <v>-19.007999999999999</v>
      </c>
      <c r="CH69" s="831">
        <f t="shared" si="110"/>
        <v>14.749999999999996</v>
      </c>
      <c r="CI69" s="712">
        <f t="shared" si="110"/>
        <v>21.023</v>
      </c>
      <c r="CJ69" s="831">
        <f t="shared" ref="CJ69:CS69" si="111">CJ44</f>
        <v>0</v>
      </c>
      <c r="CK69" s="831">
        <f t="shared" si="111"/>
        <v>16.010999999999999</v>
      </c>
      <c r="CL69" s="831">
        <f t="shared" si="111"/>
        <v>28.044</v>
      </c>
      <c r="CM69" s="831">
        <f t="shared" si="111"/>
        <v>105.05699999999999</v>
      </c>
      <c r="CN69" s="712">
        <f t="shared" si="111"/>
        <v>149.11199999999999</v>
      </c>
      <c r="CO69" s="831">
        <f t="shared" si="111"/>
        <v>108.45699999999999</v>
      </c>
      <c r="CP69" s="831">
        <f t="shared" si="111"/>
        <v>7.7469999999999999</v>
      </c>
      <c r="CQ69" s="831">
        <f t="shared" si="111"/>
        <v>3.6880000000000024</v>
      </c>
      <c r="CR69" s="831">
        <f t="shared" si="111"/>
        <v>41.494</v>
      </c>
      <c r="CS69" s="712">
        <f t="shared" si="111"/>
        <v>161.386</v>
      </c>
      <c r="CT69" s="831">
        <f t="shared" ref="CT69:DC69" si="112">CT44</f>
        <v>6.2830000000000004</v>
      </c>
      <c r="CU69" s="831">
        <f t="shared" si="112"/>
        <v>110.822</v>
      </c>
      <c r="CV69" s="831">
        <f t="shared" si="112"/>
        <v>-70.748000000000005</v>
      </c>
      <c r="CW69" s="831">
        <f t="shared" si="112"/>
        <v>158.03100000000001</v>
      </c>
      <c r="CX69" s="712">
        <f t="shared" si="112"/>
        <v>204.38800000000001</v>
      </c>
      <c r="CY69" s="831">
        <f t="shared" si="112"/>
        <v>41.185000000000002</v>
      </c>
      <c r="CZ69" s="831">
        <f t="shared" si="112"/>
        <v>3.8930000000000007</v>
      </c>
      <c r="DA69" s="831">
        <f t="shared" si="112"/>
        <v>128.77099999999999</v>
      </c>
      <c r="DB69" s="831">
        <f t="shared" ref="DB69" si="113">DB44</f>
        <v>88.324000000000012</v>
      </c>
      <c r="DC69" s="712">
        <f t="shared" si="112"/>
        <v>262.173</v>
      </c>
      <c r="DD69" s="831">
        <f t="shared" ref="DD69:DW69" si="114">DD44</f>
        <v>1.65</v>
      </c>
      <c r="DE69" s="831">
        <f t="shared" si="114"/>
        <v>76.33</v>
      </c>
      <c r="DF69" s="831">
        <f t="shared" si="114"/>
        <v>2.078000000000003</v>
      </c>
      <c r="DG69" s="831">
        <f t="shared" si="114"/>
        <v>1.4579999999999984</v>
      </c>
      <c r="DH69" s="712">
        <f t="shared" si="114"/>
        <v>81.516000000000005</v>
      </c>
      <c r="DI69" s="710">
        <f t="shared" si="114"/>
        <v>0</v>
      </c>
      <c r="DJ69" s="710">
        <f t="shared" si="114"/>
        <v>0</v>
      </c>
      <c r="DK69" s="710">
        <f t="shared" si="114"/>
        <v>0</v>
      </c>
      <c r="DL69" s="710">
        <f t="shared" si="114"/>
        <v>0</v>
      </c>
      <c r="DM69" s="712">
        <f t="shared" si="114"/>
        <v>0</v>
      </c>
      <c r="DN69" s="710">
        <f t="shared" si="114"/>
        <v>0</v>
      </c>
      <c r="DO69" s="710">
        <f t="shared" si="114"/>
        <v>0</v>
      </c>
      <c r="DP69" s="710">
        <f t="shared" si="114"/>
        <v>0</v>
      </c>
      <c r="DQ69" s="710">
        <f t="shared" si="114"/>
        <v>0</v>
      </c>
      <c r="DR69" s="712">
        <f t="shared" si="114"/>
        <v>0</v>
      </c>
      <c r="DS69" s="710">
        <f t="shared" si="114"/>
        <v>0</v>
      </c>
      <c r="DT69" s="710">
        <f t="shared" si="114"/>
        <v>0</v>
      </c>
      <c r="DU69" s="710">
        <f t="shared" si="114"/>
        <v>0</v>
      </c>
      <c r="DV69" s="710">
        <f t="shared" si="114"/>
        <v>0</v>
      </c>
      <c r="DW69" s="712">
        <f t="shared" si="114"/>
        <v>0</v>
      </c>
    </row>
    <row r="70" spans="1:139">
      <c r="A70" s="350" t="s">
        <v>451</v>
      </c>
      <c r="B70" s="375"/>
      <c r="C70" s="321"/>
      <c r="D70" s="321"/>
      <c r="E70" s="321"/>
      <c r="F70" s="321"/>
      <c r="G70" s="321"/>
      <c r="H70" s="321"/>
      <c r="I70" s="321"/>
      <c r="J70" s="321"/>
      <c r="K70" s="321"/>
      <c r="L70" s="321"/>
      <c r="M70" s="321"/>
      <c r="N70" s="321"/>
      <c r="O70" s="321"/>
      <c r="P70" s="321"/>
      <c r="Q70" s="321"/>
      <c r="R70" s="321"/>
      <c r="S70" s="321"/>
      <c r="T70" s="321"/>
      <c r="U70" s="321"/>
      <c r="V70" s="321"/>
      <c r="W70" s="321"/>
      <c r="X70" s="321"/>
      <c r="Y70" s="324"/>
      <c r="Z70" s="324"/>
      <c r="AA70" s="321"/>
      <c r="AB70" s="325"/>
      <c r="AC70" s="325"/>
      <c r="AD70" s="327"/>
      <c r="AE70" s="325"/>
      <c r="AF70" s="325"/>
      <c r="AG70" s="325"/>
      <c r="AH70" s="325"/>
      <c r="AI70" s="325"/>
      <c r="AJ70" s="325"/>
      <c r="AK70" s="325"/>
      <c r="AL70" s="325"/>
      <c r="AM70" s="325"/>
      <c r="AN70" s="325"/>
      <c r="AO70" s="325"/>
      <c r="AP70" s="325"/>
      <c r="AQ70" s="325"/>
      <c r="AR70" s="325"/>
      <c r="AS70" s="325"/>
      <c r="AT70" s="325"/>
      <c r="AU70" s="325"/>
      <c r="AV70" s="327"/>
      <c r="AW70" s="327"/>
      <c r="AX70" s="327"/>
      <c r="AY70" s="327"/>
      <c r="AZ70" s="327"/>
      <c r="BA70" s="327"/>
      <c r="BB70" s="327"/>
      <c r="BC70" s="327"/>
      <c r="BD70" s="327"/>
      <c r="BE70" s="458">
        <f>-BE40</f>
        <v>2.8860000000000001</v>
      </c>
      <c r="BF70" s="466"/>
      <c r="BG70" s="466"/>
      <c r="BH70" s="466"/>
      <c r="BI70" s="466"/>
      <c r="BJ70" s="458">
        <f>-BJ40</f>
        <v>4.0940000000000003</v>
      </c>
      <c r="BK70" s="466">
        <f t="shared" ref="BK70:CI70" si="115">-BK40</f>
        <v>9.4860000000000007</v>
      </c>
      <c r="BL70" s="466">
        <f t="shared" si="115"/>
        <v>5.1000000000000156E-2</v>
      </c>
      <c r="BM70" s="831">
        <f t="shared" si="115"/>
        <v>2.9999999999983373E-3</v>
      </c>
      <c r="BN70" s="831">
        <f t="shared" si="115"/>
        <v>8.2000000000000739E-2</v>
      </c>
      <c r="BO70" s="712">
        <f t="shared" si="115"/>
        <v>9.6219999999999999</v>
      </c>
      <c r="BP70" s="831">
        <f t="shared" si="115"/>
        <v>0</v>
      </c>
      <c r="BQ70" s="831">
        <f t="shared" si="115"/>
        <v>0</v>
      </c>
      <c r="BR70" s="831">
        <f t="shared" si="115"/>
        <v>0</v>
      </c>
      <c r="BS70" s="831">
        <f t="shared" si="115"/>
        <v>2.3570000000000002</v>
      </c>
      <c r="BT70" s="712">
        <f t="shared" si="115"/>
        <v>2.3570000000000002</v>
      </c>
      <c r="BU70" s="831">
        <f t="shared" si="115"/>
        <v>0</v>
      </c>
      <c r="BV70" s="831">
        <f t="shared" si="115"/>
        <v>0</v>
      </c>
      <c r="BW70" s="831">
        <f t="shared" si="115"/>
        <v>0</v>
      </c>
      <c r="BX70" s="831">
        <f t="shared" si="115"/>
        <v>0</v>
      </c>
      <c r="BY70" s="712">
        <f t="shared" si="115"/>
        <v>0</v>
      </c>
      <c r="BZ70" s="831">
        <f t="shared" si="115"/>
        <v>0</v>
      </c>
      <c r="CA70" s="831">
        <f t="shared" si="115"/>
        <v>6.6130000000000004</v>
      </c>
      <c r="CB70" s="831">
        <f t="shared" si="115"/>
        <v>0</v>
      </c>
      <c r="CC70" s="831">
        <f t="shared" si="115"/>
        <v>4.5970000000000004</v>
      </c>
      <c r="CD70" s="712">
        <f t="shared" si="115"/>
        <v>11.21</v>
      </c>
      <c r="CE70" s="831">
        <f t="shared" si="115"/>
        <v>0</v>
      </c>
      <c r="CF70" s="831">
        <f>-CF40</f>
        <v>21.779</v>
      </c>
      <c r="CG70" s="831">
        <f>-CG40</f>
        <v>18.815000000000001</v>
      </c>
      <c r="CH70" s="831">
        <f t="shared" si="115"/>
        <v>1.3999999999995794E-2</v>
      </c>
      <c r="CI70" s="712">
        <f t="shared" si="115"/>
        <v>40.607999999999997</v>
      </c>
      <c r="CJ70" s="831">
        <f t="shared" ref="CJ70:CS70" si="116">-CJ40</f>
        <v>0</v>
      </c>
      <c r="CK70" s="831">
        <f t="shared" si="116"/>
        <v>0.81200000000000006</v>
      </c>
      <c r="CL70" s="831">
        <f t="shared" si="116"/>
        <v>1</v>
      </c>
      <c r="CM70" s="831">
        <f t="shared" si="116"/>
        <v>2.8</v>
      </c>
      <c r="CN70" s="712">
        <f t="shared" si="116"/>
        <v>4.6120000000000001</v>
      </c>
      <c r="CO70" s="831">
        <f t="shared" si="116"/>
        <v>0</v>
      </c>
      <c r="CP70" s="831">
        <f t="shared" si="116"/>
        <v>2.335</v>
      </c>
      <c r="CQ70" s="831">
        <f t="shared" si="116"/>
        <v>3.6139999999999999</v>
      </c>
      <c r="CR70" s="831">
        <f t="shared" si="116"/>
        <v>48.005000000000003</v>
      </c>
      <c r="CS70" s="712">
        <f t="shared" si="116"/>
        <v>53.954000000000001</v>
      </c>
      <c r="CT70" s="831">
        <f t="shared" ref="CT70:DC70" si="117">-CT40</f>
        <v>1.232</v>
      </c>
      <c r="CU70" s="831">
        <f t="shared" si="117"/>
        <v>0</v>
      </c>
      <c r="CV70" s="831">
        <f t="shared" si="117"/>
        <v>0</v>
      </c>
      <c r="CW70" s="831">
        <f t="shared" si="117"/>
        <v>0</v>
      </c>
      <c r="CX70" s="712">
        <f t="shared" si="117"/>
        <v>1.232</v>
      </c>
      <c r="CY70" s="831">
        <f t="shared" si="117"/>
        <v>2.2090000000000001</v>
      </c>
      <c r="CZ70" s="831">
        <f t="shared" si="117"/>
        <v>0</v>
      </c>
      <c r="DA70" s="831">
        <f t="shared" si="117"/>
        <v>0</v>
      </c>
      <c r="DB70" s="831">
        <f t="shared" ref="DB70" si="118">-DB40</f>
        <v>0</v>
      </c>
      <c r="DC70" s="712">
        <f t="shared" si="117"/>
        <v>2.2090000000000001</v>
      </c>
      <c r="DD70" s="831">
        <f t="shared" ref="DD70:DW70" si="119">-DD40</f>
        <v>0</v>
      </c>
      <c r="DE70" s="831">
        <f t="shared" si="119"/>
        <v>86.787999999999997</v>
      </c>
      <c r="DF70" s="831">
        <f t="shared" si="119"/>
        <v>0</v>
      </c>
      <c r="DG70" s="831">
        <f t="shared" si="119"/>
        <v>0</v>
      </c>
      <c r="DH70" s="712">
        <f t="shared" si="119"/>
        <v>86.787999999999997</v>
      </c>
      <c r="DI70" s="710">
        <f t="shared" si="119"/>
        <v>0</v>
      </c>
      <c r="DJ70" s="710">
        <f t="shared" si="119"/>
        <v>0</v>
      </c>
      <c r="DK70" s="710">
        <f t="shared" si="119"/>
        <v>0</v>
      </c>
      <c r="DL70" s="710">
        <f t="shared" si="119"/>
        <v>0</v>
      </c>
      <c r="DM70" s="712">
        <f t="shared" si="119"/>
        <v>0</v>
      </c>
      <c r="DN70" s="710">
        <f t="shared" si="119"/>
        <v>0</v>
      </c>
      <c r="DO70" s="710">
        <f t="shared" si="119"/>
        <v>0</v>
      </c>
      <c r="DP70" s="710">
        <f t="shared" si="119"/>
        <v>0</v>
      </c>
      <c r="DQ70" s="710">
        <f t="shared" si="119"/>
        <v>0</v>
      </c>
      <c r="DR70" s="712">
        <f t="shared" si="119"/>
        <v>0</v>
      </c>
      <c r="DS70" s="710">
        <f t="shared" si="119"/>
        <v>0</v>
      </c>
      <c r="DT70" s="710">
        <f t="shared" si="119"/>
        <v>0</v>
      </c>
      <c r="DU70" s="710">
        <f t="shared" si="119"/>
        <v>0</v>
      </c>
      <c r="DV70" s="710">
        <f t="shared" si="119"/>
        <v>0</v>
      </c>
      <c r="DW70" s="712">
        <f t="shared" si="119"/>
        <v>0</v>
      </c>
    </row>
    <row r="71" spans="1:139">
      <c r="A71" s="365" t="s">
        <v>452</v>
      </c>
      <c r="BE71" s="460">
        <f>BE66-BE67+BE69-BE70</f>
        <v>456.95599999999979</v>
      </c>
      <c r="BF71" s="467"/>
      <c r="BG71" s="467"/>
      <c r="BH71" s="467"/>
      <c r="BI71" s="368"/>
      <c r="BJ71" s="460">
        <f>BJ66-BJ67+BJ69-BJ70</f>
        <v>-85.662999999999997</v>
      </c>
      <c r="BK71" s="467">
        <f t="shared" ref="BK71:BX71" si="120">BK66-BK67+BK69-BK70</f>
        <v>-17.31900000000001</v>
      </c>
      <c r="BL71" s="467">
        <f t="shared" si="120"/>
        <v>-25.794999999999995</v>
      </c>
      <c r="BM71" s="467">
        <f t="shared" si="120"/>
        <v>2.2179999999999969</v>
      </c>
      <c r="BN71" s="467">
        <f t="shared" si="120"/>
        <v>-31.32599999999994</v>
      </c>
      <c r="BO71" s="460">
        <f t="shared" si="120"/>
        <v>-72.222000000000008</v>
      </c>
      <c r="BP71" s="467">
        <f t="shared" si="120"/>
        <v>47.307000000000009</v>
      </c>
      <c r="BQ71" s="467">
        <f t="shared" si="120"/>
        <v>52.732999999999997</v>
      </c>
      <c r="BR71" s="467">
        <f t="shared" si="120"/>
        <v>74.278999999999982</v>
      </c>
      <c r="BS71" s="467">
        <f t="shared" si="120"/>
        <v>3.1140000000000159</v>
      </c>
      <c r="BT71" s="460">
        <f>BT66-BT67-BT68+BT69-BT70</f>
        <v>104.5059999999999</v>
      </c>
      <c r="BU71" s="467">
        <f t="shared" si="120"/>
        <v>3.9369999999999994</v>
      </c>
      <c r="BV71" s="467">
        <f t="shared" si="120"/>
        <v>36.66399999999998</v>
      </c>
      <c r="BW71" s="467">
        <f t="shared" si="120"/>
        <v>17.169000000000011</v>
      </c>
      <c r="BX71" s="467">
        <f t="shared" si="120"/>
        <v>-1.4500000000000224</v>
      </c>
      <c r="BY71" s="460">
        <f>BY66-BY67-BY68+BY69-BY70</f>
        <v>-117.217</v>
      </c>
      <c r="BZ71" s="467">
        <f>BZ66-BZ67+BZ69-BZ70-BZ68</f>
        <v>16.520999999999994</v>
      </c>
      <c r="CA71" s="467">
        <f>CA66-CA67+CA69-CA70-CA68</f>
        <v>1.9140000000000015</v>
      </c>
      <c r="CB71" s="467">
        <f>CB66-CB67+CB69-CB70-CB68</f>
        <v>-5.1620000000000061</v>
      </c>
      <c r="CC71" s="467">
        <f>CC66-CC67+CC69-CC70-CC68</f>
        <v>-9.5660000000000558</v>
      </c>
      <c r="CD71" s="460">
        <f>CD66-CD67-CD68+CD69-CD70</f>
        <v>3.7069999999999297</v>
      </c>
      <c r="CE71" s="467">
        <f>CE66-CE67+CE69-CE70-CE68</f>
        <v>-45.563000000000002</v>
      </c>
      <c r="CF71" s="467">
        <f>CF66-CF67+CF69-CF70-CF68</f>
        <v>17.919000000000022</v>
      </c>
      <c r="CG71" s="467">
        <f>CG66-CG67+CG69-CG70-CG68</f>
        <v>-31.776999999999994</v>
      </c>
      <c r="CH71" s="467">
        <f>CH66-CH67+CH69-CH70-CH68</f>
        <v>-6.3820000000000512</v>
      </c>
      <c r="CI71" s="460">
        <f>CI66-CI67-CI68+CI69-CI70</f>
        <v>-65.802999999999926</v>
      </c>
      <c r="CJ71" s="467">
        <f>CJ66-CJ67+CJ69-CJ70-CJ68</f>
        <v>-23.07599999999999</v>
      </c>
      <c r="CK71" s="467">
        <f>CK66-CK67+CK69-CK70-CK68</f>
        <v>68.429000000000016</v>
      </c>
      <c r="CL71" s="467">
        <f>CL66-CL67+CL69-CL70-CL68</f>
        <v>26.245000000000012</v>
      </c>
      <c r="CM71" s="467">
        <f>CM66-CM67+CM69-CM70-CM68</f>
        <v>38.50299999999995</v>
      </c>
      <c r="CN71" s="460">
        <f>CN66-CN67-CN68+CN69-CN70</f>
        <v>110.10099999999998</v>
      </c>
      <c r="CO71" s="467">
        <f>CO66-CO67+CO69-CO70-CO68</f>
        <v>-225.42700000000005</v>
      </c>
      <c r="CP71" s="467">
        <f>CP66-CP67+CP69-CP70-CP68</f>
        <v>-8.1389999999999567</v>
      </c>
      <c r="CQ71" s="467">
        <f>CQ66-CQ67+CQ69-CQ70-CQ68</f>
        <v>-14.033000000000023</v>
      </c>
      <c r="CR71" s="467">
        <f>CR66-CR67+CR69-CR70-CR68</f>
        <v>-64.996999999999957</v>
      </c>
      <c r="CS71" s="460">
        <f>CS66-CS67-CS68+CS69-CS70</f>
        <v>-312.59599999999995</v>
      </c>
      <c r="CT71" s="467">
        <f t="shared" ref="CT71:CW71" si="121">CT66-CT67-CT68+CT69-CT70</f>
        <v>-91.650999999999996</v>
      </c>
      <c r="CU71" s="467">
        <f t="shared" si="121"/>
        <v>26.695000000000022</v>
      </c>
      <c r="CV71" s="467">
        <f t="shared" si="121"/>
        <v>-1093.354</v>
      </c>
      <c r="CW71" s="467">
        <f t="shared" si="121"/>
        <v>151.71599999999989</v>
      </c>
      <c r="CX71" s="460">
        <f>CX66-CX67-CX68+CX69-CX70</f>
        <v>-1006.5480000000001</v>
      </c>
      <c r="CY71" s="467">
        <f t="shared" ref="CY71:DB71" si="122">CY66-CY67-CY68+CY69-CY70</f>
        <v>-16.422999999999991</v>
      </c>
      <c r="CZ71" s="467">
        <f t="shared" si="122"/>
        <v>-48.543999999999997</v>
      </c>
      <c r="DA71" s="467">
        <f t="shared" si="122"/>
        <v>49.533999999999992</v>
      </c>
      <c r="DB71" s="467">
        <f t="shared" si="122"/>
        <v>-94.194000000000045</v>
      </c>
      <c r="DC71" s="460">
        <f>DC66-DC67-DC68+DC69-DC70</f>
        <v>-109.44100000000003</v>
      </c>
      <c r="DD71" s="467">
        <f t="shared" ref="DD71" si="123">DD66-DD67-DD68+DD69-DD70</f>
        <v>-7.8079999999999981</v>
      </c>
      <c r="DE71" s="467">
        <f>DE66-DE67-DE68+DE69-DE70</f>
        <v>2.4919999999999902</v>
      </c>
      <c r="DF71" s="467">
        <f>DF66-DF67-DF68+DF69-DF70</f>
        <v>-19.910999999999987</v>
      </c>
      <c r="DG71" s="467">
        <f t="shared" ref="DG71" si="124">DG66-DG67-DG68+DG69-DG70</f>
        <v>-4.5989999999999185</v>
      </c>
      <c r="DH71" s="460">
        <f>DH66-DH67-DH68+DH69-DH70</f>
        <v>-29.894999999999925</v>
      </c>
      <c r="DI71" s="368">
        <f t="shared" ref="DI71" si="125">DI66-DI67-DI68+DI69-DI70</f>
        <v>27.782876847973299</v>
      </c>
      <c r="DJ71" s="368">
        <f t="shared" ref="DJ71" si="126">DJ66-DJ67-DJ68+DJ69-DJ70</f>
        <v>-15.252574099577874</v>
      </c>
      <c r="DK71" s="368">
        <f t="shared" ref="DK71" si="127">DK66-DK67-DK68+DK69-DK70</f>
        <v>-13.043531580184549</v>
      </c>
      <c r="DL71" s="368">
        <f t="shared" ref="DL71" si="128">DL66-DL67-DL68+DL69-DL70</f>
        <v>-19.487353466412142</v>
      </c>
      <c r="DM71" s="460">
        <f>DM66-DM67-DM68+DM69-DM70</f>
        <v>-20.000582298201238</v>
      </c>
      <c r="DN71" s="368">
        <f t="shared" ref="DN71" si="129">DN66-DN67-DN68+DN69-DN70</f>
        <v>24.764565416108411</v>
      </c>
      <c r="DO71" s="368">
        <f t="shared" ref="DO71" si="130">DO66-DO67-DO68+DO69-DO70</f>
        <v>-4.5945115704605044</v>
      </c>
      <c r="DP71" s="368">
        <f t="shared" ref="DP71" si="131">DP66-DP67-DP68+DP69-DP70</f>
        <v>-3.3365449384660337</v>
      </c>
      <c r="DQ71" s="368">
        <f t="shared" ref="DQ71" si="132">DQ66-DQ67-DQ68+DQ69-DQ70</f>
        <v>-11.484661932232481</v>
      </c>
      <c r="DR71" s="460">
        <f>DR66-DR67-DR68+DR69-DR70</f>
        <v>5.3488469749494243</v>
      </c>
      <c r="DS71" s="368">
        <f t="shared" ref="DS71" si="133">DS66-DS67-DS68+DS69-DS70</f>
        <v>54.322968500346363</v>
      </c>
      <c r="DT71" s="368">
        <f t="shared" ref="DT71" si="134">DT66-DT67-DT68+DT69-DT70</f>
        <v>24.186523673566207</v>
      </c>
      <c r="DU71" s="368">
        <f t="shared" ref="DU71" si="135">DU66-DU67-DU68+DU69-DU70</f>
        <v>24.425297299786408</v>
      </c>
      <c r="DV71" s="368">
        <f t="shared" ref="DV71" si="136">DV66-DV67-DV68+DV69-DV70</f>
        <v>15.928490753149489</v>
      </c>
      <c r="DW71" s="460">
        <f>DW66-DW67-DW68+DW69-DW70</f>
        <v>118.86328022684842</v>
      </c>
    </row>
    <row r="72" spans="1:139">
      <c r="A72" s="232" t="s">
        <v>322</v>
      </c>
      <c r="BE72" s="372"/>
      <c r="BF72" s="372"/>
      <c r="BG72" s="372"/>
      <c r="BH72" s="372"/>
      <c r="BI72" s="373"/>
      <c r="BJ72" s="372"/>
      <c r="BK72" s="372"/>
      <c r="BL72" s="372"/>
      <c r="BM72" s="372"/>
      <c r="BN72" s="372"/>
      <c r="BO72" s="372"/>
      <c r="BP72" s="372"/>
      <c r="BQ72" s="372"/>
      <c r="BR72" s="372"/>
      <c r="BS72" s="372"/>
      <c r="BT72" s="372"/>
      <c r="BU72" s="372"/>
      <c r="BV72" s="372"/>
      <c r="BW72" s="372"/>
      <c r="BX72" s="372"/>
      <c r="BY72" s="372"/>
      <c r="BZ72" s="372"/>
      <c r="CA72" s="372"/>
      <c r="CB72" s="372"/>
      <c r="CC72" s="372"/>
      <c r="CD72" s="372"/>
      <c r="CE72" s="372"/>
      <c r="CF72" s="372"/>
      <c r="CG72" s="372"/>
      <c r="CH72" s="373"/>
      <c r="CI72" s="372"/>
      <c r="CJ72" s="373"/>
      <c r="CK72" s="373"/>
      <c r="CL72" s="373"/>
      <c r="CM72" s="373"/>
      <c r="CN72" s="372"/>
      <c r="CO72" s="373"/>
      <c r="CP72" s="373"/>
      <c r="CQ72" s="373"/>
      <c r="CR72" s="373"/>
      <c r="CS72" s="372"/>
      <c r="CT72" s="372"/>
      <c r="CU72" s="372"/>
      <c r="CV72" s="372"/>
      <c r="CW72" s="372"/>
      <c r="CX72" s="372"/>
      <c r="CY72" s="372"/>
      <c r="CZ72" s="372"/>
      <c r="DA72" s="372"/>
      <c r="DB72" s="372"/>
      <c r="DC72" s="372"/>
      <c r="DD72" s="372"/>
      <c r="DE72" s="372"/>
      <c r="DF72" s="372"/>
      <c r="DG72" s="372"/>
      <c r="DH72" s="372"/>
      <c r="DI72" s="373"/>
      <c r="DJ72" s="373"/>
      <c r="DK72" s="373"/>
      <c r="DL72" s="373"/>
      <c r="DM72" s="372"/>
      <c r="DN72" s="373"/>
      <c r="DO72" s="373"/>
      <c r="DP72" s="373"/>
      <c r="DQ72" s="373"/>
      <c r="DR72" s="372"/>
      <c r="DS72" s="372"/>
      <c r="DT72" s="372"/>
      <c r="DU72" s="372"/>
      <c r="DV72" s="372"/>
      <c r="DW72" s="372"/>
    </row>
    <row r="73" spans="1:139" s="230" customFormat="1">
      <c r="A73" s="404" t="s">
        <v>637</v>
      </c>
      <c r="B73" s="410"/>
      <c r="C73" s="410"/>
      <c r="D73" s="410"/>
      <c r="E73" s="410"/>
      <c r="F73" s="410"/>
      <c r="G73" s="410"/>
      <c r="H73" s="410"/>
      <c r="I73" s="410"/>
      <c r="J73" s="410"/>
      <c r="K73" s="410"/>
      <c r="L73" s="410"/>
      <c r="M73" s="410"/>
      <c r="N73" s="410"/>
      <c r="O73" s="410"/>
      <c r="P73" s="410"/>
      <c r="Q73" s="410"/>
      <c r="R73" s="410"/>
      <c r="S73" s="410"/>
      <c r="T73" s="410"/>
      <c r="U73" s="410"/>
      <c r="V73" s="410"/>
      <c r="W73" s="410"/>
      <c r="X73" s="410"/>
      <c r="Y73" s="410"/>
      <c r="Z73" s="410"/>
      <c r="AA73" s="410"/>
      <c r="AB73" s="410"/>
      <c r="AC73" s="410"/>
      <c r="AD73" s="1337"/>
      <c r="AE73" s="410"/>
      <c r="AF73" s="410"/>
      <c r="AG73" s="410"/>
      <c r="AH73" s="410"/>
      <c r="AI73" s="410"/>
      <c r="AJ73" s="410"/>
      <c r="AK73" s="410"/>
      <c r="AL73" s="410"/>
      <c r="AM73" s="410"/>
      <c r="AN73" s="410"/>
      <c r="AO73" s="410"/>
      <c r="AP73" s="410"/>
      <c r="AQ73" s="410"/>
      <c r="AR73" s="410"/>
      <c r="AS73" s="410"/>
      <c r="AT73" s="410"/>
      <c r="AU73" s="410"/>
      <c r="AV73" s="1337"/>
      <c r="AW73" s="1337"/>
      <c r="AX73" s="1337"/>
      <c r="AY73" s="1337"/>
      <c r="AZ73" s="1337"/>
      <c r="BA73" s="1337"/>
      <c r="BB73" s="1337"/>
      <c r="BC73" s="1337"/>
      <c r="BD73" s="1337"/>
      <c r="BE73" s="1338"/>
      <c r="BF73" s="1338"/>
      <c r="BG73" s="1338"/>
      <c r="BH73" s="1338"/>
      <c r="BI73" s="1339"/>
      <c r="BJ73" s="1338"/>
      <c r="BK73" s="1338"/>
      <c r="BL73" s="1338"/>
      <c r="BM73" s="1338"/>
      <c r="BN73" s="1338"/>
      <c r="BO73" s="1338"/>
      <c r="BP73" s="1338"/>
      <c r="BQ73" s="1338"/>
      <c r="BR73" s="1338"/>
      <c r="BS73" s="1338"/>
      <c r="BT73" s="1338"/>
      <c r="BU73" s="1338"/>
      <c r="BV73" s="1338"/>
      <c r="BW73" s="1338"/>
      <c r="BX73" s="1338"/>
      <c r="BY73" s="1338"/>
      <c r="BZ73" s="1338"/>
      <c r="CA73" s="1338"/>
      <c r="CB73" s="1338"/>
      <c r="CC73" s="1338"/>
      <c r="CD73" s="1338"/>
      <c r="CE73" s="1338"/>
      <c r="CF73" s="1338"/>
      <c r="CG73" s="1338"/>
      <c r="CH73" s="1339"/>
      <c r="CI73" s="1341"/>
      <c r="CJ73" s="1339"/>
      <c r="CK73" s="1339"/>
      <c r="CL73" s="1339"/>
      <c r="CM73" s="1339"/>
      <c r="CN73" s="1341"/>
      <c r="CO73" s="1339"/>
      <c r="CP73" s="1339"/>
      <c r="CQ73" s="1339"/>
      <c r="CR73" s="1339"/>
      <c r="CS73" s="1341"/>
      <c r="CT73" s="1338"/>
      <c r="CU73" s="1338"/>
      <c r="CV73" s="1338"/>
      <c r="CW73" s="1338"/>
      <c r="CX73" s="1342">
        <f>CX66/IncomeStatement!BO67</f>
        <v>-0.11907217278880539</v>
      </c>
      <c r="CY73" s="1338"/>
      <c r="CZ73" s="1338"/>
      <c r="DA73" s="1338"/>
      <c r="DB73" s="1338"/>
      <c r="DC73" s="1342">
        <f>DC66/IncomeStatement!BT67</f>
        <v>0.11767374546327132</v>
      </c>
      <c r="DD73" s="1338"/>
      <c r="DE73" s="1338"/>
      <c r="DF73" s="1338"/>
      <c r="DG73" s="1338"/>
      <c r="DH73" s="1342">
        <f>DH66/IncomeStatement!BY67</f>
        <v>0.67355361663966418</v>
      </c>
      <c r="DI73" s="1339"/>
      <c r="DJ73" s="1339"/>
      <c r="DK73" s="1339"/>
      <c r="DL73" s="1339"/>
      <c r="DM73" s="1342">
        <f>DM66/IncomeStatement!CD67</f>
        <v>0.91352291930253515</v>
      </c>
      <c r="DN73" s="1340">
        <f>DN66/IncomeStatement!BZ67</f>
        <v>0.3487077063547947</v>
      </c>
      <c r="DO73" s="1340">
        <f>DO66/IncomeStatement!CA67</f>
        <v>0.23151695287528912</v>
      </c>
      <c r="DP73" s="1340">
        <f>DP66/IncomeStatement!CB67</f>
        <v>0.23755518390406957</v>
      </c>
      <c r="DQ73" s="1340">
        <f>DQ66/IncomeStatement!CC67</f>
        <v>0.21485298770038175</v>
      </c>
      <c r="DR73" s="1342">
        <f>DR66/IncomeStatement!CI67</f>
        <v>1.0556152206697138</v>
      </c>
      <c r="DS73" s="1340">
        <f>DS66/IncomeStatement!CE67</f>
        <v>0.40427644901807402</v>
      </c>
      <c r="DT73" s="1340">
        <f>DT66/IncomeStatement!CF67</f>
        <v>0.28155510638183812</v>
      </c>
      <c r="DU73" s="1340">
        <f>DU66/IncomeStatement!CG67</f>
        <v>0.28386575377831802</v>
      </c>
      <c r="DV73" s="1340">
        <f>DV66/IncomeStatement!CH67</f>
        <v>0.25963390084376836</v>
      </c>
      <c r="DW73" s="1342">
        <f>DW66/IncomeStatement!CN67</f>
        <v>1.2433627917814059</v>
      </c>
      <c r="ED73"/>
      <c r="EE73"/>
      <c r="EF73"/>
      <c r="EG73"/>
      <c r="EH73"/>
      <c r="EI73"/>
    </row>
    <row r="74" spans="1:139">
      <c r="A74" s="369" t="s">
        <v>456</v>
      </c>
      <c r="BE74" s="372"/>
      <c r="BF74" s="372"/>
      <c r="BG74" s="372"/>
      <c r="BH74" s="372"/>
      <c r="BI74" s="373"/>
      <c r="BJ74" s="372"/>
      <c r="BK74" s="372"/>
      <c r="BL74" s="372"/>
      <c r="BM74" s="372"/>
      <c r="BN74" s="372"/>
      <c r="BO74" s="372"/>
      <c r="BP74" s="372"/>
      <c r="BQ74" s="372"/>
      <c r="BR74" s="372"/>
      <c r="BS74" s="372"/>
      <c r="BT74" s="372"/>
      <c r="BU74" s="372"/>
      <c r="BV74" s="372"/>
      <c r="BW74" s="372"/>
      <c r="BX74" s="372"/>
      <c r="BY74" s="372"/>
      <c r="BZ74" s="372"/>
      <c r="CA74" s="372"/>
      <c r="CB74" s="372"/>
      <c r="CC74" s="372"/>
      <c r="CD74" s="372"/>
      <c r="CE74" s="372"/>
      <c r="CF74" s="372"/>
      <c r="CG74" s="372"/>
      <c r="CH74" s="373"/>
      <c r="CI74" s="372"/>
      <c r="CJ74" s="373"/>
      <c r="CK74" s="373"/>
      <c r="CL74" s="373"/>
      <c r="CM74" s="373"/>
      <c r="CN74" s="372"/>
      <c r="CO74" s="373"/>
      <c r="CP74" s="373"/>
      <c r="CQ74" s="373"/>
      <c r="CR74" s="373"/>
      <c r="CS74" s="372"/>
      <c r="CT74" s="372"/>
      <c r="CU74" s="372"/>
      <c r="CV74" s="372"/>
      <c r="CW74" s="372"/>
      <c r="CX74" s="372"/>
      <c r="CY74" s="372"/>
      <c r="CZ74" s="372"/>
      <c r="DA74" s="372"/>
      <c r="DB74" s="372"/>
      <c r="DC74" s="372"/>
      <c r="DD74" s="372"/>
      <c r="DE74" s="372"/>
      <c r="DF74" s="372"/>
      <c r="DG74" s="372"/>
      <c r="DH74" s="372"/>
      <c r="DI74" s="373"/>
      <c r="DJ74" s="373"/>
      <c r="DK74" s="373"/>
      <c r="DL74" s="373"/>
      <c r="DM74" s="372"/>
      <c r="DN74" s="373"/>
      <c r="DO74" s="373"/>
      <c r="DP74" s="373"/>
      <c r="DQ74" s="373"/>
      <c r="DR74" s="372"/>
      <c r="DS74" s="373"/>
      <c r="DT74" s="373"/>
      <c r="DU74" s="373"/>
      <c r="DV74" s="373"/>
      <c r="DW74" s="372"/>
    </row>
    <row r="75" spans="1:139">
      <c r="A75" s="321" t="s">
        <v>164</v>
      </c>
      <c r="BE75" s="372"/>
      <c r="BF75" s="372"/>
      <c r="BG75" s="372"/>
      <c r="BH75" s="372"/>
      <c r="BI75" s="373"/>
      <c r="BJ75" s="372"/>
      <c r="BK75" s="372"/>
      <c r="BL75" s="372"/>
      <c r="BM75" s="372"/>
      <c r="BN75" s="372"/>
      <c r="BO75" s="372"/>
      <c r="BP75" s="372"/>
      <c r="BQ75" s="372"/>
      <c r="BR75" s="372"/>
      <c r="BS75" s="372"/>
      <c r="BT75" s="466">
        <v>86.438999999999993</v>
      </c>
      <c r="BU75" s="466"/>
      <c r="BV75" s="466"/>
      <c r="BW75" s="466"/>
      <c r="BX75" s="466"/>
      <c r="BY75" s="466">
        <v>127.753</v>
      </c>
      <c r="BZ75" s="466">
        <v>41.720999999999997</v>
      </c>
      <c r="CA75" s="466">
        <f>61.05-BZ75</f>
        <v>19.329000000000001</v>
      </c>
      <c r="CB75" s="466">
        <f>96.76-SUM(BZ75:CA75)</f>
        <v>35.710000000000008</v>
      </c>
      <c r="CC75" s="466">
        <f>CD75-SUM(BZ75:CB75)</f>
        <v>14.914999999999992</v>
      </c>
      <c r="CD75" s="372">
        <v>111.675</v>
      </c>
      <c r="CE75" s="466">
        <v>36.286999999999999</v>
      </c>
      <c r="CF75" s="466">
        <f>51.678-CE75</f>
        <v>15.390999999999998</v>
      </c>
      <c r="CG75" s="466">
        <f>90.893-SUM(CE75:CF75)</f>
        <v>39.215000000000003</v>
      </c>
      <c r="CH75" s="466">
        <f>CI75-CG75-CF75-CE75</f>
        <v>19.807999999999993</v>
      </c>
      <c r="CI75" s="372">
        <v>110.70099999999999</v>
      </c>
      <c r="CJ75" s="466">
        <v>18.914000000000001</v>
      </c>
      <c r="CK75" s="466">
        <f>39.67-CJ75</f>
        <v>20.756</v>
      </c>
      <c r="CL75" s="466">
        <f>46.931-CK75</f>
        <v>26.174999999999997</v>
      </c>
      <c r="CM75" s="466">
        <f>CN75-CL75-CK75-CJ75</f>
        <v>-1.0960000000000036</v>
      </c>
      <c r="CN75" s="372">
        <v>64.748999999999995</v>
      </c>
      <c r="CO75" s="466">
        <v>11.368</v>
      </c>
      <c r="CP75" s="466">
        <f>26.225-CO75</f>
        <v>14.857000000000001</v>
      </c>
      <c r="CQ75" s="466">
        <f>37.507-CP75</f>
        <v>22.65</v>
      </c>
      <c r="CR75" s="466">
        <f>CS75-CQ75-CP75-CO75</f>
        <v>3.4819999999999993</v>
      </c>
      <c r="CS75" s="372">
        <v>52.356999999999999</v>
      </c>
      <c r="CT75" s="466">
        <v>11.968</v>
      </c>
      <c r="CU75" s="466">
        <f>27.452-CT75</f>
        <v>15.484000000000002</v>
      </c>
      <c r="CV75" s="466">
        <f>55.725-CU75</f>
        <v>40.241</v>
      </c>
      <c r="CW75" s="466">
        <f>CX75-CV75-CU75-CT75</f>
        <v>16.632999999999992</v>
      </c>
      <c r="CX75" s="372">
        <v>84.325999999999993</v>
      </c>
      <c r="CY75" s="372"/>
      <c r="CZ75" s="372"/>
      <c r="DA75" s="372"/>
      <c r="DB75" s="372"/>
      <c r="DC75" s="372"/>
      <c r="DD75" s="372"/>
      <c r="DE75" s="372"/>
      <c r="DF75" s="372"/>
      <c r="DG75" s="372"/>
      <c r="DH75" s="372"/>
      <c r="DI75" s="373"/>
      <c r="DJ75" s="373"/>
      <c r="DK75" s="373"/>
      <c r="DL75" s="373"/>
      <c r="DM75" s="372"/>
      <c r="DN75" s="373"/>
      <c r="DO75" s="373"/>
      <c r="DP75" s="373"/>
      <c r="DQ75" s="373"/>
      <c r="DR75" s="372"/>
      <c r="DS75" s="373"/>
      <c r="DT75" s="373"/>
      <c r="DU75" s="373"/>
      <c r="DV75" s="373"/>
      <c r="DW75" s="372"/>
    </row>
    <row r="76" spans="1:139">
      <c r="A76" s="321" t="s">
        <v>165</v>
      </c>
      <c r="BE76" s="372"/>
      <c r="BF76" s="372"/>
      <c r="BG76" s="372"/>
      <c r="BH76" s="372"/>
      <c r="BI76" s="373"/>
      <c r="BJ76" s="372"/>
      <c r="BK76" s="372"/>
      <c r="BL76" s="372"/>
      <c r="BM76" s="372"/>
      <c r="BN76" s="372"/>
      <c r="BO76" s="372"/>
      <c r="BP76" s="372"/>
      <c r="BQ76" s="372"/>
      <c r="BR76" s="372"/>
      <c r="BS76" s="372"/>
      <c r="BT76" s="466">
        <v>14.952</v>
      </c>
      <c r="BU76" s="466"/>
      <c r="BV76" s="466"/>
      <c r="BW76" s="466"/>
      <c r="BX76" s="466"/>
      <c r="BY76" s="466">
        <v>14.262</v>
      </c>
      <c r="BZ76" s="466">
        <v>2.8839999999999999</v>
      </c>
      <c r="CA76" s="466">
        <f>7.018-BZ76</f>
        <v>4.1340000000000003</v>
      </c>
      <c r="CB76" s="466">
        <f>11.253-SUM(BZ76:CA76)</f>
        <v>4.2349999999999994</v>
      </c>
      <c r="CC76" s="466">
        <f>CD76-SUM(BZ76:CB76)</f>
        <v>2.3349999999999991</v>
      </c>
      <c r="CD76" s="372">
        <v>13.587999999999999</v>
      </c>
      <c r="CE76" s="466">
        <v>6.3230000000000004</v>
      </c>
      <c r="CF76" s="466">
        <f>8.271-CE76</f>
        <v>1.9480000000000004</v>
      </c>
      <c r="CG76" s="466">
        <f>9.593-SUM(CE76:CF76)</f>
        <v>1.3219999999999992</v>
      </c>
      <c r="CH76" s="466">
        <f>CI76-CG76-CF76-CE76</f>
        <v>0.53100000000000058</v>
      </c>
      <c r="CI76" s="372">
        <v>10.124000000000001</v>
      </c>
      <c r="CJ76" s="466">
        <v>-0.30599999999999999</v>
      </c>
      <c r="CK76" s="466">
        <f>0.778-CJ76</f>
        <v>1.0840000000000001</v>
      </c>
      <c r="CL76" s="466">
        <f>1.484-CK76</f>
        <v>0.39999999999999991</v>
      </c>
      <c r="CM76" s="466">
        <f>CN76-CL76-CK76-CJ76</f>
        <v>5.7700000000000005</v>
      </c>
      <c r="CN76" s="372">
        <v>6.9480000000000004</v>
      </c>
      <c r="CO76" s="466">
        <v>2.27</v>
      </c>
      <c r="CP76" s="466">
        <f>6.699-CO76</f>
        <v>4.4290000000000003</v>
      </c>
      <c r="CQ76" s="466">
        <f>11.231-CP76</f>
        <v>6.8019999999999996</v>
      </c>
      <c r="CR76" s="466">
        <f>CS76-CQ76-CP76-CO76</f>
        <v>2.3250000000000006</v>
      </c>
      <c r="CS76" s="372">
        <v>15.826000000000001</v>
      </c>
      <c r="CT76" s="466">
        <v>4.093</v>
      </c>
      <c r="CU76" s="466">
        <f>11.845-CT76</f>
        <v>7.7520000000000007</v>
      </c>
      <c r="CV76" s="466">
        <f>16.401-CU76</f>
        <v>8.6489999999999991</v>
      </c>
      <c r="CW76" s="466">
        <f>CX76-CV76-CU76-CT76</f>
        <v>20.780999999999995</v>
      </c>
      <c r="CX76" s="372">
        <v>41.274999999999999</v>
      </c>
      <c r="CY76" s="372"/>
      <c r="CZ76" s="372"/>
      <c r="DA76" s="372"/>
      <c r="DB76" s="372"/>
      <c r="DC76" s="372"/>
      <c r="DD76" s="372"/>
      <c r="DE76" s="372"/>
      <c r="DF76" s="372"/>
      <c r="DG76" s="372"/>
      <c r="DH76" s="372"/>
      <c r="DI76" s="373"/>
      <c r="DJ76" s="373"/>
      <c r="DK76" s="373"/>
      <c r="DL76" s="373"/>
      <c r="DM76" s="372"/>
      <c r="DN76" s="373"/>
      <c r="DO76" s="373"/>
      <c r="DP76" s="373"/>
      <c r="DQ76" s="373"/>
      <c r="DR76" s="372"/>
      <c r="DS76" s="373"/>
      <c r="DT76" s="373"/>
      <c r="DU76" s="373"/>
      <c r="DV76" s="373"/>
      <c r="DW76" s="372"/>
    </row>
    <row r="77" spans="1:139">
      <c r="A77" s="321"/>
      <c r="BE77" s="372"/>
      <c r="BF77" s="372"/>
      <c r="BG77" s="372"/>
      <c r="BH77" s="372"/>
      <c r="BI77" s="373"/>
      <c r="BJ77" s="372"/>
      <c r="BK77" s="372"/>
      <c r="BL77" s="372"/>
      <c r="BM77" s="372"/>
      <c r="BN77" s="372"/>
      <c r="BO77" s="372"/>
      <c r="BP77" s="372"/>
      <c r="BQ77" s="372"/>
      <c r="BR77" s="372"/>
      <c r="BS77" s="372"/>
      <c r="BT77" s="372"/>
      <c r="BU77" s="372"/>
      <c r="BV77" s="372"/>
      <c r="BW77" s="372"/>
      <c r="BX77" s="372"/>
      <c r="BY77" s="372"/>
      <c r="BZ77" s="372"/>
      <c r="CA77" s="466"/>
      <c r="CB77" s="372"/>
      <c r="CC77" s="372"/>
      <c r="CD77" s="372"/>
      <c r="CE77" s="372"/>
      <c r="CF77" s="372"/>
      <c r="CG77" s="466"/>
      <c r="CH77" s="373"/>
      <c r="CI77" s="372"/>
      <c r="CJ77" s="373"/>
      <c r="CK77" s="373"/>
      <c r="CL77" s="373"/>
      <c r="CM77" s="373"/>
      <c r="CN77" s="372"/>
      <c r="CO77" s="372"/>
      <c r="CP77" s="373"/>
      <c r="CQ77" s="373"/>
      <c r="CR77" s="373"/>
      <c r="CS77" s="372"/>
      <c r="CT77" s="372"/>
      <c r="CU77" s="372"/>
      <c r="CV77" s="372"/>
      <c r="CW77" s="372"/>
      <c r="CX77" s="372"/>
      <c r="CY77" s="372"/>
      <c r="CZ77" s="372"/>
      <c r="DA77" s="372"/>
      <c r="DB77" s="372"/>
      <c r="DC77" s="372"/>
      <c r="DD77" s="372"/>
      <c r="DE77" s="372"/>
      <c r="DF77" s="372"/>
      <c r="DG77" s="372"/>
      <c r="DH77" s="372"/>
      <c r="DI77" s="373"/>
      <c r="DJ77" s="373"/>
      <c r="DK77" s="373"/>
      <c r="DL77" s="373"/>
      <c r="DM77" s="58"/>
      <c r="DN77" s="373"/>
      <c r="DO77" s="373"/>
      <c r="DP77" s="373"/>
      <c r="DQ77" s="373"/>
      <c r="DR77" s="372"/>
      <c r="DS77" s="373"/>
      <c r="DT77" s="373"/>
      <c r="DU77" s="373"/>
      <c r="DV77" s="373"/>
      <c r="DW77" s="372"/>
    </row>
    <row r="78" spans="1:139" s="1058" customFormat="1">
      <c r="A78" s="1058" t="s">
        <v>21</v>
      </c>
      <c r="AD78" s="1059"/>
      <c r="AV78" s="1059"/>
      <c r="AW78" s="1059"/>
      <c r="AX78" s="1059"/>
      <c r="AY78" s="1059"/>
      <c r="AZ78" s="1059"/>
      <c r="BA78" s="1059"/>
      <c r="BB78" s="1059"/>
      <c r="BC78" s="1059"/>
      <c r="BD78" s="1059"/>
      <c r="BE78" s="1059"/>
      <c r="BF78" s="1059"/>
      <c r="BG78" s="1059"/>
      <c r="BH78" s="1059"/>
      <c r="BI78" s="1059"/>
      <c r="BJ78" s="1059"/>
      <c r="BK78" s="1059"/>
      <c r="BL78" s="1059"/>
      <c r="BM78" s="1059"/>
      <c r="BN78" s="1059"/>
      <c r="BP78" s="1059"/>
      <c r="BQ78" s="1059"/>
      <c r="BR78" s="1059"/>
      <c r="BS78" s="1059"/>
      <c r="BT78" s="1058">
        <f>IncomeStatement!AK42-BT75-BT76+'CashFlow '!BT39</f>
        <v>221.89999999999998</v>
      </c>
      <c r="BY78" s="1058">
        <f>IncomeStatement!AP42-BY75-BY76+'CashFlow '!BY39</f>
        <v>99.737000000000137</v>
      </c>
      <c r="BZ78" s="1058">
        <f>IncomeStatement!AQ42-BZ75-BZ76+'CashFlow '!BZ39</f>
        <v>0.55199999999999605</v>
      </c>
      <c r="CA78" s="1058">
        <f>IncomeStatement!AR42-CA75-CA76+'CashFlow '!CA39</f>
        <v>38.565000000000182</v>
      </c>
      <c r="CB78" s="1058">
        <f>IncomeStatement!AS42-CB75-CB76+'CashFlow '!CB39</f>
        <v>11.152999999999864</v>
      </c>
      <c r="CC78" s="1058">
        <f>IncomeStatement!AT42-CC75-CC76+'CashFlow '!CC39</f>
        <v>8.7700000000000884</v>
      </c>
      <c r="CD78" s="1058">
        <f>IncomeStatement!AU42-CD75-CD76+'CashFlow '!CD39</f>
        <v>59.040000000000134</v>
      </c>
      <c r="CE78" s="1058">
        <f>IncomeStatement!AV42-CE75-CE76+'CashFlow '!CE39</f>
        <v>-30.299999999999841</v>
      </c>
      <c r="CF78" s="1058">
        <f>IncomeStatement!AW42-CF75-CF76+'CashFlow '!CF39</f>
        <v>34.652999999999842</v>
      </c>
      <c r="CG78" s="1058">
        <f>IncomeStatement!AX42-CG75-CG76+'CashFlow '!CG39</f>
        <v>1.6979999999998654</v>
      </c>
      <c r="CH78" s="1058">
        <f>IncomeStatement!AY42-CH75-CH76+'CashFlow '!CH39</f>
        <v>4.2789999999999395</v>
      </c>
      <c r="CI78" s="1058">
        <f>IncomeStatement!AZ42-CI75-CI76+'CashFlow '!CI39</f>
        <v>10.329999999999842</v>
      </c>
      <c r="CJ78" s="1058">
        <f>IncomeStatement!BA42-CJ75-CJ76+'CashFlow '!CJ39</f>
        <v>18.741000000000092</v>
      </c>
      <c r="CK78" s="1058">
        <f>IncomeStatement!BB42-CK75-CK76+'CashFlow '!CK39</f>
        <v>38.454999999999949</v>
      </c>
      <c r="CL78" s="1058">
        <f>IncomeStatement!BC42-CL75-CL76+'CashFlow '!CL39</f>
        <v>23.129999999999939</v>
      </c>
      <c r="CM78" s="1058">
        <f>IncomeStatement!BD42-CM75-CM76+'CashFlow '!CM39</f>
        <v>-9.1060000000001793</v>
      </c>
      <c r="CN78" s="1058">
        <f>IncomeStatement!BE42-CN75-CN76+'CashFlow '!CN39</f>
        <v>71.202000000000794</v>
      </c>
      <c r="CO78" s="1058">
        <f>IncomeStatement!BF42-CO75-CO76+'CashFlow '!CO39</f>
        <v>69.528000000000048</v>
      </c>
      <c r="CP78" s="1058">
        <f>IncomeStatement!BG42-CP75-CP76+'CashFlow '!CP39</f>
        <v>18.353000000000101</v>
      </c>
      <c r="CQ78" s="1058">
        <f>IncomeStatement!BH42-CQ75-CQ76+'CashFlow '!CQ39</f>
        <v>-18.692000000000007</v>
      </c>
      <c r="CR78" s="1058">
        <f>IncomeStatement!BI42-CR75-CR76+'CashFlow '!CR39</f>
        <v>0.66300000000006776</v>
      </c>
      <c r="CS78" s="1058">
        <f>IncomeStatement!BJ42-CS75-CS76+'CashFlow '!CS39</f>
        <v>14.09399999999971</v>
      </c>
      <c r="CT78" s="1058">
        <f>IncomeStatement!BK42-CT75-CT76+'CashFlow '!CT39</f>
        <v>3.4699999999999989</v>
      </c>
      <c r="CU78" s="1058">
        <f>IncomeStatement!BL42-CU75-CU76+'CashFlow '!CU39</f>
        <v>11.781999999999996</v>
      </c>
      <c r="CV78" s="1058">
        <f>IncomeStatement!BM42-CV75-CV76+'CashFlow '!CV39</f>
        <v>-6.8639999999999759</v>
      </c>
      <c r="CW78" s="1058">
        <f>IncomeStatement!BN42-CW75-CW76+'CashFlow '!CW39</f>
        <v>6.8120000000000118</v>
      </c>
      <c r="CX78" s="1058">
        <f>IncomeStatement!BO42-CX75-CX76+'CashFlow '!CX39</f>
        <v>15.173000000000172</v>
      </c>
      <c r="DI78" s="1059"/>
      <c r="DJ78" s="1059"/>
      <c r="DK78" s="1059"/>
      <c r="DL78" s="1059"/>
      <c r="DN78" s="1059"/>
      <c r="DO78" s="1059"/>
      <c r="DP78" s="1059"/>
      <c r="DQ78" s="1059"/>
      <c r="DS78" s="1059"/>
      <c r="DT78" s="1059"/>
      <c r="DU78" s="1059"/>
      <c r="DV78" s="1059"/>
      <c r="ED78"/>
      <c r="EE78"/>
      <c r="EF78"/>
      <c r="EG78"/>
      <c r="EH78"/>
      <c r="EI78"/>
    </row>
    <row r="79" spans="1:139">
      <c r="A79" s="1057" t="s">
        <v>166</v>
      </c>
    </row>
    <row r="80" spans="1:139">
      <c r="CJ80" s="1071"/>
      <c r="CK80" s="1071"/>
      <c r="CL80" s="1071"/>
      <c r="CM80" s="1071"/>
      <c r="CN80" s="1071"/>
      <c r="CO80" s="1071"/>
      <c r="CP80" s="1071"/>
      <c r="CQ80" s="1071"/>
      <c r="CR80" s="1071"/>
      <c r="CS80" s="209"/>
      <c r="CT80" s="209"/>
      <c r="CU80" s="209"/>
      <c r="CV80" s="209"/>
      <c r="CW80" s="209"/>
      <c r="CX80" s="209"/>
      <c r="CY80" s="209"/>
      <c r="CZ80" s="209"/>
      <c r="DA80" s="209"/>
      <c r="DB80" s="209"/>
      <c r="DC80" s="209"/>
      <c r="DD80" s="209"/>
      <c r="DE80" s="209"/>
      <c r="DF80" s="209"/>
      <c r="DG80" s="209"/>
      <c r="DH80" s="209"/>
      <c r="DI80" s="1071"/>
      <c r="DJ80" s="1071"/>
      <c r="DK80" s="1071"/>
      <c r="DL80" s="1071"/>
      <c r="DM80" s="1071"/>
      <c r="DN80" s="1071"/>
      <c r="DO80" s="1071"/>
      <c r="DP80" s="1071"/>
      <c r="DQ80" s="1071"/>
      <c r="DR80" s="1071"/>
      <c r="DS80" s="1071"/>
      <c r="DT80" s="1071"/>
      <c r="DU80" s="1071"/>
      <c r="DV80" s="1071"/>
      <c r="DW80" s="1071"/>
    </row>
    <row r="81" spans="1:127">
      <c r="A81" s="49" t="s">
        <v>391</v>
      </c>
      <c r="CJ81" s="1071"/>
      <c r="CK81" s="1071"/>
      <c r="CL81" s="1071"/>
      <c r="CM81" s="1071"/>
      <c r="CN81" s="1071"/>
      <c r="CO81" s="1071"/>
      <c r="CP81" s="1071"/>
      <c r="CQ81" s="1071"/>
      <c r="CR81" s="1071"/>
      <c r="CS81" s="209"/>
      <c r="CT81" s="209"/>
      <c r="CU81" s="209"/>
      <c r="CV81" s="209"/>
      <c r="CW81" s="209"/>
      <c r="CX81" s="209"/>
      <c r="CY81" s="209"/>
      <c r="CZ81" s="209"/>
      <c r="DA81" s="209"/>
      <c r="DB81" s="209"/>
      <c r="DC81" s="209"/>
      <c r="DD81" s="209"/>
      <c r="DE81" s="209"/>
      <c r="DF81" s="209"/>
      <c r="DG81" s="209"/>
      <c r="DH81" s="209"/>
      <c r="DI81" s="1071"/>
      <c r="DJ81" s="1071"/>
      <c r="DK81" s="1071"/>
      <c r="DL81" s="1071"/>
      <c r="DM81" s="1071"/>
      <c r="DN81" s="1071"/>
      <c r="DO81" s="1071"/>
      <c r="DP81" s="1071"/>
      <c r="DQ81" s="1071"/>
      <c r="DR81" s="1071"/>
      <c r="DS81" s="1071"/>
      <c r="DT81" s="1071"/>
      <c r="DU81" s="1071"/>
      <c r="DV81" s="1071"/>
      <c r="DW81" s="1071"/>
    </row>
    <row r="82" spans="1:127">
      <c r="A82" s="43" t="s">
        <v>284</v>
      </c>
      <c r="B82" s="239"/>
      <c r="C82" s="239"/>
      <c r="D82" s="239"/>
      <c r="E82" s="239"/>
      <c r="F82" s="239"/>
      <c r="G82" s="239"/>
      <c r="H82" s="239"/>
      <c r="I82" s="239"/>
      <c r="J82" s="239"/>
      <c r="K82" s="239"/>
      <c r="L82" s="239"/>
      <c r="M82" s="239"/>
      <c r="N82" s="239"/>
      <c r="O82" s="239"/>
      <c r="P82" s="239"/>
      <c r="Q82" s="239"/>
      <c r="R82" s="239"/>
      <c r="S82" s="239"/>
      <c r="T82" s="239"/>
      <c r="U82" s="239"/>
      <c r="V82" s="239"/>
      <c r="W82" s="239"/>
      <c r="X82" s="239"/>
      <c r="Y82" s="239"/>
      <c r="Z82" s="239"/>
      <c r="AA82" s="239"/>
      <c r="AB82" s="239"/>
      <c r="AC82" s="239"/>
      <c r="AD82" s="638"/>
      <c r="AE82" s="239"/>
      <c r="AF82" s="239"/>
      <c r="AG82" s="239"/>
      <c r="AH82" s="239"/>
      <c r="AI82" s="239"/>
      <c r="AJ82" s="239"/>
      <c r="AK82" s="239"/>
      <c r="AL82" s="239"/>
      <c r="AM82" s="239"/>
      <c r="AN82" s="239"/>
      <c r="AO82" s="239"/>
      <c r="AP82" s="239"/>
      <c r="AQ82" s="239"/>
      <c r="AR82" s="239"/>
      <c r="AS82" s="239"/>
      <c r="AT82" s="239"/>
      <c r="AU82" s="239"/>
      <c r="AV82" s="638"/>
      <c r="AW82" s="638"/>
      <c r="AX82" s="638"/>
      <c r="AY82" s="638"/>
      <c r="AZ82" s="388">
        <f>-AZ39/IncomeStatement!Q17</f>
        <v>0</v>
      </c>
      <c r="BA82" s="638"/>
      <c r="BB82" s="638"/>
      <c r="BC82" s="638"/>
      <c r="BD82" s="638"/>
      <c r="BE82" s="388">
        <f>-BE39/IncomeStatement!V17</f>
        <v>2.2322670375521558E-2</v>
      </c>
      <c r="BF82" s="390" t="e">
        <f>-BF39/IncomeStatement!W17</f>
        <v>#DIV/0!</v>
      </c>
      <c r="BG82" s="390" t="e">
        <f>-BG39/IncomeStatement!X17</f>
        <v>#DIV/0!</v>
      </c>
      <c r="BH82" s="390" t="e">
        <f>-BH39/IncomeStatement!Y17</f>
        <v>#DIV/0!</v>
      </c>
      <c r="BI82" s="390" t="e">
        <f>-BI39/IncomeStatement!Z17</f>
        <v>#DIV/0!</v>
      </c>
      <c r="BJ82" s="388">
        <f>-BJ39/IncomeStatement!AA17</f>
        <v>2.0008075598124685E-2</v>
      </c>
      <c r="BK82" s="390">
        <f>-BK39/IncomeStatement!AB17</f>
        <v>1.8932466300887355E-2</v>
      </c>
      <c r="BL82" s="390">
        <f>-BL39/IncomeStatement!AC17</f>
        <v>2.5044221199092723E-2</v>
      </c>
      <c r="BM82" s="390">
        <f>-BM39/IncomeStatement!AD17</f>
        <v>1.9204548006557663E-2</v>
      </c>
      <c r="BN82" s="390">
        <f>-BN39/IncomeStatement!AE17</f>
        <v>5.4196104501618471E-2</v>
      </c>
      <c r="BO82" s="388">
        <f>-BO39/IncomeStatement!AF17</f>
        <v>2.9207587655659006E-2</v>
      </c>
      <c r="BP82" s="390">
        <f>-BP39/IncomeStatement!AG17</f>
        <v>1.9911248356451045E-2</v>
      </c>
      <c r="BQ82" s="390">
        <f>-BQ39/IncomeStatement!AH17</f>
        <v>2.4994329929099463E-2</v>
      </c>
      <c r="BR82" s="390">
        <f>-BR39/IncomeStatement!AI17</f>
        <v>2.7972113137316342E-2</v>
      </c>
      <c r="BS82" s="390">
        <f>-BS39/IncomeStatement!AJ17</f>
        <v>4.0661839872222771E-2</v>
      </c>
      <c r="BT82" s="388">
        <f>-BT39/IncomeStatement!AK17</f>
        <v>2.8460959524803573E-2</v>
      </c>
      <c r="BU82" s="390">
        <f>-BU39/IncomeStatement!AL17</f>
        <v>3.2411603361167933E-2</v>
      </c>
      <c r="BV82" s="390">
        <f>-BV39/IncomeStatement!AM17</f>
        <v>2.9174900030900057E-2</v>
      </c>
      <c r="BW82" s="390">
        <f>-BW39/IncomeStatement!AN17</f>
        <v>4.8775333424677256E-2</v>
      </c>
      <c r="BX82" s="390">
        <f>-BX39/IncomeStatement!AO17</f>
        <v>6.3317442419225156E-2</v>
      </c>
      <c r="BY82" s="388">
        <f>-BY39/IncomeStatement!AP17</f>
        <v>4.3311202916274189E-2</v>
      </c>
      <c r="BZ82" s="390">
        <f>-BZ39/IncomeStatement!AQ17</f>
        <v>4.9046723837483798E-2</v>
      </c>
      <c r="CA82" s="390">
        <f>-CA39/IncomeStatement!AR17</f>
        <v>4.4012851405622479E-2</v>
      </c>
      <c r="CB82" s="390">
        <f>-CB39/IncomeStatement!AS17</f>
        <v>5.8793031258586634E-2</v>
      </c>
      <c r="CC82" s="390">
        <f>-CC39/IncomeStatement!AT17</f>
        <v>8.9184381595335427E-2</v>
      </c>
      <c r="CD82" s="388">
        <f>-CD39/IncomeStatement!AU17</f>
        <v>6.0361718719153482E-2</v>
      </c>
      <c r="CE82" s="390">
        <f>-CE39/IncomeStatement!AV17</f>
        <v>7.9233526311707839E-2</v>
      </c>
      <c r="CF82" s="390">
        <f>-CF39/IncomeStatement!AW17</f>
        <v>5.741266017204754E-2</v>
      </c>
      <c r="CG82" s="390">
        <f>-CG39/IncomeStatement!AX17</f>
        <v>6.6396028120005113E-2</v>
      </c>
      <c r="CH82" s="390">
        <f>-CH39/IncomeStatement!AY17</f>
        <v>0.11314077783193283</v>
      </c>
      <c r="CI82" s="388">
        <f>-CI39/IncomeStatement!AZ17</f>
        <v>7.8872638990123659E-2</v>
      </c>
      <c r="CJ82" s="390">
        <f>-CJ39/IncomeStatement!BA17</f>
        <v>6.6218989612545104E-2</v>
      </c>
      <c r="CK82" s="390">
        <f>-CK39/IncomeStatement!BB17</f>
        <v>6.4242958991370336E-2</v>
      </c>
      <c r="CL82" s="390">
        <f>-CL39/IncomeStatement!BC17</f>
        <v>7.6519361589565196E-2</v>
      </c>
      <c r="CM82" s="390">
        <f>-CM39/IncomeStatement!BD17</f>
        <v>0.15773499548450809</v>
      </c>
      <c r="CN82" s="388">
        <f>-CN39/IncomeStatement!BE17</f>
        <v>9.0153056568334319E-2</v>
      </c>
      <c r="CO82" s="390">
        <f>-CO39/IncomeStatement!BF17</f>
        <v>0.10141132577466189</v>
      </c>
      <c r="CP82" s="390">
        <f>-CP39/IncomeStatement!BG17</f>
        <v>0.11742420624079385</v>
      </c>
      <c r="CQ82" s="390">
        <f>-CQ39/IncomeStatement!BH17</f>
        <v>0.16266690602139755</v>
      </c>
      <c r="CR82" s="390">
        <f>-CR39/IncomeStatement!BI17</f>
        <v>0.20038808568963898</v>
      </c>
      <c r="CS82" s="388">
        <f>-CS39/IncomeStatement!BJ17</f>
        <v>0.14481038427725562</v>
      </c>
      <c r="CT82" s="390">
        <f>-CT39/IncomeStatement!BK17</f>
        <v>0.13564454400368331</v>
      </c>
      <c r="CU82" s="390">
        <f>-CU39/IncomeStatement!BL17</f>
        <v>0.14149783263266699</v>
      </c>
      <c r="CV82" s="390">
        <f>-CV39/IncomeStatement!BM17</f>
        <v>0.12418079801303837</v>
      </c>
      <c r="CW82" s="390">
        <f>-CW39/IncomeStatement!BN17</f>
        <v>0.13647884745835712</v>
      </c>
      <c r="CX82" s="388">
        <f>-CX39/IncomeStatement!BO17</f>
        <v>0.13453585179252281</v>
      </c>
      <c r="CY82" s="390">
        <f>-CY39/IncomeStatement!BP17</f>
        <v>0.10258535799803054</v>
      </c>
      <c r="CZ82" s="390">
        <f>-CZ39/IncomeStatement!BQ17</f>
        <v>7.7438218218113614E-2</v>
      </c>
      <c r="DA82" s="390">
        <f>-DA39/IncomeStatement!BR17</f>
        <v>0.11057053064184699</v>
      </c>
      <c r="DB82" s="390">
        <f>-DB39/IncomeStatement!BS17</f>
        <v>0.13320060277314366</v>
      </c>
      <c r="DC82" s="388">
        <f>-DC39/IncomeStatement!BT17</f>
        <v>0.1045152004503218</v>
      </c>
      <c r="DD82" s="390">
        <f>-DD39/IncomeStatement!BU17</f>
        <v>5.1819508150262934E-2</v>
      </c>
      <c r="DE82" s="390">
        <f>-DE39/IncomeStatement!BV17</f>
        <v>5.4023512371153312E-2</v>
      </c>
      <c r="DF82" s="390">
        <f>-DF39/IncomeStatement!BW17</f>
        <v>7.0110389610389609E-2</v>
      </c>
      <c r="DG82" s="390">
        <v>0.12</v>
      </c>
      <c r="DH82" s="388">
        <f>-DH39/IncomeStatement!BY17</f>
        <v>6.6789002824085231E-2</v>
      </c>
      <c r="DI82" s="1144">
        <v>0.09</v>
      </c>
      <c r="DJ82" s="1144">
        <v>0.09</v>
      </c>
      <c r="DK82" s="1144">
        <v>0.09</v>
      </c>
      <c r="DL82" s="1144">
        <v>0.09</v>
      </c>
      <c r="DM82" s="388">
        <f>-DM39/IncomeStatement!CD17</f>
        <v>5.9056307654829603E-2</v>
      </c>
      <c r="DN82" s="1144">
        <v>0.1</v>
      </c>
      <c r="DO82" s="1144">
        <v>0.1</v>
      </c>
      <c r="DP82" s="1144">
        <v>0.1</v>
      </c>
      <c r="DQ82" s="1144">
        <v>0.11</v>
      </c>
      <c r="DR82" s="388">
        <f>-DR39/IncomeStatement!CI17</f>
        <v>5.2100402122817947E-2</v>
      </c>
      <c r="DS82" s="1144">
        <v>0.1</v>
      </c>
      <c r="DT82" s="1144">
        <v>0.1</v>
      </c>
      <c r="DU82" s="1144">
        <v>0.1</v>
      </c>
      <c r="DV82" s="1144">
        <v>0.11</v>
      </c>
      <c r="DW82" s="388">
        <f>-DW39/IncomeStatement!CN17</f>
        <v>4.51444831445975E-2</v>
      </c>
    </row>
    <row r="83" spans="1:127">
      <c r="A83" s="44"/>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211"/>
      <c r="AE83" s="45"/>
      <c r="AF83" s="45"/>
      <c r="AG83" s="45"/>
      <c r="AH83" s="45"/>
      <c r="AI83" s="45"/>
      <c r="AJ83" s="45"/>
      <c r="AK83" s="45"/>
      <c r="AL83" s="45"/>
      <c r="AM83" s="45"/>
      <c r="AN83" s="45"/>
      <c r="AO83" s="45"/>
      <c r="AP83" s="45"/>
      <c r="AQ83" s="45"/>
      <c r="AR83" s="45"/>
      <c r="AS83" s="45"/>
      <c r="AT83" s="45"/>
      <c r="AU83" s="45"/>
      <c r="AV83" s="211"/>
      <c r="AW83" s="211"/>
      <c r="AX83" s="211"/>
      <c r="AY83" s="211"/>
      <c r="AZ83" s="89"/>
      <c r="BA83" s="211"/>
      <c r="BB83" s="211"/>
      <c r="BC83" s="211"/>
      <c r="BD83" s="211"/>
      <c r="BE83" s="89"/>
      <c r="BF83" s="211"/>
      <c r="BG83" s="211"/>
      <c r="BH83" s="211"/>
      <c r="BI83" s="211"/>
      <c r="BJ83" s="89"/>
      <c r="BK83" s="211"/>
      <c r="BL83" s="211"/>
      <c r="BM83" s="211"/>
      <c r="BN83" s="211"/>
      <c r="BO83" s="89"/>
      <c r="BP83" s="211"/>
      <c r="BQ83" s="211"/>
      <c r="BR83" s="211"/>
      <c r="BS83" s="211"/>
      <c r="BT83" s="89"/>
      <c r="BU83" s="211"/>
      <c r="BV83" s="211"/>
      <c r="BW83" s="211"/>
      <c r="BX83" s="211"/>
      <c r="BY83" s="89"/>
      <c r="BZ83" s="211"/>
      <c r="CA83" s="211"/>
      <c r="CB83" s="211"/>
      <c r="CC83" s="211"/>
      <c r="CD83" s="89"/>
      <c r="CE83" s="211"/>
      <c r="CF83" s="45"/>
      <c r="CG83" s="45"/>
      <c r="CH83" s="211"/>
      <c r="CI83" s="89"/>
      <c r="CJ83" s="211"/>
      <c r="CK83" s="211"/>
      <c r="CL83" s="211"/>
      <c r="CM83" s="211"/>
      <c r="CN83" s="89"/>
      <c r="CO83" s="211"/>
      <c r="CP83" s="211"/>
      <c r="CQ83" s="211"/>
      <c r="CR83" s="211"/>
      <c r="CS83" s="89"/>
      <c r="CT83" s="45"/>
      <c r="CU83" s="45"/>
      <c r="CV83" s="45"/>
      <c r="CW83" s="45"/>
      <c r="CX83" s="89"/>
      <c r="CY83" s="45"/>
      <c r="CZ83" s="45"/>
      <c r="DA83" s="45"/>
      <c r="DB83" s="45"/>
      <c r="DC83" s="89"/>
      <c r="DD83" s="45"/>
      <c r="DE83" s="45"/>
      <c r="DF83" s="45"/>
      <c r="DG83" s="45"/>
      <c r="DH83" s="89"/>
      <c r="DI83" s="211"/>
      <c r="DJ83" s="211"/>
      <c r="DK83" s="211"/>
      <c r="DL83" s="211"/>
      <c r="DM83" s="89"/>
      <c r="DN83" s="211"/>
      <c r="DO83" s="211"/>
      <c r="DP83" s="211"/>
      <c r="DQ83" s="211"/>
      <c r="DR83" s="89"/>
      <c r="DS83" s="211"/>
      <c r="DT83" s="211"/>
      <c r="DU83" s="211"/>
      <c r="DV83" s="211"/>
      <c r="DW83" s="89"/>
    </row>
    <row r="84" spans="1:127">
      <c r="A84" s="44" t="s">
        <v>508</v>
      </c>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211"/>
      <c r="AE84" s="45"/>
      <c r="AF84" s="45"/>
      <c r="AG84" s="45"/>
      <c r="AH84" s="45"/>
      <c r="AI84" s="45"/>
      <c r="AJ84" s="45"/>
      <c r="AK84" s="45"/>
      <c r="AL84" s="45"/>
      <c r="AM84" s="45"/>
      <c r="AN84" s="45"/>
      <c r="AO84" s="45"/>
      <c r="AP84" s="45"/>
      <c r="AQ84" s="45"/>
      <c r="AR84" s="45"/>
      <c r="AS84" s="45"/>
      <c r="AT84" s="45"/>
      <c r="AU84" s="45"/>
      <c r="AV84" s="211"/>
      <c r="AW84" s="211"/>
      <c r="AX84" s="211"/>
      <c r="AY84" s="211"/>
      <c r="AZ84" s="121"/>
      <c r="BA84" s="211"/>
      <c r="BB84" s="211"/>
      <c r="BC84" s="211"/>
      <c r="BD84" s="211"/>
      <c r="BE84" s="121"/>
      <c r="BF84" s="211"/>
      <c r="BG84" s="211"/>
      <c r="BH84" s="211"/>
      <c r="BI84" s="211"/>
      <c r="BJ84" s="121"/>
      <c r="BK84" s="211"/>
      <c r="BL84" s="211"/>
      <c r="BM84" s="211"/>
      <c r="BN84" s="211"/>
      <c r="BO84" s="121">
        <v>33.65</v>
      </c>
      <c r="BP84" s="211"/>
      <c r="BQ84" s="211"/>
      <c r="BR84" s="211"/>
      <c r="BS84" s="211"/>
      <c r="BT84" s="121">
        <v>55.155000000000001</v>
      </c>
      <c r="BU84" s="211"/>
      <c r="BV84" s="211"/>
      <c r="BW84" s="211"/>
      <c r="BX84" s="211"/>
      <c r="BY84" s="89"/>
      <c r="BZ84" s="211"/>
      <c r="CA84" s="211"/>
      <c r="CB84" s="211"/>
      <c r="CC84" s="211"/>
      <c r="CD84" s="89"/>
      <c r="CE84" s="211"/>
      <c r="CF84" s="45"/>
      <c r="CG84" s="45"/>
      <c r="CH84" s="211"/>
      <c r="CI84" s="89"/>
      <c r="CJ84" s="211"/>
      <c r="CK84" s="211"/>
      <c r="CL84" s="211"/>
      <c r="CM84" s="211"/>
      <c r="CN84" s="89"/>
      <c r="CO84" s="211"/>
      <c r="CP84" s="211"/>
      <c r="CQ84" s="211"/>
      <c r="CR84" s="211"/>
      <c r="CS84" s="89"/>
      <c r="CT84" s="45"/>
      <c r="CU84" s="45"/>
      <c r="CV84" s="45"/>
      <c r="CW84" s="45"/>
      <c r="CX84" s="89"/>
      <c r="CY84" s="45"/>
      <c r="CZ84" s="45"/>
      <c r="DA84" s="45"/>
      <c r="DB84" s="45"/>
      <c r="DC84" s="89"/>
      <c r="DD84" s="45"/>
      <c r="DE84" s="45"/>
      <c r="DF84" s="45"/>
      <c r="DG84" s="45"/>
      <c r="DH84" s="89"/>
      <c r="DI84" s="211"/>
      <c r="DJ84" s="211"/>
      <c r="DK84" s="211"/>
      <c r="DL84" s="211"/>
      <c r="DM84" s="89"/>
      <c r="DN84" s="211"/>
      <c r="DO84" s="211"/>
      <c r="DP84" s="211"/>
      <c r="DQ84" s="211"/>
      <c r="DR84" s="89"/>
      <c r="DS84" s="211"/>
      <c r="DT84" s="211"/>
      <c r="DU84" s="211"/>
      <c r="DV84" s="211"/>
      <c r="DW84" s="89"/>
    </row>
    <row r="85" spans="1:127">
      <c r="A85" s="44"/>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211"/>
      <c r="AE85" s="45"/>
      <c r="AF85" s="45"/>
      <c r="AG85" s="45"/>
      <c r="AH85" s="45"/>
      <c r="AI85" s="45"/>
      <c r="AJ85" s="45"/>
      <c r="AK85" s="45"/>
      <c r="AL85" s="45"/>
      <c r="AM85" s="45"/>
      <c r="AN85" s="45"/>
      <c r="AO85" s="45"/>
      <c r="AP85" s="45"/>
      <c r="AQ85" s="45"/>
      <c r="AR85" s="45"/>
      <c r="AS85" s="45"/>
      <c r="AT85" s="45"/>
      <c r="AU85" s="45"/>
      <c r="AV85" s="211"/>
      <c r="AW85" s="211"/>
      <c r="AX85" s="211"/>
      <c r="AY85" s="211"/>
      <c r="AZ85" s="121"/>
      <c r="BA85" s="211"/>
      <c r="BB85" s="211"/>
      <c r="BC85" s="211"/>
      <c r="BD85" s="211"/>
      <c r="BE85" s="121"/>
      <c r="BF85" s="211"/>
      <c r="BG85" s="211"/>
      <c r="BH85" s="211"/>
      <c r="BI85" s="211"/>
      <c r="BJ85" s="121"/>
      <c r="BK85" s="211"/>
      <c r="BL85" s="211"/>
      <c r="BM85" s="211"/>
      <c r="BN85" s="211"/>
      <c r="BO85" s="121"/>
      <c r="BP85" s="211"/>
      <c r="BQ85" s="211"/>
      <c r="BR85" s="211"/>
      <c r="BS85" s="211"/>
      <c r="BT85" s="121"/>
      <c r="BU85" s="211"/>
      <c r="BV85" s="211"/>
      <c r="BW85" s="211"/>
      <c r="BX85" s="211"/>
      <c r="BY85" s="89"/>
      <c r="BZ85" s="211"/>
      <c r="CA85" s="211"/>
      <c r="CB85" s="211"/>
      <c r="CC85" s="211"/>
      <c r="CD85" s="89"/>
      <c r="CE85" s="211"/>
      <c r="CF85" s="45"/>
      <c r="CG85" s="45"/>
      <c r="CH85" s="211"/>
      <c r="CI85" s="89"/>
      <c r="CJ85" s="211"/>
      <c r="CK85" s="211"/>
      <c r="CL85" s="211"/>
      <c r="CM85" s="211"/>
      <c r="CN85" s="89"/>
      <c r="CO85" s="211"/>
      <c r="CP85" s="211"/>
      <c r="CQ85" s="211"/>
      <c r="CR85" s="211"/>
      <c r="CS85" s="89"/>
      <c r="CT85" s="45"/>
      <c r="CU85" s="45"/>
      <c r="CV85" s="45"/>
      <c r="CW85" s="45"/>
      <c r="CX85" s="89"/>
      <c r="CY85" s="45"/>
      <c r="CZ85" s="45"/>
      <c r="DA85" s="45"/>
      <c r="DB85" s="45"/>
      <c r="DC85" s="89"/>
      <c r="DD85" s="45"/>
      <c r="DE85" s="45"/>
      <c r="DF85" s="45"/>
      <c r="DG85" s="45"/>
      <c r="DH85" s="89"/>
      <c r="DI85" s="211"/>
      <c r="DJ85" s="211"/>
      <c r="DK85" s="211"/>
      <c r="DL85" s="211"/>
      <c r="DM85" s="89"/>
      <c r="DN85" s="211"/>
      <c r="DO85" s="211"/>
      <c r="DP85" s="211"/>
      <c r="DQ85" s="211"/>
      <c r="DR85" s="89"/>
      <c r="DS85" s="211"/>
      <c r="DT85" s="211"/>
      <c r="DU85" s="211"/>
      <c r="DV85" s="211"/>
      <c r="DW85" s="89"/>
    </row>
    <row r="86" spans="1:127">
      <c r="A86" s="44" t="s">
        <v>628</v>
      </c>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211"/>
      <c r="AE86" s="45"/>
      <c r="AF86" s="45"/>
      <c r="AG86" s="45"/>
      <c r="AH86" s="45"/>
      <c r="AI86" s="45"/>
      <c r="AJ86" s="45"/>
      <c r="AK86" s="45"/>
      <c r="AL86" s="45"/>
      <c r="AM86" s="45"/>
      <c r="AN86" s="45"/>
      <c r="AO86" s="45"/>
      <c r="AP86" s="45"/>
      <c r="AQ86" s="45"/>
      <c r="AR86" s="45"/>
      <c r="AS86" s="45"/>
      <c r="AT86" s="45"/>
      <c r="AU86" s="45"/>
      <c r="AV86" s="211"/>
      <c r="AW86" s="211"/>
      <c r="AX86" s="211"/>
      <c r="AY86" s="211"/>
      <c r="AZ86" s="121"/>
      <c r="BA86" s="211"/>
      <c r="BB86" s="211"/>
      <c r="BC86" s="211"/>
      <c r="BD86" s="211"/>
      <c r="BE86" s="121"/>
      <c r="BF86" s="211"/>
      <c r="BG86" s="211"/>
      <c r="BH86" s="211"/>
      <c r="BI86" s="211"/>
      <c r="BJ86" s="121"/>
      <c r="BK86" s="211"/>
      <c r="BL86" s="211"/>
      <c r="BM86" s="211"/>
      <c r="BN86" s="211"/>
      <c r="BO86" s="121"/>
      <c r="BP86" s="211"/>
      <c r="BQ86" s="211"/>
      <c r="BR86" s="211"/>
      <c r="BS86" s="211"/>
      <c r="BT86" s="121"/>
      <c r="BU86" s="211"/>
      <c r="BV86" s="211"/>
      <c r="BW86" s="211"/>
      <c r="BX86" s="211"/>
      <c r="BY86" s="89"/>
      <c r="BZ86" s="211"/>
      <c r="CA86" s="211"/>
      <c r="CB86" s="211"/>
      <c r="CC86" s="211"/>
      <c r="CD86" s="89"/>
      <c r="CE86" s="211"/>
      <c r="CF86" s="45"/>
      <c r="CG86" s="45"/>
      <c r="CH86" s="211"/>
      <c r="CI86" s="89"/>
      <c r="CJ86" s="211"/>
      <c r="CK86" s="211"/>
      <c r="CL86" s="211"/>
      <c r="CM86" s="211"/>
      <c r="CN86" s="89"/>
      <c r="CO86" s="211"/>
      <c r="CP86" s="211"/>
      <c r="CQ86" s="211"/>
      <c r="CR86" s="211"/>
      <c r="CS86" s="89"/>
      <c r="CT86" s="88">
        <v>14.145</v>
      </c>
      <c r="CU86" s="88">
        <v>12.9</v>
      </c>
      <c r="CV86" s="88">
        <v>12.78</v>
      </c>
      <c r="CW86" s="88">
        <v>9.48</v>
      </c>
      <c r="CX86" s="99">
        <f>SUM(CT86:CW86)</f>
        <v>49.305000000000007</v>
      </c>
      <c r="CY86" s="88">
        <v>8.73</v>
      </c>
      <c r="CZ86" s="88">
        <v>8.73</v>
      </c>
      <c r="DA86" s="88">
        <v>6.4049999999999994</v>
      </c>
      <c r="DB86" s="88">
        <v>4.95</v>
      </c>
      <c r="DC86" s="99">
        <f>SUM(CY86:DB86)</f>
        <v>28.815000000000001</v>
      </c>
      <c r="DD86" s="88">
        <v>4.9649999999999999</v>
      </c>
      <c r="DE86" s="88">
        <v>4.9649999999999999</v>
      </c>
      <c r="DF86" s="88">
        <v>4.9950000000000001</v>
      </c>
      <c r="DG86" s="88">
        <v>5.0549999999999997</v>
      </c>
      <c r="DH86" s="99">
        <f>SUM(DD86:DG86)</f>
        <v>19.98</v>
      </c>
      <c r="DI86" s="88">
        <v>2.5349999999999997</v>
      </c>
      <c r="DJ86" s="88">
        <v>2.5425</v>
      </c>
      <c r="DK86" s="88">
        <v>2.5499999999999998</v>
      </c>
      <c r="DL86" s="88">
        <v>2.5575000000000001</v>
      </c>
      <c r="DM86" s="99">
        <f>SUM(DI86:DL86)</f>
        <v>10.184999999999999</v>
      </c>
      <c r="DN86" s="88">
        <v>2.1437500000000003</v>
      </c>
      <c r="DO86" s="88">
        <v>2.15625</v>
      </c>
      <c r="DP86" s="88">
        <v>2.1687500000000002</v>
      </c>
      <c r="DQ86" s="88">
        <v>2.1812499999999999</v>
      </c>
      <c r="DR86" s="99">
        <f>SUM(DN86:DQ86)</f>
        <v>8.65</v>
      </c>
      <c r="DS86" s="88">
        <v>2.2000000000000002</v>
      </c>
      <c r="DT86" s="88">
        <v>2.21875</v>
      </c>
      <c r="DU86" s="88">
        <v>2.2375000000000003</v>
      </c>
      <c r="DV86" s="88">
        <v>2.2562500000000001</v>
      </c>
      <c r="DW86" s="99">
        <f>SUM(DS86:DV86)</f>
        <v>8.9124999999999996</v>
      </c>
    </row>
    <row r="87" spans="1:127">
      <c r="A87" s="44" t="s">
        <v>629</v>
      </c>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211"/>
      <c r="AE87" s="45"/>
      <c r="AF87" s="45"/>
      <c r="AG87" s="45"/>
      <c r="AH87" s="45"/>
      <c r="AI87" s="45"/>
      <c r="AJ87" s="45"/>
      <c r="AK87" s="45"/>
      <c r="AL87" s="45"/>
      <c r="AM87" s="45"/>
      <c r="AN87" s="45"/>
      <c r="AO87" s="45"/>
      <c r="AP87" s="45"/>
      <c r="AQ87" s="45"/>
      <c r="AR87" s="45"/>
      <c r="AS87" s="45"/>
      <c r="AT87" s="45"/>
      <c r="AU87" s="45"/>
      <c r="AV87" s="211"/>
      <c r="AW87" s="211"/>
      <c r="AX87" s="211"/>
      <c r="AY87" s="211"/>
      <c r="AZ87" s="121"/>
      <c r="BA87" s="211"/>
      <c r="BB87" s="211"/>
      <c r="BC87" s="211"/>
      <c r="BD87" s="211"/>
      <c r="BE87" s="121"/>
      <c r="BF87" s="211"/>
      <c r="BG87" s="211"/>
      <c r="BH87" s="211"/>
      <c r="BI87" s="211"/>
      <c r="BJ87" s="121"/>
      <c r="BK87" s="211"/>
      <c r="BL87" s="211"/>
      <c r="BM87" s="211"/>
      <c r="BN87" s="211"/>
      <c r="BO87" s="121"/>
      <c r="BP87" s="211"/>
      <c r="BQ87" s="211"/>
      <c r="BR87" s="211"/>
      <c r="BS87" s="211"/>
      <c r="BT87" s="121"/>
      <c r="BU87" s="211"/>
      <c r="BV87" s="211"/>
      <c r="BW87" s="211"/>
      <c r="BX87" s="211"/>
      <c r="BY87" s="89"/>
      <c r="BZ87" s="211"/>
      <c r="CA87" s="211"/>
      <c r="CB87" s="211"/>
      <c r="CC87" s="211"/>
      <c r="CD87" s="89"/>
      <c r="CE87" s="211"/>
      <c r="CF87" s="45"/>
      <c r="CG87" s="45"/>
      <c r="CH87" s="211"/>
      <c r="CI87" s="89"/>
      <c r="CJ87" s="211"/>
      <c r="CK87" s="211"/>
      <c r="CL87" s="211"/>
      <c r="CM87" s="211"/>
      <c r="CN87" s="89"/>
      <c r="CO87" s="211"/>
      <c r="CP87" s="211"/>
      <c r="CQ87" s="211"/>
      <c r="CR87" s="211"/>
      <c r="CS87" s="89"/>
      <c r="CT87" s="45"/>
      <c r="CU87" s="45"/>
      <c r="CV87" s="45"/>
      <c r="CW87" s="45"/>
      <c r="CX87" s="89">
        <v>140</v>
      </c>
      <c r="CY87" s="88"/>
      <c r="CZ87" s="88"/>
      <c r="DA87" s="88"/>
      <c r="DB87" s="88"/>
      <c r="DC87" s="99">
        <f>90-DC88</f>
        <v>65.515312499999993</v>
      </c>
      <c r="DD87" s="88">
        <v>2.5</v>
      </c>
      <c r="DE87" s="88">
        <v>2.5</v>
      </c>
      <c r="DF87" s="88">
        <v>2.5</v>
      </c>
      <c r="DG87" s="88">
        <v>2.5</v>
      </c>
      <c r="DH87" s="99">
        <f>SUM(DD87:DG87)</f>
        <v>10</v>
      </c>
      <c r="DI87" s="88"/>
      <c r="DJ87" s="88"/>
      <c r="DK87" s="88"/>
      <c r="DL87" s="88"/>
      <c r="DM87" s="99"/>
      <c r="DN87" s="88"/>
      <c r="DO87" s="88"/>
      <c r="DP87" s="88"/>
      <c r="DQ87" s="88"/>
      <c r="DR87" s="99"/>
      <c r="DS87" s="88"/>
      <c r="DT87" s="88"/>
      <c r="DU87" s="88"/>
      <c r="DV87" s="88"/>
      <c r="DW87" s="99"/>
    </row>
    <row r="88" spans="1:127">
      <c r="A88" s="44" t="s">
        <v>630</v>
      </c>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211"/>
      <c r="AE88" s="45"/>
      <c r="AF88" s="45"/>
      <c r="AG88" s="45"/>
      <c r="AH88" s="45"/>
      <c r="AI88" s="45"/>
      <c r="AJ88" s="45"/>
      <c r="AK88" s="45"/>
      <c r="AL88" s="45"/>
      <c r="AM88" s="45"/>
      <c r="AN88" s="45"/>
      <c r="AO88" s="45"/>
      <c r="AP88" s="45"/>
      <c r="AQ88" s="45"/>
      <c r="AR88" s="45"/>
      <c r="AS88" s="45"/>
      <c r="AT88" s="45"/>
      <c r="AU88" s="45"/>
      <c r="AV88" s="211"/>
      <c r="AW88" s="211"/>
      <c r="AX88" s="211"/>
      <c r="AY88" s="211"/>
      <c r="AZ88" s="121"/>
      <c r="BA88" s="211"/>
      <c r="BB88" s="211"/>
      <c r="BC88" s="211"/>
      <c r="BD88" s="211"/>
      <c r="BE88" s="121"/>
      <c r="BF88" s="211"/>
      <c r="BG88" s="211"/>
      <c r="BH88" s="211"/>
      <c r="BI88" s="211"/>
      <c r="BJ88" s="121"/>
      <c r="BK88" s="211"/>
      <c r="BL88" s="211"/>
      <c r="BM88" s="211"/>
      <c r="BN88" s="211"/>
      <c r="BO88" s="121"/>
      <c r="BP88" s="211"/>
      <c r="BQ88" s="211"/>
      <c r="BR88" s="211"/>
      <c r="BS88" s="211"/>
      <c r="BT88" s="121"/>
      <c r="BU88" s="211"/>
      <c r="BV88" s="211"/>
      <c r="BW88" s="211"/>
      <c r="BX88" s="211"/>
      <c r="BY88" s="89"/>
      <c r="BZ88" s="211"/>
      <c r="CA88" s="211"/>
      <c r="CB88" s="211"/>
      <c r="CC88" s="211"/>
      <c r="CD88" s="89"/>
      <c r="CE88" s="211"/>
      <c r="CF88" s="45"/>
      <c r="CG88" s="45"/>
      <c r="CH88" s="211"/>
      <c r="CI88" s="89"/>
      <c r="CJ88" s="211"/>
      <c r="CK88" s="211"/>
      <c r="CL88" s="211"/>
      <c r="CM88" s="211"/>
      <c r="CN88" s="89"/>
      <c r="CO88" s="211"/>
      <c r="CP88" s="211"/>
      <c r="CQ88" s="211"/>
      <c r="CR88" s="211"/>
      <c r="CS88" s="89"/>
      <c r="CT88" s="45"/>
      <c r="CU88" s="45"/>
      <c r="CV88" s="45"/>
      <c r="CW88" s="45"/>
      <c r="CX88" s="89">
        <v>40</v>
      </c>
      <c r="CY88" s="88">
        <v>7.5337499999999995</v>
      </c>
      <c r="CZ88" s="88">
        <v>3.7668749999999998</v>
      </c>
      <c r="DA88" s="88">
        <v>5.6503125000000001</v>
      </c>
      <c r="DB88" s="88">
        <v>7.5337499999999995</v>
      </c>
      <c r="DC88" s="99">
        <f>SUM(CY88:DB88)</f>
        <v>24.4846875</v>
      </c>
      <c r="DD88" s="88">
        <v>1.9305234374999996</v>
      </c>
      <c r="DE88" s="88">
        <v>3.8610468749999991</v>
      </c>
      <c r="DF88" s="88">
        <v>7.7220937499999982</v>
      </c>
      <c r="DG88" s="88">
        <v>7.7220937499999982</v>
      </c>
      <c r="DH88" s="99">
        <f>SUM(DD88:DG88)</f>
        <v>21.235757812499994</v>
      </c>
      <c r="DI88" s="88">
        <v>5.515781249999999</v>
      </c>
      <c r="DJ88" s="88">
        <v>5.515781249999999</v>
      </c>
      <c r="DK88" s="88">
        <v>5.515781249999999</v>
      </c>
      <c r="DL88" s="88">
        <v>5.515781249999999</v>
      </c>
      <c r="DM88" s="99">
        <f>SUM(DI88:DL88)</f>
        <v>22.063124999999996</v>
      </c>
      <c r="DN88" s="88">
        <v>7.3543749999999983</v>
      </c>
      <c r="DO88" s="88">
        <v>7.3543749999999983</v>
      </c>
      <c r="DP88" s="88">
        <v>7.3543749999999983</v>
      </c>
      <c r="DQ88" s="88">
        <v>7.3543749999999983</v>
      </c>
      <c r="DR88" s="99">
        <f>SUM(DN88:DQ88)</f>
        <v>29.417499999999993</v>
      </c>
      <c r="DS88" s="88">
        <v>9.1929687499999986</v>
      </c>
      <c r="DT88" s="88">
        <v>9.1929687499999986</v>
      </c>
      <c r="DU88" s="88">
        <v>9.1929687499999986</v>
      </c>
      <c r="DV88" s="88">
        <v>9.1929687499999986</v>
      </c>
      <c r="DW88" s="99">
        <f>SUM(DS88:DV88)</f>
        <v>36.771874999999994</v>
      </c>
    </row>
    <row r="89" spans="1:127">
      <c r="A89" s="44" t="s">
        <v>631</v>
      </c>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211"/>
      <c r="AE89" s="45"/>
      <c r="AF89" s="45"/>
      <c r="AG89" s="45"/>
      <c r="AH89" s="45"/>
      <c r="AI89" s="45"/>
      <c r="AJ89" s="45"/>
      <c r="AK89" s="45"/>
      <c r="AL89" s="45"/>
      <c r="AM89" s="45"/>
      <c r="AN89" s="45"/>
      <c r="AO89" s="45"/>
      <c r="AP89" s="45"/>
      <c r="AQ89" s="45"/>
      <c r="AR89" s="45"/>
      <c r="AS89" s="45"/>
      <c r="AT89" s="45"/>
      <c r="AU89" s="45"/>
      <c r="AV89" s="211"/>
      <c r="AW89" s="211"/>
      <c r="AX89" s="211"/>
      <c r="AY89" s="211"/>
      <c r="AZ89" s="121"/>
      <c r="BA89" s="211"/>
      <c r="BB89" s="211"/>
      <c r="BC89" s="211"/>
      <c r="BD89" s="211"/>
      <c r="BE89" s="121"/>
      <c r="BF89" s="211"/>
      <c r="BG89" s="211"/>
      <c r="BH89" s="211"/>
      <c r="BI89" s="211"/>
      <c r="BJ89" s="121"/>
      <c r="BK89" s="211"/>
      <c r="BL89" s="211"/>
      <c r="BM89" s="211"/>
      <c r="BN89" s="211"/>
      <c r="BO89" s="121"/>
      <c r="BP89" s="211"/>
      <c r="BQ89" s="211"/>
      <c r="BR89" s="211"/>
      <c r="BS89" s="211"/>
      <c r="BT89" s="121"/>
      <c r="BU89" s="211"/>
      <c r="BV89" s="211"/>
      <c r="BW89" s="211"/>
      <c r="BX89" s="211"/>
      <c r="BY89" s="89"/>
      <c r="BZ89" s="211"/>
      <c r="CA89" s="211"/>
      <c r="CB89" s="211"/>
      <c r="CC89" s="211"/>
      <c r="CD89" s="89"/>
      <c r="CE89" s="211"/>
      <c r="CF89" s="45"/>
      <c r="CG89" s="45"/>
      <c r="CH89" s="211"/>
      <c r="CI89" s="89"/>
      <c r="CJ89" s="211"/>
      <c r="CK89" s="211"/>
      <c r="CL89" s="211"/>
      <c r="CM89" s="211"/>
      <c r="CN89" s="89"/>
      <c r="CO89" s="211"/>
      <c r="CP89" s="211"/>
      <c r="CQ89" s="211"/>
      <c r="CR89" s="211"/>
      <c r="CS89" s="89"/>
      <c r="CT89" s="45"/>
      <c r="CU89" s="45"/>
      <c r="CV89" s="45"/>
      <c r="CW89" s="45"/>
      <c r="CX89" s="89">
        <v>25</v>
      </c>
      <c r="CY89" s="88">
        <v>7.5</v>
      </c>
      <c r="CZ89" s="88">
        <v>7.5</v>
      </c>
      <c r="DA89" s="88">
        <v>7.5</v>
      </c>
      <c r="DB89" s="88">
        <v>7.5</v>
      </c>
      <c r="DC89" s="99">
        <f>SUM(CY89:DB89)</f>
        <v>30</v>
      </c>
      <c r="DD89" s="88">
        <v>7.5</v>
      </c>
      <c r="DE89" s="88">
        <v>7.5</v>
      </c>
      <c r="DF89" s="88">
        <v>9</v>
      </c>
      <c r="DG89" s="88">
        <v>15</v>
      </c>
      <c r="DH89" s="99">
        <f>SUM(DD89:DG89)</f>
        <v>39</v>
      </c>
      <c r="DI89" s="88">
        <v>10.75</v>
      </c>
      <c r="DJ89" s="88">
        <v>10.75</v>
      </c>
      <c r="DK89" s="88">
        <v>10.75</v>
      </c>
      <c r="DL89" s="88">
        <v>10.75</v>
      </c>
      <c r="DM89" s="99">
        <f>SUM(DI89:DL89)</f>
        <v>43</v>
      </c>
      <c r="DN89" s="88">
        <v>8</v>
      </c>
      <c r="DO89" s="88">
        <v>8</v>
      </c>
      <c r="DP89" s="88">
        <v>8</v>
      </c>
      <c r="DQ89" s="88">
        <v>8</v>
      </c>
      <c r="DR89" s="99">
        <f>SUM(DN89:DQ89)</f>
        <v>32</v>
      </c>
      <c r="DS89" s="88">
        <v>4.75</v>
      </c>
      <c r="DT89" s="88">
        <v>4.75</v>
      </c>
      <c r="DU89" s="88">
        <v>4.75</v>
      </c>
      <c r="DV89" s="88">
        <v>4.75</v>
      </c>
      <c r="DW89" s="99">
        <f>SUM(DS89:DV89)</f>
        <v>19</v>
      </c>
    </row>
    <row r="90" spans="1:127">
      <c r="A90" s="44"/>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211"/>
      <c r="AE90" s="45"/>
      <c r="AF90" s="45"/>
      <c r="AG90" s="45"/>
      <c r="AH90" s="45"/>
      <c r="AI90" s="45"/>
      <c r="AJ90" s="45"/>
      <c r="AK90" s="45"/>
      <c r="AL90" s="45"/>
      <c r="AM90" s="45"/>
      <c r="AN90" s="45"/>
      <c r="AO90" s="45"/>
      <c r="AP90" s="45"/>
      <c r="AQ90" s="45"/>
      <c r="AR90" s="45"/>
      <c r="AS90" s="45"/>
      <c r="AT90" s="45"/>
      <c r="AU90" s="45"/>
      <c r="AV90" s="211"/>
      <c r="AW90" s="211"/>
      <c r="AX90" s="211"/>
      <c r="AY90" s="211"/>
      <c r="AZ90" s="121"/>
      <c r="BA90" s="211"/>
      <c r="BB90" s="211"/>
      <c r="BC90" s="211"/>
      <c r="BD90" s="211"/>
      <c r="BE90" s="121"/>
      <c r="BF90" s="211"/>
      <c r="BG90" s="211"/>
      <c r="BH90" s="211"/>
      <c r="BI90" s="211"/>
      <c r="BJ90" s="121"/>
      <c r="BK90" s="211"/>
      <c r="BL90" s="211"/>
      <c r="BM90" s="211"/>
      <c r="BN90" s="211"/>
      <c r="BO90" s="121"/>
      <c r="BP90" s="211"/>
      <c r="BQ90" s="211"/>
      <c r="BR90" s="211"/>
      <c r="BS90" s="211"/>
      <c r="BT90" s="121"/>
      <c r="BU90" s="211"/>
      <c r="BV90" s="211"/>
      <c r="BW90" s="211"/>
      <c r="BX90" s="211"/>
      <c r="BY90" s="89"/>
      <c r="BZ90" s="211"/>
      <c r="CA90" s="211"/>
      <c r="CB90" s="211"/>
      <c r="CC90" s="211"/>
      <c r="CD90" s="89"/>
      <c r="CE90" s="211"/>
      <c r="CF90" s="45"/>
      <c r="CG90" s="45"/>
      <c r="CH90" s="211"/>
      <c r="CI90" s="89"/>
      <c r="CJ90" s="211"/>
      <c r="CK90" s="211"/>
      <c r="CL90" s="211"/>
      <c r="CM90" s="211"/>
      <c r="CN90" s="89"/>
      <c r="CO90" s="211"/>
      <c r="CP90" s="211"/>
      <c r="CQ90" s="211"/>
      <c r="CR90" s="211"/>
      <c r="CS90" s="89"/>
      <c r="CT90" s="45"/>
      <c r="CU90" s="45"/>
      <c r="CV90" s="45"/>
      <c r="CW90" s="45"/>
      <c r="CX90" s="89"/>
      <c r="CY90" s="88"/>
      <c r="CZ90" s="88"/>
      <c r="DA90" s="88"/>
      <c r="DB90" s="88"/>
      <c r="DC90" s="99"/>
      <c r="DD90" s="88"/>
      <c r="DE90" s="88"/>
      <c r="DF90" s="88"/>
      <c r="DG90" s="88"/>
      <c r="DH90" s="99"/>
      <c r="DI90" s="88"/>
      <c r="DJ90" s="88"/>
      <c r="DK90" s="88"/>
      <c r="DL90" s="88"/>
      <c r="DM90" s="99"/>
      <c r="DN90" s="88"/>
      <c r="DO90" s="88"/>
      <c r="DP90" s="88"/>
      <c r="DQ90" s="88"/>
      <c r="DR90" s="99"/>
      <c r="DS90" s="88"/>
      <c r="DT90" s="88"/>
      <c r="DU90" s="88"/>
      <c r="DV90" s="88"/>
      <c r="DW90" s="89"/>
    </row>
    <row r="91" spans="1:127">
      <c r="A91" s="89" t="s">
        <v>392</v>
      </c>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211"/>
      <c r="AE91" s="45"/>
      <c r="AF91" s="45"/>
      <c r="AG91" s="45"/>
      <c r="AH91" s="45"/>
      <c r="AI91" s="45"/>
      <c r="AJ91" s="45"/>
      <c r="AK91" s="45"/>
      <c r="AL91" s="45"/>
      <c r="AM91" s="45"/>
      <c r="AN91" s="45"/>
      <c r="AO91" s="45"/>
      <c r="AP91" s="45"/>
      <c r="AQ91" s="45"/>
      <c r="AR91" s="45"/>
      <c r="AS91" s="45"/>
      <c r="AT91" s="45"/>
      <c r="AU91" s="45"/>
      <c r="AV91" s="211"/>
      <c r="AW91" s="211"/>
      <c r="AX91" s="211"/>
      <c r="AY91" s="211"/>
      <c r="AZ91" s="121"/>
      <c r="BA91" s="211"/>
      <c r="BB91" s="211"/>
      <c r="BC91" s="211"/>
      <c r="BD91" s="211"/>
      <c r="BE91" s="121"/>
      <c r="BF91" s="96"/>
      <c r="BG91" s="96"/>
      <c r="BH91" s="274"/>
      <c r="BI91" s="274"/>
      <c r="BJ91" s="121"/>
      <c r="BK91" s="274"/>
      <c r="BL91" s="274"/>
      <c r="BM91" s="274"/>
      <c r="BN91" s="274"/>
      <c r="BO91" s="121"/>
      <c r="BP91" s="274"/>
      <c r="BQ91" s="274"/>
      <c r="BR91" s="274"/>
      <c r="BS91" s="274"/>
      <c r="BT91" s="121"/>
      <c r="BU91" s="274"/>
      <c r="BV91" s="274"/>
      <c r="BW91" s="274"/>
      <c r="BX91" s="274"/>
      <c r="BY91" s="99"/>
      <c r="BZ91" s="274"/>
      <c r="CA91" s="274"/>
      <c r="CB91" s="274"/>
      <c r="CC91" s="274"/>
      <c r="CD91" s="99"/>
      <c r="CE91" s="88">
        <v>0</v>
      </c>
      <c r="CF91" s="88">
        <v>0</v>
      </c>
      <c r="CG91" s="88">
        <v>0</v>
      </c>
      <c r="CH91" s="88">
        <v>0</v>
      </c>
      <c r="CI91" s="121">
        <v>71.900000000000006</v>
      </c>
      <c r="CJ91" s="88">
        <v>20.100000000000001</v>
      </c>
      <c r="CK91" s="88">
        <f>44.6-CJ91</f>
        <v>24.5</v>
      </c>
      <c r="CL91" s="88">
        <f>75.1-SUM(CJ91:CK91)</f>
        <v>30.499999999999993</v>
      </c>
      <c r="CM91" s="93">
        <v>69.3</v>
      </c>
      <c r="CN91" s="121">
        <f>SUM(CJ91:CM91)</f>
        <v>144.39999999999998</v>
      </c>
      <c r="CO91" s="88">
        <f>CJ91+13.1</f>
        <v>33.200000000000003</v>
      </c>
      <c r="CP91" s="93">
        <v>37.206800000000001</v>
      </c>
      <c r="CQ91" s="93">
        <v>53.705100000000002</v>
      </c>
      <c r="CR91" s="93">
        <v>80.010199999999998</v>
      </c>
      <c r="CS91" s="121">
        <f>SUM(CO91:CR91)</f>
        <v>204.12209999999999</v>
      </c>
      <c r="CT91" s="88">
        <v>43.05</v>
      </c>
      <c r="CU91" s="88">
        <v>43.05</v>
      </c>
      <c r="CV91" s="88">
        <v>43.05</v>
      </c>
      <c r="CW91" s="88">
        <v>49.35</v>
      </c>
      <c r="CX91" s="121">
        <f>SUM(CT91:CW91)</f>
        <v>178.49999999999997</v>
      </c>
      <c r="CY91" s="88">
        <v>16.053124999999998</v>
      </c>
      <c r="CZ91" s="88">
        <v>8.0265624999999989</v>
      </c>
      <c r="DA91" s="88">
        <v>5.3812499999999996</v>
      </c>
      <c r="DB91" s="88">
        <v>7.1749999999999989</v>
      </c>
      <c r="DC91" s="121">
        <f>SUM(CY91:DB91)</f>
        <v>36.635937499999997</v>
      </c>
      <c r="DD91" s="88">
        <v>1.8385937499999996</v>
      </c>
      <c r="DE91" s="88">
        <v>3.6771874999999992</v>
      </c>
      <c r="DF91" s="88">
        <v>7.3543749999999983</v>
      </c>
      <c r="DG91" s="88">
        <v>7.3543749999999983</v>
      </c>
      <c r="DH91" s="121">
        <f>SUM(DD91:DG91)</f>
        <v>20.224531249999995</v>
      </c>
      <c r="DI91" s="88">
        <v>5.515781249999999</v>
      </c>
      <c r="DJ91" s="88">
        <v>5.515781249999999</v>
      </c>
      <c r="DK91" s="88">
        <v>5.515781249999999</v>
      </c>
      <c r="DL91" s="88">
        <v>5.515781249999999</v>
      </c>
      <c r="DM91" s="121">
        <f>SUM(DI91:DL91)</f>
        <v>22.063124999999996</v>
      </c>
      <c r="DN91" s="88">
        <v>7.3543749999999983</v>
      </c>
      <c r="DO91" s="88">
        <v>7.3543749999999983</v>
      </c>
      <c r="DP91" s="88">
        <v>7.3543749999999983</v>
      </c>
      <c r="DQ91" s="88">
        <v>7.3543749999999983</v>
      </c>
      <c r="DR91" s="121">
        <f>SUM(DN91:DQ91)</f>
        <v>29.417499999999993</v>
      </c>
      <c r="DS91" s="88">
        <v>2</v>
      </c>
      <c r="DT91" s="88">
        <v>2</v>
      </c>
      <c r="DU91" s="88">
        <v>2</v>
      </c>
      <c r="DV91" s="88">
        <v>2</v>
      </c>
      <c r="DW91" s="121">
        <f>SUM(DS91:DV91)</f>
        <v>8</v>
      </c>
    </row>
    <row r="92" spans="1:127">
      <c r="A92" s="44" t="s">
        <v>395</v>
      </c>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211"/>
      <c r="AE92" s="45"/>
      <c r="AF92" s="45"/>
      <c r="AG92" s="45"/>
      <c r="AH92" s="45"/>
      <c r="AI92" s="45"/>
      <c r="AJ92" s="45"/>
      <c r="AK92" s="45"/>
      <c r="AL92" s="45"/>
      <c r="AM92" s="45"/>
      <c r="AN92" s="45"/>
      <c r="AO92" s="45"/>
      <c r="AP92" s="45"/>
      <c r="AQ92" s="45"/>
      <c r="AR92" s="45"/>
      <c r="AS92" s="45"/>
      <c r="AT92" s="45"/>
      <c r="AU92" s="45"/>
      <c r="AV92" s="211"/>
      <c r="AW92" s="211"/>
      <c r="AX92" s="211"/>
      <c r="AY92" s="211"/>
      <c r="AZ92" s="121">
        <v>101</v>
      </c>
      <c r="BA92" s="211"/>
      <c r="BB92" s="211"/>
      <c r="BC92" s="211"/>
      <c r="BD92" s="211"/>
      <c r="BE92" s="121">
        <v>44</v>
      </c>
      <c r="BF92" s="96"/>
      <c r="BG92" s="96"/>
      <c r="BH92" s="274"/>
      <c r="BI92" s="274"/>
      <c r="BJ92" s="121">
        <v>28</v>
      </c>
      <c r="BK92" s="274"/>
      <c r="BL92" s="274"/>
      <c r="BM92" s="274"/>
      <c r="BN92" s="274"/>
      <c r="BO92" s="121"/>
      <c r="BP92" s="274"/>
      <c r="BQ92" s="274"/>
      <c r="BR92" s="274"/>
      <c r="BS92" s="274"/>
      <c r="BT92" s="121"/>
      <c r="BU92" s="274"/>
      <c r="BV92" s="274"/>
      <c r="BW92" s="274"/>
      <c r="BX92" s="274"/>
      <c r="BY92" s="99">
        <v>10.9</v>
      </c>
      <c r="BZ92" s="274"/>
      <c r="CA92" s="274"/>
      <c r="CB92" s="274"/>
      <c r="CC92" s="274"/>
      <c r="CD92" s="99">
        <v>23.9</v>
      </c>
      <c r="CE92" s="88">
        <f>8.8+7.2</f>
        <v>16</v>
      </c>
      <c r="CF92" s="88">
        <f>12.8+9.8-CE92</f>
        <v>6.6000000000000014</v>
      </c>
      <c r="CG92" s="88">
        <f>31.3+12.8-SUM(CE92:CF92)</f>
        <v>21.5</v>
      </c>
      <c r="CH92" s="88">
        <f>CI91+CI92-SUM(CE92:CG92)</f>
        <v>41.300000000000004</v>
      </c>
      <c r="CI92" s="121">
        <v>13.5</v>
      </c>
      <c r="CJ92" s="88">
        <v>1.1000000000000001</v>
      </c>
      <c r="CK92" s="88">
        <f>1.6-CJ92</f>
        <v>0.5</v>
      </c>
      <c r="CL92" s="88">
        <f>1.6-SUM(CJ92:CK92)</f>
        <v>0</v>
      </c>
      <c r="CM92" s="93">
        <v>0</v>
      </c>
      <c r="CN92" s="121">
        <f>SUM(CJ92:CM92)</f>
        <v>1.6</v>
      </c>
      <c r="CO92" s="93">
        <v>0</v>
      </c>
      <c r="CP92" s="93">
        <v>0</v>
      </c>
      <c r="CQ92" s="93">
        <v>0</v>
      </c>
      <c r="CR92" s="93">
        <v>0</v>
      </c>
      <c r="CS92" s="121">
        <v>0</v>
      </c>
      <c r="CT92" s="88">
        <v>0</v>
      </c>
      <c r="CU92" s="88">
        <v>0</v>
      </c>
      <c r="CV92" s="88">
        <v>0</v>
      </c>
      <c r="CW92" s="88">
        <v>0</v>
      </c>
      <c r="CX92" s="121">
        <v>0</v>
      </c>
      <c r="CY92" s="88">
        <v>0</v>
      </c>
      <c r="CZ92" s="88">
        <v>0</v>
      </c>
      <c r="DA92" s="88">
        <v>0</v>
      </c>
      <c r="DB92" s="88">
        <v>0</v>
      </c>
      <c r="DC92" s="121">
        <v>0</v>
      </c>
      <c r="DD92" s="685">
        <v>1.7</v>
      </c>
      <c r="DE92" s="685">
        <v>3.4</v>
      </c>
      <c r="DF92" s="685">
        <v>6.8</v>
      </c>
      <c r="DG92" s="685">
        <v>6.8</v>
      </c>
      <c r="DH92" s="686">
        <v>18.7</v>
      </c>
      <c r="DI92" s="685">
        <v>5.0999999999999996</v>
      </c>
      <c r="DJ92" s="685">
        <v>5.0999999999999996</v>
      </c>
      <c r="DK92" s="685">
        <v>5.0999999999999996</v>
      </c>
      <c r="DL92" s="685">
        <v>5.0999999999999996</v>
      </c>
      <c r="DM92" s="686">
        <v>20.399999999999999</v>
      </c>
      <c r="DN92" s="685">
        <v>6.8</v>
      </c>
      <c r="DO92" s="685">
        <v>6.8</v>
      </c>
      <c r="DP92" s="685">
        <v>6.8</v>
      </c>
      <c r="DQ92" s="685">
        <v>6.8</v>
      </c>
      <c r="DR92" s="686">
        <v>27.2</v>
      </c>
      <c r="DS92" s="685">
        <v>8.5</v>
      </c>
      <c r="DT92" s="685">
        <v>8.5</v>
      </c>
      <c r="DU92" s="685">
        <v>8.5</v>
      </c>
      <c r="DV92" s="685">
        <v>8.5</v>
      </c>
      <c r="DW92" s="686">
        <v>34</v>
      </c>
    </row>
    <row r="93" spans="1:127">
      <c r="A93" s="44" t="s">
        <v>393</v>
      </c>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211"/>
      <c r="AE93" s="45"/>
      <c r="AF93" s="45"/>
      <c r="AG93" s="45"/>
      <c r="AH93" s="45"/>
      <c r="AI93" s="45"/>
      <c r="AJ93" s="45"/>
      <c r="AK93" s="45"/>
      <c r="AL93" s="45"/>
      <c r="AM93" s="45"/>
      <c r="AN93" s="45"/>
      <c r="AO93" s="45"/>
      <c r="AP93" s="45"/>
      <c r="AQ93" s="45"/>
      <c r="AR93" s="45"/>
      <c r="AS93" s="45"/>
      <c r="AT93" s="45"/>
      <c r="AU93" s="45"/>
      <c r="AV93" s="211"/>
      <c r="AW93" s="211"/>
      <c r="AX93" s="211"/>
      <c r="AY93" s="211"/>
      <c r="AZ93" s="121">
        <v>56</v>
      </c>
      <c r="BA93" s="211"/>
      <c r="BB93" s="211"/>
      <c r="BC93" s="211"/>
      <c r="BD93" s="211"/>
      <c r="BE93" s="121">
        <v>56</v>
      </c>
      <c r="BF93" s="211"/>
      <c r="BG93" s="211"/>
      <c r="BH93" s="211"/>
      <c r="BI93" s="211"/>
      <c r="BJ93" s="121">
        <v>79</v>
      </c>
      <c r="BK93" s="211"/>
      <c r="BL93" s="211"/>
      <c r="BM93" s="211"/>
      <c r="BN93" s="211"/>
      <c r="BO93" s="121"/>
      <c r="BP93" s="211"/>
      <c r="BQ93" s="211"/>
      <c r="BR93" s="211"/>
      <c r="BS93" s="211"/>
      <c r="BT93" s="121"/>
      <c r="BU93" s="211"/>
      <c r="BV93" s="211"/>
      <c r="BW93" s="211"/>
      <c r="BX93" s="211"/>
      <c r="BY93" s="89">
        <v>50.1</v>
      </c>
      <c r="BZ93" s="211"/>
      <c r="CA93" s="211"/>
      <c r="CB93" s="211"/>
      <c r="CC93" s="211"/>
      <c r="CD93" s="89">
        <v>27.5</v>
      </c>
      <c r="CE93" s="88">
        <v>0</v>
      </c>
      <c r="CF93" s="88">
        <v>0</v>
      </c>
      <c r="CG93" s="88">
        <v>12.9</v>
      </c>
      <c r="CH93" s="88">
        <f>CI93-SUM(CE93:CG93)</f>
        <v>10.299999999999999</v>
      </c>
      <c r="CI93" s="121">
        <v>23.2</v>
      </c>
      <c r="CJ93" s="88">
        <v>4</v>
      </c>
      <c r="CK93" s="88">
        <f>5.2-CJ93</f>
        <v>1.2000000000000002</v>
      </c>
      <c r="CL93" s="88">
        <f>6.1-SUM(CJ93:CK93)</f>
        <v>0.89999999999999947</v>
      </c>
      <c r="CM93" s="93">
        <v>1</v>
      </c>
      <c r="CN93" s="121">
        <f>SUM(CJ93:CM93)</f>
        <v>7.1</v>
      </c>
      <c r="CO93" s="93">
        <v>1</v>
      </c>
      <c r="CP93" s="93">
        <v>1</v>
      </c>
      <c r="CQ93" s="93">
        <v>1</v>
      </c>
      <c r="CR93" s="93">
        <v>1</v>
      </c>
      <c r="CS93" s="121">
        <f>SUM(CO93:CR93)</f>
        <v>4</v>
      </c>
      <c r="CT93" s="88">
        <v>6.5</v>
      </c>
      <c r="CU93" s="88">
        <v>4</v>
      </c>
      <c r="CV93" s="88">
        <v>4</v>
      </c>
      <c r="CW93" s="88">
        <v>4</v>
      </c>
      <c r="CX93" s="121">
        <f>SUM(CT93:CW93)</f>
        <v>18.5</v>
      </c>
      <c r="CY93" s="88">
        <v>4</v>
      </c>
      <c r="CZ93" s="88">
        <v>4</v>
      </c>
      <c r="DA93" s="88">
        <v>4</v>
      </c>
      <c r="DB93" s="88">
        <v>4</v>
      </c>
      <c r="DC93" s="121">
        <f>SUM(CY93:DB93)</f>
        <v>16</v>
      </c>
      <c r="DD93" s="88"/>
      <c r="DE93" s="88"/>
      <c r="DF93" s="88"/>
      <c r="DG93" s="88"/>
      <c r="DH93" s="121">
        <f>SUM(DD93:DG93)</f>
        <v>0</v>
      </c>
      <c r="DI93" s="93"/>
      <c r="DJ93" s="93"/>
      <c r="DK93" s="93"/>
      <c r="DL93" s="93"/>
      <c r="DM93" s="121">
        <f>SUM(DI93:DL93)</f>
        <v>0</v>
      </c>
      <c r="DN93" s="93"/>
      <c r="DO93" s="93"/>
      <c r="DP93" s="93"/>
      <c r="DQ93" s="93"/>
      <c r="DR93" s="121"/>
      <c r="DS93" s="93"/>
      <c r="DT93" s="93"/>
      <c r="DU93" s="93"/>
      <c r="DV93" s="93"/>
      <c r="DW93" s="121"/>
    </row>
    <row r="94" spans="1:127" ht="15">
      <c r="A94" s="1134" t="s">
        <v>394</v>
      </c>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211"/>
      <c r="AE94" s="45"/>
      <c r="AF94" s="45"/>
      <c r="AG94" s="45"/>
      <c r="AH94" s="45"/>
      <c r="AI94" s="45"/>
      <c r="AJ94" s="45"/>
      <c r="AK94" s="45"/>
      <c r="AL94" s="45"/>
      <c r="AM94" s="45"/>
      <c r="AN94" s="45"/>
      <c r="AO94" s="45"/>
      <c r="AP94" s="45"/>
      <c r="AQ94" s="45"/>
      <c r="AR94" s="45"/>
      <c r="AS94" s="45"/>
      <c r="AT94" s="45"/>
      <c r="AU94" s="45"/>
      <c r="AV94" s="211"/>
      <c r="AW94" s="211"/>
      <c r="AX94" s="211"/>
      <c r="AY94" s="211"/>
      <c r="AZ94" s="118">
        <v>24</v>
      </c>
      <c r="BA94" s="211"/>
      <c r="BB94" s="211"/>
      <c r="BC94" s="211"/>
      <c r="BD94" s="211"/>
      <c r="BE94" s="118">
        <v>10</v>
      </c>
      <c r="BF94" s="211"/>
      <c r="BG94" s="211"/>
      <c r="BH94" s="283"/>
      <c r="BI94" s="283"/>
      <c r="BJ94" s="118">
        <v>27</v>
      </c>
      <c r="BK94" s="211"/>
      <c r="BL94" s="211"/>
      <c r="BM94" s="211"/>
      <c r="BN94" s="211"/>
      <c r="BO94" s="118">
        <v>1.0649999999999999</v>
      </c>
      <c r="BP94" s="211"/>
      <c r="BQ94" s="211"/>
      <c r="BR94" s="211"/>
      <c r="BS94" s="211"/>
      <c r="BT94" s="118">
        <v>17.113</v>
      </c>
      <c r="BU94" s="211"/>
      <c r="BV94" s="211"/>
      <c r="BW94" s="211"/>
      <c r="BX94" s="211"/>
      <c r="BY94" s="1155">
        <v>87</v>
      </c>
      <c r="BZ94" s="211"/>
      <c r="CA94" s="211"/>
      <c r="CB94" s="211"/>
      <c r="CC94" s="211"/>
      <c r="CD94" s="1155">
        <v>95.4</v>
      </c>
      <c r="CE94" s="102">
        <v>31</v>
      </c>
      <c r="CF94" s="102">
        <f>24.8+36.7-CE94</f>
        <v>30.5</v>
      </c>
      <c r="CG94" s="102">
        <f>25.5+43.8-SUM(CE94:CF94)</f>
        <v>7.7999999999999972</v>
      </c>
      <c r="CH94" s="102">
        <f>CI94-SUM(CE94:CG94)</f>
        <v>19.700000000000003</v>
      </c>
      <c r="CI94" s="118">
        <f>28+61</f>
        <v>89</v>
      </c>
      <c r="CJ94" s="102">
        <v>14.8</v>
      </c>
      <c r="CK94" s="102">
        <f>30.4-CJ94</f>
        <v>15.599999999999998</v>
      </c>
      <c r="CL94" s="102">
        <f>48-SUM(CJ94:CK94)</f>
        <v>17.600000000000001</v>
      </c>
      <c r="CM94" s="106">
        <v>30</v>
      </c>
      <c r="CN94" s="118">
        <f>SUM(CJ94:CM94)</f>
        <v>78</v>
      </c>
      <c r="CO94" s="106">
        <f>CO95-CO91-CO93</f>
        <v>18.857999999999997</v>
      </c>
      <c r="CP94" s="106">
        <v>15</v>
      </c>
      <c r="CQ94" s="106">
        <v>20</v>
      </c>
      <c r="CR94" s="106">
        <v>35</v>
      </c>
      <c r="CS94" s="118">
        <f>SUM(CO94:CR94)</f>
        <v>88.858000000000004</v>
      </c>
      <c r="CT94" s="102">
        <v>20</v>
      </c>
      <c r="CU94" s="102">
        <v>13</v>
      </c>
      <c r="CV94" s="102">
        <v>13</v>
      </c>
      <c r="CW94" s="102">
        <v>13</v>
      </c>
      <c r="CX94" s="118">
        <f>SUM(CT94:CW94)</f>
        <v>59</v>
      </c>
      <c r="CY94" s="102">
        <v>16</v>
      </c>
      <c r="CZ94" s="102">
        <v>16</v>
      </c>
      <c r="DA94" s="102">
        <v>16</v>
      </c>
      <c r="DB94" s="102">
        <v>16</v>
      </c>
      <c r="DC94" s="118">
        <f>SUM(CY94:DB94)</f>
        <v>64</v>
      </c>
      <c r="DD94" s="102">
        <v>9</v>
      </c>
      <c r="DE94" s="102">
        <v>9</v>
      </c>
      <c r="DF94" s="102">
        <v>9</v>
      </c>
      <c r="DG94" s="102">
        <v>9</v>
      </c>
      <c r="DH94" s="118">
        <f>SUM(DD94:DG94)</f>
        <v>36</v>
      </c>
      <c r="DI94" s="106">
        <v>5</v>
      </c>
      <c r="DJ94" s="106">
        <v>5</v>
      </c>
      <c r="DK94" s="106">
        <v>5</v>
      </c>
      <c r="DL94" s="106">
        <v>5</v>
      </c>
      <c r="DM94" s="118">
        <f>SUM(DI94:DL94)</f>
        <v>20</v>
      </c>
      <c r="DN94" s="106">
        <v>5</v>
      </c>
      <c r="DO94" s="106">
        <v>5</v>
      </c>
      <c r="DP94" s="106">
        <v>5</v>
      </c>
      <c r="DQ94" s="106">
        <v>5</v>
      </c>
      <c r="DR94" s="118">
        <f>SUM(DN94:DQ94)</f>
        <v>20</v>
      </c>
      <c r="DS94" s="106">
        <v>5</v>
      </c>
      <c r="DT94" s="106">
        <v>5</v>
      </c>
      <c r="DU94" s="106">
        <v>5</v>
      </c>
      <c r="DV94" s="106">
        <v>5</v>
      </c>
      <c r="DW94" s="118">
        <f>SUM(DS94:DV94)</f>
        <v>20</v>
      </c>
    </row>
    <row r="95" spans="1:127">
      <c r="A95" s="44" t="s">
        <v>396</v>
      </c>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211"/>
      <c r="AE95" s="45"/>
      <c r="AF95" s="45"/>
      <c r="AG95" s="45"/>
      <c r="AH95" s="45"/>
      <c r="AI95" s="45"/>
      <c r="AJ95" s="45"/>
      <c r="AK95" s="45"/>
      <c r="AL95" s="45"/>
      <c r="AM95" s="45"/>
      <c r="AN95" s="45"/>
      <c r="AO95" s="45"/>
      <c r="AP95" s="45"/>
      <c r="AQ95" s="45"/>
      <c r="AR95" s="45"/>
      <c r="AS95" s="45"/>
      <c r="AT95" s="45"/>
      <c r="AU95" s="45"/>
      <c r="AV95" s="211"/>
      <c r="AW95" s="211"/>
      <c r="AX95" s="211"/>
      <c r="AY95" s="211"/>
      <c r="AZ95" s="121">
        <f>SUM(AZ92:AZ94)</f>
        <v>181</v>
      </c>
      <c r="BA95" s="211"/>
      <c r="BB95" s="211"/>
      <c r="BC95" s="211"/>
      <c r="BD95" s="211"/>
      <c r="BE95" s="121">
        <f>SUM(BE92:BE94)</f>
        <v>110</v>
      </c>
      <c r="BF95" s="211"/>
      <c r="BG95" s="211"/>
      <c r="BH95" s="211"/>
      <c r="BI95" s="211"/>
      <c r="BJ95" s="121">
        <f>SUM(BJ92:BJ94)</f>
        <v>134</v>
      </c>
      <c r="BK95" s="211"/>
      <c r="BL95" s="211"/>
      <c r="BM95" s="211"/>
      <c r="BN95" s="211"/>
      <c r="BO95" s="121">
        <f>-BO39</f>
        <v>106.989</v>
      </c>
      <c r="BP95" s="211"/>
      <c r="BQ95" s="211"/>
      <c r="BR95" s="211"/>
      <c r="BS95" s="211"/>
      <c r="BT95" s="121">
        <f>-BT39</f>
        <v>101.914</v>
      </c>
      <c r="BU95" s="211"/>
      <c r="BV95" s="211"/>
      <c r="BW95" s="211"/>
      <c r="BX95" s="211"/>
      <c r="BY95" s="121">
        <f>SUM(BY91:BY94)</f>
        <v>148</v>
      </c>
      <c r="BZ95" s="211"/>
      <c r="CA95" s="211"/>
      <c r="CB95" s="211"/>
      <c r="CC95" s="211"/>
      <c r="CD95" s="121">
        <f t="shared" ref="CD95:DH95" si="137">SUM(CD91:CD94)</f>
        <v>146.80000000000001</v>
      </c>
      <c r="CE95" s="88">
        <f t="shared" si="137"/>
        <v>47</v>
      </c>
      <c r="CF95" s="88">
        <f t="shared" si="137"/>
        <v>37.1</v>
      </c>
      <c r="CG95" s="88">
        <f t="shared" si="137"/>
        <v>42.199999999999996</v>
      </c>
      <c r="CH95" s="88">
        <f t="shared" si="137"/>
        <v>71.300000000000011</v>
      </c>
      <c r="CI95" s="121">
        <f t="shared" si="137"/>
        <v>197.60000000000002</v>
      </c>
      <c r="CJ95" s="88">
        <f t="shared" si="137"/>
        <v>40</v>
      </c>
      <c r="CK95" s="88">
        <f t="shared" si="137"/>
        <v>41.8</v>
      </c>
      <c r="CL95" s="88">
        <f t="shared" si="137"/>
        <v>48.999999999999993</v>
      </c>
      <c r="CM95" s="88">
        <f t="shared" si="137"/>
        <v>100.3</v>
      </c>
      <c r="CN95" s="121">
        <f t="shared" si="137"/>
        <v>231.09999999999997</v>
      </c>
      <c r="CO95" s="88">
        <f>-CO39</f>
        <v>53.058</v>
      </c>
      <c r="CP95" s="88">
        <f>-CP39</f>
        <v>61.463000000000001</v>
      </c>
      <c r="CQ95" s="88">
        <f>-CQ39</f>
        <v>83.365000000000009</v>
      </c>
      <c r="CR95" s="88">
        <f>CR82*IncomeStatement!BI17</f>
        <v>100.58499999999998</v>
      </c>
      <c r="CS95" s="121">
        <f>SUM(CO95:CR95)</f>
        <v>298.471</v>
      </c>
      <c r="CT95" s="88">
        <f t="shared" si="137"/>
        <v>69.55</v>
      </c>
      <c r="CU95" s="88">
        <f t="shared" si="137"/>
        <v>60.05</v>
      </c>
      <c r="CV95" s="88">
        <f>SUM(CV91:CV94)</f>
        <v>60.05</v>
      </c>
      <c r="CW95" s="88">
        <f t="shared" si="137"/>
        <v>66.349999999999994</v>
      </c>
      <c r="CX95" s="121">
        <f>SUM(CX91:CX94)</f>
        <v>255.99999999999997</v>
      </c>
      <c r="CY95" s="88">
        <f t="shared" si="137"/>
        <v>36.053124999999994</v>
      </c>
      <c r="CZ95" s="88">
        <f t="shared" si="137"/>
        <v>28.026562499999997</v>
      </c>
      <c r="DA95" s="88">
        <f t="shared" si="137"/>
        <v>25.381250000000001</v>
      </c>
      <c r="DB95" s="88">
        <f t="shared" si="137"/>
        <v>27.174999999999997</v>
      </c>
      <c r="DC95" s="121">
        <f t="shared" si="137"/>
        <v>116.6359375</v>
      </c>
      <c r="DD95" s="88">
        <f>SUM(DD86:DD89)</f>
        <v>16.8955234375</v>
      </c>
      <c r="DE95" s="88">
        <f>SUM(DE86:DE89)</f>
        <v>18.826046874999999</v>
      </c>
      <c r="DF95" s="88">
        <f>SUM(DF86:DF89)</f>
        <v>24.217093749999997</v>
      </c>
      <c r="DG95" s="88">
        <f>SUM(DG86:DG89)</f>
        <v>30.277093749999999</v>
      </c>
      <c r="DH95" s="121">
        <f t="shared" si="137"/>
        <v>74.924531250000001</v>
      </c>
      <c r="DI95" s="88">
        <f t="shared" ref="DI95:DW95" si="138">SUM(DI86:DI89)</f>
        <v>18.80078125</v>
      </c>
      <c r="DJ95" s="88">
        <f t="shared" si="138"/>
        <v>18.80828125</v>
      </c>
      <c r="DK95" s="88">
        <f t="shared" si="138"/>
        <v>18.815781250000001</v>
      </c>
      <c r="DL95" s="88">
        <f t="shared" si="138"/>
        <v>18.823281250000001</v>
      </c>
      <c r="DM95" s="121">
        <f t="shared" si="138"/>
        <v>75.248124999999987</v>
      </c>
      <c r="DN95" s="88">
        <f t="shared" si="138"/>
        <v>17.498124999999998</v>
      </c>
      <c r="DO95" s="88">
        <f t="shared" si="138"/>
        <v>17.510624999999997</v>
      </c>
      <c r="DP95" s="88">
        <f t="shared" si="138"/>
        <v>17.523125</v>
      </c>
      <c r="DQ95" s="88">
        <f t="shared" si="138"/>
        <v>17.535624999999996</v>
      </c>
      <c r="DR95" s="121">
        <f t="shared" si="138"/>
        <v>70.067499999999995</v>
      </c>
      <c r="DS95" s="88">
        <f t="shared" si="138"/>
        <v>16.142968749999998</v>
      </c>
      <c r="DT95" s="88">
        <f t="shared" si="138"/>
        <v>16.161718749999999</v>
      </c>
      <c r="DU95" s="88">
        <f t="shared" si="138"/>
        <v>16.180468749999999</v>
      </c>
      <c r="DV95" s="88">
        <f t="shared" si="138"/>
        <v>16.19921875</v>
      </c>
      <c r="DW95" s="121">
        <f t="shared" si="138"/>
        <v>64.684374999999989</v>
      </c>
    </row>
    <row r="96" spans="1:127">
      <c r="A96" s="44"/>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211"/>
      <c r="AE96" s="45"/>
      <c r="AF96" s="45"/>
      <c r="AG96" s="45"/>
      <c r="AH96" s="45"/>
      <c r="AI96" s="45"/>
      <c r="AJ96" s="45"/>
      <c r="AK96" s="45"/>
      <c r="AL96" s="45"/>
      <c r="AM96" s="45"/>
      <c r="AN96" s="45"/>
      <c r="AO96" s="45"/>
      <c r="AP96" s="45"/>
      <c r="AQ96" s="45"/>
      <c r="AR96" s="45"/>
      <c r="AS96" s="45"/>
      <c r="AT96" s="45"/>
      <c r="AU96" s="45"/>
      <c r="AV96" s="211"/>
      <c r="AW96" s="211"/>
      <c r="AX96" s="211"/>
      <c r="AY96" s="211"/>
      <c r="AZ96" s="99"/>
      <c r="BA96" s="211"/>
      <c r="BB96" s="211"/>
      <c r="BC96" s="211"/>
      <c r="BD96" s="211"/>
      <c r="BE96" s="99"/>
      <c r="BF96" s="211"/>
      <c r="BG96" s="211"/>
      <c r="BH96" s="211"/>
      <c r="BI96" s="211"/>
      <c r="BJ96" s="99"/>
      <c r="BK96" s="211"/>
      <c r="BL96" s="211"/>
      <c r="BM96" s="211"/>
      <c r="BN96" s="211"/>
      <c r="BO96" s="99"/>
      <c r="BP96" s="211"/>
      <c r="BQ96" s="211"/>
      <c r="BR96" s="211"/>
      <c r="BS96" s="211"/>
      <c r="BT96" s="99"/>
      <c r="BU96" s="211"/>
      <c r="BV96" s="211"/>
      <c r="BW96" s="211"/>
      <c r="BX96" s="211"/>
      <c r="BY96" s="99"/>
      <c r="BZ96" s="211"/>
      <c r="CA96" s="211"/>
      <c r="CB96" s="211"/>
      <c r="CC96" s="211"/>
      <c r="CD96" s="99"/>
      <c r="CE96" s="274"/>
      <c r="CF96" s="274"/>
      <c r="CG96" s="274"/>
      <c r="CH96" s="274"/>
      <c r="CI96" s="122"/>
      <c r="CJ96" s="93"/>
      <c r="CK96" s="93"/>
      <c r="CL96" s="93"/>
      <c r="CM96" s="93"/>
      <c r="CN96" s="121"/>
      <c r="CO96" s="211"/>
      <c r="CP96" s="211"/>
      <c r="CQ96" s="211"/>
      <c r="CR96" s="211"/>
      <c r="CS96" s="89"/>
      <c r="CT96" s="45"/>
      <c r="CU96" s="45"/>
      <c r="CV96" s="45"/>
      <c r="CW96" s="45"/>
      <c r="CX96" s="89"/>
      <c r="CY96" s="45"/>
      <c r="CZ96" s="45"/>
      <c r="DA96" s="45"/>
      <c r="DB96" s="45"/>
      <c r="DC96" s="89"/>
      <c r="DD96" s="45"/>
      <c r="DE96" s="45"/>
      <c r="DF96" s="45"/>
      <c r="DG96" s="45"/>
      <c r="DH96" s="89"/>
      <c r="DI96" s="211"/>
      <c r="DJ96" s="211"/>
      <c r="DK96" s="211"/>
      <c r="DL96" s="211"/>
      <c r="DM96" s="89"/>
      <c r="DN96" s="211"/>
      <c r="DO96" s="211"/>
      <c r="DP96" s="211"/>
      <c r="DQ96" s="211"/>
      <c r="DR96" s="89"/>
      <c r="DS96" s="211"/>
      <c r="DT96" s="211"/>
      <c r="DU96" s="211"/>
      <c r="DV96" s="211"/>
      <c r="DW96" s="89"/>
    </row>
    <row r="97" spans="1:127">
      <c r="A97" s="44" t="s">
        <v>397</v>
      </c>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211"/>
      <c r="AE97" s="45"/>
      <c r="AF97" s="45"/>
      <c r="AG97" s="45"/>
      <c r="AH97" s="45"/>
      <c r="AI97" s="45"/>
      <c r="AJ97" s="45"/>
      <c r="AK97" s="45"/>
      <c r="AL97" s="45"/>
      <c r="AM97" s="45"/>
      <c r="AN97" s="45"/>
      <c r="AO97" s="45"/>
      <c r="AP97" s="45"/>
      <c r="AQ97" s="45"/>
      <c r="AR97" s="45"/>
      <c r="AS97" s="45"/>
      <c r="AT97" s="45"/>
      <c r="AU97" s="45"/>
      <c r="AV97" s="211"/>
      <c r="AW97" s="211"/>
      <c r="AX97" s="211"/>
      <c r="AY97" s="211"/>
      <c r="AZ97" s="89"/>
      <c r="BA97" s="211"/>
      <c r="BB97" s="211"/>
      <c r="BC97" s="211"/>
      <c r="BD97" s="211"/>
      <c r="BE97" s="89"/>
      <c r="BF97" s="211"/>
      <c r="BG97" s="211"/>
      <c r="BH97" s="211"/>
      <c r="BI97" s="211"/>
      <c r="BJ97" s="89"/>
      <c r="BK97" s="211"/>
      <c r="BL97" s="211"/>
      <c r="BM97" s="211"/>
      <c r="BN97" s="211"/>
      <c r="BO97" s="89"/>
      <c r="BP97" s="211"/>
      <c r="BQ97" s="211"/>
      <c r="BR97" s="211"/>
      <c r="BS97" s="211"/>
      <c r="BT97" s="89"/>
      <c r="BU97" s="211"/>
      <c r="BV97" s="211"/>
      <c r="BW97" s="211"/>
      <c r="BX97" s="211"/>
      <c r="BY97" s="89"/>
      <c r="BZ97" s="211"/>
      <c r="CA97" s="211"/>
      <c r="CB97" s="211"/>
      <c r="CC97" s="211"/>
      <c r="CD97" s="89"/>
      <c r="CE97" s="211"/>
      <c r="CF97" s="45"/>
      <c r="CG97" s="45"/>
      <c r="CH97" s="211"/>
      <c r="CI97" s="89"/>
      <c r="CJ97" s="211"/>
      <c r="CK97" s="211"/>
      <c r="CL97" s="211"/>
      <c r="CM97" s="1145">
        <v>650</v>
      </c>
      <c r="CN97" s="89"/>
      <c r="CO97" s="1145">
        <v>625</v>
      </c>
      <c r="CP97" s="1145">
        <v>600</v>
      </c>
      <c r="CQ97" s="1145">
        <v>550</v>
      </c>
      <c r="CR97" s="1145">
        <v>700</v>
      </c>
      <c r="CS97" s="89"/>
      <c r="CT97" s="1170">
        <v>600</v>
      </c>
      <c r="CU97" s="1170">
        <v>600</v>
      </c>
      <c r="CV97" s="1170">
        <v>600</v>
      </c>
      <c r="CW97" s="1170">
        <v>600</v>
      </c>
      <c r="CX97" s="89"/>
      <c r="CY97" s="1170">
        <v>400</v>
      </c>
      <c r="CZ97" s="1170">
        <v>400</v>
      </c>
      <c r="DA97" s="1170">
        <v>400</v>
      </c>
      <c r="DB97" s="1170">
        <v>400</v>
      </c>
      <c r="DC97" s="89"/>
      <c r="DD97" s="1170">
        <f t="shared" ref="DD97:DG98" si="139">CY97*1.025</f>
        <v>409.99999999999994</v>
      </c>
      <c r="DE97" s="1170">
        <f t="shared" si="139"/>
        <v>409.99999999999994</v>
      </c>
      <c r="DF97" s="1170">
        <f t="shared" si="139"/>
        <v>409.99999999999994</v>
      </c>
      <c r="DG97" s="1170">
        <f t="shared" si="139"/>
        <v>409.99999999999994</v>
      </c>
      <c r="DH97" s="89"/>
      <c r="DI97" s="1145">
        <f t="shared" ref="DI97:DL97" si="140">DD97*1.025</f>
        <v>420.24999999999989</v>
      </c>
      <c r="DJ97" s="1145">
        <f t="shared" si="140"/>
        <v>420.24999999999989</v>
      </c>
      <c r="DK97" s="1145">
        <f t="shared" si="140"/>
        <v>420.24999999999989</v>
      </c>
      <c r="DL97" s="1145">
        <f t="shared" si="140"/>
        <v>420.24999999999989</v>
      </c>
      <c r="DM97" s="89"/>
      <c r="DN97" s="1145">
        <f t="shared" ref="DN97:DQ97" si="141">DI97*1.025</f>
        <v>430.75624999999985</v>
      </c>
      <c r="DO97" s="1145">
        <f t="shared" si="141"/>
        <v>430.75624999999985</v>
      </c>
      <c r="DP97" s="1145">
        <f t="shared" si="141"/>
        <v>430.75624999999985</v>
      </c>
      <c r="DQ97" s="1145">
        <f t="shared" si="141"/>
        <v>430.75624999999985</v>
      </c>
      <c r="DR97" s="89"/>
      <c r="DS97" s="1145">
        <f t="shared" ref="DS97:DV97" si="142">DN97*1.025</f>
        <v>441.52515624999984</v>
      </c>
      <c r="DT97" s="1145">
        <f t="shared" si="142"/>
        <v>441.52515624999984</v>
      </c>
      <c r="DU97" s="1145">
        <f t="shared" si="142"/>
        <v>441.52515624999984</v>
      </c>
      <c r="DV97" s="1145">
        <f t="shared" si="142"/>
        <v>441.52515624999984</v>
      </c>
      <c r="DW97" s="89"/>
    </row>
    <row r="98" spans="1:127">
      <c r="A98" s="44" t="s">
        <v>398</v>
      </c>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211"/>
      <c r="AE98" s="45"/>
      <c r="AF98" s="45"/>
      <c r="AG98" s="45"/>
      <c r="AH98" s="45"/>
      <c r="AI98" s="45"/>
      <c r="AJ98" s="45"/>
      <c r="AK98" s="45"/>
      <c r="AL98" s="45"/>
      <c r="AM98" s="45"/>
      <c r="AN98" s="45"/>
      <c r="AO98" s="45"/>
      <c r="AP98" s="45"/>
      <c r="AQ98" s="45"/>
      <c r="AR98" s="45"/>
      <c r="AS98" s="45"/>
      <c r="AT98" s="45"/>
      <c r="AU98" s="45"/>
      <c r="AV98" s="211"/>
      <c r="AW98" s="211"/>
      <c r="AX98" s="211"/>
      <c r="AY98" s="211"/>
      <c r="AZ98" s="89"/>
      <c r="BA98" s="211"/>
      <c r="BB98" s="211"/>
      <c r="BC98" s="211"/>
      <c r="BD98" s="211"/>
      <c r="BE98" s="89"/>
      <c r="BF98" s="211"/>
      <c r="BG98" s="211"/>
      <c r="BH98" s="211"/>
      <c r="BI98" s="211"/>
      <c r="BJ98" s="89"/>
      <c r="BK98" s="211"/>
      <c r="BL98" s="211"/>
      <c r="BM98" s="211"/>
      <c r="BN98" s="211"/>
      <c r="BO98" s="89"/>
      <c r="BP98" s="211"/>
      <c r="BQ98" s="211"/>
      <c r="BR98" s="211"/>
      <c r="BS98" s="211"/>
      <c r="BT98" s="89"/>
      <c r="BU98" s="211"/>
      <c r="BV98" s="211"/>
      <c r="BW98" s="211"/>
      <c r="BX98" s="211"/>
      <c r="BY98" s="89"/>
      <c r="BZ98" s="211"/>
      <c r="CA98" s="211"/>
      <c r="CB98" s="211"/>
      <c r="CC98" s="211"/>
      <c r="CD98" s="89"/>
      <c r="CE98" s="211"/>
      <c r="CF98" s="45"/>
      <c r="CG98" s="45"/>
      <c r="CH98" s="211"/>
      <c r="CI98" s="89"/>
      <c r="CJ98" s="211"/>
      <c r="CK98" s="211"/>
      <c r="CL98" s="211"/>
      <c r="CM98" s="1146">
        <v>1.7</v>
      </c>
      <c r="CN98" s="89"/>
      <c r="CO98" s="1146">
        <v>1.7</v>
      </c>
      <c r="CP98" s="1146">
        <v>1.7</v>
      </c>
      <c r="CQ98" s="1146">
        <v>1.7</v>
      </c>
      <c r="CR98" s="1146">
        <v>1.7</v>
      </c>
      <c r="CS98" s="89"/>
      <c r="CT98" s="1171">
        <v>1.75</v>
      </c>
      <c r="CU98" s="1171">
        <v>1.75</v>
      </c>
      <c r="CV98" s="1171">
        <v>1.75</v>
      </c>
      <c r="CW98" s="1171">
        <v>1.75</v>
      </c>
      <c r="CX98" s="89"/>
      <c r="CY98" s="1171">
        <f>CT98*1.025</f>
        <v>1.7937499999999997</v>
      </c>
      <c r="CZ98" s="1171">
        <f>CU98*1.025</f>
        <v>1.7937499999999997</v>
      </c>
      <c r="DA98" s="1171">
        <f>CV98*1.025</f>
        <v>1.7937499999999997</v>
      </c>
      <c r="DB98" s="1171">
        <f>CW98*1.025</f>
        <v>1.7937499999999997</v>
      </c>
      <c r="DC98" s="89"/>
      <c r="DD98" s="1171">
        <f t="shared" si="139"/>
        <v>1.8385937499999996</v>
      </c>
      <c r="DE98" s="1171">
        <f t="shared" si="139"/>
        <v>1.8385937499999996</v>
      </c>
      <c r="DF98" s="1171">
        <f t="shared" si="139"/>
        <v>1.8385937499999996</v>
      </c>
      <c r="DG98" s="1171">
        <f t="shared" si="139"/>
        <v>1.8385937499999996</v>
      </c>
      <c r="DH98" s="89"/>
      <c r="DI98" s="1146">
        <f>DD98</f>
        <v>1.8385937499999996</v>
      </c>
      <c r="DJ98" s="1146">
        <f t="shared" ref="DJ98:DL98" si="143">DE98</f>
        <v>1.8385937499999996</v>
      </c>
      <c r="DK98" s="1146">
        <f t="shared" si="143"/>
        <v>1.8385937499999996</v>
      </c>
      <c r="DL98" s="1146">
        <f t="shared" si="143"/>
        <v>1.8385937499999996</v>
      </c>
      <c r="DM98" s="89"/>
      <c r="DN98" s="1146">
        <f>DI98</f>
        <v>1.8385937499999996</v>
      </c>
      <c r="DO98" s="1146">
        <f t="shared" ref="DO98" si="144">DJ98</f>
        <v>1.8385937499999996</v>
      </c>
      <c r="DP98" s="1146">
        <f t="shared" ref="DP98" si="145">DK98</f>
        <v>1.8385937499999996</v>
      </c>
      <c r="DQ98" s="1146">
        <f t="shared" ref="DQ98" si="146">DL98</f>
        <v>1.8385937499999996</v>
      </c>
      <c r="DR98" s="89"/>
      <c r="DS98" s="1146">
        <f>DN98</f>
        <v>1.8385937499999996</v>
      </c>
      <c r="DT98" s="1146">
        <f t="shared" ref="DT98" si="147">DO98</f>
        <v>1.8385937499999996</v>
      </c>
      <c r="DU98" s="1146">
        <f t="shared" ref="DU98" si="148">DP98</f>
        <v>1.8385937499999996</v>
      </c>
      <c r="DV98" s="1146">
        <f t="shared" ref="DV98" si="149">DQ98</f>
        <v>1.8385937499999996</v>
      </c>
      <c r="DW98" s="89"/>
    </row>
    <row r="99" spans="1:127">
      <c r="A99" s="44" t="s">
        <v>399</v>
      </c>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211"/>
      <c r="AE99" s="45"/>
      <c r="AF99" s="45"/>
      <c r="AG99" s="45"/>
      <c r="AH99" s="45"/>
      <c r="AI99" s="45"/>
      <c r="AJ99" s="45"/>
      <c r="AK99" s="45"/>
      <c r="AL99" s="45"/>
      <c r="AM99" s="45"/>
      <c r="AN99" s="45"/>
      <c r="AO99" s="45"/>
      <c r="AP99" s="45"/>
      <c r="AQ99" s="45"/>
      <c r="AR99" s="45"/>
      <c r="AS99" s="45"/>
      <c r="AT99" s="45"/>
      <c r="AU99" s="45"/>
      <c r="AV99" s="211"/>
      <c r="AW99" s="211"/>
      <c r="AX99" s="211"/>
      <c r="AY99" s="211"/>
      <c r="AZ99" s="89"/>
      <c r="BA99" s="211"/>
      <c r="BB99" s="211"/>
      <c r="BC99" s="211"/>
      <c r="BD99" s="211"/>
      <c r="BE99" s="89"/>
      <c r="BF99" s="211"/>
      <c r="BG99" s="211"/>
      <c r="BH99" s="211"/>
      <c r="BI99" s="211"/>
      <c r="BJ99" s="89"/>
      <c r="BK99" s="211"/>
      <c r="BL99" s="211"/>
      <c r="BM99" s="211"/>
      <c r="BN99" s="211"/>
      <c r="BO99" s="89"/>
      <c r="BP99" s="211"/>
      <c r="BQ99" s="211"/>
      <c r="BR99" s="211"/>
      <c r="BS99" s="211"/>
      <c r="BT99" s="89"/>
      <c r="BU99" s="211"/>
      <c r="BV99" s="211"/>
      <c r="BW99" s="211"/>
      <c r="BX99" s="211"/>
      <c r="BY99" s="89"/>
      <c r="BZ99" s="211"/>
      <c r="CA99" s="211"/>
      <c r="CB99" s="211"/>
      <c r="CC99" s="211"/>
      <c r="CD99" s="89"/>
      <c r="CE99" s="211"/>
      <c r="CF99" s="45"/>
      <c r="CG99" s="45"/>
      <c r="CH99" s="211"/>
      <c r="CI99" s="89"/>
      <c r="CJ99" s="480">
        <v>0.28000000000000003</v>
      </c>
      <c r="CK99" s="480">
        <v>0.28000000000000003</v>
      </c>
      <c r="CL99" s="480">
        <v>0.28000000000000003</v>
      </c>
      <c r="CM99" s="480">
        <v>0.28000000000000003</v>
      </c>
      <c r="CN99" s="1143">
        <v>0.28000000000000003</v>
      </c>
      <c r="CO99" s="480">
        <f>CS99</f>
        <v>0.3</v>
      </c>
      <c r="CP99" s="480">
        <f>CS99</f>
        <v>0.3</v>
      </c>
      <c r="CQ99" s="480">
        <f>CS99</f>
        <v>0.3</v>
      </c>
      <c r="CR99" s="480">
        <f>CS99</f>
        <v>0.3</v>
      </c>
      <c r="CS99" s="1143">
        <v>0.3</v>
      </c>
      <c r="CT99" s="480">
        <f>CX99</f>
        <v>0.3</v>
      </c>
      <c r="CU99" s="480">
        <f>CX99</f>
        <v>0.3</v>
      </c>
      <c r="CV99" s="480">
        <f>CX99</f>
        <v>0.3</v>
      </c>
      <c r="CW99" s="480">
        <f>CX99</f>
        <v>0.3</v>
      </c>
      <c r="CX99" s="1143">
        <v>0.3</v>
      </c>
      <c r="CY99" s="480">
        <f>DC99</f>
        <v>0.35</v>
      </c>
      <c r="CZ99" s="480">
        <f>DC99</f>
        <v>0.35</v>
      </c>
      <c r="DA99" s="480">
        <f>DC99</f>
        <v>0.35</v>
      </c>
      <c r="DB99" s="480">
        <f>DC99</f>
        <v>0.35</v>
      </c>
      <c r="DC99" s="1143">
        <v>0.35</v>
      </c>
      <c r="DD99" s="480">
        <f>DH99</f>
        <v>0.35</v>
      </c>
      <c r="DE99" s="480">
        <f>DH99</f>
        <v>0.35</v>
      </c>
      <c r="DF99" s="480">
        <f>DH99</f>
        <v>0.35</v>
      </c>
      <c r="DG99" s="480">
        <f>DH99</f>
        <v>0.35</v>
      </c>
      <c r="DH99" s="1143">
        <v>0.35</v>
      </c>
      <c r="DI99" s="480">
        <f>DM99</f>
        <v>0.2</v>
      </c>
      <c r="DJ99" s="480">
        <f>DM99</f>
        <v>0.2</v>
      </c>
      <c r="DK99" s="480">
        <f>DM99</f>
        <v>0.2</v>
      </c>
      <c r="DL99" s="480">
        <f>DM99</f>
        <v>0.2</v>
      </c>
      <c r="DM99" s="1148">
        <v>0.2</v>
      </c>
      <c r="DN99" s="480">
        <f>DR99</f>
        <v>0.1</v>
      </c>
      <c r="DO99" s="480">
        <f>DR99</f>
        <v>0.1</v>
      </c>
      <c r="DP99" s="480">
        <f>DR99</f>
        <v>0.1</v>
      </c>
      <c r="DQ99" s="480">
        <f>DR99</f>
        <v>0.1</v>
      </c>
      <c r="DR99" s="1148">
        <v>0.1</v>
      </c>
      <c r="DS99" s="480">
        <f>DW99</f>
        <v>0.3</v>
      </c>
      <c r="DT99" s="480">
        <f>DW99</f>
        <v>0.3</v>
      </c>
      <c r="DU99" s="480">
        <f>DW99</f>
        <v>0.3</v>
      </c>
      <c r="DV99" s="480">
        <f>DW99</f>
        <v>0.3</v>
      </c>
      <c r="DW99" s="1148">
        <v>0.3</v>
      </c>
    </row>
    <row r="100" spans="1:127">
      <c r="A100" s="51" t="s">
        <v>400</v>
      </c>
      <c r="B100" s="52"/>
      <c r="C100" s="52"/>
      <c r="D100" s="52"/>
      <c r="E100" s="52"/>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227"/>
      <c r="AE100" s="52"/>
      <c r="AF100" s="52"/>
      <c r="AG100" s="52"/>
      <c r="AH100" s="52"/>
      <c r="AI100" s="52"/>
      <c r="AJ100" s="52"/>
      <c r="AK100" s="52"/>
      <c r="AL100" s="52"/>
      <c r="AM100" s="52"/>
      <c r="AN100" s="52"/>
      <c r="AO100" s="52"/>
      <c r="AP100" s="52"/>
      <c r="AQ100" s="52"/>
      <c r="AR100" s="52"/>
      <c r="AS100" s="52"/>
      <c r="AT100" s="52"/>
      <c r="AU100" s="52"/>
      <c r="AV100" s="227"/>
      <c r="AW100" s="227"/>
      <c r="AX100" s="227"/>
      <c r="AY100" s="227"/>
      <c r="AZ100" s="184"/>
      <c r="BA100" s="227"/>
      <c r="BB100" s="227"/>
      <c r="BC100" s="227"/>
      <c r="BD100" s="227"/>
      <c r="BE100" s="184"/>
      <c r="BF100" s="227"/>
      <c r="BG100" s="227"/>
      <c r="BH100" s="227"/>
      <c r="BI100" s="227"/>
      <c r="BJ100" s="184"/>
      <c r="BK100" s="227"/>
      <c r="BL100" s="227"/>
      <c r="BM100" s="227"/>
      <c r="BN100" s="227"/>
      <c r="BO100" s="184"/>
      <c r="BP100" s="227"/>
      <c r="BQ100" s="227"/>
      <c r="BR100" s="227"/>
      <c r="BS100" s="227"/>
      <c r="BT100" s="184"/>
      <c r="BU100" s="227"/>
      <c r="BV100" s="227"/>
      <c r="BW100" s="227"/>
      <c r="BX100" s="227"/>
      <c r="BY100" s="184"/>
      <c r="BZ100" s="227"/>
      <c r="CA100" s="227"/>
      <c r="CB100" s="227"/>
      <c r="CC100" s="227"/>
      <c r="CD100" s="184"/>
      <c r="CE100" s="227"/>
      <c r="CF100" s="52"/>
      <c r="CG100" s="52"/>
      <c r="CH100" s="227"/>
      <c r="CI100" s="184"/>
      <c r="CJ100" s="1142">
        <f>CK100</f>
        <v>944</v>
      </c>
      <c r="CK100" s="1142">
        <f>CL100</f>
        <v>944</v>
      </c>
      <c r="CL100" s="1142">
        <f>CM100</f>
        <v>944</v>
      </c>
      <c r="CM100" s="1142">
        <f>CM97*(1-CM99)+CM98*CM99*1000</f>
        <v>944</v>
      </c>
      <c r="CN100" s="1147"/>
      <c r="CO100" s="1142">
        <f>CO97*(1-CO99)+CO98*CO99*1000</f>
        <v>947.5</v>
      </c>
      <c r="CP100" s="1142">
        <f>CP97*(1-CP99)+CP98*CP99*1000</f>
        <v>930</v>
      </c>
      <c r="CQ100" s="1142">
        <f>CQ97*(1-CQ99)+CQ98*CQ99*1000</f>
        <v>895</v>
      </c>
      <c r="CR100" s="1142">
        <f>CR97*(1-CR99)+CR98*CR99*1000</f>
        <v>1000</v>
      </c>
      <c r="CS100" s="184"/>
      <c r="CT100" s="1172">
        <f>CT97*(1-CT99)+CT98*CT99*1000</f>
        <v>945</v>
      </c>
      <c r="CU100" s="1172">
        <f>CU97*(1-CU99)+CU98*CU99*1000</f>
        <v>945</v>
      </c>
      <c r="CV100" s="1172">
        <f>CV97*(1-CV99)+CV98*CV99*1000</f>
        <v>945</v>
      </c>
      <c r="CW100" s="1172">
        <f>CW97*(1-CW99)+CW98*CW99*1000</f>
        <v>945</v>
      </c>
      <c r="CX100" s="184"/>
      <c r="CY100" s="1172">
        <f>CY97*(1-CY99)+CY98*CY99*1000</f>
        <v>887.81249999999989</v>
      </c>
      <c r="CZ100" s="1172">
        <f>CZ97*(1-CZ99)+CZ98*CZ99*1000</f>
        <v>887.81249999999989</v>
      </c>
      <c r="DA100" s="1172">
        <f>DA97*(1-DA99)+DA98*DA99*1000</f>
        <v>887.81249999999989</v>
      </c>
      <c r="DB100" s="1172">
        <f>DB97*(1-DB99)+DB98*DB99*1000</f>
        <v>887.81249999999989</v>
      </c>
      <c r="DC100" s="184"/>
      <c r="DD100" s="1172">
        <f>DD97*(1-DD99)+DD98*DD99*1000</f>
        <v>910.00781249999977</v>
      </c>
      <c r="DE100" s="1172">
        <f>DE97*(1-DE99)+DE98*DE99*1000</f>
        <v>910.00781249999977</v>
      </c>
      <c r="DF100" s="1172">
        <f>DF97*(1-DF99)+DF98*DF99*1000</f>
        <v>910.00781249999977</v>
      </c>
      <c r="DG100" s="1172">
        <f>DG97*(1-DG99)+DG98*DG99*1000</f>
        <v>910.00781249999977</v>
      </c>
      <c r="DH100" s="184"/>
      <c r="DI100" s="1142">
        <f>DI97*(1-DI99)+DI98*DI99*1000</f>
        <v>703.91874999999982</v>
      </c>
      <c r="DJ100" s="1142">
        <f>DJ97*(1-DJ99)+DJ98*DJ99*1000</f>
        <v>703.91874999999982</v>
      </c>
      <c r="DK100" s="1142">
        <f>DK97*(1-DK99)+DK98*DK99*1000</f>
        <v>703.91874999999982</v>
      </c>
      <c r="DL100" s="1142">
        <f>DL97*(1-DL99)+DL98*DL99*1000</f>
        <v>703.91874999999982</v>
      </c>
      <c r="DM100" s="184"/>
      <c r="DN100" s="1142">
        <f>DN97*(1-DN99)+DN98*DN99*1000</f>
        <v>571.53999999999985</v>
      </c>
      <c r="DO100" s="1142">
        <f>DO97*(1-DO99)+DO98*DO99*1000</f>
        <v>571.53999999999985</v>
      </c>
      <c r="DP100" s="1142">
        <f>DP97*(1-DP99)+DP98*DP99*1000</f>
        <v>571.53999999999985</v>
      </c>
      <c r="DQ100" s="1142">
        <f>DQ97*(1-DQ99)+DQ98*DQ99*1000</f>
        <v>571.53999999999985</v>
      </c>
      <c r="DR100" s="184"/>
      <c r="DS100" s="1142">
        <f>DS97*(1-DS99)+DS98*DS99*1000</f>
        <v>860.64573437499962</v>
      </c>
      <c r="DT100" s="1142">
        <f>DT97*(1-DT99)+DT98*DT99*1000</f>
        <v>860.64573437499962</v>
      </c>
      <c r="DU100" s="1142">
        <f>DU97*(1-DU99)+DU98*DU99*1000</f>
        <v>860.64573437499962</v>
      </c>
      <c r="DV100" s="1142">
        <f>DV97*(1-DV99)+DV98*DV99*1000</f>
        <v>860.64573437499962</v>
      </c>
      <c r="DW100" s="184"/>
    </row>
  </sheetData>
  <phoneticPr fontId="8" type="noConversion"/>
  <printOptions horizontalCentered="1" verticalCentered="1"/>
  <pageMargins left="0" right="0" top="0" bottom="0" header="0" footer="0"/>
  <pageSetup paperSize="5" scale="74" orientation="landscape" r:id="rId1"/>
  <headerFooter alignWithMargins="0"/>
  <ignoredErrors>
    <ignoredError sqref="DG12:DG23 DG25:DG31 DG33:DG34" formulaRange="1"/>
  </ignoredErrors>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cols>
    <col min="1" max="1" width="29.5703125" style="1302" bestFit="1" customWidth="1"/>
    <col min="2" max="2" width="19.85546875" style="1364" customWidth="1"/>
    <col min="3" max="3" width="12" style="1302" bestFit="1" customWidth="1"/>
    <col min="4" max="256" width="9.140625" style="1302"/>
    <col min="257" max="257" width="29.5703125" style="1302" bestFit="1" customWidth="1"/>
    <col min="258" max="258" width="19.85546875" style="1302" customWidth="1"/>
    <col min="259" max="259" width="12" style="1302" bestFit="1" customWidth="1"/>
    <col min="260" max="512" width="9.140625" style="1302"/>
    <col min="513" max="513" width="29.5703125" style="1302" bestFit="1" customWidth="1"/>
    <col min="514" max="514" width="19.85546875" style="1302" customWidth="1"/>
    <col min="515" max="515" width="12" style="1302" bestFit="1" customWidth="1"/>
    <col min="516" max="768" width="9.140625" style="1302"/>
    <col min="769" max="769" width="29.5703125" style="1302" bestFit="1" customWidth="1"/>
    <col min="770" max="770" width="19.85546875" style="1302" customWidth="1"/>
    <col min="771" max="771" width="12" style="1302" bestFit="1" customWidth="1"/>
    <col min="772" max="1024" width="9.140625" style="1302"/>
    <col min="1025" max="1025" width="29.5703125" style="1302" bestFit="1" customWidth="1"/>
    <col min="1026" max="1026" width="19.85546875" style="1302" customWidth="1"/>
    <col min="1027" max="1027" width="12" style="1302" bestFit="1" customWidth="1"/>
    <col min="1028" max="1280" width="9.140625" style="1302"/>
    <col min="1281" max="1281" width="29.5703125" style="1302" bestFit="1" customWidth="1"/>
    <col min="1282" max="1282" width="19.85546875" style="1302" customWidth="1"/>
    <col min="1283" max="1283" width="12" style="1302" bestFit="1" customWidth="1"/>
    <col min="1284" max="1536" width="9.140625" style="1302"/>
    <col min="1537" max="1537" width="29.5703125" style="1302" bestFit="1" customWidth="1"/>
    <col min="1538" max="1538" width="19.85546875" style="1302" customWidth="1"/>
    <col min="1539" max="1539" width="12" style="1302" bestFit="1" customWidth="1"/>
    <col min="1540" max="1792" width="9.140625" style="1302"/>
    <col min="1793" max="1793" width="29.5703125" style="1302" bestFit="1" customWidth="1"/>
    <col min="1794" max="1794" width="19.85546875" style="1302" customWidth="1"/>
    <col min="1795" max="1795" width="12" style="1302" bestFit="1" customWidth="1"/>
    <col min="1796" max="2048" width="9.140625" style="1302"/>
    <col min="2049" max="2049" width="29.5703125" style="1302" bestFit="1" customWidth="1"/>
    <col min="2050" max="2050" width="19.85546875" style="1302" customWidth="1"/>
    <col min="2051" max="2051" width="12" style="1302" bestFit="1" customWidth="1"/>
    <col min="2052" max="2304" width="9.140625" style="1302"/>
    <col min="2305" max="2305" width="29.5703125" style="1302" bestFit="1" customWidth="1"/>
    <col min="2306" max="2306" width="19.85546875" style="1302" customWidth="1"/>
    <col min="2307" max="2307" width="12" style="1302" bestFit="1" customWidth="1"/>
    <col min="2308" max="2560" width="9.140625" style="1302"/>
    <col min="2561" max="2561" width="29.5703125" style="1302" bestFit="1" customWidth="1"/>
    <col min="2562" max="2562" width="19.85546875" style="1302" customWidth="1"/>
    <col min="2563" max="2563" width="12" style="1302" bestFit="1" customWidth="1"/>
    <col min="2564" max="2816" width="9.140625" style="1302"/>
    <col min="2817" max="2817" width="29.5703125" style="1302" bestFit="1" customWidth="1"/>
    <col min="2818" max="2818" width="19.85546875" style="1302" customWidth="1"/>
    <col min="2819" max="2819" width="12" style="1302" bestFit="1" customWidth="1"/>
    <col min="2820" max="3072" width="9.140625" style="1302"/>
    <col min="3073" max="3073" width="29.5703125" style="1302" bestFit="1" customWidth="1"/>
    <col min="3074" max="3074" width="19.85546875" style="1302" customWidth="1"/>
    <col min="3075" max="3075" width="12" style="1302" bestFit="1" customWidth="1"/>
    <col min="3076" max="3328" width="9.140625" style="1302"/>
    <col min="3329" max="3329" width="29.5703125" style="1302" bestFit="1" customWidth="1"/>
    <col min="3330" max="3330" width="19.85546875" style="1302" customWidth="1"/>
    <col min="3331" max="3331" width="12" style="1302" bestFit="1" customWidth="1"/>
    <col min="3332" max="3584" width="9.140625" style="1302"/>
    <col min="3585" max="3585" width="29.5703125" style="1302" bestFit="1" customWidth="1"/>
    <col min="3586" max="3586" width="19.85546875" style="1302" customWidth="1"/>
    <col min="3587" max="3587" width="12" style="1302" bestFit="1" customWidth="1"/>
    <col min="3588" max="3840" width="9.140625" style="1302"/>
    <col min="3841" max="3841" width="29.5703125" style="1302" bestFit="1" customWidth="1"/>
    <col min="3842" max="3842" width="19.85546875" style="1302" customWidth="1"/>
    <col min="3843" max="3843" width="12" style="1302" bestFit="1" customWidth="1"/>
    <col min="3844" max="4096" width="9.140625" style="1302"/>
    <col min="4097" max="4097" width="29.5703125" style="1302" bestFit="1" customWidth="1"/>
    <col min="4098" max="4098" width="19.85546875" style="1302" customWidth="1"/>
    <col min="4099" max="4099" width="12" style="1302" bestFit="1" customWidth="1"/>
    <col min="4100" max="4352" width="9.140625" style="1302"/>
    <col min="4353" max="4353" width="29.5703125" style="1302" bestFit="1" customWidth="1"/>
    <col min="4354" max="4354" width="19.85546875" style="1302" customWidth="1"/>
    <col min="4355" max="4355" width="12" style="1302" bestFit="1" customWidth="1"/>
    <col min="4356" max="4608" width="9.140625" style="1302"/>
    <col min="4609" max="4609" width="29.5703125" style="1302" bestFit="1" customWidth="1"/>
    <col min="4610" max="4610" width="19.85546875" style="1302" customWidth="1"/>
    <col min="4611" max="4611" width="12" style="1302" bestFit="1" customWidth="1"/>
    <col min="4612" max="4864" width="9.140625" style="1302"/>
    <col min="4865" max="4865" width="29.5703125" style="1302" bestFit="1" customWidth="1"/>
    <col min="4866" max="4866" width="19.85546875" style="1302" customWidth="1"/>
    <col min="4867" max="4867" width="12" style="1302" bestFit="1" customWidth="1"/>
    <col min="4868" max="5120" width="9.140625" style="1302"/>
    <col min="5121" max="5121" width="29.5703125" style="1302" bestFit="1" customWidth="1"/>
    <col min="5122" max="5122" width="19.85546875" style="1302" customWidth="1"/>
    <col min="5123" max="5123" width="12" style="1302" bestFit="1" customWidth="1"/>
    <col min="5124" max="5376" width="9.140625" style="1302"/>
    <col min="5377" max="5377" width="29.5703125" style="1302" bestFit="1" customWidth="1"/>
    <col min="5378" max="5378" width="19.85546875" style="1302" customWidth="1"/>
    <col min="5379" max="5379" width="12" style="1302" bestFit="1" customWidth="1"/>
    <col min="5380" max="5632" width="9.140625" style="1302"/>
    <col min="5633" max="5633" width="29.5703125" style="1302" bestFit="1" customWidth="1"/>
    <col min="5634" max="5634" width="19.85546875" style="1302" customWidth="1"/>
    <col min="5635" max="5635" width="12" style="1302" bestFit="1" customWidth="1"/>
    <col min="5636" max="5888" width="9.140625" style="1302"/>
    <col min="5889" max="5889" width="29.5703125" style="1302" bestFit="1" customWidth="1"/>
    <col min="5890" max="5890" width="19.85546875" style="1302" customWidth="1"/>
    <col min="5891" max="5891" width="12" style="1302" bestFit="1" customWidth="1"/>
    <col min="5892" max="6144" width="9.140625" style="1302"/>
    <col min="6145" max="6145" width="29.5703125" style="1302" bestFit="1" customWidth="1"/>
    <col min="6146" max="6146" width="19.85546875" style="1302" customWidth="1"/>
    <col min="6147" max="6147" width="12" style="1302" bestFit="1" customWidth="1"/>
    <col min="6148" max="6400" width="9.140625" style="1302"/>
    <col min="6401" max="6401" width="29.5703125" style="1302" bestFit="1" customWidth="1"/>
    <col min="6402" max="6402" width="19.85546875" style="1302" customWidth="1"/>
    <col min="6403" max="6403" width="12" style="1302" bestFit="1" customWidth="1"/>
    <col min="6404" max="6656" width="9.140625" style="1302"/>
    <col min="6657" max="6657" width="29.5703125" style="1302" bestFit="1" customWidth="1"/>
    <col min="6658" max="6658" width="19.85546875" style="1302" customWidth="1"/>
    <col min="6659" max="6659" width="12" style="1302" bestFit="1" customWidth="1"/>
    <col min="6660" max="6912" width="9.140625" style="1302"/>
    <col min="6913" max="6913" width="29.5703125" style="1302" bestFit="1" customWidth="1"/>
    <col min="6914" max="6914" width="19.85546875" style="1302" customWidth="1"/>
    <col min="6915" max="6915" width="12" style="1302" bestFit="1" customWidth="1"/>
    <col min="6916" max="7168" width="9.140625" style="1302"/>
    <col min="7169" max="7169" width="29.5703125" style="1302" bestFit="1" customWidth="1"/>
    <col min="7170" max="7170" width="19.85546875" style="1302" customWidth="1"/>
    <col min="7171" max="7171" width="12" style="1302" bestFit="1" customWidth="1"/>
    <col min="7172" max="7424" width="9.140625" style="1302"/>
    <col min="7425" max="7425" width="29.5703125" style="1302" bestFit="1" customWidth="1"/>
    <col min="7426" max="7426" width="19.85546875" style="1302" customWidth="1"/>
    <col min="7427" max="7427" width="12" style="1302" bestFit="1" customWidth="1"/>
    <col min="7428" max="7680" width="9.140625" style="1302"/>
    <col min="7681" max="7681" width="29.5703125" style="1302" bestFit="1" customWidth="1"/>
    <col min="7682" max="7682" width="19.85546875" style="1302" customWidth="1"/>
    <col min="7683" max="7683" width="12" style="1302" bestFit="1" customWidth="1"/>
    <col min="7684" max="7936" width="9.140625" style="1302"/>
    <col min="7937" max="7937" width="29.5703125" style="1302" bestFit="1" customWidth="1"/>
    <col min="7938" max="7938" width="19.85546875" style="1302" customWidth="1"/>
    <col min="7939" max="7939" width="12" style="1302" bestFit="1" customWidth="1"/>
    <col min="7940" max="8192" width="9.140625" style="1302"/>
    <col min="8193" max="8193" width="29.5703125" style="1302" bestFit="1" customWidth="1"/>
    <col min="8194" max="8194" width="19.85546875" style="1302" customWidth="1"/>
    <col min="8195" max="8195" width="12" style="1302" bestFit="1" customWidth="1"/>
    <col min="8196" max="8448" width="9.140625" style="1302"/>
    <col min="8449" max="8449" width="29.5703125" style="1302" bestFit="1" customWidth="1"/>
    <col min="8450" max="8450" width="19.85546875" style="1302" customWidth="1"/>
    <col min="8451" max="8451" width="12" style="1302" bestFit="1" customWidth="1"/>
    <col min="8452" max="8704" width="9.140625" style="1302"/>
    <col min="8705" max="8705" width="29.5703125" style="1302" bestFit="1" customWidth="1"/>
    <col min="8706" max="8706" width="19.85546875" style="1302" customWidth="1"/>
    <col min="8707" max="8707" width="12" style="1302" bestFit="1" customWidth="1"/>
    <col min="8708" max="8960" width="9.140625" style="1302"/>
    <col min="8961" max="8961" width="29.5703125" style="1302" bestFit="1" customWidth="1"/>
    <col min="8962" max="8962" width="19.85546875" style="1302" customWidth="1"/>
    <col min="8963" max="8963" width="12" style="1302" bestFit="1" customWidth="1"/>
    <col min="8964" max="9216" width="9.140625" style="1302"/>
    <col min="9217" max="9217" width="29.5703125" style="1302" bestFit="1" customWidth="1"/>
    <col min="9218" max="9218" width="19.85546875" style="1302" customWidth="1"/>
    <col min="9219" max="9219" width="12" style="1302" bestFit="1" customWidth="1"/>
    <col min="9220" max="9472" width="9.140625" style="1302"/>
    <col min="9473" max="9473" width="29.5703125" style="1302" bestFit="1" customWidth="1"/>
    <col min="9474" max="9474" width="19.85546875" style="1302" customWidth="1"/>
    <col min="9475" max="9475" width="12" style="1302" bestFit="1" customWidth="1"/>
    <col min="9476" max="9728" width="9.140625" style="1302"/>
    <col min="9729" max="9729" width="29.5703125" style="1302" bestFit="1" customWidth="1"/>
    <col min="9730" max="9730" width="19.85546875" style="1302" customWidth="1"/>
    <col min="9731" max="9731" width="12" style="1302" bestFit="1" customWidth="1"/>
    <col min="9732" max="9984" width="9.140625" style="1302"/>
    <col min="9985" max="9985" width="29.5703125" style="1302" bestFit="1" customWidth="1"/>
    <col min="9986" max="9986" width="19.85546875" style="1302" customWidth="1"/>
    <col min="9987" max="9987" width="12" style="1302" bestFit="1" customWidth="1"/>
    <col min="9988" max="10240" width="9.140625" style="1302"/>
    <col min="10241" max="10241" width="29.5703125" style="1302" bestFit="1" customWidth="1"/>
    <col min="10242" max="10242" width="19.85546875" style="1302" customWidth="1"/>
    <col min="10243" max="10243" width="12" style="1302" bestFit="1" customWidth="1"/>
    <col min="10244" max="10496" width="9.140625" style="1302"/>
    <col min="10497" max="10497" width="29.5703125" style="1302" bestFit="1" customWidth="1"/>
    <col min="10498" max="10498" width="19.85546875" style="1302" customWidth="1"/>
    <col min="10499" max="10499" width="12" style="1302" bestFit="1" customWidth="1"/>
    <col min="10500" max="10752" width="9.140625" style="1302"/>
    <col min="10753" max="10753" width="29.5703125" style="1302" bestFit="1" customWidth="1"/>
    <col min="10754" max="10754" width="19.85546875" style="1302" customWidth="1"/>
    <col min="10755" max="10755" width="12" style="1302" bestFit="1" customWidth="1"/>
    <col min="10756" max="11008" width="9.140625" style="1302"/>
    <col min="11009" max="11009" width="29.5703125" style="1302" bestFit="1" customWidth="1"/>
    <col min="11010" max="11010" width="19.85546875" style="1302" customWidth="1"/>
    <col min="11011" max="11011" width="12" style="1302" bestFit="1" customWidth="1"/>
    <col min="11012" max="11264" width="9.140625" style="1302"/>
    <col min="11265" max="11265" width="29.5703125" style="1302" bestFit="1" customWidth="1"/>
    <col min="11266" max="11266" width="19.85546875" style="1302" customWidth="1"/>
    <col min="11267" max="11267" width="12" style="1302" bestFit="1" customWidth="1"/>
    <col min="11268" max="11520" width="9.140625" style="1302"/>
    <col min="11521" max="11521" width="29.5703125" style="1302" bestFit="1" customWidth="1"/>
    <col min="11522" max="11522" width="19.85546875" style="1302" customWidth="1"/>
    <col min="11523" max="11523" width="12" style="1302" bestFit="1" customWidth="1"/>
    <col min="11524" max="11776" width="9.140625" style="1302"/>
    <col min="11777" max="11777" width="29.5703125" style="1302" bestFit="1" customWidth="1"/>
    <col min="11778" max="11778" width="19.85546875" style="1302" customWidth="1"/>
    <col min="11779" max="11779" width="12" style="1302" bestFit="1" customWidth="1"/>
    <col min="11780" max="12032" width="9.140625" style="1302"/>
    <col min="12033" max="12033" width="29.5703125" style="1302" bestFit="1" customWidth="1"/>
    <col min="12034" max="12034" width="19.85546875" style="1302" customWidth="1"/>
    <col min="12035" max="12035" width="12" style="1302" bestFit="1" customWidth="1"/>
    <col min="12036" max="12288" width="9.140625" style="1302"/>
    <col min="12289" max="12289" width="29.5703125" style="1302" bestFit="1" customWidth="1"/>
    <col min="12290" max="12290" width="19.85546875" style="1302" customWidth="1"/>
    <col min="12291" max="12291" width="12" style="1302" bestFit="1" customWidth="1"/>
    <col min="12292" max="12544" width="9.140625" style="1302"/>
    <col min="12545" max="12545" width="29.5703125" style="1302" bestFit="1" customWidth="1"/>
    <col min="12546" max="12546" width="19.85546875" style="1302" customWidth="1"/>
    <col min="12547" max="12547" width="12" style="1302" bestFit="1" customWidth="1"/>
    <col min="12548" max="12800" width="9.140625" style="1302"/>
    <col min="12801" max="12801" width="29.5703125" style="1302" bestFit="1" customWidth="1"/>
    <col min="12802" max="12802" width="19.85546875" style="1302" customWidth="1"/>
    <col min="12803" max="12803" width="12" style="1302" bestFit="1" customWidth="1"/>
    <col min="12804" max="13056" width="9.140625" style="1302"/>
    <col min="13057" max="13057" width="29.5703125" style="1302" bestFit="1" customWidth="1"/>
    <col min="13058" max="13058" width="19.85546875" style="1302" customWidth="1"/>
    <col min="13059" max="13059" width="12" style="1302" bestFit="1" customWidth="1"/>
    <col min="13060" max="13312" width="9.140625" style="1302"/>
    <col min="13313" max="13313" width="29.5703125" style="1302" bestFit="1" customWidth="1"/>
    <col min="13314" max="13314" width="19.85546875" style="1302" customWidth="1"/>
    <col min="13315" max="13315" width="12" style="1302" bestFit="1" customWidth="1"/>
    <col min="13316" max="13568" width="9.140625" style="1302"/>
    <col min="13569" max="13569" width="29.5703125" style="1302" bestFit="1" customWidth="1"/>
    <col min="13570" max="13570" width="19.85546875" style="1302" customWidth="1"/>
    <col min="13571" max="13571" width="12" style="1302" bestFit="1" customWidth="1"/>
    <col min="13572" max="13824" width="9.140625" style="1302"/>
    <col min="13825" max="13825" width="29.5703125" style="1302" bestFit="1" customWidth="1"/>
    <col min="13826" max="13826" width="19.85546875" style="1302" customWidth="1"/>
    <col min="13827" max="13827" width="12" style="1302" bestFit="1" customWidth="1"/>
    <col min="13828" max="14080" width="9.140625" style="1302"/>
    <col min="14081" max="14081" width="29.5703125" style="1302" bestFit="1" customWidth="1"/>
    <col min="14082" max="14082" width="19.85546875" style="1302" customWidth="1"/>
    <col min="14083" max="14083" width="12" style="1302" bestFit="1" customWidth="1"/>
    <col min="14084" max="14336" width="9.140625" style="1302"/>
    <col min="14337" max="14337" width="29.5703125" style="1302" bestFit="1" customWidth="1"/>
    <col min="14338" max="14338" width="19.85546875" style="1302" customWidth="1"/>
    <col min="14339" max="14339" width="12" style="1302" bestFit="1" customWidth="1"/>
    <col min="14340" max="14592" width="9.140625" style="1302"/>
    <col min="14593" max="14593" width="29.5703125" style="1302" bestFit="1" customWidth="1"/>
    <col min="14594" max="14594" width="19.85546875" style="1302" customWidth="1"/>
    <col min="14595" max="14595" width="12" style="1302" bestFit="1" customWidth="1"/>
    <col min="14596" max="14848" width="9.140625" style="1302"/>
    <col min="14849" max="14849" width="29.5703125" style="1302" bestFit="1" customWidth="1"/>
    <col min="14850" max="14850" width="19.85546875" style="1302" customWidth="1"/>
    <col min="14851" max="14851" width="12" style="1302" bestFit="1" customWidth="1"/>
    <col min="14852" max="15104" width="9.140625" style="1302"/>
    <col min="15105" max="15105" width="29.5703125" style="1302" bestFit="1" customWidth="1"/>
    <col min="15106" max="15106" width="19.85546875" style="1302" customWidth="1"/>
    <col min="15107" max="15107" width="12" style="1302" bestFit="1" customWidth="1"/>
    <col min="15108" max="15360" width="9.140625" style="1302"/>
    <col min="15361" max="15361" width="29.5703125" style="1302" bestFit="1" customWidth="1"/>
    <col min="15362" max="15362" width="19.85546875" style="1302" customWidth="1"/>
    <col min="15363" max="15363" width="12" style="1302" bestFit="1" customWidth="1"/>
    <col min="15364" max="15616" width="9.140625" style="1302"/>
    <col min="15617" max="15617" width="29.5703125" style="1302" bestFit="1" customWidth="1"/>
    <col min="15618" max="15618" width="19.85546875" style="1302" customWidth="1"/>
    <col min="15619" max="15619" width="12" style="1302" bestFit="1" customWidth="1"/>
    <col min="15620" max="15872" width="9.140625" style="1302"/>
    <col min="15873" max="15873" width="29.5703125" style="1302" bestFit="1" customWidth="1"/>
    <col min="15874" max="15874" width="19.85546875" style="1302" customWidth="1"/>
    <col min="15875" max="15875" width="12" style="1302" bestFit="1" customWidth="1"/>
    <col min="15876" max="16128" width="9.140625" style="1302"/>
    <col min="16129" max="16129" width="29.5703125" style="1302" bestFit="1" customWidth="1"/>
    <col min="16130" max="16130" width="19.85546875" style="1302" customWidth="1"/>
    <col min="16131" max="16131" width="12" style="1302" bestFit="1" customWidth="1"/>
    <col min="16132" max="16384" width="9.140625" style="1302"/>
  </cols>
  <sheetData>
    <row r="1" spans="1:2">
      <c r="A1" s="1302" t="s">
        <v>945</v>
      </c>
      <c r="B1" s="1363">
        <v>6.1</v>
      </c>
    </row>
    <row r="2" spans="1:2">
      <c r="A2" s="1302" t="s">
        <v>946</v>
      </c>
      <c r="B2" s="1367">
        <v>43206.461863425924</v>
      </c>
    </row>
    <row r="3" spans="1:2">
      <c r="A3" s="1302" t="s">
        <v>947</v>
      </c>
      <c r="B3" s="1364" t="s">
        <v>647</v>
      </c>
    </row>
    <row r="4" spans="1:2">
      <c r="A4" s="1302" t="s">
        <v>948</v>
      </c>
      <c r="B4" s="1364" t="s">
        <v>282</v>
      </c>
    </row>
    <row r="5" spans="1:2">
      <c r="A5" s="1302" t="s">
        <v>949</v>
      </c>
      <c r="B5" s="1364" t="s">
        <v>950</v>
      </c>
    </row>
    <row r="6" spans="1:2">
      <c r="A6" s="1302" t="s">
        <v>951</v>
      </c>
    </row>
    <row r="7" spans="1:2">
      <c r="A7" s="1302" t="s">
        <v>952</v>
      </c>
      <c r="B7" s="1364" t="s">
        <v>215</v>
      </c>
    </row>
    <row r="8" spans="1:2">
      <c r="A8" s="1302" t="s">
        <v>953</v>
      </c>
      <c r="B8" s="1364" t="s">
        <v>954</v>
      </c>
    </row>
    <row r="9" spans="1:2">
      <c r="A9" s="1302" t="s">
        <v>955</v>
      </c>
      <c r="B9" s="1364" t="s">
        <v>992</v>
      </c>
    </row>
    <row r="10" spans="1:2">
      <c r="A10" s="1302" t="s">
        <v>956</v>
      </c>
    </row>
    <row r="11" spans="1:2">
      <c r="A11" s="1302" t="s">
        <v>957</v>
      </c>
    </row>
    <row r="12" spans="1:2">
      <c r="A12" s="1302" t="s">
        <v>958</v>
      </c>
    </row>
    <row r="13" spans="1:2">
      <c r="A13" s="1302" t="s">
        <v>959</v>
      </c>
    </row>
    <row r="14" spans="1:2">
      <c r="A14" s="1302" t="s">
        <v>960</v>
      </c>
    </row>
    <row r="15" spans="1:2">
      <c r="A15" s="1302" t="s">
        <v>961</v>
      </c>
    </row>
    <row r="16" spans="1:2">
      <c r="A16" s="1302" t="s">
        <v>962</v>
      </c>
    </row>
    <row r="17" spans="1:4">
      <c r="A17" s="1302" t="s">
        <v>963</v>
      </c>
      <c r="B17" s="1364" t="s">
        <v>993</v>
      </c>
    </row>
    <row r="18" spans="1:4">
      <c r="A18" s="1302" t="s">
        <v>964</v>
      </c>
      <c r="B18" s="1364" t="s">
        <v>646</v>
      </c>
    </row>
    <row r="19" spans="1:4">
      <c r="A19" s="1302" t="s">
        <v>965</v>
      </c>
      <c r="B19" s="1364" t="s">
        <v>368</v>
      </c>
    </row>
    <row r="20" spans="1:4">
      <c r="A20" s="1302" t="s">
        <v>966</v>
      </c>
      <c r="B20" s="1365" t="s">
        <v>996</v>
      </c>
    </row>
    <row r="21" spans="1:4">
      <c r="A21" s="1302" t="s">
        <v>967</v>
      </c>
      <c r="B21" s="1364" t="s">
        <v>368</v>
      </c>
    </row>
    <row r="22" spans="1:4">
      <c r="A22" s="1302" t="s">
        <v>968</v>
      </c>
      <c r="B22" s="1365" t="s">
        <v>431</v>
      </c>
    </row>
    <row r="23" spans="1:4">
      <c r="A23" s="1302" t="s">
        <v>56</v>
      </c>
      <c r="B23" s="1363">
        <v>17.59</v>
      </c>
    </row>
    <row r="24" spans="1:4">
      <c r="A24" s="1302" t="s">
        <v>152</v>
      </c>
      <c r="B24" s="1364" t="s">
        <v>319</v>
      </c>
      <c r="D24" s="1302" t="s">
        <v>341</v>
      </c>
    </row>
    <row r="25" spans="1:4">
      <c r="A25" s="1302" t="s">
        <v>969</v>
      </c>
      <c r="B25" s="1364" t="s">
        <v>997</v>
      </c>
    </row>
    <row r="26" spans="1:4">
      <c r="A26" s="1302" t="s">
        <v>970</v>
      </c>
      <c r="B26" s="1364">
        <v>0</v>
      </c>
    </row>
    <row r="27" spans="1:4">
      <c r="A27" s="1302" t="s">
        <v>971</v>
      </c>
      <c r="B27" s="1364" t="s">
        <v>972</v>
      </c>
    </row>
    <row r="28" spans="1:4">
      <c r="A28" s="1302" t="s">
        <v>973</v>
      </c>
      <c r="B28" s="1364" t="s">
        <v>974</v>
      </c>
    </row>
    <row r="29" spans="1:4">
      <c r="A29" s="1302" t="s">
        <v>975</v>
      </c>
    </row>
    <row r="30" spans="1:4">
      <c r="A30" s="1302" t="s">
        <v>976</v>
      </c>
    </row>
    <row r="31" spans="1:4">
      <c r="A31" s="1302" t="s">
        <v>977</v>
      </c>
    </row>
    <row r="32" spans="1:4">
      <c r="A32" s="1302" t="s">
        <v>978</v>
      </c>
      <c r="B32" s="1363"/>
    </row>
    <row r="33" spans="1:2">
      <c r="A33" s="1302" t="s">
        <v>979</v>
      </c>
      <c r="B33" s="1363"/>
    </row>
    <row r="34" spans="1:2">
      <c r="A34" s="1302" t="s">
        <v>980</v>
      </c>
      <c r="B34" s="1363"/>
    </row>
    <row r="35" spans="1:2">
      <c r="A35" s="1302" t="s">
        <v>981</v>
      </c>
      <c r="B35" s="1364">
        <v>1000000</v>
      </c>
    </row>
    <row r="36" spans="1:2">
      <c r="A36" s="1302" t="s">
        <v>982</v>
      </c>
      <c r="B36" s="1364" t="s">
        <v>994</v>
      </c>
    </row>
    <row r="37" spans="1:2">
      <c r="A37" s="1302" t="s">
        <v>983</v>
      </c>
      <c r="B37" s="1364" t="s">
        <v>984</v>
      </c>
    </row>
    <row r="38" spans="1:2">
      <c r="A38" s="1302" t="s">
        <v>985</v>
      </c>
      <c r="B38" s="1364" t="s">
        <v>986</v>
      </c>
    </row>
    <row r="39" spans="1:2">
      <c r="A39" s="1302" t="s">
        <v>987</v>
      </c>
      <c r="B39" s="1364" t="s">
        <v>995</v>
      </c>
    </row>
    <row r="40" spans="1:2">
      <c r="A40" s="1302" t="s">
        <v>988</v>
      </c>
      <c r="B40" s="1364">
        <v>1500000169</v>
      </c>
    </row>
    <row r="41" spans="1:2">
      <c r="A41" s="1302" t="s">
        <v>989</v>
      </c>
      <c r="B41" s="1364">
        <v>1</v>
      </c>
    </row>
    <row r="42" spans="1:2">
      <c r="A42" s="1366" t="s">
        <v>990</v>
      </c>
    </row>
    <row r="43" spans="1:2">
      <c r="A43" s="1302" t="s">
        <v>991</v>
      </c>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28.5703125" style="1302" bestFit="1" customWidth="1"/>
    <col min="2" max="256" width="9.140625" style="1302"/>
    <col min="257" max="257" width="28.5703125" style="1302" bestFit="1" customWidth="1"/>
    <col min="258" max="512" width="9.140625" style="1302"/>
    <col min="513" max="513" width="28.5703125" style="1302" bestFit="1" customWidth="1"/>
    <col min="514" max="768" width="9.140625" style="1302"/>
    <col min="769" max="769" width="28.5703125" style="1302" bestFit="1" customWidth="1"/>
    <col min="770" max="1024" width="9.140625" style="1302"/>
    <col min="1025" max="1025" width="28.5703125" style="1302" bestFit="1" customWidth="1"/>
    <col min="1026" max="1280" width="9.140625" style="1302"/>
    <col min="1281" max="1281" width="28.5703125" style="1302" bestFit="1" customWidth="1"/>
    <col min="1282" max="1536" width="9.140625" style="1302"/>
    <col min="1537" max="1537" width="28.5703125" style="1302" bestFit="1" customWidth="1"/>
    <col min="1538" max="1792" width="9.140625" style="1302"/>
    <col min="1793" max="1793" width="28.5703125" style="1302" bestFit="1" customWidth="1"/>
    <col min="1794" max="2048" width="9.140625" style="1302"/>
    <col min="2049" max="2049" width="28.5703125" style="1302" bestFit="1" customWidth="1"/>
    <col min="2050" max="2304" width="9.140625" style="1302"/>
    <col min="2305" max="2305" width="28.5703125" style="1302" bestFit="1" customWidth="1"/>
    <col min="2306" max="2560" width="9.140625" style="1302"/>
    <col min="2561" max="2561" width="28.5703125" style="1302" bestFit="1" customWidth="1"/>
    <col min="2562" max="2816" width="9.140625" style="1302"/>
    <col min="2817" max="2817" width="28.5703125" style="1302" bestFit="1" customWidth="1"/>
    <col min="2818" max="3072" width="9.140625" style="1302"/>
    <col min="3073" max="3073" width="28.5703125" style="1302" bestFit="1" customWidth="1"/>
    <col min="3074" max="3328" width="9.140625" style="1302"/>
    <col min="3329" max="3329" width="28.5703125" style="1302" bestFit="1" customWidth="1"/>
    <col min="3330" max="3584" width="9.140625" style="1302"/>
    <col min="3585" max="3585" width="28.5703125" style="1302" bestFit="1" customWidth="1"/>
    <col min="3586" max="3840" width="9.140625" style="1302"/>
    <col min="3841" max="3841" width="28.5703125" style="1302" bestFit="1" customWidth="1"/>
    <col min="3842" max="4096" width="9.140625" style="1302"/>
    <col min="4097" max="4097" width="28.5703125" style="1302" bestFit="1" customWidth="1"/>
    <col min="4098" max="4352" width="9.140625" style="1302"/>
    <col min="4353" max="4353" width="28.5703125" style="1302" bestFit="1" customWidth="1"/>
    <col min="4354" max="4608" width="9.140625" style="1302"/>
    <col min="4609" max="4609" width="28.5703125" style="1302" bestFit="1" customWidth="1"/>
    <col min="4610" max="4864" width="9.140625" style="1302"/>
    <col min="4865" max="4865" width="28.5703125" style="1302" bestFit="1" customWidth="1"/>
    <col min="4866" max="5120" width="9.140625" style="1302"/>
    <col min="5121" max="5121" width="28.5703125" style="1302" bestFit="1" customWidth="1"/>
    <col min="5122" max="5376" width="9.140625" style="1302"/>
    <col min="5377" max="5377" width="28.5703125" style="1302" bestFit="1" customWidth="1"/>
    <col min="5378" max="5632" width="9.140625" style="1302"/>
    <col min="5633" max="5633" width="28.5703125" style="1302" bestFit="1" customWidth="1"/>
    <col min="5634" max="5888" width="9.140625" style="1302"/>
    <col min="5889" max="5889" width="28.5703125" style="1302" bestFit="1" customWidth="1"/>
    <col min="5890" max="6144" width="9.140625" style="1302"/>
    <col min="6145" max="6145" width="28.5703125" style="1302" bestFit="1" customWidth="1"/>
    <col min="6146" max="6400" width="9.140625" style="1302"/>
    <col min="6401" max="6401" width="28.5703125" style="1302" bestFit="1" customWidth="1"/>
    <col min="6402" max="6656" width="9.140625" style="1302"/>
    <col min="6657" max="6657" width="28.5703125" style="1302" bestFit="1" customWidth="1"/>
    <col min="6658" max="6912" width="9.140625" style="1302"/>
    <col min="6913" max="6913" width="28.5703125" style="1302" bestFit="1" customWidth="1"/>
    <col min="6914" max="7168" width="9.140625" style="1302"/>
    <col min="7169" max="7169" width="28.5703125" style="1302" bestFit="1" customWidth="1"/>
    <col min="7170" max="7424" width="9.140625" style="1302"/>
    <col min="7425" max="7425" width="28.5703125" style="1302" bestFit="1" customWidth="1"/>
    <col min="7426" max="7680" width="9.140625" style="1302"/>
    <col min="7681" max="7681" width="28.5703125" style="1302" bestFit="1" customWidth="1"/>
    <col min="7682" max="7936" width="9.140625" style="1302"/>
    <col min="7937" max="7937" width="28.5703125" style="1302" bestFit="1" customWidth="1"/>
    <col min="7938" max="8192" width="9.140625" style="1302"/>
    <col min="8193" max="8193" width="28.5703125" style="1302" bestFit="1" customWidth="1"/>
    <col min="8194" max="8448" width="9.140625" style="1302"/>
    <col min="8449" max="8449" width="28.5703125" style="1302" bestFit="1" customWidth="1"/>
    <col min="8450" max="8704" width="9.140625" style="1302"/>
    <col min="8705" max="8705" width="28.5703125" style="1302" bestFit="1" customWidth="1"/>
    <col min="8706" max="8960" width="9.140625" style="1302"/>
    <col min="8961" max="8961" width="28.5703125" style="1302" bestFit="1" customWidth="1"/>
    <col min="8962" max="9216" width="9.140625" style="1302"/>
    <col min="9217" max="9217" width="28.5703125" style="1302" bestFit="1" customWidth="1"/>
    <col min="9218" max="9472" width="9.140625" style="1302"/>
    <col min="9473" max="9473" width="28.5703125" style="1302" bestFit="1" customWidth="1"/>
    <col min="9474" max="9728" width="9.140625" style="1302"/>
    <col min="9729" max="9729" width="28.5703125" style="1302" bestFit="1" customWidth="1"/>
    <col min="9730" max="9984" width="9.140625" style="1302"/>
    <col min="9985" max="9985" width="28.5703125" style="1302" bestFit="1" customWidth="1"/>
    <col min="9986" max="10240" width="9.140625" style="1302"/>
    <col min="10241" max="10241" width="28.5703125" style="1302" bestFit="1" customWidth="1"/>
    <col min="10242" max="10496" width="9.140625" style="1302"/>
    <col min="10497" max="10497" width="28.5703125" style="1302" bestFit="1" customWidth="1"/>
    <col min="10498" max="10752" width="9.140625" style="1302"/>
    <col min="10753" max="10753" width="28.5703125" style="1302" bestFit="1" customWidth="1"/>
    <col min="10754" max="11008" width="9.140625" style="1302"/>
    <col min="11009" max="11009" width="28.5703125" style="1302" bestFit="1" customWidth="1"/>
    <col min="11010" max="11264" width="9.140625" style="1302"/>
    <col min="11265" max="11265" width="28.5703125" style="1302" bestFit="1" customWidth="1"/>
    <col min="11266" max="11520" width="9.140625" style="1302"/>
    <col min="11521" max="11521" width="28.5703125" style="1302" bestFit="1" customWidth="1"/>
    <col min="11522" max="11776" width="9.140625" style="1302"/>
    <col min="11777" max="11777" width="28.5703125" style="1302" bestFit="1" customWidth="1"/>
    <col min="11778" max="12032" width="9.140625" style="1302"/>
    <col min="12033" max="12033" width="28.5703125" style="1302" bestFit="1" customWidth="1"/>
    <col min="12034" max="12288" width="9.140625" style="1302"/>
    <col min="12289" max="12289" width="28.5703125" style="1302" bestFit="1" customWidth="1"/>
    <col min="12290" max="12544" width="9.140625" style="1302"/>
    <col min="12545" max="12545" width="28.5703125" style="1302" bestFit="1" customWidth="1"/>
    <col min="12546" max="12800" width="9.140625" style="1302"/>
    <col min="12801" max="12801" width="28.5703125" style="1302" bestFit="1" customWidth="1"/>
    <col min="12802" max="13056" width="9.140625" style="1302"/>
    <col min="13057" max="13057" width="28.5703125" style="1302" bestFit="1" customWidth="1"/>
    <col min="13058" max="13312" width="9.140625" style="1302"/>
    <col min="13313" max="13313" width="28.5703125" style="1302" bestFit="1" customWidth="1"/>
    <col min="13314" max="13568" width="9.140625" style="1302"/>
    <col min="13569" max="13569" width="28.5703125" style="1302" bestFit="1" customWidth="1"/>
    <col min="13570" max="13824" width="9.140625" style="1302"/>
    <col min="13825" max="13825" width="28.5703125" style="1302" bestFit="1" customWidth="1"/>
    <col min="13826" max="14080" width="9.140625" style="1302"/>
    <col min="14081" max="14081" width="28.5703125" style="1302" bestFit="1" customWidth="1"/>
    <col min="14082" max="14336" width="9.140625" style="1302"/>
    <col min="14337" max="14337" width="28.5703125" style="1302" bestFit="1" customWidth="1"/>
    <col min="14338" max="14592" width="9.140625" style="1302"/>
    <col min="14593" max="14593" width="28.5703125" style="1302" bestFit="1" customWidth="1"/>
    <col min="14594" max="14848" width="9.140625" style="1302"/>
    <col min="14849" max="14849" width="28.5703125" style="1302" bestFit="1" customWidth="1"/>
    <col min="14850" max="15104" width="9.140625" style="1302"/>
    <col min="15105" max="15105" width="28.5703125" style="1302" bestFit="1" customWidth="1"/>
    <col min="15106" max="15360" width="9.140625" style="1302"/>
    <col min="15361" max="15361" width="28.5703125" style="1302" bestFit="1" customWidth="1"/>
    <col min="15362" max="15616" width="9.140625" style="1302"/>
    <col min="15617" max="15617" width="28.5703125" style="1302" bestFit="1" customWidth="1"/>
    <col min="15618" max="15872" width="9.140625" style="1302"/>
    <col min="15873" max="15873" width="28.5703125" style="1302" bestFit="1" customWidth="1"/>
    <col min="15874" max="16128" width="9.140625" style="1302"/>
    <col min="16129" max="16129" width="28.5703125" style="1302" bestFit="1" customWidth="1"/>
    <col min="16130" max="16384" width="9.140625" style="1302"/>
  </cols>
  <sheetData>
    <row r="1" spans="1:1">
      <c r="A1" s="1368" t="s">
        <v>998</v>
      </c>
    </row>
    <row r="2" spans="1:1">
      <c r="A2" s="1368" t="s">
        <v>1003</v>
      </c>
    </row>
    <row r="3" spans="1:1">
      <c r="A3" s="1368" t="s">
        <v>1004</v>
      </c>
    </row>
    <row r="4" spans="1:1">
      <c r="A4" s="1368" t="s">
        <v>1005</v>
      </c>
    </row>
    <row r="5" spans="1:1">
      <c r="A5" s="1368" t="s">
        <v>1006</v>
      </c>
    </row>
    <row r="6" spans="1:1">
      <c r="A6" s="1368" t="s">
        <v>999</v>
      </c>
    </row>
    <row r="7" spans="1:1">
      <c r="A7" s="1368" t="s">
        <v>1007</v>
      </c>
    </row>
    <row r="8" spans="1:1">
      <c r="A8" s="1368" t="s">
        <v>1008</v>
      </c>
    </row>
    <row r="9" spans="1:1">
      <c r="A9" s="1368" t="s">
        <v>1009</v>
      </c>
    </row>
    <row r="10" spans="1:1">
      <c r="A10" s="1368" t="s">
        <v>1000</v>
      </c>
    </row>
    <row r="11" spans="1:1">
      <c r="A11" s="1368" t="s">
        <v>1010</v>
      </c>
    </row>
    <row r="12" spans="1:1">
      <c r="A12" s="1368" t="s">
        <v>1001</v>
      </c>
    </row>
    <row r="13" spans="1:1">
      <c r="A13" s="1368" t="s">
        <v>1002</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33dab56d-c0ec-407d-9ec3-f5536c82fe51</GUID>
    <SOURCE_ALTADDRESS>$A$7:$DC$72</SOURCE_ALTADDRESS>
    <SOURCETYPE>Table</SOURCETYPE>
    <SOURCE_OBJECTNAME>Linking_Range_24</SOURCE_OBJECTNAME>
    <OBJECTTYPE>Native</OBJECTTYPE>
    <SOURCE_SHEETCODE>Sheet25</SOURCE_SHEETCODE>
    <SOURCE_SHEETNAME>Balance Sheet </SOURCE_SHEETNAME>
    <SOURCEAPPLICATION>EXCEL_SOURCE</SOURCEAPPLICATION>
    <UPDATEDAT>4/12/2015 3:21:06 PM</UPDATEDAT>
    <SOURCE_ISOUTOFDATE>False</SOURCE_ISOUTOFDATE>
    <SOURCE_WORKBOOKNAME>WEN - MS.xls</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/MSResearch/Content/ExternalAssets/2015-01/Images/ZLktqHK-_UmepE2SlzesVQ--.png</TARGET_BINARYFULLNAME>
    <TARGET_STORYFULLNAME>/MSResearch/Content/ExternalAssets/2015-01/Sections/20150107_065423_Linking_Range_24.xml</TARGET_STORYFULLNAME>
    <TARGET_UUID>810ccd00-96c8-11e4-823d-b49a3c77dd58</TARGET_UUID>
    <LINKSTATUS>Unknown</LINKSTATUS>
  </Link>
  <Link>
    <GUID>bc01512c-d53c-453c-87fc-5519ce127bd2</GUID>
    <SOURCE_ALTADDRESS>$A$7:$DC$69</SOURCE_ALTADDRESS>
    <SOURCETYPE>Table</SOURCETYPE>
    <SOURCE_OBJECTNAME>Linking_Range_25</SOURCE_OBJECTNAME>
    <OBJECTTYPE>Native</OBJECTTYPE>
    <SOURCE_SHEETCODE>Sheet26</SOURCE_SHEETCODE>
    <SOURCE_SHEETNAME>CashFlow </SOURCE_SHEETNAME>
    <SOURCEAPPLICATION>EXCEL_SOURCE</SOURCEAPPLICATION>
    <UPDATEDAT>4/12/2015 3:21:21 PM</UPDATEDAT>
    <SOURCE_ISOUTOFDATE>False</SOURCE_ISOUTOFDATE>
    <SOURCE_WORKBOOKNAME>WEN - MS.xls</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/MSResearch/Content/ExternalAssets/2015-01/Images/cTEUNMS9QUmS3oSWweAyw--.png</TARGET_BINARYFULLNAME>
    <TARGET_STORYFULLNAME>/MSResearch/Content/ExternalAssets/2015-01/Sections/20150107_065521_Linking_Range_25.xml</TARGET_STORYFULLNAME>
    <TARGET_UUID>a3c96c22-96c8-11e4-823d-b49a3c77dd58</TARGET_UUID>
    <LINKSTATUS>Unknown</LINKSTATUS>
  </Link>
  <Link>
    <GUID>b60d2d0a-755c-4de9-83d3-5edb562ec869</GUID>
    <SOURCETYPE>Chart</SOURCETYPE>
    <SOURCE_OBJECTNAME>MWA_Risk_Reward</SOURCE_OBJECTNAME>
    <SOURCE_SHEETCODE>MWRSSData</SOURCE_SHEETCODE>
    <SOURCE_SHEETNAME>MWA RR</SOURCE_SHEETNAME>
    <OBJECTTYPE>Native</OBJECTTYPE>
    <SOURCEAPPLICATION>EXCEL_SOURCE</SOURCEAPPLICATION>
    <UPDATEDAT>5/7/2015 5:45:43 PM</UPDATEDAT>
    <SOURCE_ISOUTOFDATE>False</SOURCE_ISOUTOFDATE>
    <SOURCE_WORKBOOKNAME>WEN - MS.xls</SOURCE_WORKBOOKNAME>
    <SOURCE_WORKBOOKPATH>\\MSAD\ROOT\NA\NY\LIB\ER\RESTAURANTS\Restaurant\MODELS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/MSResearch/Content/ExternalAssets/2015-01/Images/IMfwRz2K2U6sst2Fjvs-pg--.png</TARGET_BINARYFULLNAME>
    <TARGET_STORYFULLNAME>/MSResearch/Content/ExternalAssets/2015-01/Sections/20150106_043950_MWA_Risk_Reward.xml</TARGET_STORYFULLNAME>
    <TARGET_UUID>8af1fe8a-95ec-11e4-823d-b49a3c77dd58</TARGET_UUID>
    <HIDEGRIDLINES>False</HIDEGRIDLINES>
    <LINKSTATUS>Unknown</LINKSTATUS>
    <EXTRACTSOURCEMODE>CopyToClipboard</EXTRACTSOURCEMODE>
  </Link>
  <Link>
    <GUID>f5ee6628-3d55-49c3-a7e2-2cd33eded414</GUID>
    <SOURCE_ALTADDRESS>$A$7:$BT$110</SOURCE_ALTADDRESS>
    <SOURCETYPE>Table</SOURCETYPE>
    <SOURCE_OBJECTNAME>Linking_Range_23</SOURCE_OBJECTNAME>
    <OBJECTTYPE>Native</OBJECTTYPE>
    <SOURCE_SHEETCODE>Sheet24</SOURCE_SHEETCODE>
    <SOURCE_SHEETNAME>IncomeStatement</SOURCE_SHEETNAME>
    <SOURCEAPPLICATION>EXCEL_SOURCE</SOURCEAPPLICATION>
    <UPDATEDAT>5/7/2015 6:14:56 PM</UPDATEDAT>
    <SOURCE_ISOUTOFDATE>False</SOURCE_ISOUTOFDATE>
    <SOURCE_WORKBOOKNAME>WEN - MS.xls</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/MSResearch/Content/ExternalAssets/2015-01/Images/7xyDNkcs9EqbNCxAd7KrWg--.png</TARGET_BINARYFULLNAME>
    <TARGET_STORYFULLNAME>/MSResearch/Content/ExternalAssets/2015-01/Sections/20150107_065302_Linking_Range_23.xml</TARGET_STORYFULLNAME>
    <TARGET_UUID>5137f19a-96c8-11e4-823d-b49a3c77dd58</TARGET_UUID>
    <LINKSTATUS>Unknown</LINKSTATUS>
  </Link>
  <Link>
    <GUID>1736ba85-9779-4c03-a0c7-1ca005b68088</GUID>
    <SOURCE_ALTADDRESS>$A$7:$BT$120</SOURCE_ALTADDRESS>
    <SOURCETYPE>Table</SOURCETYPE>
    <SOURCE_OBJECTNAME>Linking_Range_26</SOURCE_OBJECTNAME>
    <OBJECTTYPE>Native</OBJECTTYPE>
    <SOURCE_SHEETCODE>Sheet24</SOURCE_SHEETCODE>
    <SOURCE_SHEETNAME>IncomeStatement</SOURCE_SHEETNAME>
    <SOURCEAPPLICATION>EXCEL_SOURCE</SOURCEAPPLICATION>
    <UPDATEDAT>5/7/2015 8:22:24 PM</UPDATEDAT>
    <SOURCE_ISOUTOFDATE>False</SOURCE_ISOUTOFDATE>
    <SOURCE_WORKBOOKNAME>WEN - MS.xls</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/MSResearch/Content/ExternalAssets/2015-05/Images/YkYKRNQDcEyLOJSIX8WTww--.png</TARGET_BINARYFULLNAME>
    <TARGET_STORYFULLNAME>/MSResearch/Content/ExternalAssets/2015-05/Sections/20150507_082221_Linking_Range_26.xml</TARGET_STORYFULLNAME>
    <TARGET_UUID>4afe95d2-f518-11e4-96ae-7c07ebc02301</TARGET_UUID>
  </Link>
  <Link>
    <GUID>67fadc3d-ac01-4732-a7ac-f1dc89a56220</GUID>
    <SOURCE_ALTADDRESS>$A$7:$DC$55</SOURCE_ALTADDRESS>
    <SOURCETYPE>Table</SOURCETYPE>
    <SOURCE_OBJECTNAME>Linking_Range_27</SOURCE_OBJECTNAME>
    <OBJECTTYPE>Native</OBJECTTYPE>
    <SOURCE_SHEETCODE>Sheet25</SOURCE_SHEETCODE>
    <SOURCE_SHEETNAME>Balance Sheet </SOURCE_SHEETNAME>
    <SOURCEAPPLICATION>EXCEL_SOURCE</SOURCEAPPLICATION>
    <UPDATEDAT>5/7/2015 8:24:25 PM</UPDATEDAT>
    <SOURCE_ISOUTOFDATE>False</SOURCE_ISOUTOFDATE>
    <SOURCE_WORKBOOKNAME>WEN - MS.xls</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/MSResearch/Content/ExternalAssets/2015-05/Images/PNQo0H2P60ys6wnh5dZP9A--.png</TARGET_BINARYFULLNAME>
    <TARGET_STORYFULLNAME>/MSResearch/Content/ExternalAssets/2015-05/Sections/20150507_082424_Linking_Range_27.xml</TARGET_STORYFULLNAME>
    <TARGET_UUID>9455428a-f518-11e4-96ae-7c07ebc02301</TARGET_UUID>
  </Link>
  <Link>
    <GUID>04e933ad-de51-4d70-9519-860677641b81</GUID>
    <SOURCE_ALTADDRESS>$A$7:$DC$70</SOURCE_ALTADDRESS>
    <SOURCETYPE>Table</SOURCETYPE>
    <SOURCE_OBJECTNAME>Linking_Range_28</SOURCE_OBJECTNAME>
    <OBJECTTYPE>Native</OBJECTTYPE>
    <SOURCE_SHEETCODE>Sheet26</SOURCE_SHEETCODE>
    <SOURCE_SHEETNAME>CashFlow </SOURCE_SHEETNAME>
    <SOURCEAPPLICATION>EXCEL_SOURCE</SOURCEAPPLICATION>
    <UPDATEDAT>5/7/2015 8:28:10 PM</UPDATEDAT>
    <SOURCE_ISOUTOFDATE>False</SOURCE_ISOUTOFDATE>
    <SOURCE_WORKBOOKNAME>WEN - MS.xls</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/MSResearch/Content/ExternalAssets/2015-05/Images/5vo5W8MG20GV4Xvn4yLXxw--.png</TARGET_BINARYFULLNAME>
    <TARGET_STORYFULLNAME>/MSResearch/Content/ExternalAssets/2015-05/Sections/20150507_082806_Linking_Range_28.xml</TARGET_STORYFULLNAME>
    <TARGET_UUID>18e0ddc0-f519-11e4-96ae-7c07ebc02301</TARGET_UUID>
  </Link>
</lk:Links>
</file>

<file path=customXml/itemProps1.xml><?xml version="1.0" encoding="utf-8"?>
<ds:datastoreItem xmlns:ds="http://schemas.openxmlformats.org/officeDocument/2006/customXml" ds:itemID="{412B1B9D-0044-4834-9109-0EE8D64DEA83}">
  <ds:schemaRefs>
    <ds:schemaRef ds:uri="thomsonreuters.linking.metadatachange"/>
  </ds:schemaRefs>
</ds:datastoreItem>
</file>

<file path=customXml/itemProps2.xml><?xml version="1.0" encoding="utf-8"?>
<ds:datastoreItem xmlns:ds="http://schemas.openxmlformats.org/officeDocument/2006/customXml" ds:itemID="{DC39966E-75AC-43F0-A800-9F7D1D95ACB7}">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127</vt:i4>
      </vt:variant>
    </vt:vector>
  </HeadingPairs>
  <TitlesOfParts>
    <vt:vector size="134" baseType="lpstr">
      <vt:lpstr>ImportantDisclosures</vt:lpstr>
      <vt:lpstr>Intro</vt:lpstr>
      <vt:lpstr>IncomeStatement</vt:lpstr>
      <vt:lpstr>Balance Sheet </vt:lpstr>
      <vt:lpstr>CashFlow </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Linking_11</vt:lpstr>
      <vt:lpstr>Linking_12</vt:lpstr>
      <vt:lpstr>Linking_13</vt:lpstr>
      <vt:lpstr>Linking_14</vt:lpstr>
      <vt:lpstr>Linking_15</vt:lpstr>
      <vt:lpstr>Linking_16</vt:lpstr>
      <vt:lpstr>Linking_17</vt:lpstr>
      <vt:lpstr>Linking_18</vt:lpstr>
      <vt:lpstr>Linking_19</vt:lpstr>
      <vt:lpstr>Linking_2</vt:lpstr>
      <vt:lpstr>Linking_20</vt:lpstr>
      <vt:lpstr>Linking_21</vt:lpstr>
      <vt:lpstr>Linking_22</vt:lpstr>
      <vt:lpstr>Linking_23</vt:lpstr>
      <vt:lpstr>Linking_24</vt:lpstr>
      <vt:lpstr>Linking_25</vt:lpstr>
      <vt:lpstr>Linking_3</vt:lpstr>
      <vt:lpstr>Linking_4</vt:lpstr>
      <vt:lpstr>Linking_5</vt:lpstr>
      <vt:lpstr>Linking_6</vt:lpstr>
      <vt:lpstr>Linking_7</vt:lpstr>
      <vt:lpstr>Linking_8</vt:lpstr>
      <vt:lpstr>Linking_9</vt:lpstr>
      <vt:lpstr>Linking_Range_1</vt:lpstr>
      <vt:lpstr>Linking_Range_10</vt:lpstr>
      <vt:lpstr>Linking_Range_11</vt:lpstr>
      <vt:lpstr>Linking_Range_12</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Linking_Range_21</vt:lpstr>
      <vt:lpstr>Linking_Range_22</vt:lpstr>
      <vt:lpstr>Linking_Range_23</vt:lpstr>
      <vt:lpstr>Linking_Range_24</vt:lpstr>
      <vt:lpstr>Linking_Range_25</vt:lpstr>
      <vt:lpstr>Linking_Range_26</vt:lpstr>
      <vt:lpstr>Linking_Range_27</vt:lpstr>
      <vt:lpstr>Linking_Range_28</vt:lpstr>
      <vt:lpstr>Linking_Range_3</vt:lpstr>
      <vt:lpstr>Linking_Range_4</vt:lpstr>
      <vt:lpstr>Linking_Range_5</vt:lpstr>
      <vt:lpstr>Linking_Range_6</vt:lpstr>
      <vt:lpstr>Linking_Range_7</vt:lpstr>
      <vt:lpstr>Linking_Range_8</vt:lpstr>
      <vt:lpstr>Linking_Range_9</vt:lpstr>
      <vt:lpstr>Linking_Range_NEW</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'Balance Sheet '!Print_Area</vt:lpstr>
      <vt:lpstr>'CashFlow '!Print_Area</vt:lpstr>
      <vt:lpstr>IncomeStatement!Print_Area</vt:lpstr>
      <vt:lpstr>Intro!Print_Area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CIBC World Markets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2004-03-19T15:39:56Z</dcterms:created>
  <dc:creator>farmerje</dc:creator>
  <cp:lastModifiedBy>Carril, Christopher E (Research)</cp:lastModifiedBy>
  <cp:lastPrinted>2018-04-13T20:07:59Z</cp:lastPrinted>
  <dcterms:modified xsi:type="dcterms:W3CDTF">2018-04-16T15:05:07Z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FDSMenuDocLevelBtnStates" pid="2">
    <vt:lpwstr>&lt;btnStates&gt;&lt;btn tag="1001" state="UP"/&gt;&lt;/btnStates&gt;_x000d_
</vt:lpwstr>
  </property>
  <property fmtid="{D5CDD505-2E9C-101B-9397-08002B2CF9AE}" name="LinkingAutoNameNumberLinking_Range_" pid="3">
    <vt:lpwstr>28</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761904</vt:lpwstr>
  </property>
  <property fmtid="{D5CDD505-2E9C-101B-9397-08002B2CF9AE}" name="ERModPubCompanyName" pid="7">
    <vt:lpwstr>The Wendy's Company</vt:lpwstr>
  </property>
  <property fmtid="{D5CDD505-2E9C-101B-9397-08002B2CF9AE}" name="MSDH34TAG" pid="8">
    <vt:lpwstr>.TEZUF76X5TAHATHESADREYAK-00-INB160+*94600-06=91696e98/-4187/-11e8/-9695/-5e5c95fbb3b1,MD=20180416110719/-0400,ZZ=000Z-e62d.</vt:lpwstr>
  </property>
</Properties>
</file>