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x-emf" Extension="emf"/>
  <Default ContentType="image/gif" Extension="gif"/>
  <Default ContentType="image/jpeg" Extension="jpeg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yes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Relationship Id="rId4" Target="docProps/custom.xml" Type="http://schemas.openxmlformats.org/officeDocument/2006/relationships/custom-properties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aveExternalLinkValues="0" codeName="ThisWorkbook"/>
  <bookViews>
    <workbookView xWindow="405" yWindow="-210" windowWidth="21510" windowHeight="7050" tabRatio="746" firstSheet="1" activeTab="1"/>
  </bookViews>
  <sheets>
    <sheet name="__FDSCACHE__" sheetId="1" state="veryHidden" r:id="rId1"/>
    <sheet name="ImportantDisclosures" sheetId="29" r:id="rId2"/>
    <sheet name="Team details" sheetId="3" r:id="rId3"/>
    <sheet name="Sum&amp;Val" sheetId="4" r:id="rId4"/>
    <sheet name="Assumptions" sheetId="5" r:id="rId5"/>
    <sheet name="MW-Cache" sheetId="13" state="veryHidden" r:id="rId6"/>
    <sheet name="Income Statement" sheetId="20" r:id="rId7"/>
    <sheet name="Cashflow" sheetId="21" r:id="rId8"/>
    <sheet name="Balance Sheet" sheetId="22" r:id="rId9"/>
    <sheet name="IndexInformation" sheetId="30" r:id="rId10"/>
    <sheet name="ModPubIndex" sheetId="31" r:id="rId11"/>
    <sheet name="mStartup" sheetId="25" state="veryHidden" r:id=""/>
  </sheets>
  <definedNames>
    <definedName name="__FDS_HYPERLINK_TOGGLE_STATE__" hidden="1">"ON"</definedName>
    <definedName name="_bdm.07E9B5125EF44342A05139E1B667A1F9.edm" localSheetId="8" hidden="1">'Balance Sheet'!$A$2:$K$37</definedName>
    <definedName name="_bdm.2DF95F6F9A924E28AEA9DF3E9A5C0793.edm" hidden="1">Cashflow!$1:$1048576</definedName>
    <definedName name="_bdm.34819BF3B92E4624AFC13CBA39443688.edm" localSheetId="7" hidden="1">Cashflow!$A$2:$K$40</definedName>
    <definedName name="_bdm.7A14506506474CFEB5A196BBA4CC845D.edm" hidden="1">'Balance Sheet'!$1:$1048576</definedName>
    <definedName name="_bdm.99BB29C69DE74D4DADC7E9BC7BF880EE.edm" localSheetId="8" hidden="1">'Balance Sheet'!$A$2:$J$37</definedName>
    <definedName name="_bdm.9F8B8B99CEBF4673BDDBC90F038771C1.edm" localSheetId="3" hidden="1">'Sum&amp;Val'!$A$3:$N$52</definedName>
    <definedName name="_bdm.A1862381EB174AC5B07801E5A9CEC198.edm" localSheetId="3" hidden="1">'Sum&amp;Val'!$A$3:$L$52</definedName>
    <definedName name="_bdm.B3F8BEB94A374686AB718A35490822BE.edm" localSheetId="6" hidden="1">'Income Statement'!$A$2:$K$45</definedName>
    <definedName name="_bdm.B44CC955FD5741D58DE4048E573FBBDE.edm" localSheetId="6" hidden="1">'Income Statement'!$A$2:$M$45</definedName>
    <definedName name="_bdm.CEAE8EABE8A7462AA9A43CA088F5E098.edm" hidden="1">'Sum&amp;Val'!$1:$1048576</definedName>
    <definedName name="_bdm.D29644253AA345EFB606DE90F766B968.edm" localSheetId="6" hidden="1">'Income Statement'!$A$2:$J$45</definedName>
    <definedName name="_bdm.DC879667B943429EAF34A9FD8C000DC2.edm" localSheetId="3" hidden="1">'Sum&amp;Val'!$A$3:$R$52</definedName>
    <definedName name="_bdm.E4D63B50A3AD4FC389624F708BCCD45E.edm" hidden="1">'Income Statement'!$1:$1048576</definedName>
    <definedName name="_bdm.EB919B89713441F587D80561BACE5242.edm" localSheetId="7" hidden="1">Cashflow!$A$2:$J$40</definedName>
    <definedName name="_Regression_Int" hidden="1">1</definedName>
    <definedName name="AdditionalInstructions">IndexInformation!$B$42</definedName>
    <definedName name="Address" localSheetId="1">ImportantDisclosures!$A$2:$A$2</definedName>
    <definedName name="ANA" localSheetId="10">ModPubIndex!$A$7</definedName>
    <definedName name="Authors" localSheetId="1">ImportantDisclosures!$A$7</definedName>
    <definedName name="Authors" localSheetId="9">IndexInformation!$B$18</definedName>
    <definedName name="BRO" localSheetId="10">ModPubIndex!$A$1</definedName>
    <definedName name="CopyrightStamp">ImportantDisclosures!$A$27</definedName>
    <definedName name="COU" localSheetId="10">ModPubIndex!$A$5</definedName>
    <definedName name="CQEnd" localSheetId="9">IndexInformation!$B$31</definedName>
    <definedName name="Currency" localSheetId="9">IndexInformation!$B$24</definedName>
    <definedName name="CurrentStockPrice" localSheetId="9">IndexInformation!$B$23</definedName>
    <definedName name="CurrQtrEPS" localSheetId="9">IndexInformation!$B$29</definedName>
    <definedName name="CurrYearEPS" localSheetId="9">IndexInformation!$B$11</definedName>
    <definedName name="CurrYearTotalRevenue" localSheetId="9">IndexInformation!$B$10</definedName>
    <definedName name="CurrYearTotalRevenueActual" localSheetId="9">IndexInformation!$B$32</definedName>
    <definedName name="CUSIP" localSheetId="9">IndexInformation!$B$20</definedName>
    <definedName name="CYEnd" localSheetId="9">IndexInformation!$B$30</definedName>
    <definedName name="Date" localSheetId="1">ImportantDisclosures!$A$8</definedName>
    <definedName name="Deleted" localSheetId="9">IndexInformation!$B$27</definedName>
    <definedName name="Description" localSheetId="9">IndexInformation!$B$7</definedName>
    <definedName name="Discipline" localSheetId="9">IndexInformation!$B$3</definedName>
    <definedName name="DISCIPLINE" localSheetId="10">ModPubIndex!$A$12</definedName>
    <definedName name="DisclosuresText">ImportantDisclosures!$A$22</definedName>
    <definedName name="Distribution" localSheetId="9">IndexInformation!$B$26</definedName>
    <definedName name="DistTable" localSheetId="1">ImportantDisclosures!#REF!</definedName>
    <definedName name="DistTablePreamble" localSheetId="1">ImportantDisclosures!#REF!</definedName>
    <definedName name="DOCDAT" localSheetId="10">ModPubIndex!$A$2</definedName>
    <definedName name="DOCTIME" localSheetId="10">ModPubIndex!$A$3</definedName>
    <definedName name="DocType" localSheetId="9">IndexInformation!$B$5</definedName>
    <definedName name="EMAIL_ALERT" localSheetId="10">ModPubIndex!$A$10</definedName>
    <definedName name="EmailAlert" localSheetId="9">IndexInformation!$B$28</definedName>
    <definedName name="FiveYearGrowthRate" localSheetId="9">IndexInformation!$B$16</definedName>
    <definedName name="FollowingYearEPS" localSheetId="9">IndexInformation!$B$15</definedName>
    <definedName name="FollowingYearTotalRevenue" localSheetId="9">IndexInformation!$B$14</definedName>
    <definedName name="FollowingYearTotalRevenueActual" localSheetId="9">IndexInformation!$B$34</definedName>
    <definedName name="HL" localSheetId="10">ModPubIndex!$A$8</definedName>
    <definedName name="IND" localSheetId="10">ModPubIndex!$A$9</definedName>
    <definedName name="Industry" localSheetId="1">ImportantDisclosures!$A$12</definedName>
    <definedName name="IndustryId">IndexInformation!$B$40</definedName>
    <definedName name="IndustryRating" localSheetId="1">ImportantDisclosures!$A$13</definedName>
    <definedName name="KeepVersions" localSheetId="9">IndexInformation!$B$8</definedName>
    <definedName name="LanguageCode">IndexInformation!$B$38</definedName>
    <definedName name="LastCell" localSheetId="1">ImportantDisclosures!$A$22</definedName>
    <definedName name="Linking_1">Assumptions!$CE$21:$CH$33</definedName>
    <definedName name="Linking_10">'Income Statement'!$A$2:$Q$45</definedName>
    <definedName name="Linking_11">'Balance Sheet'!$A$2:$Q$37</definedName>
    <definedName name="Linking_12">Cashflow!$A$2:$Q$40</definedName>
    <definedName name="Linking_18">Assumptions!$CE$21:$CH$35</definedName>
    <definedName name="Linking_28">'Sum&amp;Val'!$A$3:$W$52</definedName>
    <definedName name="Linking_3">Assumptions!$CE$21:$CG$33</definedName>
    <definedName name="Linking_5">'Sum&amp;Val'!$A$3:$V$52</definedName>
    <definedName name="Linking_Range_15">'Income Statement'!$A$2:$M$45</definedName>
    <definedName name="Linking_Range_17">Cashflow!$A$2:$M$40</definedName>
    <definedName name="Linking_Range_18">'Balance Sheet'!$A$2:$M$37</definedName>
    <definedName name="Linking_Range_19">'Sum&amp;Val'!$A$3:$R$52</definedName>
    <definedName name="Linking_Range_35">'Sum&amp;Val'!$A$3:$S$51</definedName>
    <definedName name="Linking_Range_42">'Sum&amp;Val'!$A$3:$S$52</definedName>
    <definedName name="Linking_Range_52">'Sum&amp;Val'!$A$3:$T$52</definedName>
    <definedName name="Linking_Range_57">Assumptions!$AP$88:$AU$93</definedName>
    <definedName name="Linking_Range_71">'Income Statement'!$A$1:$O$45</definedName>
    <definedName name="Linking_Range_73">Cashflow!$A$2:$N$40</definedName>
    <definedName name="Linking_Range_74">'Balance Sheet'!$A$2:$N$37</definedName>
    <definedName name="Linking_Range_79">'Income Statement'!$A$2:$P$45</definedName>
    <definedName name="Linking_Range_80">Cashflow!$A$2:$P$40</definedName>
    <definedName name="Linking_Range_81">'Balance Sheet'!$A$2:$P$37</definedName>
    <definedName name="Linking_Range_82">'Sum&amp;Val'!$A$3:$U$52</definedName>
    <definedName name="Linking_Range_83">Assumptions!$CE$20:$CH$33</definedName>
    <definedName name="Linking_Range_87">Assumptions!$CE$23:$CH$33</definedName>
    <definedName name="Linking_Range_93">'Sum&amp;Val'!$A$3:$V$23</definedName>
    <definedName name="Linking_Range_95">Assumptions!$CE$21:$CH$32</definedName>
    <definedName name="MacroVersion" localSheetId="9">IndexInformation!$B$1</definedName>
    <definedName name="ModelPrice" localSheetId="1">ImportantDisclosures!$A$14</definedName>
    <definedName name="Multiplier" localSheetId="9">IndexInformation!$B$35</definedName>
    <definedName name="NextYearEPS" localSheetId="9">IndexInformation!$B$13</definedName>
    <definedName name="NextYearTotalRevenue" localSheetId="9">IndexInformation!$B$12</definedName>
    <definedName name="NextYearTotalRevenueActual" localSheetId="9">IndexInformation!$B$33</definedName>
    <definedName name="ObjectType">IndexInformation!$B$37</definedName>
    <definedName name="PANA" localSheetId="10">ModPubIndex!$A$11</definedName>
    <definedName name="PathName" localSheetId="9">IndexInformation!$B$25</definedName>
    <definedName name="_xlnm.Print_Area" localSheetId="4">Assumptions!$A$1:$BV$53</definedName>
    <definedName name="_xlnm.Print_Area" localSheetId="3">'Sum&amp;Val'!$A$1:$W$52</definedName>
    <definedName name="PRODUCT" localSheetId="10">ModPubIndex!$A$6</definedName>
    <definedName name="ProjectName" localSheetId="3">{"Client Name or Project Name"}</definedName>
    <definedName name="ProjectName">{"Client Name or Project Name"}</definedName>
    <definedName name="PSYM" localSheetId="10">ModPubIndex!$A$4</definedName>
    <definedName name="PublishDate" localSheetId="9">IndexInformation!$B$2</definedName>
    <definedName name="Rating" localSheetId="9">IndexInformation!$B$9</definedName>
    <definedName name="RatingsDefined" localSheetId="1">ImportantDisclosures!$A$21</definedName>
    <definedName name="RatingsDefs" localSheetId="1">ImportantDisclosures!#REF!</definedName>
    <definedName name="RegACDisclosure" localSheetId="1">ImportantDisclosures!#REF!</definedName>
    <definedName name="ResearchTopic" localSheetId="9">IndexInformation!$B$4</definedName>
    <definedName name="RIC" localSheetId="9">IndexInformation!$B$21</definedName>
    <definedName name="SECSettlement" localSheetId="1">ImportantDisclosures!#REF!</definedName>
    <definedName name="SEDOL" localSheetId="9">IndexInformation!$B$22</definedName>
    <definedName name="SourceDefined" localSheetId="1">ImportantDisclosures!$A$19</definedName>
    <definedName name="StockRating" localSheetId="1">ImportantDisclosures!$A$11</definedName>
    <definedName name="SubjectCode" localSheetId="9">IndexInformation!$B$6</definedName>
    <definedName name="SubmitterUserId">IndexInformation!$B$39</definedName>
    <definedName name="SUPPRESSED" localSheetId="10">ModPubIndex!$A$13</definedName>
    <definedName name="TargetPrice" localSheetId="1">ImportantDisclosures!$A$15</definedName>
    <definedName name="TemplateRegion">IndexInformation!$B$36</definedName>
    <definedName name="Ticker" localSheetId="1">ImportantDisclosures!$A$10</definedName>
    <definedName name="TickerRegion">IndexInformation!$B$41</definedName>
    <definedName name="Tickers" localSheetId="9">IndexInformation!$B$19</definedName>
    <definedName name="UpdateReason" localSheetId="9">IndexInformation!$B$17</definedName>
    <definedName name="USRegDisclosures" localSheetId="1">ImportantDisclosures!#REF!</definedName>
    <definedName name="wvu.cash." hidden="1">{TRUE,TRUE,-1.25,-15.5,456.75,279.75,FALSE,FALSE,TRUE,TRUE,0,1,18,1,199,6,3,4,TRUE,TRUE,3,TRUE,1,TRUE,100,"Swvu.cash.","ACwvu.cash.",1,FALSE,FALSE,0.511811023622047,0.511811023622047,0.511811023622047,0.511811023622047,1,"","",FALSE,FALSE,FALSE,FALSE,1,#N/A,1,1,#DIV/0!,FALSE,"Rwvu.cash.",#N/A,FALSE,FALSE}</definedName>
    <definedName name="wvu.profits." hidden="1">{TRUE,TRUE,-1.25,-15.5,456.75,279.75,FALSE,FALSE,TRUE,TRUE,0,1,21,1,127,6,3,4,TRUE,TRUE,3,TRUE,1,TRUE,100,"Swvu.profits.","ACwvu.profits.",1,FALSE,FALSE,0.511811023622047,0.511811023622047,0.511811023622047,0.511811023622047,1,"","",FALSE,FALSE,FALSE,FALSE,1,#N/A,1,1,#DIV/0!,FALSE,"Rwvu.profits.",#N/A,FALSE,FALSE}</definedName>
    <definedName name="wvu.turnover." hidden="1">{TRUE,TRUE,-1.25,-15.5,456.75,279.75,FALSE,FALSE,TRUE,TRUE,0,1,8,1,4,6,3,4,TRUE,TRUE,3,TRUE,1,TRUE,100,"Swvu.turnover.","ACwvu.turnover.",1,FALSE,FALSE,0.511811023622047,0.511811023622047,0.511811023622047,0.511811023622047,1,"","",FALSE,FALSE,FALSE,FALSE,1,#N/A,1,1,#DIV/0!,FALSE,"Rwvu.turnover.",#N/A,FALSE,FALSE}</definedName>
    <definedName name="Z_02BAE5C0_B718_491D_AA2C_366929DD884D_.wvu.Cols" localSheetId="4" hidden="1">Assumptions!$C:$F,Assumptions!$H:$K,Assumptions!$M:$P,Assumptions!$R:$U,Assumptions!$W:$Z,Assumptions!$AB:$AE,Assumptions!$AG:$AJ,Assumptions!$AL:$AO,Assumptions!$AQ:$AT</definedName>
    <definedName name="Z_02BAE5C0_B718_491D_AA2C_366929DD884D_.wvu.Cols" localSheetId="8" hidden="1">'Balance Sheet'!$B:$E</definedName>
    <definedName name="Z_02BAE5C0_B718_491D_AA2C_366929DD884D_.wvu.Cols" localSheetId="7" hidden="1">Cashflow!$B:$E</definedName>
    <definedName name="Z_02BAE5C0_B718_491D_AA2C_366929DD884D_.wvu.Cols" localSheetId="6" hidden="1">'Income Statement'!$B:$C</definedName>
    <definedName name="Z_02BAE5C0_B718_491D_AA2C_366929DD884D_.wvu.Cols" localSheetId="3" hidden="1">'Sum&amp;Val'!$B:$J</definedName>
    <definedName name="Z_02BAE5C0_B718_491D_AA2C_366929DD884D_.wvu.PrintArea" localSheetId="4" hidden="1">Assumptions!$A$1:$BT$44</definedName>
    <definedName name="Z_02BAE5C0_B718_491D_AA2C_366929DD884D_.wvu.PrintArea" localSheetId="3" hidden="1">'Sum&amp;Val'!$A$1:$V$52</definedName>
  </definedNames>
  <calcPr calcId="145621" iterate="1" iterateDelta="9.9999999999994538E-4"/>
  <customWorkbookViews>
    <customWorkbookView name="Jain, Nitin (Research) - Personal View" guid="{02BAE5C0-B718-491D-AA2C-366929DD884D}" mergeInterval="0" personalView="1" maximized="1" windowWidth="1600" windowHeight="601" tabRatio="682" activeSheetId="6"/>
    <customWorkbookView name="  - Personal View" guid="{0F63984D-41C2-41FC-9021-7F5BFFA3B850}" mergeInterval="0" personalView="1" maximized="1" windowWidth="1920" windowHeight="894" tabRatio="682" activeSheetId="6"/>
  </customWorkbookViews>
</workbook>
</file>

<file path=xl/calcChain.xml><?xml version="1.0" encoding="utf-8"?>
<calcChain xmlns="http://schemas.openxmlformats.org/spreadsheetml/2006/main">
  <c r="BQ24" i="5" l="1"/>
  <c r="BQ16" i="5" l="1"/>
  <c r="BP26" i="5" l="1"/>
  <c r="BP22" i="5"/>
  <c r="BQ22" i="5" s="1"/>
  <c r="BR22" i="5" s="1"/>
  <c r="BQ4" i="5"/>
  <c r="BR4" i="5"/>
  <c r="BQ2" i="5"/>
  <c r="BR2" i="5"/>
  <c r="L125" i="4" l="1"/>
  <c r="BT4" i="5" l="1"/>
  <c r="BT2" i="5"/>
  <c r="BO21" i="5"/>
  <c r="BO16" i="5"/>
  <c r="S2" i="20" l="1"/>
  <c r="X59" i="4"/>
  <c r="X32" i="4"/>
  <c r="X81" i="4"/>
  <c r="BR16" i="5" l="1"/>
  <c r="BS16" i="5"/>
  <c r="CA3" i="5"/>
  <c r="BZ3" i="5"/>
  <c r="BP16" i="5"/>
  <c r="BQ23" i="5"/>
  <c r="BS21" i="5"/>
  <c r="BR21" i="5"/>
  <c r="BQ21" i="5"/>
  <c r="BP21" i="5"/>
  <c r="BS20" i="5"/>
  <c r="BR20" i="5"/>
  <c r="BQ20" i="5"/>
  <c r="BP20" i="5"/>
  <c r="BS32" i="5" l="1"/>
  <c r="BR32" i="5"/>
  <c r="BQ32" i="5"/>
  <c r="BR23" i="5"/>
  <c r="BO24" i="5" l="1"/>
  <c r="BO23" i="5" l="1"/>
  <c r="BO22" i="5" s="1"/>
  <c r="BT22" i="5" l="1"/>
  <c r="BR24" i="5"/>
  <c r="BU22" i="5" l="1"/>
  <c r="BV22" i="5" s="1"/>
  <c r="BW22" i="5" s="1"/>
  <c r="BS22" i="5"/>
  <c r="BS23" i="5" s="1"/>
  <c r="BT23" i="5"/>
  <c r="BR26" i="5"/>
  <c r="BK26" i="5"/>
  <c r="W59" i="4"/>
  <c r="W32" i="4"/>
  <c r="BI26" i="5"/>
  <c r="CH22" i="5"/>
  <c r="CH25" i="5"/>
  <c r="CH26" i="5"/>
  <c r="CH24" i="5"/>
  <c r="BJ4" i="5"/>
  <c r="CH23" i="5"/>
  <c r="BJ20" i="5"/>
  <c r="BG26" i="5"/>
  <c r="BJ53" i="5"/>
  <c r="BJ21" i="5"/>
  <c r="BF22" i="5"/>
  <c r="BE20" i="5"/>
  <c r="BD21" i="5"/>
  <c r="BE21" i="5"/>
  <c r="BE68" i="5"/>
  <c r="C2" i="20"/>
  <c r="D2" i="20"/>
  <c r="E2" i="20"/>
  <c r="F2" i="20"/>
  <c r="G2" i="20"/>
  <c r="H2" i="20"/>
  <c r="I2" i="20"/>
  <c r="J2" i="20"/>
  <c r="K2" i="20"/>
  <c r="L2" i="20"/>
  <c r="M2" i="20"/>
  <c r="N2" i="20"/>
  <c r="O2" i="20"/>
  <c r="P2" i="20"/>
  <c r="Q2" i="20"/>
  <c r="R2" i="20"/>
  <c r="AU2" i="5"/>
  <c r="AY2" i="5"/>
  <c r="AZ2" i="5"/>
  <c r="BE2" i="5"/>
  <c r="C22" i="4"/>
  <c r="D22" i="4"/>
  <c r="AT67" i="5"/>
  <c r="C81" i="4"/>
  <c r="C2" i="5"/>
  <c r="D2" i="5"/>
  <c r="E2" i="5"/>
  <c r="F2" i="5"/>
  <c r="H2" i="5"/>
  <c r="I2" i="5"/>
  <c r="J2" i="5"/>
  <c r="K2" i="5"/>
  <c r="M2" i="5"/>
  <c r="M16" i="5"/>
  <c r="N2" i="5"/>
  <c r="N4" i="5"/>
  <c r="I4" i="5"/>
  <c r="N16" i="5"/>
  <c r="O2" i="5"/>
  <c r="P2" i="5"/>
  <c r="R2" i="5"/>
  <c r="S2" i="5"/>
  <c r="T2" i="5"/>
  <c r="U2" i="5"/>
  <c r="AF2" i="5"/>
  <c r="AK2" i="5"/>
  <c r="AP2" i="5"/>
  <c r="C4" i="5"/>
  <c r="D4" i="5"/>
  <c r="E4" i="5"/>
  <c r="F4" i="5"/>
  <c r="H4" i="5"/>
  <c r="J4" i="5"/>
  <c r="J16" i="5"/>
  <c r="K4" i="5"/>
  <c r="M4" i="5"/>
  <c r="O4" i="5"/>
  <c r="P4" i="5"/>
  <c r="R4" i="5"/>
  <c r="S4" i="5"/>
  <c r="T4" i="5"/>
  <c r="T16" i="5"/>
  <c r="U4" i="5"/>
  <c r="AF4" i="5"/>
  <c r="AK4" i="5"/>
  <c r="AP4" i="5"/>
  <c r="AU4" i="5"/>
  <c r="AZ4" i="5"/>
  <c r="BE4" i="5"/>
  <c r="BB9" i="5"/>
  <c r="AZ13" i="5"/>
  <c r="AM62" i="5"/>
  <c r="AN62" i="5"/>
  <c r="AQ89" i="5"/>
  <c r="AS89" i="5"/>
  <c r="AQ61" i="5"/>
  <c r="AX89" i="5"/>
  <c r="AY61" i="5"/>
  <c r="B16" i="5"/>
  <c r="G16" i="5"/>
  <c r="H16" i="5"/>
  <c r="I16" i="5"/>
  <c r="L16" i="5"/>
  <c r="P16" i="5"/>
  <c r="Q16" i="5"/>
  <c r="R16" i="5"/>
  <c r="V16" i="5"/>
  <c r="W16" i="5"/>
  <c r="Y16" i="5"/>
  <c r="AA16" i="5"/>
  <c r="AZ20" i="5"/>
  <c r="AN21" i="5"/>
  <c r="AO21" i="5"/>
  <c r="AP21" i="5"/>
  <c r="AR21" i="5"/>
  <c r="AR22" i="5"/>
  <c r="AS21" i="5"/>
  <c r="AS22" i="5"/>
  <c r="AT21" i="5"/>
  <c r="AT22" i="5"/>
  <c r="AU21" i="5"/>
  <c r="AW21" i="5"/>
  <c r="AY21" i="5"/>
  <c r="AZ21" i="5"/>
  <c r="F26" i="5"/>
  <c r="P26" i="5"/>
  <c r="X26" i="5"/>
  <c r="AO22" i="5"/>
  <c r="AP22" i="5"/>
  <c r="AV22" i="5"/>
  <c r="AY22" i="5"/>
  <c r="I26" i="5"/>
  <c r="K26" i="5"/>
  <c r="O26" i="5"/>
  <c r="Z26" i="5"/>
  <c r="AD26" i="5"/>
  <c r="AO26" i="5"/>
  <c r="AR26" i="5"/>
  <c r="AS26" i="5"/>
  <c r="AT26" i="5"/>
  <c r="AX26" i="5"/>
  <c r="CL26" i="5"/>
  <c r="AP28" i="5"/>
  <c r="AU28" i="5"/>
  <c r="BA28" i="5"/>
  <c r="CH29" i="5"/>
  <c r="CH31" i="5" s="1"/>
  <c r="AR62" i="5"/>
  <c r="AT66" i="5"/>
  <c r="AS68" i="5"/>
  <c r="AT68" i="5"/>
  <c r="AZ68" i="5"/>
  <c r="A71" i="5"/>
  <c r="A72" i="5"/>
  <c r="A73" i="5"/>
  <c r="A74" i="5"/>
  <c r="AU75" i="5"/>
  <c r="F22" i="4"/>
  <c r="H22" i="4"/>
  <c r="L22" i="4"/>
  <c r="O22" i="4"/>
  <c r="Q22" i="4"/>
  <c r="V32" i="4"/>
  <c r="B23" i="4"/>
  <c r="D34" i="4"/>
  <c r="D57" i="4" s="1"/>
  <c r="D72" i="4" s="1"/>
  <c r="M82" i="4"/>
  <c r="N82" i="4"/>
  <c r="O82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R12" i="4"/>
  <c r="R23" i="4" s="1"/>
  <c r="T32" i="4"/>
  <c r="U32" i="4"/>
  <c r="E34" i="4"/>
  <c r="E57" i="4" s="1"/>
  <c r="E72" i="4" s="1"/>
  <c r="F34" i="4"/>
  <c r="F57" i="4" s="1"/>
  <c r="F72" i="4" s="1"/>
  <c r="G34" i="4"/>
  <c r="G57" i="4" s="1"/>
  <c r="G72" i="4" s="1"/>
  <c r="H34" i="4"/>
  <c r="H57" i="4" s="1"/>
  <c r="H72" i="4" s="1"/>
  <c r="J34" i="4"/>
  <c r="J57" i="4" s="1"/>
  <c r="J72" i="4" s="1"/>
  <c r="L34" i="4"/>
  <c r="L57" i="4" s="1"/>
  <c r="L72" i="4" s="1"/>
  <c r="P34" i="4"/>
  <c r="P57" i="4" s="1"/>
  <c r="P72" i="4" s="1"/>
  <c r="Q34" i="4"/>
  <c r="Q57" i="4" s="1"/>
  <c r="Q72" i="4" s="1"/>
  <c r="J46" i="4"/>
  <c r="D59" i="4"/>
  <c r="Q59" i="4"/>
  <c r="R59" i="4"/>
  <c r="S59" i="4"/>
  <c r="S79" i="4"/>
  <c r="T79" i="4"/>
  <c r="D63" i="4"/>
  <c r="E63" i="4"/>
  <c r="D64" i="4"/>
  <c r="E64" i="4"/>
  <c r="F64" i="4" s="1"/>
  <c r="B79" i="4"/>
  <c r="C79" i="4"/>
  <c r="D79" i="4"/>
  <c r="E79" i="4"/>
  <c r="F79" i="4"/>
  <c r="L95" i="4"/>
  <c r="I119" i="4"/>
  <c r="J22" i="4"/>
  <c r="R82" i="4"/>
  <c r="AY90" i="5"/>
  <c r="K46" i="4"/>
  <c r="AS90" i="5"/>
  <c r="AS92" i="5" s="1"/>
  <c r="BF61" i="5"/>
  <c r="N22" i="4"/>
  <c r="J95" i="4"/>
  <c r="I93" i="4"/>
  <c r="E22" i="4"/>
  <c r="Z16" i="5"/>
  <c r="C61" i="4"/>
  <c r="D62" i="4"/>
  <c r="D65" i="4" s="1"/>
  <c r="C65" i="4"/>
  <c r="I22" i="4"/>
  <c r="E62" i="4"/>
  <c r="F62" i="4" s="1"/>
  <c r="G62" i="4" s="1"/>
  <c r="H62" i="4" s="1"/>
  <c r="I62" i="4" s="1"/>
  <c r="J62" i="4" s="1"/>
  <c r="K62" i="4" s="1"/>
  <c r="L62" i="4" s="1"/>
  <c r="M62" i="4" s="1"/>
  <c r="N62" i="4" s="1"/>
  <c r="O62" i="4" s="1"/>
  <c r="P62" i="4" s="1"/>
  <c r="Q62" i="4" s="1"/>
  <c r="R62" i="4" s="1"/>
  <c r="S62" i="4" s="1"/>
  <c r="T62" i="4" s="1"/>
  <c r="U62" i="4" s="1"/>
  <c r="V62" i="4" s="1"/>
  <c r="W62" i="4" s="1"/>
  <c r="X62" i="4" s="1"/>
  <c r="M119" i="4"/>
  <c r="L26" i="5"/>
  <c r="Q95" i="4"/>
  <c r="S81" i="4"/>
  <c r="C34" i="4"/>
  <c r="C57" i="4" s="1"/>
  <c r="C72" i="4" s="1"/>
  <c r="T26" i="5"/>
  <c r="G119" i="4"/>
  <c r="E14" i="5"/>
  <c r="I34" i="4"/>
  <c r="I57" i="4" s="1"/>
  <c r="I72" i="4" s="1"/>
  <c r="S16" i="5"/>
  <c r="X16" i="5"/>
  <c r="M22" i="4"/>
  <c r="G22" i="4"/>
  <c r="H26" i="5"/>
  <c r="M46" i="4"/>
  <c r="I46" i="4"/>
  <c r="I95" i="4"/>
  <c r="BC22" i="5"/>
  <c r="BB22" i="5"/>
  <c r="BE63" i="5"/>
  <c r="E95" i="4"/>
  <c r="O16" i="5"/>
  <c r="K93" i="4"/>
  <c r="K95" i="4" s="1"/>
  <c r="U16" i="5"/>
  <c r="K16" i="5"/>
  <c r="B22" i="4"/>
  <c r="S61" i="4"/>
  <c r="T59" i="4"/>
  <c r="C14" i="5"/>
  <c r="BA61" i="5"/>
  <c r="R22" i="4"/>
  <c r="E71" i="4"/>
  <c r="Q82" i="4"/>
  <c r="Q12" i="4"/>
  <c r="Y14" i="5"/>
  <c r="N12" i="4"/>
  <c r="N23" i="4" s="1"/>
  <c r="N34" i="4"/>
  <c r="N57" i="4" s="1"/>
  <c r="N14" i="5"/>
  <c r="O119" i="4"/>
  <c r="O46" i="4"/>
  <c r="T81" i="4"/>
  <c r="U81" i="4"/>
  <c r="E12" i="4"/>
  <c r="E23" i="4" s="1"/>
  <c r="E82" i="4"/>
  <c r="L56" i="4"/>
  <c r="L58" i="4" s="1"/>
  <c r="L66" i="4" s="1"/>
  <c r="L67" i="4" s="1"/>
  <c r="B82" i="4"/>
  <c r="P82" i="4"/>
  <c r="D82" i="4"/>
  <c r="D12" i="4"/>
  <c r="D23" i="4" s="1"/>
  <c r="U59" i="4"/>
  <c r="Q46" i="4"/>
  <c r="M14" i="5"/>
  <c r="H14" i="5"/>
  <c r="G46" i="4"/>
  <c r="G95" i="4"/>
  <c r="L82" i="4"/>
  <c r="L29" i="4"/>
  <c r="L50" i="4" s="1"/>
  <c r="L12" i="4"/>
  <c r="L23" i="4" s="1"/>
  <c r="F82" i="4"/>
  <c r="AM56" i="5"/>
  <c r="Q26" i="5"/>
  <c r="E120" i="4"/>
  <c r="E123" i="4"/>
  <c r="D71" i="4"/>
  <c r="N90" i="4"/>
  <c r="B114" i="4"/>
  <c r="B123" i="4"/>
  <c r="Q119" i="4"/>
  <c r="V59" i="4"/>
  <c r="D90" i="4"/>
  <c r="D80" i="4"/>
  <c r="D114" i="4"/>
  <c r="D116" i="4"/>
  <c r="D120" i="4"/>
  <c r="D123" i="4"/>
  <c r="B120" i="4"/>
  <c r="B80" i="4"/>
  <c r="G20" i="20"/>
  <c r="BG22" i="5"/>
  <c r="H95" i="4"/>
  <c r="BJ2" i="5"/>
  <c r="V81" i="4"/>
  <c r="S34" i="4"/>
  <c r="S57" i="4" s="1"/>
  <c r="S72" i="4" s="1"/>
  <c r="G26" i="5"/>
  <c r="AX90" i="5"/>
  <c r="BD90" i="5"/>
  <c r="AV61" i="5"/>
  <c r="AB26" i="5"/>
  <c r="AR89" i="5"/>
  <c r="AV63" i="5"/>
  <c r="AX63" i="5"/>
  <c r="AJ26" i="5"/>
  <c r="AV89" i="5"/>
  <c r="AX10" i="5"/>
  <c r="AV90" i="5"/>
  <c r="AX61" i="5"/>
  <c r="AQ91" i="5"/>
  <c r="L71" i="4"/>
  <c r="L49" i="4"/>
  <c r="AG26" i="5"/>
  <c r="N114" i="4"/>
  <c r="N116" i="4" s="1"/>
  <c r="N26" i="5"/>
  <c r="F119" i="4"/>
  <c r="S14" i="5"/>
  <c r="J119" i="4"/>
  <c r="E119" i="4"/>
  <c r="AS61" i="5"/>
  <c r="AS62" i="5" s="1"/>
  <c r="N79" i="4"/>
  <c r="N80" i="4" s="1"/>
  <c r="J20" i="20"/>
  <c r="C82" i="4"/>
  <c r="J14" i="5"/>
  <c r="AW90" i="5"/>
  <c r="AX22" i="5"/>
  <c r="R95" i="4"/>
  <c r="H119" i="4"/>
  <c r="H46" i="4"/>
  <c r="K119" i="4"/>
  <c r="L46" i="4"/>
  <c r="L119" i="4"/>
  <c r="BB26" i="5"/>
  <c r="Q23" i="4"/>
  <c r="P22" i="4"/>
  <c r="N72" i="4"/>
  <c r="O120" i="4"/>
  <c r="E59" i="4"/>
  <c r="D61" i="4"/>
  <c r="B16" i="4"/>
  <c r="K14" i="5"/>
  <c r="I14" i="5"/>
  <c r="U79" i="4"/>
  <c r="BD89" i="5"/>
  <c r="BC16" i="5"/>
  <c r="L120" i="4"/>
  <c r="L123" i="4"/>
  <c r="O14" i="5"/>
  <c r="F14" i="5"/>
  <c r="O71" i="4"/>
  <c r="E26" i="5"/>
  <c r="W14" i="5"/>
  <c r="R14" i="5"/>
  <c r="E61" i="4"/>
  <c r="F59" i="4"/>
  <c r="M123" i="4"/>
  <c r="D14" i="5"/>
  <c r="O114" i="4"/>
  <c r="O116" i="4" s="1"/>
  <c r="O90" i="4"/>
  <c r="O123" i="4"/>
  <c r="M71" i="4"/>
  <c r="L14" i="5"/>
  <c r="S22" i="4"/>
  <c r="U14" i="5"/>
  <c r="M120" i="4"/>
  <c r="G59" i="4"/>
  <c r="F61" i="4"/>
  <c r="E10" i="20"/>
  <c r="L79" i="4"/>
  <c r="L80" i="4" s="1"/>
  <c r="G12" i="4"/>
  <c r="G23" i="4" s="1"/>
  <c r="G82" i="4"/>
  <c r="L19" i="4"/>
  <c r="H59" i="4"/>
  <c r="E7" i="20"/>
  <c r="BG58" i="5"/>
  <c r="I59" i="4"/>
  <c r="J59" i="4" s="1"/>
  <c r="K59" i="4" s="1"/>
  <c r="L59" i="4" s="1"/>
  <c r="M59" i="4" s="1"/>
  <c r="K22" i="4"/>
  <c r="BH22" i="5"/>
  <c r="BJ61" i="5"/>
  <c r="S82" i="4"/>
  <c r="BI22" i="5"/>
  <c r="H20" i="20"/>
  <c r="H19" i="20"/>
  <c r="F7" i="20"/>
  <c r="E114" i="4"/>
  <c r="E116" i="4" s="1"/>
  <c r="E90" i="4"/>
  <c r="E80" i="4"/>
  <c r="AA26" i="5"/>
  <c r="M34" i="4"/>
  <c r="M57" i="4" s="1"/>
  <c r="M72" i="4" s="1"/>
  <c r="M12" i="4"/>
  <c r="M23" i="4" s="1"/>
  <c r="BA22" i="5"/>
  <c r="BH45" i="5"/>
  <c r="F63" i="4"/>
  <c r="G63" i="4"/>
  <c r="H63" i="4" s="1"/>
  <c r="I63" i="4" s="1"/>
  <c r="J63" i="4" s="1"/>
  <c r="K63" i="4" s="1"/>
  <c r="L63" i="4" s="1"/>
  <c r="M63" i="4" s="1"/>
  <c r="N63" i="4" s="1"/>
  <c r="O63" i="4" s="1"/>
  <c r="P63" i="4" s="1"/>
  <c r="Q63" i="4" s="1"/>
  <c r="R63" i="4" s="1"/>
  <c r="S63" i="4" s="1"/>
  <c r="T63" i="4" s="1"/>
  <c r="U63" i="4" s="1"/>
  <c r="V63" i="4" s="1"/>
  <c r="W63" i="4" s="1"/>
  <c r="X63" i="4" s="1"/>
  <c r="BO2" i="5"/>
  <c r="X14" i="5"/>
  <c r="M114" i="4"/>
  <c r="M116" i="4" s="1"/>
  <c r="M90" i="4"/>
  <c r="S46" i="4"/>
  <c r="J19" i="20"/>
  <c r="I19" i="20"/>
  <c r="F10" i="20"/>
  <c r="V14" i="5"/>
  <c r="B46" i="4"/>
  <c r="N71" i="4"/>
  <c r="S119" i="4"/>
  <c r="BU2" i="5"/>
  <c r="BV2" i="5" s="1"/>
  <c r="M7" i="20"/>
  <c r="F95" i="4"/>
  <c r="F46" i="4"/>
  <c r="I20" i="20"/>
  <c r="R46" i="4"/>
  <c r="R119" i="4"/>
  <c r="M95" i="4"/>
  <c r="D46" i="4"/>
  <c r="BJ56" i="5"/>
  <c r="N7" i="20"/>
  <c r="BU32" i="5"/>
  <c r="BK22" i="5"/>
  <c r="C71" i="4"/>
  <c r="K71" i="4"/>
  <c r="C20" i="20"/>
  <c r="BA16" i="5"/>
  <c r="H123" i="4"/>
  <c r="H120" i="4"/>
  <c r="M10" i="20"/>
  <c r="K120" i="4"/>
  <c r="K123" i="4"/>
  <c r="F120" i="4"/>
  <c r="F123" i="4"/>
  <c r="N123" i="4"/>
  <c r="N120" i="4"/>
  <c r="N46" i="4"/>
  <c r="N119" i="4"/>
  <c r="C123" i="4"/>
  <c r="C120" i="4"/>
  <c r="C90" i="4"/>
  <c r="C114" i="4"/>
  <c r="C116" i="4" s="1"/>
  <c r="C80" i="4"/>
  <c r="H90" i="4"/>
  <c r="H114" i="4"/>
  <c r="H116" i="4" s="1"/>
  <c r="F20" i="20"/>
  <c r="G19" i="20"/>
  <c r="K90" i="4"/>
  <c r="K114" i="4"/>
  <c r="K116" i="4" s="1"/>
  <c r="H71" i="4"/>
  <c r="F90" i="4"/>
  <c r="F114" i="4"/>
  <c r="F116" i="4" s="1"/>
  <c r="F80" i="4"/>
  <c r="F71" i="4"/>
  <c r="G94" i="4"/>
  <c r="T22" i="4"/>
  <c r="BJ16" i="5"/>
  <c r="K79" i="4"/>
  <c r="K80" i="4" s="1"/>
  <c r="J7" i="20"/>
  <c r="I7" i="20"/>
  <c r="J90" i="4"/>
  <c r="J114" i="4"/>
  <c r="J116" i="4" s="1"/>
  <c r="F19" i="4"/>
  <c r="K19" i="4"/>
  <c r="J71" i="4"/>
  <c r="J123" i="4"/>
  <c r="J120" i="4"/>
  <c r="N10" i="20"/>
  <c r="BE16" i="5"/>
  <c r="I10" i="20"/>
  <c r="J79" i="4"/>
  <c r="J80" i="4" s="1"/>
  <c r="U22" i="4"/>
  <c r="J19" i="4"/>
  <c r="V22" i="4"/>
  <c r="W22" i="4"/>
  <c r="BU4" i="5"/>
  <c r="BL22" i="5"/>
  <c r="BL26" i="5"/>
  <c r="BO4" i="5"/>
  <c r="S95" i="4"/>
  <c r="BM22" i="5"/>
  <c r="BM26" i="5"/>
  <c r="G64" i="4" l="1"/>
  <c r="F65" i="4"/>
  <c r="N59" i="4"/>
  <c r="M61" i="4"/>
  <c r="E65" i="4"/>
  <c r="AX62" i="5"/>
  <c r="L73" i="4"/>
  <c r="L74" i="4" s="1"/>
  <c r="L75" i="4" s="1"/>
  <c r="L83" i="4"/>
  <c r="L84" i="4" s="1"/>
  <c r="K61" i="4"/>
  <c r="O79" i="4"/>
  <c r="O80" i="4" s="1"/>
  <c r="U61" i="4"/>
  <c r="T61" i="4"/>
  <c r="L61" i="4"/>
  <c r="C19" i="4"/>
  <c r="BU16" i="5"/>
  <c r="CH27" i="5"/>
  <c r="BV4" i="5"/>
  <c r="BV32" i="5"/>
  <c r="BW2" i="5"/>
  <c r="X22" i="4"/>
  <c r="BQ26" i="5"/>
  <c r="M79" i="4"/>
  <c r="M80" i="4" s="1"/>
  <c r="W81" i="4"/>
  <c r="E46" i="4"/>
  <c r="D95" i="4"/>
  <c r="N13" i="4"/>
  <c r="B34" i="4"/>
  <c r="R34" i="4"/>
  <c r="R57" i="4" s="1"/>
  <c r="R72" i="4" s="1"/>
  <c r="BB84" i="5"/>
  <c r="AO49" i="5"/>
  <c r="F12" i="4"/>
  <c r="F23" i="4" s="1"/>
  <c r="P12" i="4"/>
  <c r="P23" i="4" s="1"/>
  <c r="C12" i="4"/>
  <c r="C23" i="4" s="1"/>
  <c r="AY26" i="5"/>
  <c r="AU90" i="5"/>
  <c r="AU92" i="5" s="1"/>
  <c r="BC26" i="5"/>
  <c r="BA26" i="5"/>
  <c r="AT89" i="5"/>
  <c r="AY63" i="5"/>
  <c r="AQ26" i="5"/>
  <c r="AL56" i="5"/>
  <c r="BG45" i="5"/>
  <c r="B116" i="4"/>
  <c r="BI45" i="5"/>
  <c r="G98" i="4"/>
  <c r="G51" i="4"/>
  <c r="N42" i="4"/>
  <c r="AV26" i="5"/>
  <c r="G105" i="4"/>
  <c r="G18" i="4" s="1"/>
  <c r="BG16" i="5"/>
  <c r="F42" i="4"/>
  <c r="F16" i="4"/>
  <c r="F13" i="4"/>
  <c r="G101" i="4"/>
  <c r="G17" i="4" s="1"/>
  <c r="Q14" i="5"/>
  <c r="K34" i="4"/>
  <c r="K57" i="4" s="1"/>
  <c r="K72" i="4" s="1"/>
  <c r="BE13" i="5"/>
  <c r="AK16" i="5"/>
  <c r="BC84" i="5"/>
  <c r="BC45" i="5"/>
  <c r="J61" i="4"/>
  <c r="S12" i="4"/>
  <c r="S23" i="4" s="1"/>
  <c r="BH16" i="5"/>
  <c r="AL16" i="5"/>
  <c r="N16" i="4"/>
  <c r="C26" i="5"/>
  <c r="AM26" i="5"/>
  <c r="BA84" i="5"/>
  <c r="BF84" i="5"/>
  <c r="BF45" i="5"/>
  <c r="BA45" i="5"/>
  <c r="F94" i="4"/>
  <c r="J94" i="4"/>
  <c r="J10" i="20"/>
  <c r="H19" i="4"/>
  <c r="BB45" i="5"/>
  <c r="BB16" i="5"/>
  <c r="AM16" i="5"/>
  <c r="BI16" i="5"/>
  <c r="B14" i="5"/>
  <c r="BD47" i="5"/>
  <c r="L114" i="4"/>
  <c r="L90" i="4"/>
  <c r="BF63" i="5"/>
  <c r="AV62" i="5"/>
  <c r="AW63" i="5"/>
  <c r="BJ13" i="5"/>
  <c r="BH26" i="5"/>
  <c r="BF62" i="5"/>
  <c r="AH26" i="5"/>
  <c r="AC26" i="5"/>
  <c r="D26" i="5"/>
  <c r="BD10" i="5"/>
  <c r="BL16" i="5"/>
  <c r="BA62" i="5"/>
  <c r="AK24" i="5"/>
  <c r="S26" i="5"/>
  <c r="BD16" i="5"/>
  <c r="BJ24" i="5"/>
  <c r="BJ23" i="5" s="1"/>
  <c r="BJ22" i="5" s="1"/>
  <c r="AJ16" i="5"/>
  <c r="P14" i="5"/>
  <c r="BD61" i="5"/>
  <c r="BD62" i="5" s="1"/>
  <c r="AO56" i="5"/>
  <c r="BF26" i="5"/>
  <c r="AO45" i="5"/>
  <c r="AH16" i="5"/>
  <c r="AI26" i="5"/>
  <c r="BA63" i="5"/>
  <c r="AJ51" i="5"/>
  <c r="AK23" i="5"/>
  <c r="AK26" i="5" s="1"/>
  <c r="AE26" i="5"/>
  <c r="Y26" i="5"/>
  <c r="R26" i="5"/>
  <c r="M26" i="5"/>
  <c r="B26" i="5"/>
  <c r="G14" i="5"/>
  <c r="AQ90" i="5"/>
  <c r="AQ96" i="5" s="1"/>
  <c r="AU24" i="5"/>
  <c r="AU23" i="5" s="1"/>
  <c r="AF26" i="5"/>
  <c r="W26" i="5"/>
  <c r="J26" i="5"/>
  <c r="AQ62" i="5"/>
  <c r="T14" i="5"/>
  <c r="AZ24" i="5"/>
  <c r="AZ23" i="5" s="1"/>
  <c r="AR90" i="5"/>
  <c r="AW89" i="5"/>
  <c r="AW61" i="5"/>
  <c r="AW62" i="5" s="1"/>
  <c r="AN49" i="5"/>
  <c r="AN45" i="5"/>
  <c r="AW26" i="5"/>
  <c r="AW22" i="5"/>
  <c r="AO16" i="5"/>
  <c r="AO61" i="5"/>
  <c r="AN22" i="5"/>
  <c r="AN26" i="5"/>
  <c r="AY89" i="5"/>
  <c r="BD63" i="5"/>
  <c r="AY10" i="5"/>
  <c r="AT61" i="5"/>
  <c r="AY62" i="5" s="1"/>
  <c r="AT90" i="5"/>
  <c r="AS93" i="5"/>
  <c r="AS96" i="5"/>
  <c r="BJ63" i="5"/>
  <c r="BE61" i="5"/>
  <c r="AL49" i="5"/>
  <c r="AP24" i="5"/>
  <c r="AL26" i="5"/>
  <c r="L116" i="4" l="1"/>
  <c r="L126" i="4"/>
  <c r="O59" i="4"/>
  <c r="O61" i="4" s="1"/>
  <c r="N61" i="4"/>
  <c r="H64" i="4"/>
  <c r="G65" i="4"/>
  <c r="M19" i="4"/>
  <c r="D19" i="4"/>
  <c r="L94" i="4"/>
  <c r="D94" i="4"/>
  <c r="D98" i="4" s="1"/>
  <c r="D103" i="4" s="1"/>
  <c r="P61" i="4"/>
  <c r="P79" i="4"/>
  <c r="E19" i="4"/>
  <c r="BW32" i="5"/>
  <c r="BV16" i="5"/>
  <c r="BW4" i="5"/>
  <c r="BW16" i="5" s="1"/>
  <c r="V79" i="4"/>
  <c r="V61" i="4"/>
  <c r="O12" i="4"/>
  <c r="O23" i="4" s="1"/>
  <c r="O34" i="4"/>
  <c r="O57" i="4" s="1"/>
  <c r="O72" i="4" s="1"/>
  <c r="V45" i="5"/>
  <c r="AL45" i="5"/>
  <c r="AN56" i="5"/>
  <c r="BF16" i="5"/>
  <c r="BA83" i="5"/>
  <c r="S71" i="4"/>
  <c r="K94" i="4"/>
  <c r="Z14" i="5"/>
  <c r="AY47" i="5"/>
  <c r="BD84" i="5"/>
  <c r="BD45" i="5"/>
  <c r="S114" i="4"/>
  <c r="S116" i="4" s="1"/>
  <c r="S90" i="4"/>
  <c r="S80" i="4"/>
  <c r="C46" i="4"/>
  <c r="E20" i="20"/>
  <c r="F19" i="20"/>
  <c r="H61" i="4"/>
  <c r="H79" i="4"/>
  <c r="H80" i="4" s="1"/>
  <c r="S120" i="4"/>
  <c r="S123" i="4"/>
  <c r="AQ93" i="5"/>
  <c r="AA14" i="5"/>
  <c r="L99" i="4"/>
  <c r="C95" i="4"/>
  <c r="H7" i="20"/>
  <c r="G7" i="20"/>
  <c r="N20" i="20"/>
  <c r="J13" i="4"/>
  <c r="J16" i="4"/>
  <c r="F101" i="4"/>
  <c r="F17" i="4" s="1"/>
  <c r="F100" i="4"/>
  <c r="F52" i="4" s="1"/>
  <c r="F51" i="4"/>
  <c r="F98" i="4"/>
  <c r="F99" i="4"/>
  <c r="J51" i="4"/>
  <c r="J98" i="4"/>
  <c r="J101" i="4"/>
  <c r="J17" i="4" s="1"/>
  <c r="J100" i="4"/>
  <c r="J52" i="4" s="1"/>
  <c r="J99" i="4"/>
  <c r="BC83" i="5"/>
  <c r="AQ92" i="5"/>
  <c r="BF83" i="5"/>
  <c r="BB83" i="5"/>
  <c r="AZ22" i="5"/>
  <c r="AR96" i="5"/>
  <c r="AR93" i="5"/>
  <c r="AR92" i="5"/>
  <c r="AU22" i="5"/>
  <c r="BE62" i="5"/>
  <c r="BJ62" i="5"/>
  <c r="AT92" i="5"/>
  <c r="AT93" i="5"/>
  <c r="AO62" i="5"/>
  <c r="AT62" i="5"/>
  <c r="AT96" i="5"/>
  <c r="H65" i="4" l="1"/>
  <c r="I64" i="4"/>
  <c r="AK45" i="5"/>
  <c r="L100" i="4"/>
  <c r="L52" i="4" s="1"/>
  <c r="L101" i="4"/>
  <c r="L17" i="4" s="1"/>
  <c r="L98" i="4"/>
  <c r="L51" i="4"/>
  <c r="D104" i="4"/>
  <c r="D105" i="4"/>
  <c r="D18" i="4" s="1"/>
  <c r="D51" i="4"/>
  <c r="D100" i="4"/>
  <c r="D52" i="4" s="1"/>
  <c r="D101" i="4"/>
  <c r="D17" i="4" s="1"/>
  <c r="D99" i="4"/>
  <c r="X79" i="4"/>
  <c r="X61" i="4"/>
  <c r="E94" i="4"/>
  <c r="G114" i="4"/>
  <c r="G116" i="4" s="1"/>
  <c r="G90" i="4"/>
  <c r="G71" i="4"/>
  <c r="G123" i="4"/>
  <c r="G120" i="4"/>
  <c r="C19" i="20"/>
  <c r="B20" i="20"/>
  <c r="W79" i="4"/>
  <c r="W61" i="4"/>
  <c r="G13" i="4"/>
  <c r="G16" i="4"/>
  <c r="G42" i="4"/>
  <c r="K16" i="4"/>
  <c r="K13" i="4"/>
  <c r="E42" i="4"/>
  <c r="E16" i="4"/>
  <c r="E13" i="4"/>
  <c r="AI16" i="5"/>
  <c r="AN16" i="5"/>
  <c r="N19" i="4"/>
  <c r="K51" i="4"/>
  <c r="K100" i="4"/>
  <c r="K52" i="4" s="1"/>
  <c r="K98" i="4"/>
  <c r="K101" i="4"/>
  <c r="K17" i="4" s="1"/>
  <c r="K99" i="4"/>
  <c r="AL62" i="5"/>
  <c r="AG16" i="5"/>
  <c r="BM16" i="5"/>
  <c r="BK16" i="5"/>
  <c r="H94" i="4"/>
  <c r="AA12" i="5"/>
  <c r="J104" i="4"/>
  <c r="J103" i="4"/>
  <c r="J105" i="4"/>
  <c r="J18" i="4" s="1"/>
  <c r="F104" i="4"/>
  <c r="F105" i="4"/>
  <c r="F18" i="4" s="1"/>
  <c r="F103" i="4"/>
  <c r="BL45" i="5"/>
  <c r="H10" i="20"/>
  <c r="G10" i="20"/>
  <c r="I65" i="4" l="1"/>
  <c r="J64" i="4"/>
  <c r="M16" i="4"/>
  <c r="M42" i="4"/>
  <c r="M13" i="4"/>
  <c r="M94" i="4"/>
  <c r="C42" i="4"/>
  <c r="C13" i="4"/>
  <c r="C16" i="4"/>
  <c r="L104" i="4"/>
  <c r="L103" i="4"/>
  <c r="L105" i="4"/>
  <c r="L18" i="4" s="1"/>
  <c r="E101" i="4"/>
  <c r="E17" i="4" s="1"/>
  <c r="E100" i="4"/>
  <c r="E52" i="4" s="1"/>
  <c r="E99" i="4"/>
  <c r="E51" i="4"/>
  <c r="E98" i="4"/>
  <c r="I71" i="4"/>
  <c r="D20" i="20"/>
  <c r="D19" i="20"/>
  <c r="E19" i="20"/>
  <c r="G103" i="4"/>
  <c r="G99" i="4"/>
  <c r="I123" i="4"/>
  <c r="I120" i="4"/>
  <c r="G19" i="4"/>
  <c r="I114" i="4"/>
  <c r="I116" i="4" s="1"/>
  <c r="I90" i="4"/>
  <c r="S19" i="4"/>
  <c r="P95" i="4"/>
  <c r="N95" i="4"/>
  <c r="N94" i="4"/>
  <c r="O19" i="4"/>
  <c r="K105" i="4"/>
  <c r="K18" i="4" s="1"/>
  <c r="K104" i="4"/>
  <c r="K103" i="4"/>
  <c r="C94" i="4"/>
  <c r="H12" i="4"/>
  <c r="H23" i="4" s="1"/>
  <c r="H82" i="4"/>
  <c r="AP61" i="5"/>
  <c r="AP16" i="5"/>
  <c r="AU89" i="5"/>
  <c r="AU93" i="5" s="1"/>
  <c r="AA45" i="5"/>
  <c r="AF45" i="5"/>
  <c r="L13" i="4"/>
  <c r="L16" i="4"/>
  <c r="AF16" i="5"/>
  <c r="H101" i="4"/>
  <c r="H17" i="4" s="1"/>
  <c r="H51" i="4"/>
  <c r="H98" i="4"/>
  <c r="H100" i="4"/>
  <c r="H52" i="4" s="1"/>
  <c r="H99" i="4"/>
  <c r="BM45" i="5"/>
  <c r="K64" i="4" l="1"/>
  <c r="J65" i="4"/>
  <c r="M51" i="4"/>
  <c r="M101" i="4"/>
  <c r="M17" i="4" s="1"/>
  <c r="M100" i="4"/>
  <c r="M52" i="4" s="1"/>
  <c r="M99" i="4"/>
  <c r="M98" i="4"/>
  <c r="D13" i="4"/>
  <c r="D16" i="4"/>
  <c r="D42" i="4"/>
  <c r="G45" i="5"/>
  <c r="E105" i="4"/>
  <c r="E18" i="4" s="1"/>
  <c r="E103" i="4"/>
  <c r="E104" i="4"/>
  <c r="CH28" i="5"/>
  <c r="U34" i="4"/>
  <c r="U57" i="4" s="1"/>
  <c r="U72" i="4" s="1"/>
  <c r="I19" i="4"/>
  <c r="G100" i="4"/>
  <c r="G52" i="4" s="1"/>
  <c r="G104" i="4"/>
  <c r="G79" i="4"/>
  <c r="G80" i="4" s="1"/>
  <c r="G61" i="4"/>
  <c r="AM49" i="5"/>
  <c r="AM45" i="5"/>
  <c r="L20" i="20"/>
  <c r="O95" i="4"/>
  <c r="N99" i="4"/>
  <c r="N101" i="4"/>
  <c r="N17" i="4" s="1"/>
  <c r="N100" i="4"/>
  <c r="N52" i="4" s="1"/>
  <c r="N98" i="4"/>
  <c r="N51" i="4"/>
  <c r="C99" i="4"/>
  <c r="C100" i="4"/>
  <c r="C52" i="4" s="1"/>
  <c r="C101" i="4"/>
  <c r="C17" i="4" s="1"/>
  <c r="C51" i="4"/>
  <c r="C98" i="4"/>
  <c r="AU62" i="5"/>
  <c r="AP62" i="5"/>
  <c r="H103" i="4"/>
  <c r="H104" i="4"/>
  <c r="H105" i="4"/>
  <c r="H18" i="4" s="1"/>
  <c r="T34" i="4"/>
  <c r="T57" i="4" s="1"/>
  <c r="T72" i="4" s="1"/>
  <c r="L64" i="4" l="1"/>
  <c r="K65" i="4"/>
  <c r="M104" i="4"/>
  <c r="M103" i="4"/>
  <c r="M105" i="4"/>
  <c r="M18" i="4" s="1"/>
  <c r="H16" i="4"/>
  <c r="H13" i="4"/>
  <c r="H42" i="4"/>
  <c r="CE20" i="5"/>
  <c r="W34" i="4"/>
  <c r="W57" i="4" s="1"/>
  <c r="W72" i="4" s="1"/>
  <c r="X34" i="4"/>
  <c r="X57" i="4" s="1"/>
  <c r="X72" i="4" s="1"/>
  <c r="I79" i="4"/>
  <c r="I80" i="4" s="1"/>
  <c r="I61" i="4"/>
  <c r="AP45" i="5"/>
  <c r="R71" i="4"/>
  <c r="Q71" i="4"/>
  <c r="S13" i="4"/>
  <c r="S42" i="4"/>
  <c r="S16" i="4"/>
  <c r="Q114" i="4"/>
  <c r="Q116" i="4" s="1"/>
  <c r="Q90" i="4"/>
  <c r="S94" i="4"/>
  <c r="M19" i="20"/>
  <c r="M20" i="20"/>
  <c r="N19" i="20"/>
  <c r="BK45" i="5"/>
  <c r="R114" i="4"/>
  <c r="R116" i="4" s="1"/>
  <c r="R90" i="4"/>
  <c r="R120" i="4"/>
  <c r="R123" i="4"/>
  <c r="Q123" i="4"/>
  <c r="Q120" i="4"/>
  <c r="N105" i="4"/>
  <c r="N18" i="4" s="1"/>
  <c r="N103" i="4"/>
  <c r="N104" i="4"/>
  <c r="C105" i="4"/>
  <c r="C18" i="4" s="1"/>
  <c r="C103" i="4"/>
  <c r="C104" i="4"/>
  <c r="V34" i="4"/>
  <c r="V57" i="4" s="1"/>
  <c r="V72" i="4" s="1"/>
  <c r="L65" i="4" l="1"/>
  <c r="L68" i="4" s="1"/>
  <c r="L40" i="4" s="1"/>
  <c r="M64" i="4"/>
  <c r="I13" i="4"/>
  <c r="I16" i="4"/>
  <c r="I94" i="4"/>
  <c r="L45" i="5"/>
  <c r="Q45" i="5"/>
  <c r="O16" i="4"/>
  <c r="O13" i="4"/>
  <c r="O42" i="4"/>
  <c r="O94" i="4"/>
  <c r="R19" i="4"/>
  <c r="S100" i="4"/>
  <c r="S52" i="4" s="1"/>
  <c r="S51" i="4"/>
  <c r="S99" i="4"/>
  <c r="S101" i="4"/>
  <c r="S17" i="4" s="1"/>
  <c r="S98" i="4"/>
  <c r="Q19" i="4"/>
  <c r="N64" i="4" l="1"/>
  <c r="M65" i="4"/>
  <c r="I51" i="4"/>
  <c r="I99" i="4"/>
  <c r="I98" i="4"/>
  <c r="I100" i="4"/>
  <c r="I52" i="4" s="1"/>
  <c r="I101" i="4"/>
  <c r="I17" i="4" s="1"/>
  <c r="O101" i="4"/>
  <c r="O17" i="4" s="1"/>
  <c r="O99" i="4"/>
  <c r="O100" i="4"/>
  <c r="O52" i="4" s="1"/>
  <c r="O51" i="4"/>
  <c r="O98" i="4"/>
  <c r="R61" i="4"/>
  <c r="R79" i="4"/>
  <c r="R80" i="4" s="1"/>
  <c r="S104" i="4"/>
  <c r="S103" i="4"/>
  <c r="S105" i="4"/>
  <c r="S18" i="4" s="1"/>
  <c r="Q79" i="4"/>
  <c r="Q80" i="4" s="1"/>
  <c r="Q61" i="4"/>
  <c r="N65" i="4" l="1"/>
  <c r="O64" i="4"/>
  <c r="M125" i="4"/>
  <c r="M126" i="4" s="1"/>
  <c r="I104" i="4"/>
  <c r="I103" i="4"/>
  <c r="I105" i="4"/>
  <c r="I18" i="4" s="1"/>
  <c r="O103" i="4"/>
  <c r="O104" i="4"/>
  <c r="O105" i="4"/>
  <c r="O18" i="4" s="1"/>
  <c r="Q16" i="4"/>
  <c r="Q42" i="4"/>
  <c r="Q13" i="4"/>
  <c r="Q94" i="4"/>
  <c r="R94" i="4"/>
  <c r="R13" i="4"/>
  <c r="R16" i="4"/>
  <c r="R42" i="4"/>
  <c r="BJ7" i="5"/>
  <c r="D29" i="4"/>
  <c r="D49" i="4"/>
  <c r="D56" i="4"/>
  <c r="E49" i="4"/>
  <c r="E35" i="4"/>
  <c r="E36" i="4" s="1"/>
  <c r="E56" i="4"/>
  <c r="E29" i="4"/>
  <c r="O65" i="4" l="1"/>
  <c r="P64" i="4"/>
  <c r="R98" i="4"/>
  <c r="R51" i="4"/>
  <c r="R99" i="4"/>
  <c r="R101" i="4"/>
  <c r="R17" i="4" s="1"/>
  <c r="R100" i="4"/>
  <c r="R52" i="4" s="1"/>
  <c r="Q100" i="4"/>
  <c r="Q52" i="4" s="1"/>
  <c r="Q101" i="4"/>
  <c r="Q17" i="4" s="1"/>
  <c r="Q99" i="4"/>
  <c r="Q98" i="4"/>
  <c r="Q51" i="4"/>
  <c r="BE45" i="5"/>
  <c r="BE84" i="5"/>
  <c r="BJ45" i="5"/>
  <c r="BJ84" i="5"/>
  <c r="E30" i="4"/>
  <c r="E50" i="4"/>
  <c r="E73" i="4"/>
  <c r="E74" i="4" s="1"/>
  <c r="E75" i="4" s="1"/>
  <c r="E58" i="4"/>
  <c r="E66" i="4" s="1"/>
  <c r="E83" i="4"/>
  <c r="E84" i="4" s="1"/>
  <c r="E21" i="4"/>
  <c r="E20" i="4"/>
  <c r="E107" i="4"/>
  <c r="E110" i="4"/>
  <c r="E112" i="4" s="1"/>
  <c r="D50" i="4"/>
  <c r="D73" i="4"/>
  <c r="D74" i="4" s="1"/>
  <c r="D75" i="4" s="1"/>
  <c r="D58" i="4"/>
  <c r="D66" i="4" s="1"/>
  <c r="D83" i="4"/>
  <c r="D84" i="4" s="1"/>
  <c r="Q64" i="4" l="1"/>
  <c r="P65" i="4"/>
  <c r="N29" i="4"/>
  <c r="N50" i="4" s="1"/>
  <c r="N49" i="4"/>
  <c r="N56" i="4"/>
  <c r="N125" i="4"/>
  <c r="N126" i="4" s="1"/>
  <c r="Q103" i="4"/>
  <c r="Q105" i="4"/>
  <c r="Q18" i="4" s="1"/>
  <c r="Q104" i="4"/>
  <c r="R104" i="4"/>
  <c r="R103" i="4"/>
  <c r="R105" i="4"/>
  <c r="R18" i="4" s="1"/>
  <c r="E67" i="4"/>
  <c r="E68" i="4" s="1"/>
  <c r="E40" i="4" s="1"/>
  <c r="D67" i="4"/>
  <c r="D68" i="4" s="1"/>
  <c r="D40" i="4" s="1"/>
  <c r="E85" i="4"/>
  <c r="E87" i="4" s="1"/>
  <c r="E39" i="4" s="1"/>
  <c r="R64" i="4" l="1"/>
  <c r="Q65" i="4"/>
  <c r="N73" i="4"/>
  <c r="N74" i="4" s="1"/>
  <c r="N75" i="4" s="1"/>
  <c r="N83" i="4"/>
  <c r="N84" i="4" s="1"/>
  <c r="N58" i="4"/>
  <c r="N66" i="4" s="1"/>
  <c r="N67" i="4" s="1"/>
  <c r="N68" i="4" s="1"/>
  <c r="N40" i="4" s="1"/>
  <c r="O56" i="4"/>
  <c r="O49" i="4"/>
  <c r="O29" i="4"/>
  <c r="O30" i="4" s="1"/>
  <c r="O35" i="4"/>
  <c r="O36" i="4" s="1"/>
  <c r="O125" i="4"/>
  <c r="O126" i="4" s="1"/>
  <c r="E41" i="4"/>
  <c r="B29" i="4"/>
  <c r="B56" i="4"/>
  <c r="B83" i="4" s="1"/>
  <c r="B84" i="4" s="1"/>
  <c r="B35" i="4"/>
  <c r="B36" i="4" s="1"/>
  <c r="R65" i="4" l="1"/>
  <c r="S64" i="4"/>
  <c r="O50" i="4"/>
  <c r="O110" i="4"/>
  <c r="O112" i="4" s="1"/>
  <c r="O20" i="4"/>
  <c r="O21" i="4"/>
  <c r="O107" i="4"/>
  <c r="O58" i="4"/>
  <c r="O66" i="4" s="1"/>
  <c r="O67" i="4" s="1"/>
  <c r="O68" i="4" s="1"/>
  <c r="O40" i="4" s="1"/>
  <c r="O83" i="4"/>
  <c r="O84" i="4" s="1"/>
  <c r="O85" i="4" s="1"/>
  <c r="O87" i="4" s="1"/>
  <c r="O39" i="4" s="1"/>
  <c r="O73" i="4"/>
  <c r="O74" i="4" s="1"/>
  <c r="O75" i="4" s="1"/>
  <c r="B20" i="4"/>
  <c r="B21" i="4"/>
  <c r="B110" i="4"/>
  <c r="B112" i="4" s="1"/>
  <c r="S65" i="4" l="1"/>
  <c r="T64" i="4"/>
  <c r="O41" i="4"/>
  <c r="O86" i="4"/>
  <c r="U64" i="4" l="1"/>
  <c r="T65" i="4"/>
  <c r="G29" i="4"/>
  <c r="G50" i="4" s="1"/>
  <c r="G56" i="4"/>
  <c r="G49" i="4"/>
  <c r="C56" i="4"/>
  <c r="C29" i="4"/>
  <c r="C50" i="4" s="1"/>
  <c r="C35" i="4"/>
  <c r="C36" i="4" s="1"/>
  <c r="C49" i="4"/>
  <c r="D35" i="4"/>
  <c r="D36" i="4" s="1"/>
  <c r="U65" i="4" l="1"/>
  <c r="V64" i="4"/>
  <c r="D107" i="4"/>
  <c r="D20" i="4"/>
  <c r="D110" i="4"/>
  <c r="D112" i="4" s="1"/>
  <c r="D21" i="4"/>
  <c r="C30" i="4"/>
  <c r="D30" i="4"/>
  <c r="C58" i="4"/>
  <c r="C66" i="4" s="1"/>
  <c r="C73" i="4"/>
  <c r="C74" i="4" s="1"/>
  <c r="C75" i="4" s="1"/>
  <c r="C83" i="4"/>
  <c r="C84" i="4" s="1"/>
  <c r="G73" i="4"/>
  <c r="G74" i="4" s="1"/>
  <c r="G75" i="4" s="1"/>
  <c r="G58" i="4"/>
  <c r="G66" i="4" s="1"/>
  <c r="G83" i="4"/>
  <c r="G84" i="4" s="1"/>
  <c r="C20" i="4"/>
  <c r="C21" i="4"/>
  <c r="C107" i="4"/>
  <c r="C110" i="4"/>
  <c r="C112" i="4" s="1"/>
  <c r="W64" i="4" l="1"/>
  <c r="V65" i="4"/>
  <c r="C67" i="4"/>
  <c r="C68" i="4" s="1"/>
  <c r="C40" i="4" s="1"/>
  <c r="C85" i="4"/>
  <c r="C87" i="4" s="1"/>
  <c r="C39" i="4" s="1"/>
  <c r="D85" i="4"/>
  <c r="D87" i="4" s="1"/>
  <c r="D39" i="4" s="1"/>
  <c r="D41" i="4" s="1"/>
  <c r="G67" i="4"/>
  <c r="G68" i="4" s="1"/>
  <c r="G40" i="4" s="1"/>
  <c r="X64" i="4" l="1"/>
  <c r="X65" i="4" s="1"/>
  <c r="W65" i="4"/>
  <c r="C41" i="4"/>
  <c r="H56" i="4"/>
  <c r="H49" i="4"/>
  <c r="H29" i="4"/>
  <c r="H30" i="4" s="1"/>
  <c r="H35" i="4"/>
  <c r="H36" i="4" s="1"/>
  <c r="H21" i="4" l="1"/>
  <c r="H110" i="4"/>
  <c r="H112" i="4" s="1"/>
  <c r="H20" i="4"/>
  <c r="H107" i="4"/>
  <c r="H73" i="4"/>
  <c r="H74" i="4" s="1"/>
  <c r="H75" i="4" s="1"/>
  <c r="H58" i="4"/>
  <c r="H66" i="4" s="1"/>
  <c r="H83" i="4"/>
  <c r="H84" i="4" s="1"/>
  <c r="H85" i="4" s="1"/>
  <c r="H87" i="4" s="1"/>
  <c r="H39" i="4" s="1"/>
  <c r="H50" i="4"/>
  <c r="H67" i="4" l="1"/>
  <c r="H68" i="4" s="1"/>
  <c r="H40" i="4" s="1"/>
  <c r="H86" i="4" l="1"/>
  <c r="H41" i="4"/>
  <c r="I35" i="4"/>
  <c r="I49" i="4"/>
  <c r="I56" i="4"/>
  <c r="I58" i="4" l="1"/>
  <c r="I83" i="4"/>
  <c r="I73" i="4"/>
  <c r="I74" i="4" s="1"/>
  <c r="I75" i="4" s="1"/>
  <c r="I66" i="4"/>
  <c r="I36" i="4"/>
  <c r="I67" i="4" l="1"/>
  <c r="I68" i="4" s="1"/>
  <c r="I40" i="4" s="1"/>
  <c r="I107" i="4"/>
  <c r="I110" i="4"/>
  <c r="I112" i="4" s="1"/>
  <c r="I20" i="4"/>
  <c r="CH32" i="5" l="1"/>
  <c r="CH33" i="5" s="1"/>
  <c r="BS24" i="5" l="1"/>
  <c r="BS26" i="5" l="1"/>
  <c r="T119" i="4" l="1"/>
  <c r="BN16" i="5"/>
  <c r="T46" i="4"/>
  <c r="BO56" i="5"/>
  <c r="O7" i="20"/>
  <c r="O10" i="20" l="1"/>
  <c r="Y5" i="4" l="1"/>
  <c r="BN45" i="5" l="1"/>
  <c r="O20" i="20" l="1"/>
  <c r="O19" i="20"/>
  <c r="T71" i="4" l="1"/>
  <c r="T123" i="4"/>
  <c r="T120" i="4"/>
  <c r="T80" i="4"/>
  <c r="T114" i="4"/>
  <c r="T116" i="4" s="1"/>
  <c r="T90" i="4"/>
  <c r="T13" i="4" l="1"/>
  <c r="T16" i="4"/>
  <c r="BO84" i="5" l="1"/>
  <c r="BO83" i="5" s="1"/>
  <c r="BO45" i="5"/>
  <c r="T12" i="4"/>
  <c r="T23" i="4" s="1"/>
  <c r="T82" i="4"/>
  <c r="T42" i="4"/>
  <c r="BN22" i="5" l="1"/>
  <c r="BN26" i="5"/>
  <c r="BU23" i="5" l="1"/>
  <c r="BV23" i="5" l="1"/>
  <c r="BW23" i="5"/>
  <c r="T19" i="4" l="1"/>
  <c r="T94" i="4" l="1"/>
  <c r="T95" i="4"/>
  <c r="U95" i="4" l="1"/>
  <c r="T98" i="4"/>
  <c r="T99" i="4"/>
  <c r="T51" i="4"/>
  <c r="T100" i="4"/>
  <c r="T52" i="4" s="1"/>
  <c r="T101" i="4"/>
  <c r="T17" i="4" s="1"/>
  <c r="V95" i="4"/>
  <c r="U46" i="4" l="1"/>
  <c r="T103" i="4"/>
  <c r="T104" i="4"/>
  <c r="T105" i="4"/>
  <c r="T18" i="4" s="1"/>
  <c r="W95" i="4" l="1"/>
  <c r="CF35" i="5"/>
  <c r="U119" i="4"/>
  <c r="CF30" i="5" l="1"/>
  <c r="CG30" i="5" s="1"/>
  <c r="CH30" i="5" s="1"/>
  <c r="CG35" i="5"/>
  <c r="X95" i="4" l="1"/>
  <c r="BP45" i="5" l="1"/>
  <c r="P10" i="20" l="1"/>
  <c r="BT56" i="5"/>
  <c r="P7" i="20"/>
  <c r="U114" i="4" l="1"/>
  <c r="U80" i="4"/>
  <c r="U90" i="4"/>
  <c r="Y7" i="4"/>
  <c r="U71" i="4"/>
  <c r="U120" i="4"/>
  <c r="Y6" i="4"/>
  <c r="U123" i="4"/>
  <c r="P19" i="20"/>
  <c r="P20" i="20"/>
  <c r="U116" i="4" l="1"/>
  <c r="V46" i="4" l="1"/>
  <c r="V119" i="4"/>
  <c r="BU56" i="5"/>
  <c r="Q7" i="20"/>
  <c r="V114" i="4" l="1"/>
  <c r="V123" i="4"/>
  <c r="Q10" i="20"/>
  <c r="V90" i="4" l="1"/>
  <c r="V120" i="4"/>
  <c r="V80" i="4"/>
  <c r="V71" i="4"/>
  <c r="Q19" i="20"/>
  <c r="Q20" i="20"/>
  <c r="V116" i="4"/>
  <c r="BV56" i="5" l="1"/>
  <c r="R7" i="20"/>
  <c r="W46" i="4"/>
  <c r="W119" i="4"/>
  <c r="R10" i="20" l="1"/>
  <c r="BW56" i="5" l="1"/>
  <c r="S7" i="20"/>
  <c r="W80" i="4"/>
  <c r="W114" i="4"/>
  <c r="W90" i="4"/>
  <c r="W71" i="4"/>
  <c r="X119" i="4"/>
  <c r="X46" i="4"/>
  <c r="W120" i="4"/>
  <c r="W123" i="4"/>
  <c r="R19" i="20"/>
  <c r="R20" i="20"/>
  <c r="S10" i="20" l="1"/>
  <c r="W116" i="4"/>
  <c r="X114" i="4" l="1"/>
  <c r="X90" i="4"/>
  <c r="X80" i="4"/>
  <c r="X120" i="4"/>
  <c r="X123" i="4"/>
  <c r="X71" i="4"/>
  <c r="S19" i="20"/>
  <c r="S20" i="20"/>
  <c r="X116" i="4" l="1"/>
  <c r="AQ16" i="5" l="1"/>
  <c r="AR16" i="5"/>
  <c r="AS16" i="5"/>
  <c r="AT16" i="5"/>
  <c r="AU16" i="5"/>
  <c r="AV16" i="5"/>
  <c r="AW16" i="5"/>
  <c r="AX16" i="5"/>
  <c r="AY16" i="5"/>
  <c r="AZ16" i="5"/>
  <c r="BD22" i="5"/>
  <c r="BE24" i="5"/>
  <c r="BE23" i="5" s="1"/>
  <c r="BE22" i="5" s="1"/>
  <c r="U26" i="5"/>
  <c r="V26" i="5"/>
  <c r="BD26" i="5"/>
  <c r="AQ45" i="5"/>
  <c r="AR45" i="5"/>
  <c r="AS45" i="5"/>
  <c r="AT45" i="5"/>
  <c r="AU45" i="5"/>
  <c r="AV45" i="5"/>
  <c r="AW45" i="5"/>
  <c r="AX45" i="5"/>
  <c r="AY45" i="5"/>
  <c r="AZ45" i="5"/>
  <c r="BQ45" i="5"/>
  <c r="BR45" i="5"/>
  <c r="BS45" i="5"/>
  <c r="BT45" i="5"/>
  <c r="BU45" i="5"/>
  <c r="BV45" i="5"/>
  <c r="BW45" i="5"/>
  <c r="AQ56" i="5"/>
  <c r="AR56" i="5"/>
  <c r="AS56" i="5"/>
  <c r="AT56" i="5"/>
  <c r="AU83" i="5"/>
  <c r="BD83" i="5"/>
  <c r="BE83" i="5"/>
  <c r="BJ83" i="5"/>
  <c r="BW83" i="5"/>
  <c r="AU84" i="5"/>
  <c r="AZ84" i="5"/>
  <c r="AZ83" i="5" s="1"/>
  <c r="BT84" i="5"/>
  <c r="BT83" i="5" s="1"/>
  <c r="BU84" i="5"/>
  <c r="BU83" i="5" s="1"/>
  <c r="BV84" i="5"/>
  <c r="BV83" i="5" s="1"/>
  <c r="BW84" i="5"/>
  <c r="K7" i="20"/>
  <c r="L7" i="20"/>
  <c r="K10" i="20"/>
  <c r="L10" i="20"/>
  <c r="K19" i="20"/>
  <c r="L19" i="20"/>
  <c r="K20" i="20"/>
  <c r="Y8" i="4"/>
  <c r="Y9" i="4"/>
  <c r="I12" i="4"/>
  <c r="I23" i="4" s="1"/>
  <c r="J12" i="4"/>
  <c r="K12" i="4"/>
  <c r="U12" i="4"/>
  <c r="V12" i="4"/>
  <c r="V23" i="4" s="1"/>
  <c r="W12" i="4"/>
  <c r="X12" i="4"/>
  <c r="P13" i="4"/>
  <c r="U13" i="4"/>
  <c r="V13" i="4"/>
  <c r="W13" i="4"/>
  <c r="X13" i="4"/>
  <c r="P16" i="4"/>
  <c r="U16" i="4"/>
  <c r="V16" i="4"/>
  <c r="W16" i="4"/>
  <c r="X16" i="4"/>
  <c r="W17" i="4"/>
  <c r="P19" i="4"/>
  <c r="U19" i="4"/>
  <c r="V19" i="4"/>
  <c r="W19" i="4"/>
  <c r="X19" i="4"/>
  <c r="F20" i="4"/>
  <c r="L20" i="4"/>
  <c r="Q20" i="4"/>
  <c r="U20" i="4"/>
  <c r="K21" i="4"/>
  <c r="P21" i="4"/>
  <c r="T21" i="4"/>
  <c r="X21" i="4"/>
  <c r="J23" i="4"/>
  <c r="K23" i="4"/>
  <c r="U23" i="4"/>
  <c r="W23" i="4"/>
  <c r="X23" i="4"/>
  <c r="F29" i="4"/>
  <c r="F30" i="4" s="1"/>
  <c r="I29" i="4"/>
  <c r="I21" i="4" s="1"/>
  <c r="J29" i="4"/>
  <c r="K29" i="4"/>
  <c r="M29" i="4"/>
  <c r="N30" i="4" s="1"/>
  <c r="P29" i="4"/>
  <c r="Q29" i="4"/>
  <c r="R29" i="4"/>
  <c r="S29" i="4"/>
  <c r="T30" i="4" s="1"/>
  <c r="T29" i="4"/>
  <c r="U29" i="4"/>
  <c r="V29" i="4"/>
  <c r="W29" i="4"/>
  <c r="X30" i="4" s="1"/>
  <c r="X29" i="4"/>
  <c r="I30" i="4"/>
  <c r="J30" i="4"/>
  <c r="K30" i="4"/>
  <c r="L30" i="4"/>
  <c r="M30" i="4"/>
  <c r="P30" i="4"/>
  <c r="Q30" i="4"/>
  <c r="R30" i="4"/>
  <c r="U30" i="4"/>
  <c r="V30" i="4"/>
  <c r="F35" i="4"/>
  <c r="G35" i="4"/>
  <c r="J35" i="4"/>
  <c r="K35" i="4"/>
  <c r="L35" i="4"/>
  <c r="M35" i="4"/>
  <c r="N35" i="4"/>
  <c r="P35" i="4"/>
  <c r="Q35" i="4"/>
  <c r="R35" i="4"/>
  <c r="S35" i="4"/>
  <c r="T35" i="4"/>
  <c r="U35" i="4"/>
  <c r="V35" i="4"/>
  <c r="W35" i="4"/>
  <c r="X35" i="4"/>
  <c r="F36" i="4"/>
  <c r="G36" i="4"/>
  <c r="G107" i="4" s="1"/>
  <c r="J36" i="4"/>
  <c r="J20" i="4" s="1"/>
  <c r="K36" i="4"/>
  <c r="K20" i="4" s="1"/>
  <c r="L36" i="4"/>
  <c r="L21" i="4" s="1"/>
  <c r="M36" i="4"/>
  <c r="M21" i="4" s="1"/>
  <c r="N36" i="4"/>
  <c r="N20" i="4" s="1"/>
  <c r="P36" i="4"/>
  <c r="P20" i="4" s="1"/>
  <c r="Q36" i="4"/>
  <c r="Q21" i="4" s="1"/>
  <c r="R36" i="4"/>
  <c r="R21" i="4" s="1"/>
  <c r="S36" i="4"/>
  <c r="S20" i="4" s="1"/>
  <c r="T36" i="4"/>
  <c r="T20" i="4" s="1"/>
  <c r="U36" i="4"/>
  <c r="U21" i="4" s="1"/>
  <c r="V36" i="4"/>
  <c r="V21" i="4" s="1"/>
  <c r="W36" i="4"/>
  <c r="W20" i="4" s="1"/>
  <c r="X36" i="4"/>
  <c r="X20" i="4" s="1"/>
  <c r="G39" i="4"/>
  <c r="G41" i="4" s="1"/>
  <c r="I42" i="4"/>
  <c r="J42" i="4"/>
  <c r="K42" i="4"/>
  <c r="L42" i="4"/>
  <c r="P42" i="4"/>
  <c r="U42" i="4"/>
  <c r="V42" i="4"/>
  <c r="W42" i="4"/>
  <c r="X42" i="4"/>
  <c r="P46" i="4"/>
  <c r="F49" i="4"/>
  <c r="J49" i="4"/>
  <c r="K49" i="4"/>
  <c r="M49" i="4"/>
  <c r="P49" i="4"/>
  <c r="Q49" i="4"/>
  <c r="R49" i="4"/>
  <c r="S49" i="4"/>
  <c r="T49" i="4"/>
  <c r="U49" i="4"/>
  <c r="V49" i="4"/>
  <c r="W49" i="4"/>
  <c r="X49" i="4"/>
  <c r="I50" i="4"/>
  <c r="J50" i="4"/>
  <c r="K50" i="4"/>
  <c r="P50" i="4"/>
  <c r="Q50" i="4"/>
  <c r="R50" i="4"/>
  <c r="T50" i="4"/>
  <c r="U50" i="4"/>
  <c r="V50" i="4"/>
  <c r="X50" i="4"/>
  <c r="U51" i="4"/>
  <c r="P52" i="4"/>
  <c r="X52" i="4"/>
  <c r="F56" i="4"/>
  <c r="J56" i="4"/>
  <c r="K56" i="4"/>
  <c r="M56" i="4"/>
  <c r="P56" i="4"/>
  <c r="Q56" i="4"/>
  <c r="R56" i="4"/>
  <c r="S56" i="4"/>
  <c r="T56" i="4"/>
  <c r="U56" i="4"/>
  <c r="V56" i="4"/>
  <c r="W56" i="4"/>
  <c r="X56" i="4"/>
  <c r="F58" i="4"/>
  <c r="J58" i="4"/>
  <c r="K58" i="4"/>
  <c r="K66" i="4" s="1"/>
  <c r="P58" i="4"/>
  <c r="Q58" i="4"/>
  <c r="R58" i="4"/>
  <c r="R66" i="4" s="1"/>
  <c r="T58" i="4"/>
  <c r="U58" i="4"/>
  <c r="V58" i="4"/>
  <c r="V66" i="4" s="1"/>
  <c r="X58" i="4"/>
  <c r="F66" i="4"/>
  <c r="J66" i="4"/>
  <c r="P66" i="4"/>
  <c r="Q66" i="4"/>
  <c r="T66" i="4"/>
  <c r="U66" i="4"/>
  <c r="X66" i="4"/>
  <c r="F67" i="4"/>
  <c r="F68" i="4" s="1"/>
  <c r="F40" i="4" s="1"/>
  <c r="P67" i="4"/>
  <c r="P68" i="4" s="1"/>
  <c r="P40" i="4" s="1"/>
  <c r="T67" i="4"/>
  <c r="T68" i="4" s="1"/>
  <c r="T40" i="4" s="1"/>
  <c r="X67" i="4"/>
  <c r="X68" i="4" s="1"/>
  <c r="X40" i="4" s="1"/>
  <c r="P71" i="4"/>
  <c r="F73" i="4"/>
  <c r="J73" i="4"/>
  <c r="J74" i="4" s="1"/>
  <c r="J75" i="4" s="1"/>
  <c r="K73" i="4"/>
  <c r="P73" i="4"/>
  <c r="Q73" i="4"/>
  <c r="Q74" i="4" s="1"/>
  <c r="Q75" i="4" s="1"/>
  <c r="R73" i="4"/>
  <c r="T73" i="4"/>
  <c r="U73" i="4"/>
  <c r="U74" i="4" s="1"/>
  <c r="V73" i="4"/>
  <c r="X73" i="4"/>
  <c r="F74" i="4"/>
  <c r="F75" i="4" s="1"/>
  <c r="K74" i="4"/>
  <c r="P74" i="4"/>
  <c r="P75" i="4" s="1"/>
  <c r="R74" i="4"/>
  <c r="T74" i="4"/>
  <c r="T75" i="4" s="1"/>
  <c r="V74" i="4"/>
  <c r="X74" i="4"/>
  <c r="X75" i="4" s="1"/>
  <c r="K75" i="4"/>
  <c r="R75" i="4"/>
  <c r="V75" i="4"/>
  <c r="R77" i="4"/>
  <c r="T77" i="4"/>
  <c r="V77" i="4"/>
  <c r="X77" i="4"/>
  <c r="P80" i="4"/>
  <c r="I82" i="4"/>
  <c r="J82" i="4"/>
  <c r="K82" i="4"/>
  <c r="K84" i="4" s="1"/>
  <c r="U82" i="4"/>
  <c r="V82" i="4"/>
  <c r="W82" i="4"/>
  <c r="X82" i="4"/>
  <c r="X84" i="4" s="1"/>
  <c r="F83" i="4"/>
  <c r="J83" i="4"/>
  <c r="K83" i="4"/>
  <c r="M83" i="4"/>
  <c r="M84" i="4" s="1"/>
  <c r="P83" i="4"/>
  <c r="Q83" i="4"/>
  <c r="R83" i="4"/>
  <c r="S83" i="4"/>
  <c r="S84" i="4" s="1"/>
  <c r="T83" i="4"/>
  <c r="U83" i="4"/>
  <c r="V83" i="4"/>
  <c r="W83" i="4"/>
  <c r="W84" i="4" s="1"/>
  <c r="W85" i="4" s="1"/>
  <c r="W87" i="4" s="1"/>
  <c r="W39" i="4" s="1"/>
  <c r="X83" i="4"/>
  <c r="F84" i="4"/>
  <c r="I84" i="4"/>
  <c r="J84" i="4"/>
  <c r="J85" i="4" s="1"/>
  <c r="J87" i="4" s="1"/>
  <c r="J39" i="4" s="1"/>
  <c r="P84" i="4"/>
  <c r="Q84" i="4"/>
  <c r="R85" i="4" s="1"/>
  <c r="R87" i="4" s="1"/>
  <c r="R39" i="4" s="1"/>
  <c r="R84" i="4"/>
  <c r="T84" i="4"/>
  <c r="U84" i="4"/>
  <c r="V85" i="4" s="1"/>
  <c r="V87" i="4" s="1"/>
  <c r="V39" i="4" s="1"/>
  <c r="V84" i="4"/>
  <c r="F85" i="4"/>
  <c r="G85" i="4"/>
  <c r="I85" i="4"/>
  <c r="P85" i="4"/>
  <c r="F87" i="4"/>
  <c r="F39" i="4" s="1"/>
  <c r="F41" i="4" s="1"/>
  <c r="G87" i="4"/>
  <c r="I87" i="4"/>
  <c r="I39" i="4" s="1"/>
  <c r="P87" i="4"/>
  <c r="P39" i="4" s="1"/>
  <c r="P90" i="4"/>
  <c r="P94" i="4"/>
  <c r="P51" i="4" s="1"/>
  <c r="U94" i="4"/>
  <c r="V94" i="4"/>
  <c r="V99" i="4" s="1"/>
  <c r="W94" i="4"/>
  <c r="W51" i="4" s="1"/>
  <c r="X94" i="4"/>
  <c r="X51" i="4" s="1"/>
  <c r="P98" i="4"/>
  <c r="U98" i="4"/>
  <c r="U105" i="4" s="1"/>
  <c r="U18" i="4" s="1"/>
  <c r="W98" i="4"/>
  <c r="X98" i="4"/>
  <c r="P99" i="4"/>
  <c r="U99" i="4"/>
  <c r="W99" i="4"/>
  <c r="X99" i="4"/>
  <c r="P100" i="4"/>
  <c r="U100" i="4"/>
  <c r="U52" i="4" s="1"/>
  <c r="W100" i="4"/>
  <c r="W52" i="4" s="1"/>
  <c r="X100" i="4"/>
  <c r="P101" i="4"/>
  <c r="P17" i="4" s="1"/>
  <c r="U101" i="4"/>
  <c r="U17" i="4" s="1"/>
  <c r="V101" i="4"/>
  <c r="V17" i="4" s="1"/>
  <c r="W101" i="4"/>
  <c r="X101" i="4"/>
  <c r="X17" i="4" s="1"/>
  <c r="P103" i="4"/>
  <c r="U103" i="4"/>
  <c r="W103" i="4"/>
  <c r="X103" i="4"/>
  <c r="P104" i="4"/>
  <c r="W104" i="4"/>
  <c r="X104" i="4"/>
  <c r="P105" i="4"/>
  <c r="P18" i="4" s="1"/>
  <c r="W105" i="4"/>
  <c r="W18" i="4" s="1"/>
  <c r="X105" i="4"/>
  <c r="X18" i="4" s="1"/>
  <c r="F107" i="4"/>
  <c r="J107" i="4"/>
  <c r="K107" i="4"/>
  <c r="L107" i="4"/>
  <c r="N107" i="4"/>
  <c r="P107" i="4"/>
  <c r="Q107" i="4"/>
  <c r="S107" i="4"/>
  <c r="T107" i="4"/>
  <c r="U107" i="4"/>
  <c r="W107" i="4"/>
  <c r="X107" i="4"/>
  <c r="F110" i="4"/>
  <c r="J110" i="4"/>
  <c r="K110" i="4"/>
  <c r="L110" i="4"/>
  <c r="N110" i="4"/>
  <c r="P110" i="4"/>
  <c r="Q110" i="4"/>
  <c r="S110" i="4"/>
  <c r="T110" i="4"/>
  <c r="U110" i="4"/>
  <c r="W110" i="4"/>
  <c r="X110" i="4"/>
  <c r="F112" i="4"/>
  <c r="J112" i="4"/>
  <c r="K112" i="4"/>
  <c r="L112" i="4"/>
  <c r="N112" i="4"/>
  <c r="P112" i="4"/>
  <c r="Q112" i="4"/>
  <c r="S112" i="4"/>
  <c r="T112" i="4"/>
  <c r="U112" i="4"/>
  <c r="W112" i="4"/>
  <c r="X112" i="4"/>
  <c r="P114" i="4"/>
  <c r="P116" i="4" s="1"/>
  <c r="P119" i="4"/>
  <c r="P120" i="4"/>
  <c r="P123" i="4"/>
  <c r="K125" i="4"/>
  <c r="P125" i="4"/>
  <c r="P126" i="4" s="1"/>
  <c r="Q125" i="4"/>
  <c r="R125" i="4"/>
  <c r="S125" i="4"/>
  <c r="T125" i="4"/>
  <c r="T126" i="4" s="1"/>
  <c r="U125" i="4"/>
  <c r="V125" i="4"/>
  <c r="W125" i="4"/>
  <c r="X125" i="4"/>
  <c r="X126" i="4" s="1"/>
  <c r="K126" i="4"/>
  <c r="Q126" i="4"/>
  <c r="R126" i="4"/>
  <c r="S126" i="4"/>
  <c r="U126" i="4"/>
  <c r="V126" i="4"/>
  <c r="W126" i="4"/>
  <c r="T85" i="4" l="1"/>
  <c r="T87" i="4" s="1"/>
  <c r="T39" i="4" s="1"/>
  <c r="S85" i="4"/>
  <c r="S87" i="4" s="1"/>
  <c r="S39" i="4" s="1"/>
  <c r="M85" i="4"/>
  <c r="M87" i="4" s="1"/>
  <c r="M39" i="4" s="1"/>
  <c r="N85" i="4"/>
  <c r="N87" i="4" s="1"/>
  <c r="N39" i="4" s="1"/>
  <c r="X85" i="4"/>
  <c r="X87" i="4" s="1"/>
  <c r="X39" i="4" s="1"/>
  <c r="L85" i="4"/>
  <c r="L87" i="4" s="1"/>
  <c r="L39" i="4" s="1"/>
  <c r="K85" i="4"/>
  <c r="K87" i="4" s="1"/>
  <c r="K39" i="4" s="1"/>
  <c r="U75" i="4"/>
  <c r="U77" i="4"/>
  <c r="R67" i="4"/>
  <c r="R68" i="4" s="1"/>
  <c r="R40" i="4" s="1"/>
  <c r="V67" i="4"/>
  <c r="V68" i="4"/>
  <c r="V40" i="4" s="1"/>
  <c r="V86" i="4" s="1"/>
  <c r="P86" i="4"/>
  <c r="P41" i="4"/>
  <c r="U68" i="4"/>
  <c r="U40" i="4" s="1"/>
  <c r="I41" i="4"/>
  <c r="I86" i="4"/>
  <c r="V41" i="4"/>
  <c r="K67" i="4"/>
  <c r="K68" i="4"/>
  <c r="K40" i="4" s="1"/>
  <c r="W66" i="4"/>
  <c r="U104" i="4"/>
  <c r="V98" i="4"/>
  <c r="U85" i="4"/>
  <c r="U87" i="4" s="1"/>
  <c r="U39" i="4" s="1"/>
  <c r="Q85" i="4"/>
  <c r="Q87" i="4" s="1"/>
  <c r="Q39" i="4" s="1"/>
  <c r="U67" i="4"/>
  <c r="Q67" i="4"/>
  <c r="Q68" i="4" s="1"/>
  <c r="Q40" i="4" s="1"/>
  <c r="J67" i="4"/>
  <c r="J68" i="4" s="1"/>
  <c r="J40" i="4" s="1"/>
  <c r="W58" i="4"/>
  <c r="S58" i="4"/>
  <c r="S66" i="4" s="1"/>
  <c r="M58" i="4"/>
  <c r="M66" i="4" s="1"/>
  <c r="V51" i="4"/>
  <c r="W50" i="4"/>
  <c r="S50" i="4"/>
  <c r="M50" i="4"/>
  <c r="F50" i="4"/>
  <c r="W30" i="4"/>
  <c r="S30" i="4"/>
  <c r="G21" i="4"/>
  <c r="V20" i="4"/>
  <c r="R20" i="4"/>
  <c r="M20" i="4"/>
  <c r="G20" i="4"/>
  <c r="F21" i="4"/>
  <c r="V110" i="4"/>
  <c r="V112" i="4" s="1"/>
  <c r="R110" i="4"/>
  <c r="R112" i="4" s="1"/>
  <c r="M110" i="4"/>
  <c r="M112" i="4" s="1"/>
  <c r="G110" i="4"/>
  <c r="G112" i="4" s="1"/>
  <c r="V107" i="4"/>
  <c r="R107" i="4"/>
  <c r="M107" i="4"/>
  <c r="V100" i="4"/>
  <c r="V52" i="4" s="1"/>
  <c r="G30" i="4"/>
  <c r="W21" i="4"/>
  <c r="S21" i="4"/>
  <c r="N21" i="4"/>
  <c r="J21" i="4"/>
  <c r="W73" i="4"/>
  <c r="W74" i="4" s="1"/>
  <c r="S73" i="4"/>
  <c r="S74" i="4" s="1"/>
  <c r="M73" i="4"/>
  <c r="M74" i="4" s="1"/>
  <c r="M75" i="4" s="1"/>
  <c r="J86" i="4" l="1"/>
  <c r="J41" i="4"/>
  <c r="M67" i="4"/>
  <c r="M68" i="4" s="1"/>
  <c r="M40" i="4" s="1"/>
  <c r="R41" i="4"/>
  <c r="R86" i="4"/>
  <c r="S67" i="4"/>
  <c r="S68" i="4" s="1"/>
  <c r="S40" i="4" s="1"/>
  <c r="V104" i="4"/>
  <c r="V105" i="4"/>
  <c r="V18" i="4" s="1"/>
  <c r="V103" i="4"/>
  <c r="U41" i="4"/>
  <c r="U86" i="4"/>
  <c r="N86" i="4"/>
  <c r="N41" i="4"/>
  <c r="W67" i="4"/>
  <c r="W68" i="4" s="1"/>
  <c r="W40" i="4" s="1"/>
  <c r="K86" i="4"/>
  <c r="K41" i="4"/>
  <c r="W77" i="4"/>
  <c r="W75" i="4"/>
  <c r="L41" i="4"/>
  <c r="L86" i="4"/>
  <c r="S77" i="4"/>
  <c r="S75" i="4"/>
  <c r="Q41" i="4"/>
  <c r="Q86" i="4"/>
  <c r="X86" i="4"/>
  <c r="X41" i="4"/>
  <c r="T86" i="4"/>
  <c r="T41" i="4"/>
  <c r="M86" i="4" l="1"/>
  <c r="M41" i="4"/>
  <c r="W41" i="4"/>
  <c r="W86" i="4"/>
  <c r="S41" i="4"/>
  <c r="S86" i="4"/>
</calcChain>
</file>

<file path=xl/sharedStrings.xml><?xml version="1.0" encoding="utf-8"?>
<sst xmlns="http://schemas.openxmlformats.org/spreadsheetml/2006/main" count="1131" uniqueCount="944">
  <si>
    <t>Cash From Financing Activity</t>
  </si>
  <si>
    <t>Net Increase in Cash &amp; Equivalents</t>
  </si>
  <si>
    <t xml:space="preserve">  Net PP&amp;E</t>
  </si>
  <si>
    <t>Accumulated Depreciation</t>
  </si>
  <si>
    <t>Gross PP&amp;E</t>
  </si>
  <si>
    <t xml:space="preserve">  Prepaid Expenses</t>
  </si>
  <si>
    <t>Pretax Income</t>
  </si>
  <si>
    <t>3Q07</t>
  </si>
  <si>
    <t>report: Jamie Rollo.</t>
  </si>
  <si>
    <t>Other / FX</t>
  </si>
  <si>
    <t>Interest Income</t>
  </si>
  <si>
    <t>Extraordinary Items and Other</t>
  </si>
  <si>
    <t>Selling, General and Administrative Costs</t>
  </si>
  <si>
    <t>4Q06</t>
  </si>
  <si>
    <t>285-291</t>
  </si>
  <si>
    <t>285-292</t>
  </si>
  <si>
    <t>285-293</t>
  </si>
  <si>
    <t>285-294</t>
  </si>
  <si>
    <t>405-411</t>
  </si>
  <si>
    <t>405-412</t>
  </si>
  <si>
    <t>405-413</t>
  </si>
  <si>
    <t>405-414</t>
  </si>
  <si>
    <t>1-2%</t>
  </si>
  <si>
    <t>~(1%)</t>
  </si>
  <si>
    <t>Count</t>
  </si>
  <si>
    <t xml:space="preserve">  Goodwill and Other Intangibles</t>
  </si>
  <si>
    <t>Free cash flow</t>
  </si>
  <si>
    <t>~(2)%</t>
  </si>
  <si>
    <t>190-200</t>
  </si>
  <si>
    <t>60-70</t>
  </si>
  <si>
    <t>0.20-0.30</t>
  </si>
  <si>
    <t>Change</t>
  </si>
  <si>
    <t>3-4%</t>
  </si>
  <si>
    <t>Purchase of Treasury Stock</t>
  </si>
  <si>
    <t>4Q07</t>
  </si>
  <si>
    <t>Other, non-recurring</t>
  </si>
  <si>
    <t>65-75</t>
  </si>
  <si>
    <t>310-320</t>
  </si>
  <si>
    <t>3Q06</t>
  </si>
  <si>
    <t>~18%</t>
  </si>
  <si>
    <t>~14%</t>
  </si>
  <si>
    <t>~(11%)</t>
  </si>
  <si>
    <t>1Q11</t>
  </si>
  <si>
    <t>EPS growth</t>
  </si>
  <si>
    <t>Dividends per share</t>
  </si>
  <si>
    <t>Interest Cover (EBITDA)</t>
  </si>
  <si>
    <t>FCF yield (post maintenance capex)</t>
  </si>
  <si>
    <t>FCF yield (post all capex)</t>
  </si>
  <si>
    <t>2.67-2.77</t>
  </si>
  <si>
    <t>180-185</t>
  </si>
  <si>
    <t>0.09-0.19</t>
  </si>
  <si>
    <t>FX impact to costs ex. fuel per APCD</t>
  </si>
  <si>
    <t>4Q11</t>
  </si>
  <si>
    <t>5-7%</t>
  </si>
  <si>
    <t>4-6%</t>
  </si>
  <si>
    <t>~10%</t>
  </si>
  <si>
    <t>175-185</t>
  </si>
  <si>
    <t>82-92</t>
  </si>
  <si>
    <t>0.10-0.20</t>
  </si>
  <si>
    <t>Net interest</t>
  </si>
  <si>
    <t>RCL.N,mscalc:targetPrice</t>
  </si>
  <si>
    <t>34</t>
  </si>
  <si>
    <t>,mscalc:targetPrice,,,,USD</t>
  </si>
  <si>
    <t>NA</t>
  </si>
  <si>
    <t>,mscalc:sedolCodeCalc</t>
  </si>
  <si>
    <t>,mscalc:closePriceCurrencyCalc</t>
  </si>
  <si>
    <t>$N$2</t>
  </si>
  <si>
    <t>Fuel as % revenue</t>
  </si>
  <si>
    <t>Operating margin</t>
  </si>
  <si>
    <t>(both gross revenue</t>
  </si>
  <si>
    <t>(1.5)-(2.0)%</t>
  </si>
  <si>
    <t>Flat to up 1%</t>
  </si>
  <si>
    <t>(3.5%)-(4%)</t>
  </si>
  <si>
    <t>195-205</t>
  </si>
  <si>
    <t>g</t>
  </si>
  <si>
    <t>Fuel</t>
  </si>
  <si>
    <t>10-11%</t>
  </si>
  <si>
    <t>(0.05)-0.05</t>
  </si>
  <si>
    <t>1Q12</t>
  </si>
  <si>
    <t>11-12%</t>
  </si>
  <si>
    <t>176-186</t>
  </si>
  <si>
    <t>83-93</t>
  </si>
  <si>
    <t>Q1</t>
  </si>
  <si>
    <t>Q2</t>
  </si>
  <si>
    <t>2Q12</t>
  </si>
  <si>
    <t>(1)-(2)%</t>
  </si>
  <si>
    <t>~(5)%</t>
  </si>
  <si>
    <t>0-1%</t>
  </si>
  <si>
    <t>180-190</t>
  </si>
  <si>
    <t>85-95</t>
  </si>
  <si>
    <t>1.40-1.50</t>
  </si>
  <si>
    <t>Implied price of remaining</t>
  </si>
  <si>
    <t>Notional price of hedge + $35 transportation costs</t>
  </si>
  <si>
    <t>% consumption hedged</t>
  </si>
  <si>
    <t>Average bunker price ($)</t>
  </si>
  <si>
    <t>Share buyback value</t>
  </si>
  <si>
    <t>3Q12</t>
  </si>
  <si>
    <t>Capital employed (ex. goodwill)</t>
  </si>
  <si>
    <t>ROCE (ex. goodwill)</t>
  </si>
  <si>
    <t>Consensus</t>
  </si>
  <si>
    <t>(0.02)-0.08</t>
  </si>
  <si>
    <t>1.85-1.95</t>
  </si>
  <si>
    <t>185-195</t>
  </si>
  <si>
    <t>80-90</t>
  </si>
  <si>
    <t>330-340</t>
  </si>
  <si>
    <t>725-735</t>
  </si>
  <si>
    <t>2-yr growth</t>
  </si>
  <si>
    <t>EPS drivers</t>
  </si>
  <si>
    <t>Yields</t>
  </si>
  <si>
    <t>Net cruise costs</t>
  </si>
  <si>
    <t>Interest</t>
  </si>
  <si>
    <t>Yoy change</t>
  </si>
  <si>
    <t>Capacity</t>
  </si>
  <si>
    <t>1Q13</t>
  </si>
  <si>
    <t>2Q13</t>
  </si>
  <si>
    <t>3Q13</t>
  </si>
  <si>
    <t>4Q13</t>
  </si>
  <si>
    <t>Underlying yields (ex. Distribution and deployment chgs)</t>
  </si>
  <si>
    <t xml:space="preserve">     of which maintenance capex</t>
  </si>
  <si>
    <t>4Q12</t>
  </si>
  <si>
    <t>183-193</t>
  </si>
  <si>
    <t>750-770</t>
  </si>
  <si>
    <t>0.10-0.15</t>
  </si>
  <si>
    <t>79-89</t>
  </si>
  <si>
    <t>4Q14</t>
  </si>
  <si>
    <t>2Q15</t>
  </si>
  <si>
    <t>2Q16</t>
  </si>
  <si>
    <t>1.60-1.70</t>
  </si>
  <si>
    <t>75-85</t>
  </si>
  <si>
    <t>Sensitivities (as per co guidance)</t>
  </si>
  <si>
    <t>1% FX</t>
  </si>
  <si>
    <t>1% Net yield</t>
  </si>
  <si>
    <t>10% Change in fuel prices</t>
  </si>
  <si>
    <t>20 Bank Street, Canary Wharf</t>
  </si>
  <si>
    <t>London E14 4AD</t>
  </si>
  <si>
    <t>United Kingdom</t>
  </si>
  <si>
    <t>Tel: +44 (0)20 7425 8000</t>
  </si>
  <si>
    <t>Ticker: RCL.N</t>
  </si>
  <si>
    <t>Industry: Leisure and Hotels</t>
  </si>
  <si>
    <t>Industry View: In-Line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</si>
  <si>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</si>
  <si>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</si>
  <si>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</si>
  <si>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</si>
  <si>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</si>
  <si>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</si>
  <si>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</si>
  <si>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Analyst Certification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</si>
  <si>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</si>
  <si>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</si>
  <si>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</si>
  <si>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2.30-2.35</t>
  </si>
  <si>
    <t>Unless otherwise stated, the individuals listed on the cover page of this report are research analysts.</t>
  </si>
  <si>
    <t>Global Research Conflict Management Policy</t>
  </si>
  <si>
    <t>Morgan Stanley Research has been published in accordance with our conflict management policy, which is</t>
  </si>
  <si>
    <t>available at www.morganstanley.com/institutional/research/conflictpolicies.</t>
  </si>
  <si>
    <t>Important US Regulatory Disclosures on Subject Companies</t>
  </si>
  <si>
    <t>In the next 3 months, Morgan Stanley expects to receive or intends to seek compensation for investment</t>
  </si>
  <si>
    <t>banking services from Royal Caribbean Cruises.</t>
  </si>
  <si>
    <t>Within the last 12 months, Morgan Stanley has received compensation for products and services other than</t>
  </si>
  <si>
    <t>investment banking services from Royal Caribbean Cruises.</t>
  </si>
  <si>
    <t>Within the last 12 months, Morgan Stanley has provided or is providing investment banking services to,</t>
  </si>
  <si>
    <t>or has an investment banking client relationship with, the following company: Royal Caribbean Cruises.</t>
  </si>
  <si>
    <t>FCF cover</t>
  </si>
  <si>
    <t>Within the last 12 months, Morgan Stanley has either provided or is providing non-investment banking,</t>
  </si>
  <si>
    <t>securities-related services to and/or in the past has entered into an agreement to provide services or</t>
  </si>
  <si>
    <t>has a client relationship with the following company: Royal Caribbean Cruises.</t>
  </si>
  <si>
    <t>Morgan Stanley &amp; Co. LLC makes a market in the securities of Royal Caribbean Cruises.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</si>
  <si>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</si>
  <si>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</si>
  <si>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</si>
  <si>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Morgan Stanley and its affiliates do business that relates to companies/instruments covered in Morgan</t>
  </si>
  <si>
    <t>Certain disclosures listed above are also for compliance with applicable regulations in non-US</t>
  </si>
  <si>
    <t>jurisdictions.</t>
  </si>
  <si>
    <t>STOCK RATINGS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</si>
  <si>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</si>
  <si>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</si>
  <si>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</si>
  <si>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</si>
  <si>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</si>
  <si>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</si>
  <si>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 upon</t>
  </si>
  <si>
    <t>as investment advice. An investor's decision to buy or sell a stock should depend on individual</t>
  </si>
  <si>
    <t>circumstances (such as the investor's existing holdings) and other considerations.</t>
  </si>
  <si>
    <t>Global Stock Ratings Distribution</t>
  </si>
  <si>
    <t>For disclosure purposes only (in accordance with NASD and NYSE requirements), we include the category</t>
  </si>
  <si>
    <t>headings of Buy, Hold, and Sell alongside our ratings of Overweight, Equal-weight, Not-Rated and</t>
  </si>
  <si>
    <t>Underweight. Morgan Stanley does not assign ratings of Buy, Hold or Sell to the stocks we cover.</t>
  </si>
  <si>
    <t>Overweight, Equal-weight, Not-Rated and Underweight are not the equivalent of buy, hold, and sell but</t>
  </si>
  <si>
    <t>represent recommended relative weightings (see definitions below). To satisfy regulatory requirements,</t>
  </si>
  <si>
    <t>we correspond Overweight, our most positive stock rating, with a buy recommendation; we correspond</t>
  </si>
  <si>
    <t>Equal-weight and Not-Rated to hold and Underweight to sell recommendations, respectively.</t>
  </si>
  <si>
    <t>Coverage Universe</t>
  </si>
  <si>
    <t>Investment Banking Clients (IBC)</t>
  </si>
  <si>
    <t>Stock Rating Category</t>
  </si>
  <si>
    <t>% of Total</t>
  </si>
  <si>
    <t>% of Total IBC</t>
  </si>
  <si>
    <t>% of Rating Category</t>
  </si>
  <si>
    <t>Overweight/Buy</t>
  </si>
  <si>
    <t>Equal-weight/Hold</t>
  </si>
  <si>
    <t>Not-Rated/Hold</t>
  </si>
  <si>
    <t>Underweight/Sell</t>
  </si>
  <si>
    <t>Total</t>
  </si>
  <si>
    <t>Analyst Stock Ratings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</si>
  <si>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</si>
  <si>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</si>
  <si>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</si>
  <si>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</si>
  <si>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</si>
  <si>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</si>
  <si>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</si>
  <si>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</si>
  <si>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</si>
  <si>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</si>
  <si>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</si>
  <si>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Unless otherwise specified, the time frame for price targets included in Morgan Stanley Research is 12</t>
  </si>
  <si>
    <t>to 18 months.</t>
  </si>
  <si>
    <t>Analyst Industry Views</t>
  </si>
  <si>
    <t>Attractive (A): The analyst expects the performance of his or her industry coverage universe over the</t>
  </si>
  <si>
    <t>next 12-18 months to be attractive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</si>
  <si>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</si>
  <si>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</si>
  <si>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Cautious (C): The analyst views the performance of his or her industry coverage universe over the next</t>
  </si>
  <si>
    <t>12-18 months with caution vs. the relevant broad market benchmark, as indicated below.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</si>
  <si>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</si>
  <si>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</si>
  <si>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.</t>
  </si>
  <si>
    <t>Stock Price, Price Target and Rating History (See Rating Definitions)</t>
  </si>
  <si>
    <t>Important Disclosures for Morgan Stanley Smith Barney LLC Customers</t>
  </si>
  <si>
    <t>Important disclosures regarding the relationship between the companies that are the subject of Morgan</t>
  </si>
  <si>
    <t>Currency</t>
  </si>
  <si>
    <t>Current Stock Price</t>
  </si>
  <si>
    <t>AUD</t>
  </si>
  <si>
    <t>CAD</t>
  </si>
  <si>
    <t>EUR</t>
  </si>
  <si>
    <t>GBP</t>
  </si>
  <si>
    <t>Each Morgan Stanley Equity Research report is reviewed and approved on behalf of Morgan Stanley Smith</t>
  </si>
  <si>
    <t>Barney LLC. This review and approval is conducted by the same person who reviews the Equity Research</t>
  </si>
  <si>
    <t>report on behalf of Morgan Stanley. This could create a conflict of interest.</t>
  </si>
  <si>
    <t>Other Important Disclosures</t>
  </si>
  <si>
    <t>Morgan Stanley &amp; Co. International PLC and its affiliates have a significant financial interest in the</t>
  </si>
  <si>
    <t>debt securities of Royal Caribbean Cruises.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</si>
  <si>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</si>
  <si>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</si>
  <si>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</si>
  <si>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</si>
  <si>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</si>
  <si>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</si>
  <si>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</si>
  <si>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</si>
  <si>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</si>
  <si>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</si>
  <si>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55-60</t>
  </si>
  <si>
    <t>c.3.45</t>
  </si>
  <si>
    <t>RCL unhedged fuel per mt</t>
  </si>
  <si>
    <t>2 ways to calculate it</t>
  </si>
  <si>
    <t>Fuel costs (MS method)</t>
  </si>
  <si>
    <t>2Q14</t>
  </si>
  <si>
    <t>~2.20</t>
  </si>
  <si>
    <t>Europe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</si>
  <si>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</si>
  <si>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</si>
  <si>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</si>
  <si>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</si>
  <si>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</si>
  <si>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</si>
  <si>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</si>
  <si>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</si>
  <si>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</si>
  <si>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</si>
  <si>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particular trading desks.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</si>
  <si>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</si>
  <si>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</si>
  <si>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</si>
  <si>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</si>
  <si>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1% Change in NCC ex. Fuel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</si>
  <si>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</si>
  <si>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</si>
  <si>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</si>
  <si>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</si>
  <si>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</si>
  <si>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</si>
  <si>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</si>
  <si>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</si>
  <si>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</si>
  <si>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</si>
  <si>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</si>
  <si>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$m</t>
  </si>
  <si>
    <t>The information in Morgan Stanley Research is being communicated by Morgan Stanley &amp; Co. International</t>
  </si>
  <si>
    <t>plc (DIFC Branch), regulated by the Dubai Financial Services Authority (the DFSA), and is directed at</t>
  </si>
  <si>
    <t>Professional Clients only, as defined by the DFSA. The financial products or financial services to which</t>
  </si>
  <si>
    <t>this research relates will only be made available to a customer who we are satisfied meets the</t>
  </si>
  <si>
    <t>regulatory criteria to be a Professional Client.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</si>
  <si>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</si>
  <si>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</si>
  <si>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</si>
  <si>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</si>
  <si>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</si>
  <si>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3Q14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</si>
  <si>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</si>
  <si>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</si>
  <si>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</si>
  <si>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</si>
  <si>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Morgan Stanley Research, or any portion thereof may not be reprinted, sold or redistributed without the</t>
  </si>
  <si>
    <t>written consent of Morgan Stanley.</t>
  </si>
  <si>
    <t xml:space="preserve">  Proceeds (Payments) on LT Debt &amp; Bank Facility</t>
  </si>
  <si>
    <t xml:space="preserve">  Cash Dividends</t>
  </si>
  <si>
    <t xml:space="preserve">  Accumulated Other Comprehensive Income</t>
  </si>
  <si>
    <t>~(10%)</t>
  </si>
  <si>
    <t>Tax Benefit (Expense)</t>
  </si>
  <si>
    <t>Tax Rate</t>
  </si>
  <si>
    <t>138-143</t>
  </si>
  <si>
    <t>83-88</t>
  </si>
  <si>
    <t>Morgan Stanley &amp; Co. International plc, authorized by the Prudential Regulatory Authority and regulated</t>
  </si>
  <si>
    <t>by the Financial Conduct Authority and the Prudential Regulatory Authority, disseminates in the UK</t>
  </si>
  <si>
    <t>Other (TUI JV)</t>
  </si>
  <si>
    <t>2018e</t>
  </si>
  <si>
    <t>2019e</t>
  </si>
  <si>
    <t>Spot</t>
  </si>
  <si>
    <t>research that it has prepared, and approves solely for the purposes of section 21 of the Financial</t>
  </si>
  <si>
    <t>Services and Markets Act 2000, research which has been prepared by any of its affiliates. As used in</t>
  </si>
  <si>
    <t>Stanley Research and Morgan Stanley Smith Barney LLC or Morgan Stanley or any of their affiliates, are</t>
  </si>
  <si>
    <t>available on the Morgan Stanley Wealth Management disclosure website at</t>
  </si>
  <si>
    <t>representative or go to Matrix at http://www.morganstanley.com/matrix.</t>
  </si>
  <si>
    <t>http://www.morganstanley.com/matrix.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</si>
  <si>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</si>
  <si>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</si>
  <si>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</si>
  <si>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</si>
  <si>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</si>
  <si>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</si>
  <si>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</si>
  <si>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</t>
  </si>
  <si>
    <t>If you do not agree to our Terms of Use and/or if you do not wish to provide your consent to Morgan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</si>
  <si>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</si>
  <si>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</si>
  <si>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</si>
  <si>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</si>
  <si>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</si>
  <si>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Net debt (on B/S)</t>
  </si>
  <si>
    <t>Market Cap</t>
  </si>
  <si>
    <t>EV</t>
  </si>
  <si>
    <t>Cost of debt (from cash flow)</t>
  </si>
  <si>
    <t>Tax rate (domicile rate)</t>
  </si>
  <si>
    <t>Post-tax cost of debt</t>
  </si>
  <si>
    <t>Risk premium</t>
  </si>
  <si>
    <t>Beta</t>
  </si>
  <si>
    <t>Risk free rate (10Y bond)</t>
  </si>
  <si>
    <t>Cost of equity</t>
  </si>
  <si>
    <t>Debt % EV</t>
  </si>
  <si>
    <t>Equity % EV</t>
  </si>
  <si>
    <t>EV/EBITDA definitions</t>
  </si>
  <si>
    <t>Market cap</t>
  </si>
  <si>
    <t>Net debt (basic)</t>
  </si>
  <si>
    <t>EV/EBITDA (basic)</t>
  </si>
  <si>
    <t>ROCE</t>
  </si>
  <si>
    <t>EBIT</t>
  </si>
  <si>
    <t>P&amp;L tax rate</t>
  </si>
  <si>
    <t>NOPAT (basic)</t>
  </si>
  <si>
    <t>Net assets</t>
  </si>
  <si>
    <t>Average</t>
  </si>
  <si>
    <t>Cash flow definitions</t>
  </si>
  <si>
    <t>Maintenance capex (= depn)</t>
  </si>
  <si>
    <t>Free Cash Flow (FCF)</t>
  </si>
  <si>
    <t>Expansionary capex</t>
  </si>
  <si>
    <t xml:space="preserve">Disposals </t>
  </si>
  <si>
    <t>Net Cash Flow (NCF)</t>
  </si>
  <si>
    <t>FCF/EBIT conversion</t>
  </si>
  <si>
    <t>FCF/Earnings conversion</t>
  </si>
  <si>
    <t>FCF/Market Cap yield</t>
  </si>
  <si>
    <t>NCF/Earnings conversion</t>
  </si>
  <si>
    <t>NCF/Market Cap yield</t>
  </si>
  <si>
    <t>PBT (clean)</t>
  </si>
  <si>
    <t>EPS (clean) (US$)</t>
  </si>
  <si>
    <t>CEPS (Clean) (US$)</t>
  </si>
  <si>
    <t>Net debt to EBITDA</t>
  </si>
  <si>
    <t>Capitalisation ratio (Debt/Capitalisation)</t>
  </si>
  <si>
    <t>Total Debt</t>
  </si>
  <si>
    <t>ROE</t>
  </si>
  <si>
    <t>Royal Caribbean – Cashflow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</si>
  <si>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</si>
  <si>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</si>
  <si>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</si>
  <si>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</si>
  <si>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Total Operating Costs</t>
  </si>
  <si>
    <t xml:space="preserve">  Acquisitions / disposals</t>
  </si>
  <si>
    <t>75-80</t>
  </si>
  <si>
    <t>Royal Caribbean – Income Statement</t>
  </si>
  <si>
    <t xml:space="preserve">    Increase (Decrease) in Prepaid Expenses</t>
  </si>
  <si>
    <t xml:space="preserve">    Increase (Decrease) in Inventories </t>
  </si>
  <si>
    <t xml:space="preserve">    Increase in Accounts Payable</t>
  </si>
  <si>
    <t>78-83</t>
  </si>
  <si>
    <t>160-165</t>
  </si>
  <si>
    <t>~4%</t>
  </si>
  <si>
    <t>USD</t>
  </si>
  <si>
    <t>EBITDA</t>
  </si>
  <si>
    <t>2Q11</t>
  </si>
  <si>
    <t>Impact of 10% change in fuel prices ($m)</t>
  </si>
  <si>
    <t>175-180</t>
  </si>
  <si>
    <t>705-710</t>
  </si>
  <si>
    <t>1.85-1.90</t>
  </si>
  <si>
    <t>Capex/Depreciation</t>
  </si>
  <si>
    <t>Free Cash Flow</t>
  </si>
  <si>
    <t>Conversion of Earnings to Free Cash Flow</t>
  </si>
  <si>
    <t>Total capital employed</t>
  </si>
  <si>
    <t>Average Book CE</t>
  </si>
  <si>
    <t>Average Share Price</t>
  </si>
  <si>
    <t>Average Number of Shares f/d (m)</t>
  </si>
  <si>
    <t xml:space="preserve">  Year-over-Year Growth</t>
  </si>
  <si>
    <t>$ million (Dec year end)</t>
  </si>
  <si>
    <t>2Q07</t>
  </si>
  <si>
    <t>2Q08</t>
  </si>
  <si>
    <t>Economic Profit Measures</t>
  </si>
  <si>
    <t>ROCE (clean, post-tax)</t>
  </si>
  <si>
    <t>Cum yield drop since 3Q12 trough</t>
  </si>
  <si>
    <t>2-year change</t>
  </si>
  <si>
    <t>3-year change</t>
  </si>
  <si>
    <t>Spread (adj ROCE - WACC) (%)</t>
  </si>
  <si>
    <t>Financial Indicators</t>
  </si>
  <si>
    <t>Capital Investment</t>
  </si>
  <si>
    <t>Market Capitalisation</t>
  </si>
  <si>
    <t>Plus: Average debt in period</t>
  </si>
  <si>
    <t>Other</t>
  </si>
  <si>
    <t xml:space="preserve">  Net Margin</t>
  </si>
  <si>
    <t>Net Income</t>
  </si>
  <si>
    <t>WACC</t>
  </si>
  <si>
    <t>Enterprise Value</t>
  </si>
  <si>
    <t>(11%)-(12%)</t>
  </si>
  <si>
    <t>77-81</t>
  </si>
  <si>
    <t>65-70</t>
  </si>
  <si>
    <t>295-300</t>
  </si>
  <si>
    <t>135-140</t>
  </si>
  <si>
    <t>560-565</t>
  </si>
  <si>
    <t>Cash From Operating Activity</t>
  </si>
  <si>
    <t>Cash From Investing Activities</t>
  </si>
  <si>
    <t xml:space="preserve">  Capital Expenditures</t>
  </si>
  <si>
    <t>Cash From Financing Activities</t>
  </si>
  <si>
    <t>Sailing days</t>
  </si>
  <si>
    <t>5-6%</t>
  </si>
  <si>
    <t>Operating cash flow</t>
  </si>
  <si>
    <t>Cash &amp; Equivalents - Beginning</t>
  </si>
  <si>
    <t>Cash &amp; Equivalents - Ending</t>
  </si>
  <si>
    <t xml:space="preserve">  Gross Margin</t>
  </si>
  <si>
    <t>240-260</t>
  </si>
  <si>
    <t>Occupancy change</t>
  </si>
  <si>
    <t>FX impact</t>
  </si>
  <si>
    <t>£/$</t>
  </si>
  <si>
    <t>€/$</t>
  </si>
  <si>
    <t>Net yields (constant FX)</t>
  </si>
  <si>
    <t>Net yields</t>
  </si>
  <si>
    <t>Ticket price (constant FX)</t>
  </si>
  <si>
    <t>Performance Measures</t>
  </si>
  <si>
    <t>Turnover</t>
  </si>
  <si>
    <t>EBITDA (clean)</t>
  </si>
  <si>
    <t>DPS (p)</t>
  </si>
  <si>
    <t>NAV per share</t>
  </si>
  <si>
    <t>Dividend Cover</t>
  </si>
  <si>
    <t>Valuation Measures (calendarised)</t>
  </si>
  <si>
    <t>P/E (clean EPS)</t>
  </si>
  <si>
    <t>P/CE</t>
  </si>
  <si>
    <t>EV/EBITDA (clean)</t>
  </si>
  <si>
    <t>EV/Capital Employed</t>
  </si>
  <si>
    <t>Dividend Yield</t>
  </si>
  <si>
    <t>Price/NAV</t>
  </si>
  <si>
    <t>Capital Structure</t>
  </si>
  <si>
    <t>EV/Berth</t>
  </si>
  <si>
    <t>285-295</t>
  </si>
  <si>
    <t>405-415</t>
  </si>
  <si>
    <t>2-3%</t>
  </si>
  <si>
    <t>Share Price</t>
  </si>
  <si>
    <t>1Q08</t>
  </si>
  <si>
    <t>7-8%</t>
  </si>
  <si>
    <t>Fuel costs</t>
  </si>
  <si>
    <t>4Q10</t>
  </si>
  <si>
    <t>Royal Caribbean Cruises</t>
  </si>
  <si>
    <t>1Q06</t>
  </si>
  <si>
    <t>Capital Investment as % group sales (%)</t>
  </si>
  <si>
    <t>4Q09</t>
  </si>
  <si>
    <t>~0%</t>
  </si>
  <si>
    <t>155-160</t>
  </si>
  <si>
    <t xml:space="preserve">  Payout Ratio</t>
  </si>
  <si>
    <t>Net Income to Common</t>
  </si>
  <si>
    <t xml:space="preserve">  Working Capital</t>
  </si>
  <si>
    <t>1Q05</t>
  </si>
  <si>
    <t>2Q05</t>
  </si>
  <si>
    <t>NCF/EBIT conversion</t>
  </si>
  <si>
    <t>Capex</t>
  </si>
  <si>
    <t>2754907</t>
  </si>
  <si>
    <t>ModelWare EPS (US$)</t>
  </si>
  <si>
    <t>RCL.N,mscalc:sedolCodeCalc</t>
  </si>
  <si>
    <t>RCL.N,mscalc:targetPrice,,,,USD</t>
  </si>
  <si>
    <t>Onboard revenue per APCD (constant FX)</t>
  </si>
  <si>
    <t>Q3</t>
  </si>
  <si>
    <t>Q4</t>
  </si>
  <si>
    <t>FY</t>
  </si>
  <si>
    <t>RCL.N,mscalc:closePriceCurrencyCalc</t>
  </si>
  <si>
    <t>approx 10%</t>
  </si>
  <si>
    <t>Royal Caribbean – Balance Sheet</t>
  </si>
  <si>
    <t>TEAM DETAILS</t>
  </si>
  <si>
    <t>Jamie Rollo - +44 (0) 20 7425 3281,  jamie.rollo@morganstanley.com</t>
  </si>
  <si>
    <t>Gross Revenue</t>
  </si>
  <si>
    <t xml:space="preserve">  % of Gross Revenue</t>
  </si>
  <si>
    <t xml:space="preserve">  Other Assets, Net</t>
  </si>
  <si>
    <t>490-510</t>
  </si>
  <si>
    <t>3Q05</t>
  </si>
  <si>
    <t>4Q05</t>
  </si>
  <si>
    <t>Net Assets</t>
  </si>
  <si>
    <t>Plus: Net debt (nil if cash)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</si>
  <si>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</si>
  <si>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</si>
  <si>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www.morganstanley.com/researchdisclosures, or contact your investment representative or Morgan Stanley</t>
  </si>
  <si>
    <t>Research at 1585 Broadway, (Attention: Research Management), New York, NY, 10036 USA.</t>
  </si>
  <si>
    <t>www.morganstanley.com/online/researchdisclosures. For Morgan Stanley specific disclosures, you may refer</t>
  </si>
  <si>
    <t>to www.morganstanley.com/researchdisclosures.</t>
  </si>
  <si>
    <t>Any access and/or use of Morgan Stanley Research is subject to Morgan Stanley's Terms of Use</t>
  </si>
  <si>
    <t>preferences and to collect readership data so that we can deliver better and more personalized service</t>
  </si>
  <si>
    <t>Stanley processing your personal data or using cookies please do not access our research.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</si>
  <si>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</si>
  <si>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</si>
  <si>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</si>
  <si>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</si>
  <si>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</si>
  <si>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</si>
  <si>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</si>
  <si>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</si>
  <si>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</si>
  <si>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The "Important US Regulatory Disclosures on Subject Companies" section in Morgan Stanley Research lists</t>
  </si>
  <si>
    <t>all companies mentioned where Morgan Stanley owns 1% or more of a class of common equity securities of</t>
  </si>
  <si>
    <t>the 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</si>
  <si>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</si>
  <si>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</si>
  <si>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</si>
  <si>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</si>
  <si>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</si>
  <si>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</si>
  <si>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Data include common stock and ADRs currently assigned ratings. Investment Banking Clients are companies</t>
  </si>
  <si>
    <t>country index or MSCI sub-regional index or MSCI AC Asia Pacific ex Japan Index.</t>
  </si>
  <si>
    <t>c.3.5%</t>
  </si>
  <si>
    <t>c.2.5%</t>
  </si>
  <si>
    <t>c.2%</t>
  </si>
  <si>
    <t>1.5%-2.0%</t>
  </si>
  <si>
    <t>1.5-2.0%</t>
  </si>
  <si>
    <t>c.1%</t>
  </si>
  <si>
    <t>190-195</t>
  </si>
  <si>
    <t>765-770</t>
  </si>
  <si>
    <t>55-65</t>
  </si>
  <si>
    <t>240-250</t>
  </si>
  <si>
    <t>0.35-0.40</t>
  </si>
  <si>
    <t>DPS</t>
  </si>
  <si>
    <t>-7% to -8%</t>
  </si>
  <si>
    <t>Berths</t>
  </si>
  <si>
    <t xml:space="preserve">  Accounts Payable  </t>
  </si>
  <si>
    <t>Operating Income</t>
  </si>
  <si>
    <t>Per share</t>
  </si>
  <si>
    <t>4Q08</t>
  </si>
  <si>
    <t>2Q09</t>
  </si>
  <si>
    <t>2Q10</t>
  </si>
  <si>
    <t>3Q09</t>
  </si>
  <si>
    <t>3Q10</t>
  </si>
  <si>
    <t>3Q11</t>
  </si>
  <si>
    <t>1Q09</t>
  </si>
  <si>
    <t>(4%)-(6%)</t>
  </si>
  <si>
    <t>~17%</t>
  </si>
  <si>
    <t xml:space="preserve">  Operating Margin</t>
  </si>
  <si>
    <t>Interest Expense</t>
  </si>
  <si>
    <t>Cash Flows From Operations</t>
  </si>
  <si>
    <t>0.15-0.20</t>
  </si>
  <si>
    <t>Net revenue</t>
  </si>
  <si>
    <t>~7%</t>
  </si>
  <si>
    <t>Dilution add back</t>
  </si>
  <si>
    <t>Less: Goodwilll</t>
  </si>
  <si>
    <t>Goodwill</t>
  </si>
  <si>
    <t>Guidance</t>
  </si>
  <si>
    <t>8-9%</t>
  </si>
  <si>
    <t xml:space="preserve">  Accrued Expenses and Other Current Liabilities</t>
  </si>
  <si>
    <t xml:space="preserve">  Other Long-Term Liabilities, Net</t>
  </si>
  <si>
    <t>EPS (clean)</t>
  </si>
  <si>
    <t>3Q08</t>
  </si>
  <si>
    <t>(4%)-(5%)</t>
  </si>
  <si>
    <t>approx (3%)</t>
  </si>
  <si>
    <t>~1%</t>
  </si>
  <si>
    <t>~3%</t>
  </si>
  <si>
    <t>88-93</t>
  </si>
  <si>
    <t>328-333</t>
  </si>
  <si>
    <t>133-138</t>
  </si>
  <si>
    <t>519-524</t>
  </si>
  <si>
    <t>~2%</t>
  </si>
  <si>
    <t>85-90</t>
  </si>
  <si>
    <t>128-133</t>
  </si>
  <si>
    <t>0.40-0.45</t>
  </si>
  <si>
    <t>EBIT/ ALBD</t>
  </si>
  <si>
    <t>ALBD (in million)</t>
  </si>
  <si>
    <t>Net revenue yield</t>
  </si>
  <si>
    <t>334-339</t>
  </si>
  <si>
    <t>125-130</t>
  </si>
  <si>
    <t>Fuel expenses</t>
  </si>
  <si>
    <t>Consumption ('000 m.t.)</t>
  </si>
  <si>
    <t>~9%</t>
  </si>
  <si>
    <t>Net cruise costs per APCD</t>
  </si>
  <si>
    <t>Net cruise costs ex. fuel, constant FX per APCD</t>
  </si>
  <si>
    <t>APCD</t>
  </si>
  <si>
    <t>Net cruise costs ex. fuel, per APCD</t>
  </si>
  <si>
    <t xml:space="preserve">   % of Gross Revenue</t>
  </si>
  <si>
    <t xml:space="preserve">   % Change</t>
  </si>
  <si>
    <t>Depreciation &amp; Amortization</t>
  </si>
  <si>
    <t>6-7%</t>
  </si>
  <si>
    <t>~6%</t>
  </si>
  <si>
    <t>81-86</t>
  </si>
  <si>
    <t>158-163</t>
  </si>
  <si>
    <t xml:space="preserve">    Increase in Accrued Expenses and Other Current Liabilities</t>
  </si>
  <si>
    <t>EV/Sales</t>
  </si>
  <si>
    <t>Gross debt</t>
  </si>
  <si>
    <t>Net debt</t>
  </si>
  <si>
    <t>82-87</t>
  </si>
  <si>
    <t>123-128</t>
  </si>
  <si>
    <t xml:space="preserve">  Investments in convertible preferred stock</t>
  </si>
  <si>
    <t xml:space="preserve">  Customer Deposits</t>
  </si>
  <si>
    <t>MS Estimates</t>
  </si>
  <si>
    <t>~5%</t>
  </si>
  <si>
    <t>1Q10</t>
  </si>
  <si>
    <t>-14% to -16%</t>
  </si>
  <si>
    <t>12-13%</t>
  </si>
  <si>
    <t>Assets</t>
  </si>
  <si>
    <t>Average Diluted Shares Outstanding</t>
  </si>
  <si>
    <t xml:space="preserve">  Inventories</t>
  </si>
  <si>
    <t>Total Liabilities and Equity</t>
  </si>
  <si>
    <t xml:space="preserve">  Total Current Liabilities</t>
  </si>
  <si>
    <t>Total Assets</t>
  </si>
  <si>
    <t xml:space="preserve">  Total Current Assets</t>
  </si>
  <si>
    <t xml:space="preserve"> </t>
  </si>
  <si>
    <t>Liabilities</t>
  </si>
  <si>
    <t>Total Shareholders' Equity</t>
  </si>
  <si>
    <t>Shareholders' Equity</t>
  </si>
  <si>
    <t xml:space="preserve">  Common Stock</t>
  </si>
  <si>
    <t xml:space="preserve">  Additional Paid-In Capital</t>
  </si>
  <si>
    <t xml:space="preserve">  Retained Earnings</t>
  </si>
  <si>
    <t>Total Expenses</t>
  </si>
  <si>
    <t xml:space="preserve">  Treasury Stock</t>
  </si>
  <si>
    <t xml:space="preserve">    Increase in Customer Deposits</t>
  </si>
  <si>
    <t>2Q06</t>
  </si>
  <si>
    <t>80-85</t>
  </si>
  <si>
    <t>170-175</t>
  </si>
  <si>
    <t>330-335</t>
  </si>
  <si>
    <t>162-167</t>
  </si>
  <si>
    <t>642-657</t>
  </si>
  <si>
    <t>1Q07</t>
  </si>
  <si>
    <t xml:space="preserve">  Trade &amp; Other Receivables, Net</t>
  </si>
  <si>
    <t xml:space="preserve">  Preferred Stock</t>
  </si>
  <si>
    <t xml:space="preserve"> Other, Net</t>
  </si>
  <si>
    <t xml:space="preserve">   Net Profit (Loss)</t>
  </si>
  <si>
    <t xml:space="preserve">   Depreciation &amp; Amortization</t>
  </si>
  <si>
    <t xml:space="preserve">  Accretion of Original Issue Discount</t>
  </si>
  <si>
    <t xml:space="preserve">  Investments in joint ventures</t>
  </si>
  <si>
    <t xml:space="preserve">  Proceeds from issuance of common stock</t>
  </si>
  <si>
    <t>4-5%</t>
  </si>
  <si>
    <t xml:space="preserve">    Decrease in Receivables, Net</t>
  </si>
  <si>
    <t>2%-3%</t>
  </si>
  <si>
    <t>Depreciation</t>
  </si>
  <si>
    <t xml:space="preserve">  Year-over-Year Change</t>
  </si>
  <si>
    <t xml:space="preserve">  Other, Net</t>
  </si>
  <si>
    <t xml:space="preserve">  Cash and Cash Equivalents</t>
  </si>
  <si>
    <t>Royal Caribbean SUMMARY &amp; VALUATION</t>
  </si>
  <si>
    <t>RCL.N</t>
  </si>
  <si>
    <t>1Q14</t>
  </si>
  <si>
    <t>1.5-2.5%</t>
  </si>
  <si>
    <t>(2.0)-(3.0)%</t>
  </si>
  <si>
    <t>0.45-0.55</t>
  </si>
  <si>
    <t>flat to slightly down</t>
  </si>
  <si>
    <t>Blended FX change</t>
  </si>
  <si>
    <t>Bunker fuel per mt (spot wholesale)</t>
  </si>
  <si>
    <t>c.+3.5%</t>
  </si>
  <si>
    <t>c.(1.5)%</t>
  </si>
  <si>
    <t>c.(5)%</t>
  </si>
  <si>
    <t>c.+4.5%</t>
  </si>
  <si>
    <t>c.+1.0%</t>
  </si>
  <si>
    <t>c.(3.0%)</t>
  </si>
  <si>
    <t>200-210</t>
  </si>
  <si>
    <t>70-80</t>
  </si>
  <si>
    <t>1Q15</t>
  </si>
  <si>
    <t xml:space="preserve">1% on FX is / FY EPS impact </t>
  </si>
  <si>
    <t>10% on fuel is / EPS impact</t>
  </si>
  <si>
    <t>Net FX/fuel EPS impact</t>
  </si>
  <si>
    <t>Current guidance</t>
  </si>
  <si>
    <t>3.5-4.0%</t>
  </si>
  <si>
    <t>(0.2%)-(0.7)%</t>
  </si>
  <si>
    <t>(1)% to (1.5)%</t>
  </si>
  <si>
    <t>(3.3%)-(3.8%)</t>
  </si>
  <si>
    <t>c.(6.0)%</t>
  </si>
  <si>
    <t>209-214</t>
  </si>
  <si>
    <t>this report.</t>
  </si>
  <si>
    <t>Morgan Stanley may make investment decisions that are inconsistent with the recommendations or views in</t>
  </si>
  <si>
    <t>basis. Morgan Stanley may have a position in the debt of the Company or instruments discussed in this</t>
  </si>
  <si>
    <t>customers the securities/instruments of companies covered in Morgan Stanley Research on a principal</t>
  </si>
  <si>
    <t>extension of credit, investment services and investment banking. Morgan Stanley sells to and buys from</t>
  </si>
  <si>
    <t>Stanley Research, including market making, providing liquidity, fund management, commercial banking,</t>
  </si>
  <si>
    <t>Change vs FY EPS guidance</t>
  </si>
  <si>
    <t>1% net yield to EPS</t>
  </si>
  <si>
    <t>4.5-5.0%</t>
  </si>
  <si>
    <t>3Q15</t>
  </si>
  <si>
    <t>Morgan Stanley Research is disseminated in Brazil by Morgan Stanley C.T.V.M. S.A.; in Mexico by Morgan</t>
  </si>
  <si>
    <t>Stanley México, Casa de Bolsa, S.A. de C.V which is regulated by Comision Nacional Bancaria y de</t>
  </si>
  <si>
    <t>Valores. Paseo de los Tamarindos 90, Torre 1, Col. Bosques de las Lomas Floor 29, 05120 Mexico City; in</t>
  </si>
  <si>
    <t>Japan by Morgan Stanley MUFG Securities Co., Ltd. and, for Commodities related research reports only,</t>
  </si>
  <si>
    <t>Morgan Stanley Capital Group Japan Co., Ltd; in Hong Kong by Morgan Stanley Asia Limited (which accepts</t>
  </si>
  <si>
    <t>is the exclusive property of MSCI and S&amp;P.</t>
  </si>
  <si>
    <t>EBIT Margin</t>
  </si>
  <si>
    <t>4Q15</t>
  </si>
  <si>
    <t>4.5%-5.0%</t>
  </si>
  <si>
    <t>-3% to -4%</t>
  </si>
  <si>
    <t>0.5% or less</t>
  </si>
  <si>
    <t>3.5%-4%</t>
  </si>
  <si>
    <t>205-215</t>
  </si>
  <si>
    <t>58-68</t>
  </si>
  <si>
    <t>c.0.3</t>
  </si>
  <si>
    <t>CNH</t>
  </si>
  <si>
    <t>1% or less</t>
  </si>
  <si>
    <t>1Q16</t>
  </si>
  <si>
    <t>c. 1.0%</t>
  </si>
  <si>
    <t>c. 2.0%</t>
  </si>
  <si>
    <t>flat</t>
  </si>
  <si>
    <t>flat to -1%</t>
  </si>
  <si>
    <t>c. -1.5%</t>
  </si>
  <si>
    <t>-(3-4%)</t>
  </si>
  <si>
    <t>6.00-6.10</t>
  </si>
  <si>
    <t>230-235</t>
  </si>
  <si>
    <t>890-900</t>
  </si>
  <si>
    <t>287-292</t>
  </si>
  <si>
    <t>1.7%-2.0%</t>
  </si>
  <si>
    <t>c. 0.5%</t>
  </si>
  <si>
    <t>c. -2%</t>
  </si>
  <si>
    <t>3Q16</t>
  </si>
  <si>
    <t>4% or better</t>
  </si>
  <si>
    <t>c.6%</t>
  </si>
  <si>
    <t>4Q16</t>
  </si>
  <si>
    <t>2020e</t>
  </si>
  <si>
    <t>$70 to $80</t>
  </si>
  <si>
    <t>-3.5 to -4.0%</t>
  </si>
  <si>
    <t>$230-240</t>
  </si>
  <si>
    <t>c.$0.90</t>
  </si>
  <si>
    <t>Stock Rating: Equal-Weight</t>
  </si>
  <si>
    <t>this disclosure section, Morgan Stanley includes RMB Morgan Stanley Proprietary Limited, Morgan Stanley</t>
  </si>
  <si>
    <t>&amp; Co International plc and its affiliates.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</si>
  <si>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</si>
  <si>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</si>
  <si>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</si>
  <si>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</si>
  <si>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</si>
  <si>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</si>
  <si>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</si>
  <si>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</si>
  <si>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report. Morgan Stanley trades or may trade as principal in the debt securities (or in related</t>
  </si>
  <si>
    <t>derivatives) that are the subject of the debt research report.</t>
  </si>
  <si>
    <t>The Stock Ratings described below apply to Morgan Stanley's Fundamental Equity Research and do not apply</t>
  </si>
  <si>
    <t>to Debt Research produced by the Firm.</t>
  </si>
  <si>
    <t>Other Material Investment Services Clients (MISC)</t>
  </si>
  <si>
    <t>% of Total Other MISC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</si>
  <si>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</si>
  <si>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</si>
  <si>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</si>
  <si>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</si>
  <si>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</si>
  <si>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</si>
  <si>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</si>
  <si>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</si>
  <si>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</si>
  <si>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</si>
  <si>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responsibility for its contents) and by Morgan Stanley Asia International Limited, Hong Kong Branch; in</t>
  </si>
  <si>
    <t>Singapore by Morgan Stanley Asia (Singapore) Pte. (Registration number 199206298Z) and/or Morgan Stanley</t>
  </si>
  <si>
    <t>Asia (Singapore) Securities Pte Ltd (Registration number 200008434H), regulated by the Monetary</t>
  </si>
  <si>
    <t>Authority of Singapore (which accepts legal responsibility for its contents and should be contacted with</t>
  </si>
  <si>
    <t>respect to any matters arising from, or in connection with, Morgan Stanley Research) and by Morgan</t>
  </si>
  <si>
    <t>Stanley Asia International Limited, Singapore Branch (Registration number T11FC0207F);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</si>
  <si>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</si>
  <si>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</si>
  <si>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</si>
  <si>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</si>
  <si>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</si>
  <si>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</si>
  <si>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Canada; in Germany by Morgan Stanley Bank AG, Frankfurt am Main and Morgan Stanley Private Wealth</t>
  </si>
  <si>
    <t>Management Limited, Niederlassung Deutschland, regulated by Bundesanstalt fuer</t>
  </si>
  <si>
    <t>Finanzdienstleistungsaufsicht (BaFin); in Spain by Morgan Stanley, S.V., S.A., a Morgan Stanley group</t>
  </si>
  <si>
    <t>company, which is supervised by the Spanish Securities Markets Commission (CNMV) and states that Morgan</t>
  </si>
  <si>
    <t>Stanley Research has been written and distributed in accordance with the rules of conduct applicable to</t>
  </si>
  <si>
    <t>financial research as established under Spanish regulations; in the US by Morgan Stanley &amp; Co. LLC,</t>
  </si>
  <si>
    <t>which accepts responsibility for its contents. Morgan Stanley &amp; Co. International plc, authorized by the</t>
  </si>
  <si>
    <t>Prudential Regulatory Authority and regulated by the Financial Conduct Authority and the Prudential</t>
  </si>
  <si>
    <t>Regulatory Authority, disseminates in the UK research that it has prepared, and approves solely for the</t>
  </si>
  <si>
    <t>purposes of section 21 of the Financial Services and Markets Act 2000, research which has been prepared</t>
  </si>
  <si>
    <t>by any of its affiliates. RMB Morgan Stanley Proprietary Limited is a member of the JSE Limited and</t>
  </si>
  <si>
    <t>regulated by the Financial Services Board in South Africa. RMB Morgan Stanley Proprietary Limited is a</t>
  </si>
  <si>
    <t>joint venture owned equally by Morgan Stanley International Holdings Inc. and RMB Investment Advisory</t>
  </si>
  <si>
    <t>(Proprietary) Limited, which is wholly owned by FirstRand Limited. The information in Morgan Stanley</t>
  </si>
  <si>
    <t>Research is being disseminated by Morgan Stanley Saudi Arabia, regulated by the Capital Market Authority</t>
  </si>
  <si>
    <t>in the Kingdom of Saudi Arabia , and is directed at Sophisticated investors only.</t>
  </si>
  <si>
    <t>ROCE:WACC</t>
  </si>
  <si>
    <t>1Q17</t>
  </si>
  <si>
    <t>10-10.5%</t>
  </si>
  <si>
    <t>c.9%</t>
  </si>
  <si>
    <t>c.-2.5%</t>
  </si>
  <si>
    <t>1.60-1.65</t>
  </si>
  <si>
    <t>$65-75</t>
  </si>
  <si>
    <t>Adrija Chakraborty - +44 (0) 20 7425 6844,  adrija.chakraborty1@morganstanley.com</t>
  </si>
  <si>
    <t>Ed Young - +44 (0) 20 7677 1761, ed.young@morganstanley.com</t>
  </si>
  <si>
    <t>5.5-6.0%</t>
  </si>
  <si>
    <t>4-4.5%</t>
  </si>
  <si>
    <t>c.4%</t>
  </si>
  <si>
    <t>c.$3.45</t>
  </si>
  <si>
    <t>2Q17</t>
  </si>
  <si>
    <t>4.0-4.5%</t>
  </si>
  <si>
    <t>4.5-5%</t>
  </si>
  <si>
    <t>$235-240</t>
  </si>
  <si>
    <t>$7.35-7.40</t>
  </si>
  <si>
    <t>$1.15-1.20</t>
  </si>
  <si>
    <t>3Q17</t>
  </si>
  <si>
    <t>c.7%</t>
  </si>
  <si>
    <t>1-1.5%</t>
  </si>
  <si>
    <t>2-2.5%</t>
  </si>
  <si>
    <t>c.$240</t>
  </si>
  <si>
    <t>c.$950</t>
  </si>
  <si>
    <t>c.$65</t>
  </si>
  <si>
    <t>c.$280</t>
  </si>
  <si>
    <t>4Q18e</t>
  </si>
  <si>
    <t>4Q17</t>
  </si>
  <si>
    <t>2Q18e</t>
  </si>
  <si>
    <t>3Q18e</t>
  </si>
  <si>
    <t>2021e</t>
  </si>
  <si>
    <t>3.0-3.5%</t>
  </si>
  <si>
    <t>c.5.5%</t>
  </si>
  <si>
    <t>c.11%</t>
  </si>
  <si>
    <t>245-250</t>
  </si>
  <si>
    <t>59-63</t>
  </si>
  <si>
    <t>280-290</t>
  </si>
  <si>
    <t>c.$0.95</t>
  </si>
  <si>
    <t>125</t>
  </si>
  <si>
    <t>IC</t>
  </si>
  <si>
    <t>ROIC</t>
  </si>
  <si>
    <t>Spot as of 19 Apr</t>
  </si>
  <si>
    <t>2-3.75%</t>
  </si>
  <si>
    <t>$1.85-1.90</t>
  </si>
  <si>
    <t>1Q18</t>
  </si>
  <si>
    <t>$255-260</t>
  </si>
  <si>
    <t>1040-1050</t>
  </si>
  <si>
    <t>c.4.5%</t>
  </si>
  <si>
    <t>$75-80</t>
  </si>
  <si>
    <t>3.5-4.5%</t>
  </si>
  <si>
    <t>$8.70-8.90</t>
  </si>
  <si>
    <t>Research</t>
  </si>
  <si>
    <t>Authors: Jamie Rollo, Adrija Chakraborty, Pierre Ribeyron, Ed Young</t>
  </si>
  <si>
    <t>Date: 26 Apr 2018</t>
  </si>
  <si>
    <t>Price as of 26 Apr 2018: 114.45</t>
  </si>
  <si>
    <t>Target Price: 130</t>
  </si>
  <si>
    <t>(as of March 31, 2018)</t>
  </si>
  <si>
    <t>Stanley India Company Private Limited; in Indonesia by PT. Morgan Stanley Sekuritas Indonesia; in Canada</t>
  </si>
  <si>
    <t>by Morgan Stanley Canada Limited, which has approved of and takes responsibility for its contents in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</si>
  <si>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</si>
  <si>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</si>
  <si>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</si>
  <si>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</si>
  <si>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</si>
  <si>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</si>
  <si>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</si>
  <si>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</si>
  <si>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</si>
  <si>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</si>
  <si>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</si>
  <si>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</si>
  <si>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</si>
  <si>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</si>
  <si>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</si>
  <si>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</si>
  <si>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An employee, director or consultant of Morgan Stanley is a director of Royal Caribbean Cruises. This</t>
  </si>
  <si>
    <t>person is not a research analyst or a member of a research analyst's household.</t>
  </si>
  <si>
    <t>Within the last 12 months, Morgan Stanley has received compensation for investment banking services from</t>
  </si>
  <si>
    <t>Royal Caribbean Cruises.</t>
  </si>
  <si>
    <t>Within the last 12 months, Morgan Stanley managed or co-managed a public offering (or 144A offering) of</t>
  </si>
  <si>
    <t>securities of Royal Caribbean Cruises.</t>
  </si>
  <si>
    <t>© Copyright 2018 Morgan Stanley</t>
  </si>
  <si>
    <t>MacroVersion</t>
  </si>
  <si>
    <t>PublishDate</t>
  </si>
  <si>
    <t>Discipline</t>
  </si>
  <si>
    <t>ResearchTopic</t>
  </si>
  <si>
    <t>Company</t>
  </si>
  <si>
    <t>DocType</t>
  </si>
  <si>
    <t>Model</t>
  </si>
  <si>
    <t>SubjectCode</t>
  </si>
  <si>
    <t>Description</t>
  </si>
  <si>
    <t>KeepVersions</t>
  </si>
  <si>
    <t>All</t>
  </si>
  <si>
    <t>Rating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</si>
  <si>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</si>
  <si>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</si>
  <si>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</si>
  <si>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</si>
  <si>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</si>
  <si>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</si>
  <si>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</si>
  <si>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</si>
  <si>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Authors</t>
  </si>
  <si>
    <t>Tickers</t>
  </si>
  <si>
    <t>CUSIP</t>
  </si>
  <si>
    <t>RIC</t>
  </si>
  <si>
    <t>SEDOL</t>
  </si>
  <si>
    <t>PathName</t>
  </si>
  <si>
    <t>Distribution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</si>
  <si>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</si>
  <si>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</si>
  <si>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</si>
  <si>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</si>
  <si>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</si>
  <si>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</si>
  <si>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</si>
  <si>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</si>
  <si>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</si>
  <si>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</si>
  <si>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</si>
  <si>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TemplateRegion</t>
  </si>
  <si>
    <t>ObjectType</t>
  </si>
  <si>
    <t>excel</t>
  </si>
  <si>
    <t>LanguageCode</t>
  </si>
  <si>
    <t>en-US</t>
  </si>
  <si>
    <t>SubmitterUserId</t>
  </si>
  <si>
    <t>IndustryId</t>
  </si>
  <si>
    <t>TickerRegion</t>
  </si>
  <si>
    <t>AdditionalInstructions</t>
  </si>
  <si>
    <t>*Estimated</t>
  </si>
  <si>
    <t>Equal-Weight / In-Line</t>
  </si>
  <si>
    <t>Regular Update</t>
  </si>
  <si>
    <t>adrija</t>
  </si>
  <si>
    <t>MSA10800, MSA76MNR, MSA82NYF, MSA65LMK</t>
  </si>
  <si>
    <t>V7780T103</t>
  </si>
  <si>
    <t>L:\leisure\Company\Royal Caribbean\Models\AC_RCL_new WIP.xlsm</t>
  </si>
  <si>
    <t>[BRO MSA]</t>
  </si>
  <si>
    <t>[PRODUCT MODEL]</t>
  </si>
  <si>
    <t>[EMAIL_ALERT YES]</t>
  </si>
  <si>
    <t>[DISCIPLINE Company]</t>
  </si>
  <si>
    <t>[SUPPRESSED NO]</t>
  </si>
  <si>
    <t>[DOCDAT 2018-04-26]</t>
  </si>
  <si>
    <t>[DOCTIME 12:16]</t>
  </si>
  <si>
    <t>[PSYM RCL.N(S&amp;P) (None)]</t>
  </si>
  <si>
    <t>[COU 1]</t>
  </si>
  <si>
    <t>[ANA MSA76MNR MSA82NYF MSA65LMK]</t>
  </si>
  <si>
    <t>[HL RCL.N Model]</t>
  </si>
  <si>
    <t>[IND LSRREC]</t>
  </si>
  <si>
    <t>[PANA MSA10800]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</si>
</sst>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2">
    <numFmt numFmtId="164" formatCode="_(* #,##0_);_(* \(#,##0\);_(* &quot;-&quot;_);_(@_)"/>
    <numFmt numFmtId="165" formatCode="_(&quot;£&quot;* #,##0.00_);_(&quot;£&quot;* \(#,##0.00\);_(&quot;£&quot;* &quot;-&quot;??_);_(@_)"/>
    <numFmt numFmtId="166" formatCode="_(* #,##0.00_);_(* \(#,##0.00\);_(* &quot;-&quot;??_);_(@_)"/>
    <numFmt numFmtId="167" formatCode="&quot;$&quot;#,##0_);\(&quot;$&quot;#,##0\)"/>
    <numFmt numFmtId="168" formatCode="0_);\(0\)"/>
    <numFmt numFmtId="169" formatCode="0.0%"/>
    <numFmt numFmtId="170" formatCode="#,##0.0_);\(#,##0.0\)"/>
    <numFmt numFmtId="171" formatCode="0.0"/>
    <numFmt numFmtId="172" formatCode="#,##0.0;\-#,##0.0"/>
    <numFmt numFmtId="173" formatCode="_(* #,##0_);_(* \(#,##0\);_(* &quot;-&quot;??_);_(@_)"/>
    <numFmt numFmtId="174" formatCode="_-* #,##0_-;\-* #,##0_-;_-* &quot;-&quot;??_-;_-@_-"/>
    <numFmt numFmtId="175" formatCode="#,##0.0;[Red]\-#,##0.0"/>
    <numFmt numFmtId="176" formatCode="#,##0.0%;\(#,##0.0%\)"/>
    <numFmt numFmtId="177" formatCode="_-* #,##0.000_-;\-* #,##0.000_-;_-* &quot;-&quot;??_-;_-@_-"/>
    <numFmt numFmtId="178" formatCode="[$$-409]#,##0.00"/>
    <numFmt numFmtId="179" formatCode="#,##0.000"/>
    <numFmt numFmtId="180" formatCode="#,##0.0;\(#,##0.0\)"/>
    <numFmt numFmtId="181" formatCode="#,##0.00;\(#,##0.00\)"/>
    <numFmt numFmtId="182" formatCode="#,##0;\(#,##0\)"/>
    <numFmt numFmtId="183" formatCode="0&quot;e&quot;"/>
    <numFmt numFmtId="184" formatCode="[$$-1004]#,##0.00"/>
    <numFmt numFmtId="185" formatCode="mm/dd/yy\ hh:mm"/>
  </numFmts>
  <fonts count="71"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Helvetica"/>
      <family val="2"/>
    </font>
    <font>
      <b/>
      <sz val="10"/>
      <name val="Helvetica"/>
      <family val="2"/>
    </font>
    <font>
      <sz val="10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</font>
    <font>
      <b/>
      <sz val="10"/>
      <name val="Arial"/>
      <family val="2"/>
    </font>
    <font>
      <sz val="8"/>
      <name val="Times New Roman"/>
      <family val="1"/>
    </font>
    <font>
      <sz val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color indexed="12"/>
      <name val="Arial"/>
      <family val="2"/>
    </font>
    <font>
      <sz val="10"/>
      <name val="MS Sans Serif"/>
      <family val="2"/>
    </font>
    <font>
      <sz val="10"/>
      <name val="Times New Roman"/>
      <family val="1"/>
    </font>
    <font>
      <sz val="9"/>
      <name val="Frutiger (DFS)"/>
      <family val="2"/>
    </font>
    <font>
      <b/>
      <sz val="10"/>
      <color indexed="10"/>
      <name val="Arial"/>
      <family val="2"/>
    </font>
    <font>
      <i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8"/>
      <name val="Times New Roman"/>
      <family val="1"/>
    </font>
    <font>
      <sz val="9"/>
      <name val="Times New Roman"/>
      <family val="1"/>
    </font>
    <font>
      <sz val="10"/>
      <color indexed="8"/>
      <name val="Times New Roman"/>
      <family val="1"/>
    </font>
    <font>
      <i/>
      <sz val="8"/>
      <name val="Times New Roman"/>
      <family val="1"/>
    </font>
    <font>
      <sz val="10"/>
      <name val="Arial"/>
      <family val="2"/>
    </font>
    <font>
      <i/>
      <sz val="10"/>
      <color indexed="12"/>
      <name val="Arial"/>
      <family val="2"/>
    </font>
    <font>
      <sz val="10"/>
      <name val="Arial"/>
      <family val="2"/>
    </font>
    <font>
      <b/>
      <i/>
      <sz val="10"/>
      <color indexed="12"/>
      <name val="Arial"/>
      <family val="2"/>
    </font>
    <font>
      <i/>
      <sz val="10"/>
      <color indexed="17"/>
      <name val="Arial"/>
      <family val="2"/>
    </font>
    <font>
      <sz val="11"/>
      <name val="Arial"/>
      <family val="2"/>
    </font>
    <font>
      <sz val="10"/>
      <color indexed="60"/>
      <name val="Arial"/>
      <family val="2"/>
    </font>
    <font>
      <b/>
      <sz val="10"/>
      <color indexed="60"/>
      <name val="Arial"/>
      <family val="2"/>
    </font>
    <font>
      <sz val="10"/>
      <color indexed="53"/>
      <name val="Arial"/>
      <family val="2"/>
    </font>
    <font>
      <sz val="10"/>
      <color indexed="18"/>
      <name val="Arial"/>
      <family val="2"/>
    </font>
    <font>
      <i/>
      <sz val="10"/>
      <color indexed="18"/>
      <name val="Arial"/>
      <family val="2"/>
    </font>
    <font>
      <i/>
      <sz val="10"/>
      <color indexed="10"/>
      <name val="Arial"/>
      <family val="2"/>
    </font>
    <font>
      <i/>
      <sz val="10"/>
      <color indexed="54"/>
      <name val="Arial"/>
      <family val="2"/>
    </font>
    <font>
      <sz val="10"/>
      <name val="MS Sans Serif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6"/>
      <name val="Calibri"/>
      <family val="2"/>
    </font>
    <font>
      <b/>
      <sz val="10"/>
      <color indexed="8"/>
      <name val="Times New Roman"/>
      <family val="1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58"/>
      <name val="Calibri"/>
      <family val="2"/>
    </font>
    <font>
      <b/>
      <sz val="15"/>
      <color indexed="18"/>
      <name val="Calibri"/>
      <family val="2"/>
    </font>
    <font>
      <b/>
      <sz val="13"/>
      <color indexed="18"/>
      <name val="Calibri"/>
      <family val="2"/>
    </font>
    <font>
      <b/>
      <sz val="11"/>
      <color indexed="18"/>
      <name val="Calibri"/>
      <family val="2"/>
    </font>
    <font>
      <sz val="11"/>
      <color indexed="23"/>
      <name val="Calibri"/>
      <family val="2"/>
    </font>
    <font>
      <sz val="11"/>
      <color indexed="53"/>
      <name val="Calibri"/>
      <family val="2"/>
    </font>
    <font>
      <sz val="11"/>
      <color indexed="13"/>
      <name val="Calibri"/>
      <family val="2"/>
    </font>
    <font>
      <b/>
      <sz val="11"/>
      <color indexed="63"/>
      <name val="Calibri"/>
      <family val="2"/>
    </font>
    <font>
      <sz val="10"/>
      <color indexed="8"/>
      <name val="Times New Roman"/>
      <family val="1"/>
    </font>
    <font>
      <b/>
      <sz val="18"/>
      <color indexed="18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Courier"/>
      <family val="3"/>
    </font>
    <font>
      <i/>
      <sz val="8"/>
      <color indexed="12"/>
      <name val="Arial"/>
      <family val="2"/>
    </font>
    <font>
      <sz val="10"/>
      <name val="Arial"/>
      <family val="2"/>
    </font>
    <font>
      <sz val="10"/>
      <color indexed="54"/>
      <name val="Arial"/>
      <family val="2"/>
    </font>
    <font>
      <sz val="10"/>
      <color rgb="FF000000"/>
      <name val="Arial"/>
      <family val="2"/>
    </font>
    <font>
      <sz val="10"/>
      <color rgb="FFFF0000"/>
      <name val="Arial"/>
      <family val="2"/>
    </font>
    <font>
      <b/>
      <sz val="12"/>
      <color rgb="FF000080"/>
      <name val="Arial"/>
      <family val="2"/>
    </font>
    <font>
      <b/>
      <sz val="10"/>
      <color theme="4"/>
      <name val="Arial"/>
      <family val="2"/>
    </font>
    <font>
      <sz val="10"/>
      <color rgb="FF0070C0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0"/>
      <color theme="1"/>
      <name val="Arial"/>
      <family val="2"/>
    </font>
    <font>
      <i/>
      <sz val="8"/>
      <color rgb="FFC00000"/>
      <name val="Arial"/>
      <family val="2"/>
    </font>
    <font>
      <b/>
      <sz val="10"/>
      <color theme="1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41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60"/>
      </patternFill>
    </fill>
    <fill>
      <patternFill patternType="solid">
        <fgColor indexed="29"/>
      </patternFill>
    </fill>
    <fill>
      <patternFill patternType="solid">
        <fgColor indexed="22"/>
      </patternFill>
    </fill>
    <fill>
      <patternFill patternType="solid">
        <fgColor indexed="15"/>
      </patternFill>
    </fill>
    <fill>
      <patternFill patternType="solid">
        <fgColor indexed="44"/>
      </patternFill>
    </fill>
    <fill>
      <patternFill patternType="solid">
        <fgColor indexed="28"/>
      </patternFill>
    </fill>
    <fill>
      <patternFill patternType="solid">
        <fgColor indexed="35"/>
      </patternFill>
    </fill>
    <fill>
      <patternFill patternType="solid">
        <fgColor indexed="48"/>
      </patternFill>
    </fill>
    <fill>
      <patternFill patternType="solid">
        <fgColor indexed="38"/>
      </patternFill>
    </fill>
    <fill>
      <patternFill patternType="solid">
        <fgColor indexed="39"/>
      </patternFill>
    </fill>
    <fill>
      <patternFill patternType="solid">
        <fgColor indexed="23"/>
      </patternFill>
    </fill>
    <fill>
      <patternFill patternType="solid">
        <fgColor indexed="53"/>
      </patternFill>
    </fill>
    <fill>
      <patternFill patternType="solid">
        <fgColor indexed="31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medium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101">
    <xf numFmtId="37" fontId="0" fillId="0" borderId="0" applyAlignment="0"/>
    <xf numFmtId="0" fontId="2" fillId="0" borderId="0"/>
    <xf numFmtId="0" fontId="2" fillId="0" borderId="0"/>
    <xf numFmtId="0" fontId="5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4" fillId="0" borderId="0"/>
    <xf numFmtId="0" fontId="37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7" fillId="0" borderId="0"/>
    <xf numFmtId="0" fontId="14" fillId="0" borderId="0"/>
    <xf numFmtId="0" fontId="14" fillId="0" borderId="0"/>
    <xf numFmtId="0" fontId="14" fillId="0" borderId="0"/>
    <xf numFmtId="0" fontId="38" fillId="2" borderId="0" applyNumberFormat="0" applyBorder="0" applyAlignment="0" applyProtection="0"/>
    <xf numFmtId="0" fontId="38" fillId="3" borderId="0" applyNumberFormat="0" applyBorder="0" applyAlignment="0" applyProtection="0"/>
    <xf numFmtId="0" fontId="38" fillId="4" borderId="0" applyNumberFormat="0" applyBorder="0" applyAlignment="0" applyProtection="0"/>
    <xf numFmtId="0" fontId="38" fillId="5" borderId="0" applyNumberFormat="0" applyBorder="0" applyAlignment="0" applyProtection="0"/>
    <xf numFmtId="0" fontId="38" fillId="2" borderId="0" applyNumberFormat="0" applyBorder="0" applyAlignment="0" applyProtection="0"/>
    <xf numFmtId="0" fontId="38" fillId="3" borderId="0" applyNumberFormat="0" applyBorder="0" applyAlignment="0" applyProtection="0"/>
    <xf numFmtId="0" fontId="38" fillId="2" borderId="0" applyNumberFormat="0" applyBorder="0" applyAlignment="0" applyProtection="0"/>
    <xf numFmtId="0" fontId="38" fillId="3" borderId="0" applyNumberFormat="0" applyBorder="0" applyAlignment="0" applyProtection="0"/>
    <xf numFmtId="0" fontId="38" fillId="6" borderId="0" applyNumberFormat="0" applyBorder="0" applyAlignment="0" applyProtection="0"/>
    <xf numFmtId="0" fontId="38" fillId="7" borderId="0" applyNumberFormat="0" applyBorder="0" applyAlignment="0" applyProtection="0"/>
    <xf numFmtId="0" fontId="38" fillId="8" borderId="0" applyNumberFormat="0" applyBorder="0" applyAlignment="0" applyProtection="0"/>
    <xf numFmtId="0" fontId="38" fillId="3" borderId="0" applyNumberFormat="0" applyBorder="0" applyAlignment="0" applyProtection="0"/>
    <xf numFmtId="0" fontId="39" fillId="9" borderId="0" applyNumberFormat="0" applyBorder="0" applyAlignment="0" applyProtection="0"/>
    <xf numFmtId="0" fontId="39" fillId="10" borderId="0" applyNumberFormat="0" applyBorder="0" applyAlignment="0" applyProtection="0"/>
    <xf numFmtId="0" fontId="39" fillId="6" borderId="0" applyNumberFormat="0" applyBorder="0" applyAlignment="0" applyProtection="0"/>
    <xf numFmtId="0" fontId="39" fillId="7" borderId="0" applyNumberFormat="0" applyBorder="0" applyAlignment="0" applyProtection="0"/>
    <xf numFmtId="0" fontId="39" fillId="11" borderId="0" applyNumberFormat="0" applyBorder="0" applyAlignment="0" applyProtection="0"/>
    <xf numFmtId="0" fontId="39" fillId="3" borderId="0" applyNumberFormat="0" applyBorder="0" applyAlignment="0" applyProtection="0"/>
    <xf numFmtId="0" fontId="39" fillId="12" borderId="0" applyNumberFormat="0" applyBorder="0" applyAlignment="0" applyProtection="0"/>
    <xf numFmtId="0" fontId="39" fillId="13" borderId="0" applyNumberFormat="0" applyBorder="0" applyAlignment="0" applyProtection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2" borderId="0" applyNumberFormat="0" applyBorder="0" applyAlignment="0" applyProtection="0"/>
    <xf numFmtId="0" fontId="39" fillId="16" borderId="0" applyNumberFormat="0" applyBorder="0" applyAlignment="0" applyProtection="0"/>
    <xf numFmtId="0" fontId="40" fillId="17" borderId="0" applyNumberFormat="0" applyBorder="0" applyAlignment="0" applyProtection="0"/>
    <xf numFmtId="0" fontId="20" fillId="0" borderId="0"/>
    <xf numFmtId="0" fontId="41" fillId="0" borderId="0"/>
    <xf numFmtId="0" fontId="20" fillId="0" borderId="0"/>
    <xf numFmtId="0" fontId="20" fillId="0" borderId="0"/>
    <xf numFmtId="0" fontId="20" fillId="0" borderId="0"/>
    <xf numFmtId="0" fontId="42" fillId="18" borderId="1" applyNumberFormat="0" applyAlignment="0" applyProtection="0"/>
    <xf numFmtId="0" fontId="43" fillId="19" borderId="2" applyNumberFormat="0" applyAlignment="0" applyProtection="0"/>
    <xf numFmtId="37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5" fontId="59" fillId="0" borderId="0" applyFont="0" applyFill="0" applyBorder="0" applyAlignment="0" applyProtection="0"/>
    <xf numFmtId="0" fontId="44" fillId="0" borderId="0" applyNumberFormat="0" applyFill="0" applyBorder="0" applyAlignment="0" applyProtection="0"/>
    <xf numFmtId="0" fontId="45" fillId="6" borderId="0" applyNumberFormat="0" applyBorder="0" applyAlignment="0" applyProtection="0"/>
    <xf numFmtId="0" fontId="46" fillId="0" borderId="3" applyNumberFormat="0" applyFill="0" applyAlignment="0" applyProtection="0"/>
    <xf numFmtId="0" fontId="47" fillId="0" borderId="4" applyNumberFormat="0" applyFill="0" applyAlignment="0" applyProtection="0"/>
    <xf numFmtId="0" fontId="48" fillId="0" borderId="5" applyNumberFormat="0" applyFill="0" applyAlignment="0" applyProtection="0"/>
    <xf numFmtId="0" fontId="48" fillId="0" borderId="0" applyNumberFormat="0" applyFill="0" applyBorder="0" applyAlignment="0" applyProtection="0"/>
    <xf numFmtId="0" fontId="19" fillId="0" borderId="0" applyNumberFormat="0" applyFill="0" applyBorder="0" applyAlignment="0" applyProtection="0">
      <alignment vertical="top"/>
      <protection locked="0"/>
    </xf>
    <xf numFmtId="0" fontId="49" fillId="3" borderId="1" applyNumberFormat="0" applyAlignment="0" applyProtection="0"/>
    <xf numFmtId="0" fontId="50" fillId="0" borderId="6" applyNumberFormat="0" applyFill="0" applyAlignment="0" applyProtection="0"/>
    <xf numFmtId="0" fontId="51" fillId="20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59" fillId="0" borderId="0"/>
    <xf numFmtId="0" fontId="2" fillId="0" borderId="0"/>
    <xf numFmtId="0" fontId="57" fillId="0" borderId="0"/>
    <xf numFmtId="0" fontId="2" fillId="0" borderId="0"/>
    <xf numFmtId="0" fontId="2" fillId="0" borderId="0"/>
    <xf numFmtId="0" fontId="16" fillId="0" borderId="0"/>
    <xf numFmtId="0" fontId="16" fillId="0" borderId="0"/>
    <xf numFmtId="0" fontId="2" fillId="0" borderId="0"/>
    <xf numFmtId="0" fontId="15" fillId="0" borderId="0"/>
    <xf numFmtId="0" fontId="5" fillId="20" borderId="7" applyNumberFormat="0" applyFont="0" applyAlignment="0" applyProtection="0"/>
    <xf numFmtId="0" fontId="52" fillId="18" borderId="8" applyNumberFormat="0" applyAlignment="0" applyProtection="0"/>
    <xf numFmtId="0" fontId="21" fillId="0" borderId="0">
      <alignment vertical="center"/>
    </xf>
    <xf numFmtId="16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" fillId="21" borderId="0" applyNumberFormat="0" applyFont="0" applyBorder="0" applyAlignment="0" applyProtection="0"/>
    <xf numFmtId="0" fontId="2" fillId="21" borderId="0" applyNumberFormat="0" applyFont="0" applyBorder="0" applyAlignment="0" applyProtection="0"/>
    <xf numFmtId="0" fontId="22" fillId="0" borderId="0"/>
    <xf numFmtId="0" fontId="53" fillId="0" borderId="0"/>
    <xf numFmtId="0" fontId="22" fillId="0" borderId="0"/>
    <xf numFmtId="0" fontId="22" fillId="0" borderId="0"/>
    <xf numFmtId="0" fontId="22" fillId="0" borderId="0"/>
    <xf numFmtId="0" fontId="22" fillId="0" borderId="9">
      <alignment horizontal="centerContinuous"/>
    </xf>
    <xf numFmtId="0" fontId="53" fillId="0" borderId="9">
      <alignment horizontal="centerContinuous"/>
    </xf>
    <xf numFmtId="0" fontId="22" fillId="0" borderId="9">
      <alignment horizontal="centerContinuous"/>
    </xf>
    <xf numFmtId="0" fontId="22" fillId="0" borderId="9">
      <alignment horizontal="centerContinuous"/>
    </xf>
    <xf numFmtId="0" fontId="22" fillId="0" borderId="9">
      <alignment horizontal="centerContinuous"/>
    </xf>
    <xf numFmtId="0" fontId="23" fillId="0" borderId="9"/>
    <xf numFmtId="0" fontId="5" fillId="0" borderId="0"/>
    <xf numFmtId="0" fontId="5" fillId="0" borderId="0">
      <alignment vertical="top"/>
    </xf>
    <xf numFmtId="0" fontId="54" fillId="0" borderId="0" applyNumberFormat="0" applyFill="0" applyBorder="0" applyAlignment="0" applyProtection="0"/>
    <xf numFmtId="0" fontId="55" fillId="0" borderId="10" applyNumberFormat="0" applyFill="0" applyAlignment="0" applyProtection="0"/>
    <xf numFmtId="0" fontId="56" fillId="0" borderId="0" applyNumberFormat="0" applyFill="0" applyBorder="0" applyAlignment="0" applyProtection="0"/>
    <xf numFmtId="0" fontId="2" fillId="0" borderId="0"/>
  </cellStyleXfs>
  <cellXfs count="773">
    <xf numFmtId="37" fontId="0" fillId="0" borderId="0" xfId="0"/>
    <xf numFmtId="180" fontId="8" fillId="0" borderId="0" xfId="71" applyNumberFormat="1" applyFont="1" applyAlignment="1">
      <alignment horizontal="left"/>
    </xf>
    <xf numFmtId="183" fontId="8" fillId="0" borderId="11" xfId="71" applyNumberFormat="1" applyFont="1" applyBorder="1" applyAlignment="1">
      <alignment horizontal="right"/>
    </xf>
    <xf numFmtId="37" fontId="0" fillId="0" borderId="0" xfId="0" applyAlignment="1">
      <alignment horizontal="right"/>
    </xf>
    <xf numFmtId="9" fontId="0" fillId="0" borderId="0" xfId="0" applyNumberFormat="1"/>
    <xf numFmtId="169" fontId="0" fillId="0" borderId="0" xfId="0" applyNumberFormat="1"/>
    <xf numFmtId="169" fontId="3" fillId="0" borderId="0" xfId="79" applyFont="1" applyAlignment="1" applyProtection="1">
      <alignment horizontal="left"/>
      <protection locked="0"/>
    </xf>
    <xf numFmtId="37" fontId="0" fillId="0" borderId="0" xfId="0" applyBorder="1"/>
    <xf numFmtId="180" fontId="2" fillId="0" borderId="0" xfId="71" applyNumberFormat="1"/>
    <xf numFmtId="0" fontId="5" fillId="0" borderId="0" xfId="71" applyFont="1"/>
    <xf numFmtId="0" fontId="5" fillId="0" borderId="0" xfId="71" applyFont="1" applyAlignment="1"/>
    <xf numFmtId="180" fontId="5" fillId="0" borderId="0" xfId="71" applyNumberFormat="1" applyFont="1" applyAlignment="1">
      <alignment horizontal="right"/>
    </xf>
    <xf numFmtId="169" fontId="5" fillId="0" borderId="0" xfId="81" applyNumberFormat="1" applyFont="1" applyAlignment="1">
      <alignment horizontal="right"/>
    </xf>
    <xf numFmtId="9" fontId="5" fillId="0" borderId="0" xfId="81" applyFont="1" applyAlignment="1">
      <alignment horizontal="right"/>
    </xf>
    <xf numFmtId="9" fontId="5" fillId="0" borderId="0" xfId="81" applyNumberFormat="1" applyFont="1" applyAlignment="1">
      <alignment horizontal="right"/>
    </xf>
    <xf numFmtId="0" fontId="8" fillId="0" borderId="0" xfId="71" applyFont="1" applyAlignment="1"/>
    <xf numFmtId="180" fontId="8" fillId="0" borderId="0" xfId="71" applyNumberFormat="1" applyFont="1" applyAlignment="1">
      <alignment horizontal="right"/>
    </xf>
    <xf numFmtId="0" fontId="8" fillId="0" borderId="0" xfId="71" applyFont="1"/>
    <xf numFmtId="0" fontId="5" fillId="0" borderId="0" xfId="71" applyFont="1" applyAlignment="1">
      <alignment horizontal="right"/>
    </xf>
    <xf numFmtId="0" fontId="8" fillId="0" borderId="0" xfId="71" applyFont="1" applyAlignment="1">
      <alignment horizontal="right"/>
    </xf>
    <xf numFmtId="180" fontId="5" fillId="0" borderId="0" xfId="71" applyNumberFormat="1" applyFont="1"/>
    <xf numFmtId="180" fontId="8" fillId="0" borderId="0" xfId="71" applyNumberFormat="1" applyFont="1"/>
    <xf numFmtId="0" fontId="8" fillId="0" borderId="0" xfId="70" applyFont="1"/>
    <xf numFmtId="181" fontId="8" fillId="0" borderId="0" xfId="71" applyNumberFormat="1" applyFont="1" applyAlignment="1">
      <alignment horizontal="right"/>
    </xf>
    <xf numFmtId="178" fontId="8" fillId="0" borderId="0" xfId="71" applyNumberFormat="1" applyFont="1" applyAlignment="1"/>
    <xf numFmtId="0" fontId="8" fillId="0" borderId="15" xfId="71" applyFont="1" applyBorder="1" applyAlignment="1"/>
    <xf numFmtId="180" fontId="8" fillId="0" borderId="15" xfId="71" applyNumberFormat="1" applyFont="1" applyBorder="1" applyAlignment="1">
      <alignment horizontal="right"/>
    </xf>
    <xf numFmtId="0" fontId="8" fillId="0" borderId="11" xfId="71" applyFont="1" applyBorder="1" applyAlignment="1"/>
    <xf numFmtId="0" fontId="8" fillId="0" borderId="11" xfId="71" applyNumberFormat="1" applyFont="1" applyBorder="1" applyAlignment="1">
      <alignment horizontal="right"/>
    </xf>
    <xf numFmtId="182" fontId="8" fillId="0" borderId="11" xfId="71" applyNumberFormat="1" applyFont="1" applyBorder="1" applyAlignment="1">
      <alignment horizontal="right"/>
    </xf>
    <xf numFmtId="0" fontId="5" fillId="0" borderId="9" xfId="71" applyFont="1" applyBorder="1" applyAlignment="1"/>
    <xf numFmtId="9" fontId="5" fillId="0" borderId="9" xfId="81" applyFont="1" applyBorder="1" applyAlignment="1">
      <alignment horizontal="right"/>
    </xf>
    <xf numFmtId="182" fontId="8" fillId="0" borderId="11" xfId="71" applyNumberFormat="1" applyFont="1" applyBorder="1" applyAlignment="1">
      <alignment horizontal="left"/>
    </xf>
    <xf numFmtId="0" fontId="5" fillId="0" borderId="9" xfId="71" applyFont="1" applyBorder="1"/>
    <xf numFmtId="180" fontId="5" fillId="0" borderId="9" xfId="71" applyNumberFormat="1" applyFont="1" applyBorder="1" applyAlignment="1">
      <alignment horizontal="right"/>
    </xf>
    <xf numFmtId="180" fontId="5" fillId="0" borderId="9" xfId="71" applyNumberFormat="1" applyFont="1" applyBorder="1"/>
    <xf numFmtId="180" fontId="8" fillId="0" borderId="15" xfId="71" applyNumberFormat="1" applyFont="1" applyBorder="1"/>
    <xf numFmtId="180" fontId="2" fillId="0" borderId="0" xfId="71" applyNumberFormat="1" applyFont="1"/>
    <xf numFmtId="180" fontId="2" fillId="0" borderId="0" xfId="71" applyNumberFormat="1" applyFont="1" applyAlignment="1">
      <alignment horizontal="left" indent="1"/>
    </xf>
    <xf numFmtId="180" fontId="8" fillId="0" borderId="9" xfId="71" applyNumberFormat="1" applyFont="1" applyBorder="1"/>
    <xf numFmtId="49" fontId="0" fillId="0" borderId="0" xfId="0" applyNumberFormat="1"/>
    <xf numFmtId="4" fontId="0" fillId="0" borderId="0" xfId="0" applyNumberFormat="1"/>
    <xf numFmtId="37" fontId="5" fillId="0" borderId="0" xfId="0" applyFont="1"/>
    <xf numFmtId="37" fontId="8" fillId="0" borderId="0" xfId="0" applyFont="1"/>
    <xf numFmtId="37" fontId="8" fillId="25" borderId="0" xfId="0" applyFont="1" applyFill="1"/>
    <xf numFmtId="37" fontId="24" fillId="0" borderId="0" xfId="0" applyFont="1"/>
    <xf numFmtId="169" fontId="8" fillId="0" borderId="0" xfId="0" applyNumberFormat="1" applyFont="1"/>
    <xf numFmtId="37" fontId="18" fillId="0" borderId="0" xfId="0" applyFont="1" applyAlignment="1">
      <alignment horizontal="left" indent="1"/>
    </xf>
    <xf numFmtId="37" fontId="25" fillId="0" borderId="0" xfId="0" applyFont="1" applyAlignment="1">
      <alignment horizontal="right"/>
    </xf>
    <xf numFmtId="169" fontId="26" fillId="0" borderId="0" xfId="0" applyNumberFormat="1" applyFont="1"/>
    <xf numFmtId="37" fontId="5" fillId="0" borderId="20" xfId="0" applyFont="1" applyBorder="1"/>
    <xf numFmtId="4" fontId="24" fillId="0" borderId="0" xfId="0" applyNumberFormat="1" applyFont="1"/>
    <xf numFmtId="169" fontId="24" fillId="0" borderId="0" xfId="0" applyNumberFormat="1" applyFont="1"/>
    <xf numFmtId="37" fontId="26" fillId="0" borderId="0" xfId="0" applyFont="1"/>
    <xf numFmtId="4" fontId="26" fillId="0" borderId="0" xfId="0" applyNumberFormat="1" applyFont="1"/>
    <xf numFmtId="37" fontId="24" fillId="0" borderId="15" xfId="0" applyFont="1" applyBorder="1"/>
    <xf numFmtId="1" fontId="8" fillId="0" borderId="20" xfId="0" applyNumberFormat="1" applyFont="1" applyBorder="1" applyAlignment="1">
      <alignment horizontal="right"/>
    </xf>
    <xf numFmtId="4" fontId="6" fillId="0" borderId="0" xfId="0" applyNumberFormat="1" applyFont="1"/>
    <xf numFmtId="4" fontId="25" fillId="0" borderId="0" xfId="0" applyNumberFormat="1" applyFont="1"/>
    <xf numFmtId="37" fontId="24" fillId="0" borderId="0" xfId="0" applyFont="1" applyBorder="1"/>
    <xf numFmtId="169" fontId="6" fillId="0" borderId="0" xfId="0" applyNumberFormat="1" applyFont="1"/>
    <xf numFmtId="169" fontId="25" fillId="0" borderId="0" xfId="0" applyNumberFormat="1" applyFont="1"/>
    <xf numFmtId="37" fontId="26" fillId="0" borderId="15" xfId="0" applyFont="1" applyBorder="1"/>
    <xf numFmtId="37" fontId="6" fillId="0" borderId="0" xfId="0" applyFont="1"/>
    <xf numFmtId="37" fontId="25" fillId="0" borderId="0" xfId="0" applyFont="1"/>
    <xf numFmtId="9" fontId="18" fillId="0" borderId="0" xfId="0" applyNumberFormat="1" applyFont="1"/>
    <xf numFmtId="37" fontId="18" fillId="0" borderId="15" xfId="0" applyFont="1" applyBorder="1" applyAlignment="1">
      <alignment horizontal="left" indent="1"/>
    </xf>
    <xf numFmtId="37" fontId="25" fillId="0" borderId="15" xfId="0" applyFont="1" applyBorder="1" applyAlignment="1">
      <alignment horizontal="right"/>
    </xf>
    <xf numFmtId="4" fontId="25" fillId="0" borderId="0" xfId="0" applyNumberFormat="1" applyFont="1" applyAlignment="1">
      <alignment horizontal="right"/>
    </xf>
    <xf numFmtId="3" fontId="26" fillId="0" borderId="0" xfId="0" applyNumberFormat="1" applyFont="1"/>
    <xf numFmtId="3" fontId="7" fillId="0" borderId="0" xfId="0" applyNumberFormat="1" applyFont="1"/>
    <xf numFmtId="1" fontId="8" fillId="0" borderId="19" xfId="0" applyNumberFormat="1" applyFont="1" applyBorder="1" applyAlignment="1">
      <alignment horizontal="right"/>
    </xf>
    <xf numFmtId="1" fontId="8" fillId="0" borderId="22" xfId="0" applyNumberFormat="1" applyFont="1" applyBorder="1" applyAlignment="1">
      <alignment horizontal="right"/>
    </xf>
    <xf numFmtId="4" fontId="24" fillId="0" borderId="17" xfId="0" applyNumberFormat="1" applyFont="1" applyBorder="1"/>
    <xf numFmtId="4" fontId="25" fillId="0" borderId="17" xfId="0" applyNumberFormat="1" applyFont="1" applyBorder="1"/>
    <xf numFmtId="4" fontId="25" fillId="0" borderId="0" xfId="0" applyNumberFormat="1" applyFont="1" applyBorder="1"/>
    <xf numFmtId="4" fontId="25" fillId="0" borderId="18" xfId="0" applyNumberFormat="1" applyFont="1" applyBorder="1"/>
    <xf numFmtId="169" fontId="24" fillId="0" borderId="17" xfId="0" applyNumberFormat="1" applyFont="1" applyBorder="1"/>
    <xf numFmtId="169" fontId="8" fillId="0" borderId="17" xfId="0" applyNumberFormat="1" applyFont="1" applyBorder="1"/>
    <xf numFmtId="169" fontId="8" fillId="0" borderId="0" xfId="0" applyNumberFormat="1" applyFont="1" applyBorder="1"/>
    <xf numFmtId="169" fontId="8" fillId="0" borderId="18" xfId="0" applyNumberFormat="1" applyFont="1" applyBorder="1"/>
    <xf numFmtId="169" fontId="25" fillId="0" borderId="17" xfId="0" applyNumberFormat="1" applyFont="1" applyBorder="1"/>
    <xf numFmtId="169" fontId="25" fillId="0" borderId="0" xfId="0" applyNumberFormat="1" applyFont="1" applyBorder="1"/>
    <xf numFmtId="169" fontId="25" fillId="0" borderId="18" xfId="0" applyNumberFormat="1" applyFont="1" applyBorder="1"/>
    <xf numFmtId="37" fontId="26" fillId="0" borderId="14" xfId="0" applyFont="1" applyBorder="1"/>
    <xf numFmtId="37" fontId="26" fillId="0" borderId="16" xfId="0" applyFont="1" applyBorder="1"/>
    <xf numFmtId="169" fontId="26" fillId="0" borderId="17" xfId="0" applyNumberFormat="1" applyFont="1" applyBorder="1"/>
    <xf numFmtId="37" fontId="25" fillId="0" borderId="17" xfId="0" applyFont="1" applyBorder="1" applyAlignment="1">
      <alignment horizontal="right"/>
    </xf>
    <xf numFmtId="37" fontId="25" fillId="0" borderId="0" xfId="0" applyFont="1" applyBorder="1" applyAlignment="1">
      <alignment horizontal="right"/>
    </xf>
    <xf numFmtId="37" fontId="25" fillId="0" borderId="18" xfId="0" applyFont="1" applyBorder="1" applyAlignment="1">
      <alignment horizontal="right"/>
    </xf>
    <xf numFmtId="169" fontId="24" fillId="0" borderId="0" xfId="0" applyNumberFormat="1" applyFont="1" applyBorder="1"/>
    <xf numFmtId="169" fontId="24" fillId="0" borderId="18" xfId="0" applyNumberFormat="1" applyFont="1" applyBorder="1"/>
    <xf numFmtId="37" fontId="26" fillId="0" borderId="17" xfId="0" applyFont="1" applyBorder="1"/>
    <xf numFmtId="37" fontId="24" fillId="0" borderId="17" xfId="0" applyFont="1" applyBorder="1"/>
    <xf numFmtId="37" fontId="25" fillId="0" borderId="0" xfId="0" applyFont="1" applyBorder="1"/>
    <xf numFmtId="37" fontId="26" fillId="0" borderId="0" xfId="0" applyFont="1" applyBorder="1"/>
    <xf numFmtId="37" fontId="26" fillId="0" borderId="18" xfId="0" applyFont="1" applyBorder="1"/>
    <xf numFmtId="37" fontId="24" fillId="0" borderId="18" xfId="0" applyFont="1" applyBorder="1"/>
    <xf numFmtId="37" fontId="25" fillId="0" borderId="14" xfId="0" applyFont="1" applyBorder="1" applyAlignment="1">
      <alignment horizontal="right"/>
    </xf>
    <xf numFmtId="37" fontId="25" fillId="0" borderId="16" xfId="0" applyFont="1" applyBorder="1" applyAlignment="1">
      <alignment horizontal="right"/>
    </xf>
    <xf numFmtId="4" fontId="26" fillId="0" borderId="18" xfId="0" applyNumberFormat="1" applyFont="1" applyBorder="1"/>
    <xf numFmtId="4" fontId="25" fillId="0" borderId="0" xfId="0" applyNumberFormat="1" applyFont="1" applyBorder="1" applyAlignment="1">
      <alignment horizontal="right"/>
    </xf>
    <xf numFmtId="3" fontId="26" fillId="0" borderId="17" xfId="0" applyNumberFormat="1" applyFont="1" applyBorder="1"/>
    <xf numFmtId="3" fontId="26" fillId="0" borderId="0" xfId="0" applyNumberFormat="1" applyFont="1" applyBorder="1"/>
    <xf numFmtId="3" fontId="26" fillId="0" borderId="18" xfId="0" applyNumberFormat="1" applyFont="1" applyBorder="1"/>
    <xf numFmtId="169" fontId="7" fillId="0" borderId="0" xfId="0" applyNumberFormat="1" applyFont="1" applyBorder="1"/>
    <xf numFmtId="169" fontId="7" fillId="0" borderId="18" xfId="0" applyNumberFormat="1" applyFont="1" applyBorder="1"/>
    <xf numFmtId="37" fontId="8" fillId="0" borderId="17" xfId="0" applyFont="1" applyBorder="1"/>
    <xf numFmtId="37" fontId="8" fillId="0" borderId="0" xfId="0" applyFont="1" applyBorder="1"/>
    <xf numFmtId="37" fontId="8" fillId="0" borderId="18" xfId="0" applyFont="1" applyBorder="1"/>
    <xf numFmtId="4" fontId="8" fillId="25" borderId="0" xfId="0" applyNumberFormat="1" applyFont="1" applyFill="1"/>
    <xf numFmtId="4" fontId="8" fillId="25" borderId="17" xfId="0" applyNumberFormat="1" applyFont="1" applyFill="1" applyBorder="1"/>
    <xf numFmtId="4" fontId="8" fillId="25" borderId="0" xfId="0" applyNumberFormat="1" applyFont="1" applyFill="1" applyBorder="1"/>
    <xf numFmtId="4" fontId="8" fillId="25" borderId="18" xfId="0" applyNumberFormat="1" applyFont="1" applyFill="1" applyBorder="1"/>
    <xf numFmtId="9" fontId="8" fillId="0" borderId="0" xfId="0" applyNumberFormat="1" applyFont="1"/>
    <xf numFmtId="4" fontId="5" fillId="0" borderId="0" xfId="0" applyNumberFormat="1" applyFont="1" applyBorder="1"/>
    <xf numFmtId="169" fontId="5" fillId="0" borderId="0" xfId="0" applyNumberFormat="1" applyFont="1" applyBorder="1"/>
    <xf numFmtId="4" fontId="24" fillId="0" borderId="0" xfId="0" applyNumberFormat="1" applyFont="1" applyBorder="1"/>
    <xf numFmtId="169" fontId="26" fillId="0" borderId="0" xfId="0" applyNumberFormat="1" applyFont="1" applyBorder="1"/>
    <xf numFmtId="37" fontId="5" fillId="0" borderId="0" xfId="0" applyFont="1" applyBorder="1"/>
    <xf numFmtId="169" fontId="25" fillId="0" borderId="18" xfId="0" applyNumberFormat="1" applyFont="1" applyBorder="1" applyAlignment="1">
      <alignment horizontal="right"/>
    </xf>
    <xf numFmtId="1" fontId="8" fillId="0" borderId="15" xfId="0" applyNumberFormat="1" applyFont="1" applyBorder="1" applyAlignment="1">
      <alignment horizontal="right"/>
    </xf>
    <xf numFmtId="1" fontId="8" fillId="0" borderId="14" xfId="0" applyNumberFormat="1" applyFont="1" applyBorder="1" applyAlignment="1">
      <alignment horizontal="right"/>
    </xf>
    <xf numFmtId="1" fontId="8" fillId="0" borderId="16" xfId="0" applyNumberFormat="1" applyFont="1" applyBorder="1" applyAlignment="1">
      <alignment horizontal="right"/>
    </xf>
    <xf numFmtId="9" fontId="6" fillId="0" borderId="0" xfId="0" applyNumberFormat="1" applyFont="1"/>
    <xf numFmtId="9" fontId="25" fillId="0" borderId="0" xfId="0" applyNumberFormat="1" applyFont="1" applyBorder="1" applyAlignment="1">
      <alignment horizontal="right"/>
    </xf>
    <xf numFmtId="4" fontId="24" fillId="0" borderId="18" xfId="0" applyNumberFormat="1" applyFont="1" applyBorder="1"/>
    <xf numFmtId="169" fontId="26" fillId="0" borderId="18" xfId="0" applyNumberFormat="1" applyFont="1" applyBorder="1"/>
    <xf numFmtId="37" fontId="7" fillId="0" borderId="0" xfId="0" applyFont="1" applyBorder="1" applyAlignment="1">
      <alignment horizontal="right"/>
    </xf>
    <xf numFmtId="37" fontId="7" fillId="0" borderId="18" xfId="0" applyFont="1" applyBorder="1" applyAlignment="1">
      <alignment horizontal="right"/>
    </xf>
    <xf numFmtId="4" fontId="26" fillId="0" borderId="17" xfId="0" applyNumberFormat="1" applyFont="1" applyBorder="1"/>
    <xf numFmtId="4" fontId="26" fillId="0" borderId="0" xfId="0" applyNumberFormat="1" applyFont="1" applyBorder="1"/>
    <xf numFmtId="37" fontId="25" fillId="0" borderId="0" xfId="0" applyFont="1" applyFill="1" applyBorder="1"/>
    <xf numFmtId="169" fontId="26" fillId="0" borderId="15" xfId="0" applyNumberFormat="1" applyFont="1" applyBorder="1"/>
    <xf numFmtId="169" fontId="5" fillId="0" borderId="0" xfId="0" applyNumberFormat="1" applyFont="1"/>
    <xf numFmtId="169" fontId="5" fillId="0" borderId="17" xfId="0" applyNumberFormat="1" applyFont="1" applyBorder="1"/>
    <xf numFmtId="169" fontId="5" fillId="0" borderId="18" xfId="0" applyNumberFormat="1" applyFont="1" applyBorder="1"/>
    <xf numFmtId="37" fontId="25" fillId="0" borderId="18" xfId="0" applyFont="1" applyBorder="1"/>
    <xf numFmtId="37" fontId="18" fillId="0" borderId="0" xfId="0" applyFont="1"/>
    <xf numFmtId="4" fontId="5" fillId="0" borderId="15" xfId="0" applyNumberFormat="1" applyFont="1" applyBorder="1"/>
    <xf numFmtId="4" fontId="5" fillId="0" borderId="18" xfId="0" applyNumberFormat="1" applyFont="1" applyBorder="1"/>
    <xf numFmtId="37" fontId="5" fillId="0" borderId="18" xfId="0" applyFont="1" applyBorder="1"/>
    <xf numFmtId="37" fontId="25" fillId="0" borderId="17" xfId="0" applyFont="1" applyBorder="1"/>
    <xf numFmtId="4" fontId="25" fillId="0" borderId="17" xfId="0" applyNumberFormat="1" applyFont="1" applyBorder="1" applyAlignment="1">
      <alignment horizontal="right"/>
    </xf>
    <xf numFmtId="169" fontId="0" fillId="0" borderId="0" xfId="79" applyFont="1"/>
    <xf numFmtId="9" fontId="0" fillId="0" borderId="0" xfId="79" applyNumberFormat="1" applyFont="1"/>
    <xf numFmtId="9" fontId="26" fillId="0" borderId="15" xfId="0" applyNumberFormat="1" applyFont="1" applyBorder="1"/>
    <xf numFmtId="4" fontId="5" fillId="0" borderId="17" xfId="0" applyNumberFormat="1" applyFont="1" applyBorder="1"/>
    <xf numFmtId="37" fontId="8" fillId="0" borderId="0" xfId="0" applyFont="1" applyAlignment="1">
      <alignment horizontal="left"/>
    </xf>
    <xf numFmtId="37" fontId="0" fillId="0" borderId="0" xfId="0" applyFill="1"/>
    <xf numFmtId="37" fontId="18" fillId="0" borderId="0" xfId="0" applyFont="1" applyAlignment="1">
      <alignment horizontal="left"/>
    </xf>
    <xf numFmtId="4" fontId="8" fillId="0" borderId="0" xfId="0" applyNumberFormat="1" applyFont="1"/>
    <xf numFmtId="4" fontId="8" fillId="0" borderId="17" xfId="0" applyNumberFormat="1" applyFont="1" applyBorder="1"/>
    <xf numFmtId="4" fontId="8" fillId="0" borderId="0" xfId="0" applyNumberFormat="1" applyFont="1" applyBorder="1"/>
    <xf numFmtId="4" fontId="8" fillId="0" borderId="18" xfId="0" applyNumberFormat="1" applyFont="1" applyBorder="1"/>
    <xf numFmtId="4" fontId="27" fillId="0" borderId="0" xfId="0" applyNumberFormat="1" applyFont="1" applyBorder="1" applyAlignment="1">
      <alignment horizontal="right"/>
    </xf>
    <xf numFmtId="9" fontId="27" fillId="0" borderId="0" xfId="0" applyNumberFormat="1" applyFont="1" applyBorder="1" applyAlignment="1">
      <alignment horizontal="right"/>
    </xf>
    <xf numFmtId="4" fontId="27" fillId="0" borderId="0" xfId="0" applyNumberFormat="1" applyFont="1" applyAlignment="1">
      <alignment horizontal="right"/>
    </xf>
    <xf numFmtId="4" fontId="5" fillId="0" borderId="0" xfId="0" applyNumberFormat="1" applyFont="1" applyBorder="1" applyAlignment="1">
      <alignment horizontal="right"/>
    </xf>
    <xf numFmtId="4" fontId="8" fillId="0" borderId="0" xfId="0" applyNumberFormat="1" applyFont="1" applyBorder="1" applyAlignment="1">
      <alignment horizontal="right"/>
    </xf>
    <xf numFmtId="37" fontId="8" fillId="0" borderId="0" xfId="0" applyFont="1" applyFill="1"/>
    <xf numFmtId="37" fontId="8" fillId="0" borderId="0" xfId="0" applyFont="1" applyFill="1" applyAlignment="1">
      <alignment horizontal="right"/>
    </xf>
    <xf numFmtId="169" fontId="5" fillId="0" borderId="0" xfId="0" applyNumberFormat="1" applyFont="1" applyFill="1"/>
    <xf numFmtId="169" fontId="0" fillId="0" borderId="0" xfId="0" applyNumberFormat="1" applyFill="1"/>
    <xf numFmtId="3" fontId="7" fillId="0" borderId="0" xfId="0" applyNumberFormat="1" applyFont="1" applyFill="1" applyBorder="1"/>
    <xf numFmtId="4" fontId="5" fillId="0" borderId="0" xfId="0" applyNumberFormat="1" applyFont="1" applyFill="1"/>
    <xf numFmtId="169" fontId="26" fillId="0" borderId="14" xfId="0" applyNumberFormat="1" applyFont="1" applyBorder="1"/>
    <xf numFmtId="169" fontId="26" fillId="0" borderId="16" xfId="0" applyNumberFormat="1" applyFont="1" applyBorder="1"/>
    <xf numFmtId="9" fontId="0" fillId="0" borderId="0" xfId="0" applyNumberFormat="1" applyBorder="1"/>
    <xf numFmtId="9" fontId="0" fillId="0" borderId="17" xfId="0" applyNumberFormat="1" applyBorder="1"/>
    <xf numFmtId="37" fontId="0" fillId="0" borderId="17" xfId="0" applyBorder="1"/>
    <xf numFmtId="37" fontId="0" fillId="0" borderId="18" xfId="0" applyBorder="1"/>
    <xf numFmtId="3" fontId="6" fillId="0" borderId="0" xfId="0" applyNumberFormat="1" applyFont="1"/>
    <xf numFmtId="4" fontId="24" fillId="0" borderId="14" xfId="0" applyNumberFormat="1" applyFont="1" applyBorder="1"/>
    <xf numFmtId="4" fontId="5" fillId="0" borderId="16" xfId="0" applyNumberFormat="1" applyFont="1" applyBorder="1"/>
    <xf numFmtId="4" fontId="28" fillId="0" borderId="0" xfId="0" applyNumberFormat="1" applyFont="1" applyBorder="1" applyAlignment="1">
      <alignment horizontal="right"/>
    </xf>
    <xf numFmtId="9" fontId="18" fillId="0" borderId="0" xfId="79" applyNumberFormat="1" applyFont="1"/>
    <xf numFmtId="9" fontId="18" fillId="0" borderId="0" xfId="0" applyNumberFormat="1" applyFont="1" applyBorder="1" applyAlignment="1">
      <alignment horizontal="right"/>
    </xf>
    <xf numFmtId="9" fontId="18" fillId="0" borderId="17" xfId="0" applyNumberFormat="1" applyFont="1" applyBorder="1"/>
    <xf numFmtId="9" fontId="18" fillId="0" borderId="18" xfId="0" applyNumberFormat="1" applyFont="1" applyBorder="1"/>
    <xf numFmtId="37" fontId="25" fillId="0" borderId="18" xfId="0" applyFont="1" applyFill="1" applyBorder="1"/>
    <xf numFmtId="9" fontId="26" fillId="0" borderId="0" xfId="0" applyNumberFormat="1" applyFont="1" applyBorder="1"/>
    <xf numFmtId="4" fontId="3" fillId="0" borderId="0" xfId="0" applyNumberFormat="1" applyFont="1" applyBorder="1" applyAlignment="1" applyProtection="1">
      <alignment horizontal="right"/>
      <protection locked="0"/>
    </xf>
    <xf numFmtId="4" fontId="3" fillId="23" borderId="0" xfId="52" applyNumberFormat="1" applyFont="1" applyFill="1" applyBorder="1" applyProtection="1">
      <protection locked="0"/>
    </xf>
    <xf numFmtId="4" fontId="3" fillId="0" borderId="0" xfId="52" applyNumberFormat="1" applyFont="1" applyFill="1" applyBorder="1" applyProtection="1">
      <protection locked="0"/>
    </xf>
    <xf numFmtId="0" fontId="8" fillId="0" borderId="0" xfId="95" applyFont="1" applyBorder="1"/>
    <xf numFmtId="0" fontId="5" fillId="0" borderId="0" xfId="95" applyFont="1"/>
    <xf numFmtId="9" fontId="7" fillId="0" borderId="0" xfId="0" applyNumberFormat="1" applyFont="1"/>
    <xf numFmtId="37" fontId="7" fillId="0" borderId="0" xfId="0" applyFont="1" applyAlignment="1">
      <alignment horizontal="right"/>
    </xf>
    <xf numFmtId="9" fontId="26" fillId="0" borderId="17" xfId="0" applyNumberFormat="1" applyFont="1" applyBorder="1"/>
    <xf numFmtId="37" fontId="7" fillId="0" borderId="0" xfId="0" applyFont="1" applyBorder="1"/>
    <xf numFmtId="37" fontId="7" fillId="0" borderId="18" xfId="0" applyFont="1" applyBorder="1"/>
    <xf numFmtId="169" fontId="7" fillId="0" borderId="0" xfId="0" applyNumberFormat="1" applyFont="1" applyFill="1" applyAlignment="1">
      <alignment horizontal="right"/>
    </xf>
    <xf numFmtId="37" fontId="8" fillId="26" borderId="0" xfId="0" applyFont="1" applyFill="1"/>
    <xf numFmtId="37" fontId="0" fillId="26" borderId="0" xfId="0" applyFill="1"/>
    <xf numFmtId="37" fontId="8" fillId="0" borderId="0" xfId="0" applyFont="1" applyAlignment="1">
      <alignment horizontal="right"/>
    </xf>
    <xf numFmtId="169" fontId="30" fillId="0" borderId="0" xfId="0" applyNumberFormat="1" applyFont="1" applyBorder="1"/>
    <xf numFmtId="37" fontId="30" fillId="0" borderId="0" xfId="0" applyFont="1"/>
    <xf numFmtId="169" fontId="30" fillId="0" borderId="0" xfId="0" applyNumberFormat="1" applyFont="1"/>
    <xf numFmtId="0" fontId="32" fillId="0" borderId="0" xfId="60" applyFont="1" applyAlignment="1" applyProtection="1"/>
    <xf numFmtId="9" fontId="26" fillId="0" borderId="0" xfId="0" applyNumberFormat="1" applyFont="1"/>
    <xf numFmtId="169" fontId="30" fillId="26" borderId="0" xfId="0" applyNumberFormat="1" applyFont="1" applyFill="1"/>
    <xf numFmtId="37" fontId="25" fillId="0" borderId="17" xfId="0" applyFont="1" applyFill="1" applyBorder="1"/>
    <xf numFmtId="9" fontId="18" fillId="0" borderId="17" xfId="0" applyNumberFormat="1" applyFont="1" applyBorder="1" applyAlignment="1">
      <alignment horizontal="right"/>
    </xf>
    <xf numFmtId="37" fontId="0" fillId="0" borderId="0" xfId="0" applyFill="1" applyBorder="1"/>
    <xf numFmtId="172" fontId="0" fillId="0" borderId="0" xfId="0" applyNumberFormat="1"/>
    <xf numFmtId="37" fontId="8" fillId="26" borderId="0" xfId="0" applyFont="1" applyFill="1" applyBorder="1"/>
    <xf numFmtId="3" fontId="25" fillId="0" borderId="0" xfId="0" applyNumberFormat="1" applyFont="1"/>
    <xf numFmtId="4" fontId="5" fillId="0" borderId="14" xfId="0" applyNumberFormat="1" applyFont="1" applyBorder="1"/>
    <xf numFmtId="169" fontId="5" fillId="26" borderId="17" xfId="0" applyNumberFormat="1" applyFont="1" applyFill="1" applyBorder="1"/>
    <xf numFmtId="169" fontId="24" fillId="26" borderId="0" xfId="0" applyNumberFormat="1" applyFont="1" applyFill="1"/>
    <xf numFmtId="169" fontId="5" fillId="26" borderId="18" xfId="0" applyNumberFormat="1" applyFont="1" applyFill="1" applyBorder="1"/>
    <xf numFmtId="0" fontId="5" fillId="0" borderId="0" xfId="95" applyFont="1" applyBorder="1"/>
    <xf numFmtId="0" fontId="8" fillId="0" borderId="0" xfId="95" applyFont="1" applyBorder="1" applyAlignment="1">
      <alignment horizontal="right"/>
    </xf>
    <xf numFmtId="0" fontId="8" fillId="0" borderId="0" xfId="95" applyFont="1" applyFill="1" applyBorder="1" applyAlignment="1">
      <alignment horizontal="right"/>
    </xf>
    <xf numFmtId="169" fontId="5" fillId="0" borderId="0" xfId="95" applyNumberFormat="1" applyFont="1" applyBorder="1"/>
    <xf numFmtId="169" fontId="8" fillId="0" borderId="0" xfId="95" applyNumberFormat="1" applyFont="1"/>
    <xf numFmtId="0" fontId="5" fillId="0" borderId="0" xfId="95" applyFont="1" applyBorder="1" applyAlignment="1">
      <alignment horizontal="right"/>
    </xf>
    <xf numFmtId="169" fontId="8" fillId="0" borderId="0" xfId="95" applyNumberFormat="1" applyFont="1" applyBorder="1"/>
    <xf numFmtId="169" fontId="8" fillId="0" borderId="0" xfId="79" applyNumberFormat="1" applyFont="1"/>
    <xf numFmtId="169" fontId="30" fillId="0" borderId="0" xfId="95" applyNumberFormat="1" applyFont="1" applyBorder="1"/>
    <xf numFmtId="9" fontId="0" fillId="0" borderId="18" xfId="0" applyNumberFormat="1" applyBorder="1"/>
    <xf numFmtId="37" fontId="6" fillId="0" borderId="17" xfId="0" applyFont="1" applyBorder="1"/>
    <xf numFmtId="9" fontId="5" fillId="0" borderId="17" xfId="0" applyNumberFormat="1" applyFont="1" applyBorder="1"/>
    <xf numFmtId="37" fontId="7" fillId="0" borderId="17" xfId="0" applyFont="1" applyBorder="1"/>
    <xf numFmtId="37" fontId="5" fillId="0" borderId="17" xfId="0" applyFont="1" applyBorder="1"/>
    <xf numFmtId="39" fontId="0" fillId="0" borderId="0" xfId="0" applyNumberFormat="1"/>
    <xf numFmtId="39" fontId="8" fillId="0" borderId="0" xfId="50" applyNumberFormat="1" applyFont="1"/>
    <xf numFmtId="4" fontId="18" fillId="0" borderId="0" xfId="0" applyNumberFormat="1" applyFont="1" applyFill="1" applyBorder="1"/>
    <xf numFmtId="169" fontId="8" fillId="0" borderId="0" xfId="0" applyNumberFormat="1" applyFont="1" applyFill="1" applyBorder="1"/>
    <xf numFmtId="37" fontId="7" fillId="0" borderId="0" xfId="0" applyFont="1" applyFill="1" applyBorder="1"/>
    <xf numFmtId="37" fontId="5" fillId="0" borderId="0" xfId="0" applyFont="1" applyFill="1" applyBorder="1"/>
    <xf numFmtId="169" fontId="5" fillId="0" borderId="0" xfId="0" applyNumberFormat="1" applyFont="1" applyFill="1" applyBorder="1"/>
    <xf numFmtId="169" fontId="5" fillId="0" borderId="17" xfId="0" applyNumberFormat="1" applyFont="1" applyFill="1" applyBorder="1"/>
    <xf numFmtId="37" fontId="0" fillId="0" borderId="0" xfId="0" applyBorder="1" applyAlignment="1">
      <alignment horizontal="right"/>
    </xf>
    <xf numFmtId="37" fontId="8" fillId="0" borderId="0" xfId="0" applyFont="1" applyFill="1" applyBorder="1"/>
    <xf numFmtId="4" fontId="33" fillId="0" borderId="0" xfId="0" applyNumberFormat="1" applyFont="1"/>
    <xf numFmtId="169" fontId="33" fillId="0" borderId="0" xfId="0" applyNumberFormat="1" applyFont="1"/>
    <xf numFmtId="37" fontId="33" fillId="0" borderId="0" xfId="0" applyFont="1"/>
    <xf numFmtId="169" fontId="17" fillId="0" borderId="0" xfId="0" applyNumberFormat="1" applyFont="1"/>
    <xf numFmtId="3" fontId="6" fillId="0" borderId="0" xfId="0" applyNumberFormat="1" applyFont="1" applyFill="1" applyBorder="1"/>
    <xf numFmtId="182" fontId="8" fillId="0" borderId="0" xfId="71" applyNumberFormat="1" applyFont="1" applyAlignment="1">
      <alignment horizontal="right"/>
    </xf>
    <xf numFmtId="10" fontId="8" fillId="0" borderId="0" xfId="79" applyNumberFormat="1" applyFont="1" applyAlignment="1">
      <alignment horizontal="right"/>
    </xf>
    <xf numFmtId="39" fontId="0" fillId="0" borderId="0" xfId="50" applyNumberFormat="1" applyFont="1"/>
    <xf numFmtId="4" fontId="25" fillId="0" borderId="0" xfId="0" applyNumberFormat="1" applyFont="1" applyFill="1" applyBorder="1" applyAlignment="1">
      <alignment horizontal="right"/>
    </xf>
    <xf numFmtId="169" fontId="35" fillId="0" borderId="0" xfId="0" applyNumberFormat="1" applyFont="1" applyFill="1" applyBorder="1"/>
    <xf numFmtId="37" fontId="36" fillId="0" borderId="0" xfId="0" applyFont="1" applyFill="1" applyBorder="1"/>
    <xf numFmtId="169" fontId="36" fillId="0" borderId="0" xfId="0" applyNumberFormat="1" applyFont="1" applyFill="1"/>
    <xf numFmtId="1" fontId="8" fillId="0" borderId="20" xfId="0" applyNumberFormat="1" applyFont="1" applyFill="1" applyBorder="1" applyAlignment="1">
      <alignment horizontal="right"/>
    </xf>
    <xf numFmtId="1" fontId="8" fillId="0" borderId="22" xfId="0" applyNumberFormat="1" applyFont="1" applyFill="1" applyBorder="1" applyAlignment="1">
      <alignment horizontal="right"/>
    </xf>
    <xf numFmtId="4" fontId="33" fillId="0" borderId="15" xfId="0" applyNumberFormat="1" applyFont="1" applyFill="1" applyBorder="1"/>
    <xf numFmtId="4" fontId="25" fillId="0" borderId="0" xfId="0" applyNumberFormat="1" applyFont="1" applyFill="1" applyBorder="1"/>
    <xf numFmtId="4" fontId="25" fillId="0" borderId="18" xfId="0" applyNumberFormat="1" applyFont="1" applyFill="1" applyBorder="1"/>
    <xf numFmtId="4" fontId="33" fillId="0" borderId="0" xfId="0" applyNumberFormat="1" applyFont="1" applyFill="1" applyBorder="1"/>
    <xf numFmtId="4" fontId="5" fillId="0" borderId="0" xfId="0" applyNumberFormat="1" applyFont="1" applyFill="1" applyBorder="1"/>
    <xf numFmtId="4" fontId="36" fillId="0" borderId="0" xfId="0" applyNumberFormat="1" applyFont="1" applyFill="1" applyBorder="1"/>
    <xf numFmtId="1" fontId="8" fillId="0" borderId="15" xfId="0" applyNumberFormat="1" applyFont="1" applyFill="1" applyBorder="1" applyAlignment="1">
      <alignment horizontal="right"/>
    </xf>
    <xf numFmtId="1" fontId="8" fillId="0" borderId="16" xfId="0" applyNumberFormat="1" applyFont="1" applyFill="1" applyBorder="1" applyAlignment="1">
      <alignment horizontal="right"/>
    </xf>
    <xf numFmtId="169" fontId="8" fillId="0" borderId="18" xfId="0" applyNumberFormat="1" applyFont="1" applyFill="1" applyBorder="1"/>
    <xf numFmtId="169" fontId="34" fillId="0" borderId="0" xfId="0" applyNumberFormat="1" applyFont="1" applyFill="1" applyBorder="1"/>
    <xf numFmtId="169" fontId="25" fillId="0" borderId="18" xfId="0" applyNumberFormat="1" applyFont="1" applyFill="1" applyBorder="1"/>
    <xf numFmtId="169" fontId="5" fillId="0" borderId="15" xfId="0" applyNumberFormat="1" applyFont="1" applyFill="1" applyBorder="1"/>
    <xf numFmtId="37" fontId="26" fillId="0" borderId="16" xfId="0" applyFont="1" applyFill="1" applyBorder="1"/>
    <xf numFmtId="169" fontId="33" fillId="0" borderId="0" xfId="0" applyNumberFormat="1" applyFont="1" applyFill="1" applyBorder="1"/>
    <xf numFmtId="37" fontId="25" fillId="0" borderId="0" xfId="0" applyFont="1" applyFill="1" applyBorder="1" applyAlignment="1">
      <alignment horizontal="right"/>
    </xf>
    <xf numFmtId="169" fontId="25" fillId="0" borderId="18" xfId="0" applyNumberFormat="1" applyFont="1" applyFill="1" applyBorder="1" applyAlignment="1">
      <alignment horizontal="right"/>
    </xf>
    <xf numFmtId="169" fontId="24" fillId="0" borderId="18" xfId="0" applyNumberFormat="1" applyFont="1" applyFill="1" applyBorder="1"/>
    <xf numFmtId="37" fontId="26" fillId="0" borderId="15" xfId="0" applyFont="1" applyFill="1" applyBorder="1"/>
    <xf numFmtId="9" fontId="33" fillId="0" borderId="0" xfId="0" applyNumberFormat="1" applyFont="1" applyFill="1" applyBorder="1"/>
    <xf numFmtId="37" fontId="5" fillId="0" borderId="18" xfId="0" applyFont="1" applyFill="1" applyBorder="1"/>
    <xf numFmtId="37" fontId="34" fillId="0" borderId="0" xfId="0" applyFont="1" applyFill="1" applyBorder="1"/>
    <xf numFmtId="37" fontId="8" fillId="0" borderId="18" xfId="0" applyFont="1" applyFill="1" applyBorder="1"/>
    <xf numFmtId="37" fontId="36" fillId="0" borderId="18" xfId="0" applyFont="1" applyFill="1" applyBorder="1"/>
    <xf numFmtId="37" fontId="26" fillId="0" borderId="18" xfId="0" applyFont="1" applyFill="1" applyBorder="1"/>
    <xf numFmtId="9" fontId="25" fillId="0" borderId="0" xfId="0" applyNumberFormat="1" applyFont="1" applyFill="1" applyBorder="1" applyAlignment="1">
      <alignment horizontal="right"/>
    </xf>
    <xf numFmtId="169" fontId="5" fillId="0" borderId="18" xfId="0" applyNumberFormat="1" applyFont="1" applyFill="1" applyBorder="1"/>
    <xf numFmtId="37" fontId="25" fillId="0" borderId="18" xfId="0" applyFont="1" applyFill="1" applyBorder="1" applyAlignment="1">
      <alignment horizontal="right"/>
    </xf>
    <xf numFmtId="37" fontId="25" fillId="0" borderId="15" xfId="0" applyFont="1" applyFill="1" applyBorder="1" applyAlignment="1">
      <alignment horizontal="right"/>
    </xf>
    <xf numFmtId="37" fontId="25" fillId="0" borderId="16" xfId="0" applyFont="1" applyFill="1" applyBorder="1" applyAlignment="1">
      <alignment horizontal="right"/>
    </xf>
    <xf numFmtId="3" fontId="26" fillId="0" borderId="0" xfId="0" applyNumberFormat="1" applyFont="1" applyFill="1" applyBorder="1"/>
    <xf numFmtId="3" fontId="26" fillId="0" borderId="18" xfId="0" applyNumberFormat="1" applyFont="1" applyFill="1" applyBorder="1"/>
    <xf numFmtId="9" fontId="18" fillId="0" borderId="0" xfId="0" applyNumberFormat="1" applyFont="1" applyFill="1" applyBorder="1" applyAlignment="1">
      <alignment horizontal="right"/>
    </xf>
    <xf numFmtId="4" fontId="28" fillId="0" borderId="0" xfId="0" applyNumberFormat="1" applyFont="1" applyFill="1" applyBorder="1" applyAlignment="1">
      <alignment horizontal="right"/>
    </xf>
    <xf numFmtId="4" fontId="5" fillId="0" borderId="0" xfId="0" applyNumberFormat="1" applyFont="1" applyFill="1" applyBorder="1" applyAlignment="1">
      <alignment horizontal="right"/>
    </xf>
    <xf numFmtId="4" fontId="8" fillId="0" borderId="0" xfId="0" applyNumberFormat="1" applyFont="1" applyFill="1" applyBorder="1" applyAlignment="1">
      <alignment horizontal="right"/>
    </xf>
    <xf numFmtId="4" fontId="26" fillId="0" borderId="0" xfId="0" applyNumberFormat="1" applyFont="1" applyFill="1"/>
    <xf numFmtId="169" fontId="7" fillId="0" borderId="0" xfId="0" applyNumberFormat="1" applyFont="1" applyFill="1" applyBorder="1"/>
    <xf numFmtId="169" fontId="7" fillId="0" borderId="18" xfId="0" applyNumberFormat="1" applyFont="1" applyFill="1" applyBorder="1"/>
    <xf numFmtId="9" fontId="7" fillId="0" borderId="0" xfId="0" applyNumberFormat="1" applyFont="1" applyFill="1"/>
    <xf numFmtId="169" fontId="30" fillId="0" borderId="0" xfId="0" applyNumberFormat="1" applyFont="1" applyFill="1"/>
    <xf numFmtId="37" fontId="25" fillId="0" borderId="0" xfId="0" applyFont="1" applyFill="1"/>
    <xf numFmtId="3" fontId="25" fillId="0" borderId="0" xfId="0" applyNumberFormat="1" applyFont="1" applyFill="1"/>
    <xf numFmtId="4" fontId="0" fillId="0" borderId="0" xfId="0" applyNumberFormat="1" applyFill="1"/>
    <xf numFmtId="4" fontId="3" fillId="0" borderId="0" xfId="0" applyNumberFormat="1" applyFont="1" applyFill="1" applyBorder="1" applyAlignment="1" applyProtection="1">
      <alignment horizontal="right"/>
      <protection locked="0"/>
    </xf>
    <xf numFmtId="4" fontId="8" fillId="0" borderId="0" xfId="0" applyNumberFormat="1" applyFont="1" applyFill="1"/>
    <xf numFmtId="169" fontId="5" fillId="0" borderId="0" xfId="95" applyNumberFormat="1" applyFont="1" applyFill="1" applyBorder="1"/>
    <xf numFmtId="169" fontId="36" fillId="0" borderId="0" xfId="0" applyNumberFormat="1" applyFont="1" applyBorder="1"/>
    <xf numFmtId="9" fontId="18" fillId="0" borderId="18" xfId="79" applyNumberFormat="1" applyFont="1" applyBorder="1"/>
    <xf numFmtId="4" fontId="28" fillId="0" borderId="18" xfId="0" applyNumberFormat="1" applyFont="1" applyBorder="1"/>
    <xf numFmtId="4" fontId="8" fillId="0" borderId="18" xfId="79" applyNumberFormat="1" applyFont="1" applyBorder="1"/>
    <xf numFmtId="4" fontId="0" fillId="0" borderId="18" xfId="0" applyNumberFormat="1" applyBorder="1"/>
    <xf numFmtId="37" fontId="0" fillId="26" borderId="18" xfId="0" applyFill="1" applyBorder="1"/>
    <xf numFmtId="4" fontId="3" fillId="0" borderId="18" xfId="0" applyNumberFormat="1" applyFont="1" applyBorder="1" applyAlignment="1" applyProtection="1">
      <alignment horizontal="right"/>
      <protection locked="0"/>
    </xf>
    <xf numFmtId="4" fontId="3" fillId="0" borderId="18" xfId="52" applyNumberFormat="1" applyFont="1" applyFill="1" applyBorder="1" applyProtection="1">
      <protection locked="0"/>
    </xf>
    <xf numFmtId="4" fontId="3" fillId="23" borderId="18" xfId="52" applyNumberFormat="1" applyFont="1" applyFill="1" applyBorder="1" applyProtection="1">
      <protection locked="0"/>
    </xf>
    <xf numFmtId="1" fontId="8" fillId="0" borderId="0" xfId="0" applyNumberFormat="1" applyFont="1" applyBorder="1" applyAlignment="1">
      <alignment horizontal="right"/>
    </xf>
    <xf numFmtId="37" fontId="26" fillId="0" borderId="0" xfId="0" applyFont="1" applyFill="1" applyBorder="1"/>
    <xf numFmtId="169" fontId="25" fillId="0" borderId="0" xfId="0" applyNumberFormat="1" applyFont="1" applyFill="1" applyBorder="1" applyAlignment="1">
      <alignment horizontal="right"/>
    </xf>
    <xf numFmtId="169" fontId="24" fillId="0" borderId="0" xfId="0" applyNumberFormat="1" applyFont="1" applyFill="1" applyBorder="1"/>
    <xf numFmtId="9" fontId="18" fillId="0" borderId="0" xfId="0" applyNumberFormat="1" applyFont="1" applyFill="1" applyBorder="1"/>
    <xf numFmtId="4" fontId="26" fillId="0" borderId="0" xfId="0" applyNumberFormat="1" applyFont="1" applyFill="1" applyBorder="1"/>
    <xf numFmtId="4" fontId="8" fillId="0" borderId="0" xfId="0" applyNumberFormat="1" applyFont="1" applyFill="1" applyBorder="1"/>
    <xf numFmtId="9" fontId="7" fillId="0" borderId="0" xfId="0" applyNumberFormat="1" applyFont="1" applyBorder="1"/>
    <xf numFmtId="4" fontId="0" fillId="0" borderId="0" xfId="0" applyNumberFormat="1" applyBorder="1"/>
    <xf numFmtId="169" fontId="0" fillId="0" borderId="0" xfId="0" applyNumberFormat="1" applyBorder="1"/>
    <xf numFmtId="37" fontId="0" fillId="26" borderId="0" xfId="0" applyFill="1" applyBorder="1"/>
    <xf numFmtId="3" fontId="25" fillId="0" borderId="0" xfId="0" applyNumberFormat="1" applyFont="1" applyBorder="1"/>
    <xf numFmtId="4" fontId="5" fillId="0" borderId="18" xfId="0" applyNumberFormat="1" applyFont="1" applyFill="1" applyBorder="1"/>
    <xf numFmtId="3" fontId="25" fillId="0" borderId="18" xfId="0" applyNumberFormat="1" applyFont="1" applyBorder="1"/>
    <xf numFmtId="4" fontId="6" fillId="0" borderId="0" xfId="0" applyNumberFormat="1" applyFont="1" applyBorder="1"/>
    <xf numFmtId="169" fontId="33" fillId="0" borderId="0" xfId="0" applyNumberFormat="1" applyFont="1" applyBorder="1"/>
    <xf numFmtId="37" fontId="36" fillId="0" borderId="0" xfId="0" applyFont="1" applyBorder="1"/>
    <xf numFmtId="37" fontId="33" fillId="0" borderId="0" xfId="0" applyFont="1" applyBorder="1" applyAlignment="1">
      <alignment horizontal="right"/>
    </xf>
    <xf numFmtId="3" fontId="6" fillId="0" borderId="0" xfId="0" applyNumberFormat="1" applyFont="1" applyBorder="1"/>
    <xf numFmtId="9" fontId="6" fillId="0" borderId="0" xfId="0" applyNumberFormat="1" applyFont="1" applyBorder="1"/>
    <xf numFmtId="4" fontId="25" fillId="0" borderId="17" xfId="0" applyNumberFormat="1" applyFont="1" applyFill="1" applyBorder="1"/>
    <xf numFmtId="169" fontId="8" fillId="0" borderId="17" xfId="0" applyNumberFormat="1" applyFont="1" applyFill="1" applyBorder="1"/>
    <xf numFmtId="37" fontId="26" fillId="0" borderId="17" xfId="0" applyFont="1" applyFill="1" applyBorder="1"/>
    <xf numFmtId="169" fontId="25" fillId="0" borderId="17" xfId="0" applyNumberFormat="1" applyFont="1" applyFill="1" applyBorder="1" applyAlignment="1">
      <alignment horizontal="right"/>
    </xf>
    <xf numFmtId="169" fontId="24" fillId="0" borderId="17" xfId="0" applyNumberFormat="1" applyFont="1" applyFill="1" applyBorder="1"/>
    <xf numFmtId="37" fontId="5" fillId="0" borderId="17" xfId="0" applyFont="1" applyFill="1" applyBorder="1"/>
    <xf numFmtId="37" fontId="8" fillId="0" borderId="17" xfId="0" applyFont="1" applyFill="1" applyBorder="1"/>
    <xf numFmtId="37" fontId="36" fillId="0" borderId="17" xfId="0" applyFont="1" applyFill="1" applyBorder="1"/>
    <xf numFmtId="37" fontId="25" fillId="0" borderId="17" xfId="0" applyFont="1" applyFill="1" applyBorder="1" applyAlignment="1">
      <alignment horizontal="right"/>
    </xf>
    <xf numFmtId="3" fontId="26" fillId="0" borderId="17" xfId="0" applyNumberFormat="1" applyFont="1" applyFill="1" applyBorder="1"/>
    <xf numFmtId="4" fontId="28" fillId="0" borderId="17" xfId="0" applyNumberFormat="1" applyFont="1" applyFill="1" applyBorder="1" applyAlignment="1">
      <alignment horizontal="right"/>
    </xf>
    <xf numFmtId="4" fontId="26" fillId="0" borderId="17" xfId="0" applyNumberFormat="1" applyFont="1" applyFill="1" applyBorder="1"/>
    <xf numFmtId="169" fontId="7" fillId="0" borderId="17" xfId="0" applyNumberFormat="1" applyFont="1" applyFill="1" applyBorder="1"/>
    <xf numFmtId="4" fontId="28" fillId="0" borderId="12" xfId="0" applyNumberFormat="1" applyFont="1" applyBorder="1" applyAlignment="1">
      <alignment horizontal="right"/>
    </xf>
    <xf numFmtId="4" fontId="26" fillId="0" borderId="12" xfId="79" applyNumberFormat="1" applyFont="1" applyBorder="1"/>
    <xf numFmtId="4" fontId="8" fillId="0" borderId="12" xfId="79" applyNumberFormat="1" applyFont="1" applyBorder="1"/>
    <xf numFmtId="4" fontId="26" fillId="0" borderId="12" xfId="0" applyNumberFormat="1" applyFont="1" applyBorder="1"/>
    <xf numFmtId="3" fontId="26" fillId="0" borderId="12" xfId="0" applyNumberFormat="1" applyFont="1" applyBorder="1"/>
    <xf numFmtId="3" fontId="7" fillId="0" borderId="12" xfId="0" applyNumberFormat="1" applyFont="1" applyBorder="1"/>
    <xf numFmtId="3" fontId="6" fillId="0" borderId="12" xfId="0" applyNumberFormat="1" applyFont="1" applyBorder="1"/>
    <xf numFmtId="4" fontId="28" fillId="0" borderId="12" xfId="0" applyNumberFormat="1" applyFont="1" applyBorder="1"/>
    <xf numFmtId="9" fontId="18" fillId="0" borderId="12" xfId="79" applyNumberFormat="1" applyFont="1" applyBorder="1"/>
    <xf numFmtId="4" fontId="25" fillId="0" borderId="19" xfId="0" applyNumberFormat="1" applyFont="1" applyFill="1" applyBorder="1"/>
    <xf numFmtId="4" fontId="25" fillId="0" borderId="20" xfId="0" applyNumberFormat="1" applyFont="1" applyFill="1" applyBorder="1"/>
    <xf numFmtId="1" fontId="8" fillId="0" borderId="14" xfId="0" applyNumberFormat="1" applyFont="1" applyFill="1" applyBorder="1" applyAlignment="1">
      <alignment horizontal="right"/>
    </xf>
    <xf numFmtId="169" fontId="25" fillId="0" borderId="19" xfId="0" applyNumberFormat="1" applyFont="1" applyFill="1" applyBorder="1"/>
    <xf numFmtId="169" fontId="25" fillId="0" borderId="20" xfId="0" applyNumberFormat="1" applyFont="1" applyFill="1" applyBorder="1"/>
    <xf numFmtId="169" fontId="25" fillId="0" borderId="19" xfId="0" applyNumberFormat="1" applyFont="1" applyFill="1" applyBorder="1" applyAlignment="1">
      <alignment horizontal="right"/>
    </xf>
    <xf numFmtId="169" fontId="25" fillId="0" borderId="20" xfId="0" applyNumberFormat="1" applyFont="1" applyFill="1" applyBorder="1" applyAlignment="1">
      <alignment horizontal="right"/>
    </xf>
    <xf numFmtId="37" fontId="25" fillId="0" borderId="19" xfId="0" applyFont="1" applyFill="1" applyBorder="1" applyAlignment="1">
      <alignment horizontal="right"/>
    </xf>
    <xf numFmtId="37" fontId="25" fillId="0" borderId="20" xfId="0" applyFont="1" applyFill="1" applyBorder="1" applyAlignment="1">
      <alignment horizontal="right"/>
    </xf>
    <xf numFmtId="170" fontId="4" fillId="0" borderId="18" xfId="0" quotePrefix="1" applyNumberFormat="1" applyFont="1" applyFill="1" applyBorder="1" applyAlignment="1" applyProtection="1">
      <alignment horizontal="right"/>
      <protection locked="0"/>
    </xf>
    <xf numFmtId="169" fontId="24" fillId="24" borderId="0" xfId="0" applyNumberFormat="1" applyFont="1" applyFill="1"/>
    <xf numFmtId="37" fontId="24" fillId="24" borderId="0" xfId="0" applyFont="1" applyFill="1"/>
    <xf numFmtId="4" fontId="24" fillId="24" borderId="0" xfId="0" applyNumberFormat="1" applyFont="1" applyFill="1"/>
    <xf numFmtId="37" fontId="0" fillId="0" borderId="12" xfId="0" applyBorder="1"/>
    <xf numFmtId="1" fontId="8" fillId="0" borderId="13" xfId="0" applyNumberFormat="1" applyFont="1" applyBorder="1" applyAlignment="1">
      <alignment horizontal="right"/>
    </xf>
    <xf numFmtId="4" fontId="5" fillId="0" borderId="12" xfId="0" applyNumberFormat="1" applyFont="1" applyBorder="1"/>
    <xf numFmtId="4" fontId="25" fillId="0" borderId="12" xfId="0" applyNumberFormat="1" applyFont="1" applyBorder="1"/>
    <xf numFmtId="1" fontId="8" fillId="0" borderId="21" xfId="0" applyNumberFormat="1" applyFont="1" applyBorder="1" applyAlignment="1">
      <alignment horizontal="right"/>
    </xf>
    <xf numFmtId="169" fontId="24" fillId="0" borderId="12" xfId="0" applyNumberFormat="1" applyFont="1" applyBorder="1"/>
    <xf numFmtId="169" fontId="8" fillId="0" borderId="12" xfId="0" applyNumberFormat="1" applyFont="1" applyBorder="1"/>
    <xf numFmtId="169" fontId="25" fillId="0" borderId="12" xfId="0" applyNumberFormat="1" applyFont="1" applyBorder="1"/>
    <xf numFmtId="37" fontId="26" fillId="0" borderId="21" xfId="0" applyFont="1" applyBorder="1"/>
    <xf numFmtId="169" fontId="5" fillId="0" borderId="12" xfId="0" applyNumberFormat="1" applyFont="1" applyBorder="1"/>
    <xf numFmtId="37" fontId="25" fillId="0" borderId="12" xfId="0" applyFont="1" applyBorder="1" applyAlignment="1">
      <alignment horizontal="right"/>
    </xf>
    <xf numFmtId="4" fontId="26" fillId="0" borderId="21" xfId="0" applyNumberFormat="1" applyFont="1" applyBorder="1"/>
    <xf numFmtId="9" fontId="0" fillId="0" borderId="12" xfId="0" applyNumberFormat="1" applyBorder="1"/>
    <xf numFmtId="37" fontId="5" fillId="0" borderId="12" xfId="0" applyFont="1" applyBorder="1"/>
    <xf numFmtId="37" fontId="25" fillId="0" borderId="12" xfId="0" applyFont="1" applyBorder="1"/>
    <xf numFmtId="37" fontId="8" fillId="0" borderId="12" xfId="0" applyFont="1" applyBorder="1"/>
    <xf numFmtId="169" fontId="26" fillId="0" borderId="12" xfId="0" applyNumberFormat="1" applyFont="1" applyBorder="1"/>
    <xf numFmtId="4" fontId="8" fillId="25" borderId="12" xfId="0" applyNumberFormat="1" applyFont="1" applyFill="1" applyBorder="1"/>
    <xf numFmtId="4" fontId="25" fillId="0" borderId="12" xfId="0" applyNumberFormat="1" applyFont="1" applyBorder="1" applyAlignment="1">
      <alignment horizontal="right"/>
    </xf>
    <xf numFmtId="4" fontId="25" fillId="0" borderId="18" xfId="0" applyNumberFormat="1" applyFont="1" applyFill="1" applyBorder="1" applyAlignment="1">
      <alignment horizontal="right"/>
    </xf>
    <xf numFmtId="9" fontId="18" fillId="0" borderId="18" xfId="0" applyNumberFormat="1" applyFont="1" applyFill="1" applyBorder="1"/>
    <xf numFmtId="4" fontId="28" fillId="0" borderId="18" xfId="0" applyNumberFormat="1" applyFont="1" applyFill="1" applyBorder="1" applyAlignment="1">
      <alignment horizontal="right"/>
    </xf>
    <xf numFmtId="4" fontId="26" fillId="0" borderId="18" xfId="0" applyNumberFormat="1" applyFont="1" applyFill="1" applyBorder="1"/>
    <xf numFmtId="4" fontId="8" fillId="0" borderId="18" xfId="0" applyNumberFormat="1" applyFont="1" applyFill="1" applyBorder="1"/>
    <xf numFmtId="9" fontId="5" fillId="0" borderId="0" xfId="0" applyNumberFormat="1" applyFont="1" applyFill="1" applyBorder="1"/>
    <xf numFmtId="4" fontId="5" fillId="0" borderId="15" xfId="0" applyNumberFormat="1" applyFont="1" applyFill="1" applyBorder="1"/>
    <xf numFmtId="4" fontId="5" fillId="0" borderId="16" xfId="0" applyNumberFormat="1" applyFont="1" applyFill="1" applyBorder="1"/>
    <xf numFmtId="37" fontId="18" fillId="0" borderId="0" xfId="0" applyFont="1" applyFill="1" applyBorder="1"/>
    <xf numFmtId="4" fontId="8" fillId="0" borderId="0" xfId="79" applyNumberFormat="1" applyFont="1" applyBorder="1"/>
    <xf numFmtId="9" fontId="8" fillId="0" borderId="0" xfId="79" applyNumberFormat="1" applyFont="1"/>
    <xf numFmtId="37" fontId="0" fillId="0" borderId="0" xfId="50" applyFont="1"/>
    <xf numFmtId="37" fontId="6" fillId="0" borderId="0" xfId="50" applyFont="1"/>
    <xf numFmtId="39" fontId="2" fillId="0" borderId="0" xfId="0" applyNumberFormat="1" applyFont="1"/>
    <xf numFmtId="10" fontId="26" fillId="0" borderId="16" xfId="0" applyNumberFormat="1" applyFont="1" applyFill="1" applyBorder="1"/>
    <xf numFmtId="169" fontId="0" fillId="0" borderId="17" xfId="0" applyNumberFormat="1" applyFont="1" applyFill="1" applyBorder="1"/>
    <xf numFmtId="9" fontId="26" fillId="0" borderId="17" xfId="0" applyNumberFormat="1" applyFont="1" applyFill="1" applyBorder="1"/>
    <xf numFmtId="4" fontId="0" fillId="0" borderId="17" xfId="0" applyNumberFormat="1" applyFont="1" applyFill="1" applyBorder="1"/>
    <xf numFmtId="37" fontId="0" fillId="0" borderId="17" xfId="0" applyFont="1" applyFill="1" applyBorder="1"/>
    <xf numFmtId="0" fontId="2" fillId="22" borderId="0" xfId="69" applyFont="1" applyFill="1" applyAlignment="1">
      <alignment vertical="top"/>
    </xf>
    <xf numFmtId="0" fontId="29" fillId="22" borderId="0" xfId="69" applyFont="1" applyFill="1" applyAlignment="1">
      <alignment horizontal="left" vertical="top"/>
    </xf>
    <xf numFmtId="0" fontId="18" fillId="22" borderId="0" xfId="69" applyFont="1" applyFill="1" applyAlignment="1">
      <alignment vertical="top"/>
    </xf>
    <xf numFmtId="37" fontId="61" fillId="22" borderId="23" xfId="0" applyFont="1" applyFill="1" applyBorder="1" applyAlignment="1">
      <alignment vertical="top"/>
    </xf>
    <xf numFmtId="37" fontId="62" fillId="0" borderId="0" xfId="0" applyFont="1"/>
    <xf numFmtId="2" fontId="8" fillId="0" borderId="20" xfId="0" applyNumberFormat="1" applyFont="1" applyBorder="1" applyAlignment="1">
      <alignment horizontal="right"/>
    </xf>
    <xf numFmtId="169" fontId="0" fillId="0" borderId="0" xfId="0" applyNumberFormat="1" applyFont="1" applyFill="1" applyBorder="1"/>
    <xf numFmtId="9" fontId="5" fillId="0" borderId="0" xfId="0" applyNumberFormat="1" applyFont="1" applyBorder="1"/>
    <xf numFmtId="37" fontId="0" fillId="0" borderId="0" xfId="0" applyFont="1" applyFill="1" applyBorder="1"/>
    <xf numFmtId="4" fontId="0" fillId="0" borderId="0" xfId="0" applyNumberFormat="1" applyFont="1" applyFill="1" applyBorder="1"/>
    <xf numFmtId="169" fontId="58" fillId="0" borderId="0" xfId="0" applyNumberFormat="1" applyFont="1" applyFill="1" applyBorder="1" applyAlignment="1">
      <alignment horizontal="right"/>
    </xf>
    <xf numFmtId="169" fontId="58" fillId="0" borderId="20" xfId="0" applyNumberFormat="1" applyFont="1" applyFill="1" applyBorder="1" applyAlignment="1">
      <alignment horizontal="right"/>
    </xf>
    <xf numFmtId="9" fontId="13" fillId="0" borderId="0" xfId="0" applyNumberFormat="1" applyFont="1"/>
    <xf numFmtId="9" fontId="13" fillId="0" borderId="0" xfId="0" applyNumberFormat="1" applyFont="1" applyFill="1"/>
    <xf numFmtId="3" fontId="13" fillId="0" borderId="0" xfId="0" applyNumberFormat="1" applyFont="1" applyBorder="1"/>
    <xf numFmtId="184" fontId="13" fillId="0" borderId="0" xfId="0" applyNumberFormat="1" applyFont="1" applyBorder="1"/>
    <xf numFmtId="3" fontId="0" fillId="0" borderId="0" xfId="0" applyNumberFormat="1" applyFont="1" applyFill="1"/>
    <xf numFmtId="172" fontId="26" fillId="0" borderId="18" xfId="50" applyNumberFormat="1" applyFont="1" applyBorder="1"/>
    <xf numFmtId="172" fontId="26" fillId="0" borderId="0" xfId="50" applyNumberFormat="1" applyFont="1"/>
    <xf numFmtId="0" fontId="2" fillId="22" borderId="0" xfId="64" applyFill="1" applyAlignment="1">
      <alignment vertical="top"/>
    </xf>
    <xf numFmtId="0" fontId="2" fillId="22" borderId="0" xfId="64" applyFill="1"/>
    <xf numFmtId="0" fontId="2" fillId="22" borderId="0" xfId="64" applyFont="1" applyFill="1" applyAlignment="1">
      <alignment vertical="top"/>
    </xf>
    <xf numFmtId="37" fontId="64" fillId="0" borderId="0" xfId="0" applyFont="1"/>
    <xf numFmtId="169" fontId="64" fillId="0" borderId="0" xfId="0" applyNumberFormat="1" applyFont="1"/>
    <xf numFmtId="39" fontId="64" fillId="0" borderId="0" xfId="0" applyNumberFormat="1" applyFont="1"/>
    <xf numFmtId="169" fontId="33" fillId="0" borderId="18" xfId="0" applyNumberFormat="1" applyFont="1" applyFill="1" applyBorder="1"/>
    <xf numFmtId="169" fontId="2" fillId="0" borderId="0" xfId="0" applyNumberFormat="1" applyFont="1" applyFill="1" applyBorder="1"/>
    <xf numFmtId="37" fontId="2" fillId="0" borderId="17" xfId="0" applyFont="1" applyFill="1" applyBorder="1"/>
    <xf numFmtId="37" fontId="2" fillId="0" borderId="0" xfId="0" applyFont="1" applyFill="1" applyBorder="1"/>
    <xf numFmtId="3" fontId="2" fillId="0" borderId="0" xfId="0" applyNumberFormat="1" applyFont="1" applyFill="1" applyBorder="1"/>
    <xf numFmtId="9" fontId="18" fillId="0" borderId="17" xfId="0" applyNumberFormat="1" applyFont="1" applyFill="1" applyBorder="1"/>
    <xf numFmtId="4" fontId="2" fillId="0" borderId="0" xfId="0" applyNumberFormat="1" applyFont="1" applyFill="1" applyBorder="1"/>
    <xf numFmtId="169" fontId="25" fillId="0" borderId="17" xfId="0" quotePrefix="1" applyNumberFormat="1" applyFont="1" applyFill="1" applyBorder="1" applyAlignment="1">
      <alignment horizontal="right"/>
    </xf>
    <xf numFmtId="169" fontId="25" fillId="0" borderId="17" xfId="0" quotePrefix="1" applyNumberFormat="1" applyFont="1" applyFill="1" applyBorder="1" applyAlignment="1">
      <alignment horizontal="right" vertical="top"/>
    </xf>
    <xf numFmtId="37" fontId="25" fillId="0" borderId="17" xfId="0" quotePrefix="1" applyFont="1" applyFill="1" applyBorder="1" applyAlignment="1">
      <alignment horizontal="right"/>
    </xf>
    <xf numFmtId="37" fontId="25" fillId="0" borderId="17" xfId="0" quotePrefix="1" applyFont="1" applyBorder="1" applyAlignment="1">
      <alignment horizontal="right" vertical="top"/>
    </xf>
    <xf numFmtId="37" fontId="25" fillId="0" borderId="17" xfId="0" quotePrefix="1" applyNumberFormat="1" applyFont="1" applyBorder="1" applyAlignment="1">
      <alignment horizontal="right" vertical="top"/>
    </xf>
    <xf numFmtId="4" fontId="0" fillId="0" borderId="0" xfId="0" applyNumberFormat="1" applyFill="1" applyBorder="1"/>
    <xf numFmtId="168" fontId="4" fillId="0" borderId="22" xfId="0" applyNumberFormat="1" applyFont="1" applyFill="1" applyBorder="1" applyAlignment="1" applyProtection="1">
      <alignment horizontal="right"/>
      <protection locked="0"/>
    </xf>
    <xf numFmtId="169" fontId="60" fillId="0" borderId="22" xfId="0" applyNumberFormat="1" applyFont="1" applyFill="1" applyBorder="1"/>
    <xf numFmtId="169" fontId="36" fillId="0" borderId="22" xfId="0" applyNumberFormat="1" applyFont="1" applyFill="1" applyBorder="1" applyAlignment="1">
      <alignment horizontal="right"/>
    </xf>
    <xf numFmtId="169" fontId="36" fillId="0" borderId="18" xfId="0" applyNumberFormat="1" applyFont="1" applyFill="1" applyBorder="1" applyAlignment="1">
      <alignment horizontal="right"/>
    </xf>
    <xf numFmtId="169" fontId="36" fillId="0" borderId="18" xfId="0" quotePrefix="1" applyNumberFormat="1" applyFont="1" applyFill="1" applyBorder="1" applyAlignment="1">
      <alignment horizontal="right"/>
    </xf>
    <xf numFmtId="37" fontId="25" fillId="0" borderId="22" xfId="0" applyFont="1" applyFill="1" applyBorder="1" applyAlignment="1">
      <alignment horizontal="right"/>
    </xf>
    <xf numFmtId="169" fontId="26" fillId="0" borderId="18" xfId="0" applyNumberFormat="1" applyFont="1" applyFill="1" applyBorder="1"/>
    <xf numFmtId="9" fontId="18" fillId="0" borderId="18" xfId="79" applyNumberFormat="1" applyFont="1" applyFill="1" applyBorder="1"/>
    <xf numFmtId="4" fontId="28" fillId="0" borderId="18" xfId="0" applyNumberFormat="1" applyFont="1" applyFill="1" applyBorder="1"/>
    <xf numFmtId="172" fontId="26" fillId="0" borderId="18" xfId="50" applyNumberFormat="1" applyFont="1" applyFill="1" applyBorder="1"/>
    <xf numFmtId="4" fontId="8" fillId="0" borderId="18" xfId="79" applyNumberFormat="1" applyFont="1" applyFill="1" applyBorder="1"/>
    <xf numFmtId="3" fontId="6" fillId="0" borderId="18" xfId="0" applyNumberFormat="1" applyFont="1" applyFill="1" applyBorder="1"/>
    <xf numFmtId="3" fontId="13" fillId="0" borderId="0" xfId="0" applyNumberFormat="1" applyFont="1" applyFill="1" applyBorder="1"/>
    <xf numFmtId="184" fontId="13" fillId="0" borderId="0" xfId="0" applyNumberFormat="1" applyFont="1" applyFill="1" applyBorder="1"/>
    <xf numFmtId="9" fontId="7" fillId="0" borderId="0" xfId="0" applyNumberFormat="1" applyFont="1" applyFill="1" applyBorder="1"/>
    <xf numFmtId="169" fontId="0" fillId="0" borderId="0" xfId="0" applyNumberFormat="1" applyFill="1" applyBorder="1"/>
    <xf numFmtId="37" fontId="0" fillId="0" borderId="18" xfId="0" applyFill="1" applyBorder="1"/>
    <xf numFmtId="37" fontId="0" fillId="0" borderId="0" xfId="0" applyNumberFormat="1" applyFont="1" applyFill="1"/>
    <xf numFmtId="37" fontId="0" fillId="0" borderId="18" xfId="0" applyNumberFormat="1" applyFont="1" applyFill="1" applyBorder="1"/>
    <xf numFmtId="37" fontId="0" fillId="0" borderId="0" xfId="0" applyFont="1" applyFill="1"/>
    <xf numFmtId="37" fontId="0" fillId="0" borderId="18" xfId="0" applyFont="1" applyFill="1" applyBorder="1"/>
    <xf numFmtId="4" fontId="0" fillId="0" borderId="18" xfId="0" applyNumberFormat="1" applyFill="1" applyBorder="1"/>
    <xf numFmtId="4" fontId="3" fillId="0" borderId="18" xfId="0" applyNumberFormat="1" applyFont="1" applyFill="1" applyBorder="1" applyAlignment="1" applyProtection="1">
      <alignment horizontal="right"/>
      <protection locked="0"/>
    </xf>
    <xf numFmtId="169" fontId="25" fillId="0" borderId="17" xfId="0" quotePrefix="1" applyNumberFormat="1" applyFont="1" applyBorder="1" applyAlignment="1">
      <alignment horizontal="right" vertical="top"/>
    </xf>
    <xf numFmtId="9" fontId="0" fillId="0" borderId="17" xfId="0" applyNumberFormat="1" applyFont="1" applyFill="1" applyBorder="1"/>
    <xf numFmtId="4" fontId="18" fillId="0" borderId="17" xfId="0" applyNumberFormat="1" applyFont="1" applyFill="1" applyBorder="1"/>
    <xf numFmtId="3" fontId="62" fillId="0" borderId="17" xfId="0" applyNumberFormat="1" applyFont="1" applyFill="1" applyBorder="1"/>
    <xf numFmtId="10" fontId="0" fillId="0" borderId="0" xfId="79" applyNumberFormat="1" applyFont="1"/>
    <xf numFmtId="37" fontId="0" fillId="0" borderId="0" xfId="0" applyAlignment="1">
      <alignment horizontal="center"/>
    </xf>
    <xf numFmtId="169" fontId="0" fillId="0" borderId="0" xfId="79" applyFont="1" applyAlignment="1">
      <alignment horizontal="center"/>
    </xf>
    <xf numFmtId="172" fontId="0" fillId="0" borderId="0" xfId="0" applyNumberFormat="1" applyAlignment="1">
      <alignment horizontal="center"/>
    </xf>
    <xf numFmtId="39" fontId="62" fillId="0" borderId="0" xfId="50" applyNumberFormat="1" applyFont="1"/>
    <xf numFmtId="39" fontId="8" fillId="0" borderId="0" xfId="50" applyNumberFormat="1" applyFont="1" applyFill="1"/>
    <xf numFmtId="0" fontId="8" fillId="27" borderId="0" xfId="68" applyFont="1" applyFill="1"/>
    <xf numFmtId="0" fontId="5" fillId="27" borderId="0" xfId="68" applyFont="1" applyFill="1" applyAlignment="1">
      <alignment horizontal="right"/>
    </xf>
    <xf numFmtId="0" fontId="5" fillId="27" borderId="0" xfId="68" applyFont="1" applyFill="1"/>
    <xf numFmtId="9" fontId="5" fillId="27" borderId="0" xfId="68" applyNumberFormat="1" applyFont="1" applyFill="1"/>
    <xf numFmtId="37" fontId="0" fillId="27" borderId="0" xfId="0" applyFill="1"/>
    <xf numFmtId="1" fontId="31" fillId="27" borderId="0" xfId="75" applyNumberFormat="1" applyFont="1" applyFill="1" applyAlignment="1">
      <alignment horizontal="right"/>
    </xf>
    <xf numFmtId="0" fontId="30" fillId="27" borderId="0" xfId="68" applyFont="1" applyFill="1" applyAlignment="1">
      <alignment horizontal="right"/>
    </xf>
    <xf numFmtId="2" fontId="30" fillId="27" borderId="0" xfId="75" applyNumberFormat="1" applyFont="1" applyFill="1" applyAlignment="1">
      <alignment horizontal="right"/>
    </xf>
    <xf numFmtId="0" fontId="30" fillId="27" borderId="0" xfId="75" applyFont="1" applyFill="1" applyAlignment="1">
      <alignment horizontal="right"/>
    </xf>
    <xf numFmtId="1" fontId="30" fillId="27" borderId="0" xfId="68" applyNumberFormat="1" applyFont="1" applyFill="1"/>
    <xf numFmtId="0" fontId="30" fillId="27" borderId="0" xfId="68" applyFont="1" applyFill="1"/>
    <xf numFmtId="2" fontId="17" fillId="27" borderId="0" xfId="75" applyNumberFormat="1" applyFont="1" applyFill="1" applyAlignment="1">
      <alignment horizontal="right"/>
    </xf>
    <xf numFmtId="0" fontId="8" fillId="27" borderId="0" xfId="75" applyFont="1" applyFill="1"/>
    <xf numFmtId="174" fontId="5" fillId="27" borderId="0" xfId="68" applyNumberFormat="1" applyFont="1" applyFill="1"/>
    <xf numFmtId="1" fontId="5" fillId="27" borderId="0" xfId="68" applyNumberFormat="1" applyFont="1" applyFill="1"/>
    <xf numFmtId="38" fontId="5" fillId="27" borderId="0" xfId="68" applyNumberFormat="1" applyFont="1" applyFill="1" applyAlignment="1">
      <alignment horizontal="right"/>
    </xf>
    <xf numFmtId="0" fontId="5" fillId="27" borderId="0" xfId="75" applyFont="1" applyFill="1"/>
    <xf numFmtId="38" fontId="8" fillId="27" borderId="0" xfId="68" applyNumberFormat="1" applyFont="1" applyFill="1" applyAlignment="1">
      <alignment horizontal="right"/>
    </xf>
    <xf numFmtId="40" fontId="8" fillId="27" borderId="0" xfId="68" applyNumberFormat="1" applyFont="1" applyFill="1" applyAlignment="1">
      <alignment horizontal="right"/>
    </xf>
    <xf numFmtId="4" fontId="5" fillId="27" borderId="0" xfId="68" applyNumberFormat="1" applyFont="1" applyFill="1"/>
    <xf numFmtId="40" fontId="5" fillId="27" borderId="0" xfId="68" applyNumberFormat="1" applyFont="1" applyFill="1" applyAlignment="1">
      <alignment horizontal="right"/>
    </xf>
    <xf numFmtId="171" fontId="5" fillId="27" borderId="0" xfId="68" applyNumberFormat="1" applyFont="1" applyFill="1" applyAlignment="1">
      <alignment horizontal="right"/>
    </xf>
    <xf numFmtId="1" fontId="5" fillId="27" borderId="0" xfId="68" applyNumberFormat="1" applyFont="1" applyFill="1" applyAlignment="1">
      <alignment horizontal="right"/>
    </xf>
    <xf numFmtId="0" fontId="5" fillId="27" borderId="20" xfId="75" applyFont="1" applyFill="1" applyBorder="1"/>
    <xf numFmtId="164" fontId="5" fillId="27" borderId="20" xfId="68" applyNumberFormat="1" applyFont="1" applyFill="1" applyBorder="1" applyAlignment="1">
      <alignment horizontal="right"/>
    </xf>
    <xf numFmtId="2" fontId="5" fillId="27" borderId="20" xfId="68" applyNumberFormat="1" applyFont="1" applyFill="1" applyBorder="1" applyAlignment="1">
      <alignment horizontal="right"/>
    </xf>
    <xf numFmtId="169" fontId="5" fillId="27" borderId="0" xfId="80" applyNumberFormat="1" applyFont="1" applyFill="1"/>
    <xf numFmtId="9" fontId="5" fillId="27" borderId="0" xfId="80" applyFont="1" applyFill="1"/>
    <xf numFmtId="171" fontId="8" fillId="27" borderId="0" xfId="68" applyNumberFormat="1" applyFont="1" applyFill="1" applyAlignment="1">
      <alignment horizontal="right"/>
    </xf>
    <xf numFmtId="169" fontId="5" fillId="27" borderId="0" xfId="80" applyNumberFormat="1" applyFont="1" applyFill="1" applyAlignment="1">
      <alignment horizontal="right"/>
    </xf>
    <xf numFmtId="0" fontId="5" fillId="27" borderId="0" xfId="68" applyFont="1" applyFill="1" applyBorder="1"/>
    <xf numFmtId="169" fontId="5" fillId="27" borderId="0" xfId="80" applyNumberFormat="1" applyFont="1" applyFill="1" applyBorder="1" applyAlignment="1">
      <alignment horizontal="right"/>
    </xf>
    <xf numFmtId="171" fontId="5" fillId="27" borderId="0" xfId="68" applyNumberFormat="1" applyFont="1" applyFill="1"/>
    <xf numFmtId="171" fontId="5" fillId="27" borderId="20" xfId="68" applyNumberFormat="1" applyFont="1" applyFill="1" applyBorder="1" applyAlignment="1">
      <alignment horizontal="right"/>
    </xf>
    <xf numFmtId="38" fontId="5" fillId="27" borderId="0" xfId="73" applyNumberFormat="1" applyFont="1" applyFill="1" applyBorder="1"/>
    <xf numFmtId="38" fontId="5" fillId="27" borderId="0" xfId="73" applyNumberFormat="1" applyFont="1" applyFill="1"/>
    <xf numFmtId="38" fontId="8" fillId="27" borderId="0" xfId="73" applyNumberFormat="1" applyFont="1" applyFill="1"/>
    <xf numFmtId="38" fontId="11" fillId="27" borderId="0" xfId="73" applyNumberFormat="1" applyFont="1" applyFill="1" applyAlignment="1">
      <alignment horizontal="right"/>
    </xf>
    <xf numFmtId="38" fontId="12" fillId="27" borderId="0" xfId="74" applyNumberFormat="1" applyFont="1" applyFill="1" applyAlignment="1">
      <alignment horizontal="right"/>
    </xf>
    <xf numFmtId="171" fontId="6" fillId="27" borderId="0" xfId="80" applyNumberFormat="1" applyFont="1" applyFill="1" applyAlignment="1">
      <alignment horizontal="right"/>
    </xf>
    <xf numFmtId="171" fontId="5" fillId="27" borderId="0" xfId="80" applyNumberFormat="1" applyFont="1" applyFill="1" applyAlignment="1">
      <alignment horizontal="right"/>
    </xf>
    <xf numFmtId="0" fontId="8" fillId="27" borderId="20" xfId="68" applyFont="1" applyFill="1" applyBorder="1"/>
    <xf numFmtId="38" fontId="11" fillId="27" borderId="20" xfId="73" applyNumberFormat="1" applyFont="1" applyFill="1" applyBorder="1" applyAlignment="1">
      <alignment horizontal="right"/>
    </xf>
    <xf numFmtId="38" fontId="8" fillId="27" borderId="20" xfId="73" applyNumberFormat="1" applyFont="1" applyFill="1" applyBorder="1" applyAlignment="1">
      <alignment horizontal="right"/>
    </xf>
    <xf numFmtId="38" fontId="5" fillId="27" borderId="0" xfId="68" applyNumberFormat="1" applyFont="1" applyFill="1"/>
    <xf numFmtId="169" fontId="8" fillId="27" borderId="0" xfId="68" applyNumberFormat="1" applyFont="1" applyFill="1" applyAlignment="1">
      <alignment horizontal="right"/>
    </xf>
    <xf numFmtId="0" fontId="8" fillId="27" borderId="0" xfId="68" applyFont="1" applyFill="1" applyBorder="1"/>
    <xf numFmtId="171" fontId="8" fillId="27" borderId="20" xfId="80" applyNumberFormat="1" applyFont="1" applyFill="1" applyBorder="1" applyAlignment="1">
      <alignment horizontal="right"/>
    </xf>
    <xf numFmtId="172" fontId="8" fillId="27" borderId="20" xfId="50" applyNumberFormat="1" applyFont="1" applyFill="1" applyBorder="1" applyAlignment="1">
      <alignment horizontal="right"/>
    </xf>
    <xf numFmtId="40" fontId="5" fillId="27" borderId="0" xfId="51" applyNumberFormat="1" applyFont="1" applyFill="1" applyAlignment="1">
      <alignment horizontal="right"/>
    </xf>
    <xf numFmtId="38" fontId="5" fillId="27" borderId="0" xfId="51" applyNumberFormat="1" applyFont="1" applyFill="1" applyAlignment="1">
      <alignment horizontal="right"/>
    </xf>
    <xf numFmtId="175" fontId="5" fillId="27" borderId="0" xfId="51" applyNumberFormat="1" applyFont="1" applyFill="1"/>
    <xf numFmtId="175" fontId="5" fillId="27" borderId="0" xfId="51" applyNumberFormat="1" applyFont="1" applyFill="1" applyAlignment="1">
      <alignment horizontal="right"/>
    </xf>
    <xf numFmtId="171" fontId="8" fillId="27" borderId="0" xfId="68" applyNumberFormat="1" applyFont="1" applyFill="1"/>
    <xf numFmtId="171" fontId="5" fillId="27" borderId="0" xfId="80" applyNumberFormat="1" applyFont="1" applyFill="1" applyBorder="1" applyAlignment="1">
      <alignment horizontal="right"/>
    </xf>
    <xf numFmtId="169" fontId="5" fillId="27" borderId="0" xfId="79" applyNumberFormat="1" applyFont="1" applyFill="1" applyBorder="1" applyAlignment="1">
      <alignment horizontal="right"/>
    </xf>
    <xf numFmtId="1" fontId="8" fillId="27" borderId="0" xfId="68" applyNumberFormat="1" applyFont="1" applyFill="1" applyBorder="1"/>
    <xf numFmtId="1" fontId="5" fillId="27" borderId="0" xfId="80" applyNumberFormat="1" applyFont="1" applyFill="1" applyBorder="1" applyAlignment="1">
      <alignment horizontal="right"/>
    </xf>
    <xf numFmtId="9" fontId="8" fillId="27" borderId="20" xfId="80" applyFont="1" applyFill="1" applyBorder="1" applyAlignment="1">
      <alignment horizontal="right"/>
    </xf>
    <xf numFmtId="169" fontId="8" fillId="27" borderId="0" xfId="80" applyNumberFormat="1" applyFont="1" applyFill="1"/>
    <xf numFmtId="169" fontId="8" fillId="27" borderId="0" xfId="80" applyNumberFormat="1" applyFont="1" applyFill="1" applyAlignment="1">
      <alignment horizontal="right"/>
    </xf>
    <xf numFmtId="0" fontId="13" fillId="27" borderId="0" xfId="68" applyFont="1" applyFill="1"/>
    <xf numFmtId="174" fontId="5" fillId="27" borderId="0" xfId="51" applyNumberFormat="1" applyFont="1" applyFill="1"/>
    <xf numFmtId="169" fontId="6" fillId="27" borderId="0" xfId="80" applyNumberFormat="1" applyFont="1" applyFill="1"/>
    <xf numFmtId="169" fontId="7" fillId="27" borderId="0" xfId="80" applyNumberFormat="1" applyFont="1" applyFill="1"/>
    <xf numFmtId="169" fontId="30" fillId="27" borderId="0" xfId="80" applyNumberFormat="1" applyFont="1" applyFill="1"/>
    <xf numFmtId="166" fontId="6" fillId="27" borderId="0" xfId="51" applyFont="1" applyFill="1"/>
    <xf numFmtId="166" fontId="30" fillId="27" borderId="0" xfId="51" applyFont="1" applyFill="1"/>
    <xf numFmtId="3" fontId="5" fillId="27" borderId="0" xfId="68" applyNumberFormat="1" applyFont="1" applyFill="1" applyAlignment="1">
      <alignment horizontal="right"/>
    </xf>
    <xf numFmtId="9" fontId="6" fillId="27" borderId="0" xfId="68" applyNumberFormat="1" applyFont="1" applyFill="1"/>
    <xf numFmtId="1" fontId="6" fillId="27" borderId="0" xfId="68" applyNumberFormat="1" applyFont="1" applyFill="1"/>
    <xf numFmtId="1" fontId="8" fillId="27" borderId="0" xfId="68" applyNumberFormat="1" applyFont="1" applyFill="1"/>
    <xf numFmtId="9" fontId="5" fillId="27" borderId="0" xfId="80" applyNumberFormat="1" applyFont="1" applyFill="1"/>
    <xf numFmtId="2" fontId="5" fillId="27" borderId="0" xfId="68" applyNumberFormat="1" applyFont="1" applyFill="1" applyAlignment="1">
      <alignment horizontal="right"/>
    </xf>
    <xf numFmtId="3" fontId="5" fillId="27" borderId="0" xfId="68" applyNumberFormat="1" applyFont="1" applyFill="1"/>
    <xf numFmtId="174" fontId="5" fillId="27" borderId="0" xfId="68" applyNumberFormat="1" applyFont="1" applyFill="1" applyAlignment="1">
      <alignment horizontal="right"/>
    </xf>
    <xf numFmtId="173" fontId="5" fillId="27" borderId="0" xfId="68" applyNumberFormat="1" applyFont="1" applyFill="1" applyAlignment="1">
      <alignment horizontal="right"/>
    </xf>
    <xf numFmtId="169" fontId="2" fillId="27" borderId="0" xfId="79" applyFont="1" applyFill="1"/>
    <xf numFmtId="0" fontId="2" fillId="27" borderId="0" xfId="75" applyFont="1" applyFill="1"/>
    <xf numFmtId="169" fontId="2" fillId="27" borderId="0" xfId="79" applyNumberFormat="1" applyFont="1" applyFill="1"/>
    <xf numFmtId="0" fontId="66" fillId="28" borderId="20" xfId="75" applyFont="1" applyFill="1" applyBorder="1"/>
    <xf numFmtId="1" fontId="66" fillId="28" borderId="20" xfId="75" applyNumberFormat="1" applyFont="1" applyFill="1" applyBorder="1" applyAlignment="1">
      <alignment horizontal="right"/>
    </xf>
    <xf numFmtId="37" fontId="67" fillId="28" borderId="0" xfId="0" applyFont="1" applyFill="1"/>
    <xf numFmtId="0" fontId="8" fillId="29" borderId="0" xfId="75" applyFont="1" applyFill="1"/>
    <xf numFmtId="0" fontId="5" fillId="29" borderId="0" xfId="68" applyFont="1" applyFill="1" applyAlignment="1">
      <alignment horizontal="right"/>
    </xf>
    <xf numFmtId="0" fontId="5" fillId="29" borderId="0" xfId="68" applyFont="1" applyFill="1"/>
    <xf numFmtId="174" fontId="2" fillId="29" borderId="0" xfId="68" applyNumberFormat="1" applyFill="1"/>
    <xf numFmtId="174" fontId="5" fillId="29" borderId="0" xfId="68" applyNumberFormat="1" applyFont="1" applyFill="1"/>
    <xf numFmtId="177" fontId="5" fillId="29" borderId="0" xfId="68" applyNumberFormat="1" applyFont="1" applyFill="1"/>
    <xf numFmtId="171" fontId="5" fillId="29" borderId="0" xfId="68" applyNumberFormat="1" applyFont="1" applyFill="1" applyAlignment="1">
      <alignment horizontal="right"/>
    </xf>
    <xf numFmtId="9" fontId="5" fillId="29" borderId="0" xfId="68" applyNumberFormat="1" applyFont="1" applyFill="1"/>
    <xf numFmtId="0" fontId="8" fillId="29" borderId="0" xfId="73" applyFont="1" applyFill="1"/>
    <xf numFmtId="176" fontId="5" fillId="29" borderId="0" xfId="72" applyNumberFormat="1" applyFont="1" applyFill="1" applyAlignment="1">
      <alignment horizontal="right"/>
    </xf>
    <xf numFmtId="174" fontId="5" fillId="29" borderId="0" xfId="51" applyNumberFormat="1" applyFont="1" applyFill="1" applyAlignment="1">
      <alignment horizontal="right"/>
    </xf>
    <xf numFmtId="171" fontId="5" fillId="29" borderId="0" xfId="68" applyNumberFormat="1" applyFont="1" applyFill="1"/>
    <xf numFmtId="37" fontId="5" fillId="29" borderId="0" xfId="50" applyFont="1" applyFill="1"/>
    <xf numFmtId="40" fontId="5" fillId="29" borderId="0" xfId="51" applyNumberFormat="1" applyFont="1" applyFill="1" applyAlignment="1">
      <alignment horizontal="right"/>
    </xf>
    <xf numFmtId="4" fontId="5" fillId="29" borderId="0" xfId="68" applyNumberFormat="1" applyFont="1" applyFill="1"/>
    <xf numFmtId="37" fontId="25" fillId="0" borderId="20" xfId="0" quotePrefix="1" applyFont="1" applyFill="1" applyBorder="1" applyAlignment="1">
      <alignment horizontal="right"/>
    </xf>
    <xf numFmtId="39" fontId="25" fillId="0" borderId="0" xfId="0" applyNumberFormat="1" applyFont="1" applyFill="1" applyBorder="1" applyAlignment="1">
      <alignment horizontal="right"/>
    </xf>
    <xf numFmtId="37" fontId="2" fillId="0" borderId="0" xfId="50" applyNumberFormat="1" applyFont="1" applyFill="1"/>
    <xf numFmtId="169" fontId="18" fillId="0" borderId="0" xfId="79" applyNumberFormat="1" applyFont="1"/>
    <xf numFmtId="4" fontId="68" fillId="0" borderId="15" xfId="0" applyNumberFormat="1" applyFont="1" applyFill="1" applyBorder="1"/>
    <xf numFmtId="4" fontId="68" fillId="0" borderId="0" xfId="0" applyNumberFormat="1" applyFont="1" applyFill="1" applyBorder="1"/>
    <xf numFmtId="37" fontId="68" fillId="0" borderId="0" xfId="0" applyFont="1" applyFill="1" applyBorder="1"/>
    <xf numFmtId="37" fontId="8" fillId="0" borderId="0" xfId="0" applyFont="1" applyAlignment="1">
      <alignment horizontal="center"/>
    </xf>
    <xf numFmtId="10" fontId="0" fillId="0" borderId="0" xfId="79" applyNumberFormat="1" applyFont="1" applyAlignment="1">
      <alignment horizontal="center"/>
    </xf>
    <xf numFmtId="169" fontId="0" fillId="0" borderId="0" xfId="79" applyNumberFormat="1" applyFont="1" applyAlignment="1">
      <alignment horizontal="center"/>
    </xf>
    <xf numFmtId="171" fontId="2" fillId="27" borderId="0" xfId="80" applyNumberFormat="1" applyFont="1" applyFill="1" applyAlignment="1">
      <alignment horizontal="right"/>
    </xf>
    <xf numFmtId="169" fontId="25" fillId="0" borderId="0" xfId="0" applyNumberFormat="1" applyFont="1" applyFill="1" applyBorder="1" applyAlignment="1">
      <alignment horizontal="right" vertical="top"/>
    </xf>
    <xf numFmtId="37" fontId="36" fillId="0" borderId="0" xfId="0" applyNumberFormat="1" applyFont="1" applyFill="1" applyBorder="1"/>
    <xf numFmtId="169" fontId="25" fillId="0" borderId="0" xfId="0" quotePrefix="1" applyNumberFormat="1" applyFont="1" applyBorder="1" applyAlignment="1">
      <alignment horizontal="right" vertical="top"/>
    </xf>
    <xf numFmtId="169" fontId="25" fillId="0" borderId="0" xfId="0" quotePrefix="1" applyNumberFormat="1" applyFont="1" applyFill="1" applyBorder="1" applyAlignment="1">
      <alignment horizontal="right" vertical="top"/>
    </xf>
    <xf numFmtId="37" fontId="25" fillId="0" borderId="0" xfId="0" quotePrefix="1" applyFont="1" applyBorder="1" applyAlignment="1">
      <alignment horizontal="right" vertical="top"/>
    </xf>
    <xf numFmtId="37" fontId="25" fillId="0" borderId="0" xfId="0" quotePrefix="1" applyNumberFormat="1" applyFont="1" applyBorder="1" applyAlignment="1">
      <alignment horizontal="right" vertical="top"/>
    </xf>
    <xf numFmtId="1" fontId="1" fillId="0" borderId="0" xfId="0" applyNumberFormat="1" applyFont="1" applyBorder="1" applyAlignment="1">
      <alignment horizontal="right"/>
    </xf>
    <xf numFmtId="169" fontId="25" fillId="0" borderId="18" xfId="0" quotePrefix="1" applyNumberFormat="1" applyFont="1" applyBorder="1" applyAlignment="1">
      <alignment horizontal="right" vertical="top"/>
    </xf>
    <xf numFmtId="169" fontId="25" fillId="0" borderId="18" xfId="0" quotePrefix="1" applyNumberFormat="1" applyFont="1" applyFill="1" applyBorder="1" applyAlignment="1">
      <alignment horizontal="right" vertical="top"/>
    </xf>
    <xf numFmtId="37" fontId="25" fillId="0" borderId="18" xfId="0" quotePrefix="1" applyFont="1" applyBorder="1" applyAlignment="1">
      <alignment horizontal="right" vertical="top"/>
    </xf>
    <xf numFmtId="37" fontId="25" fillId="0" borderId="18" xfId="0" quotePrefix="1" applyNumberFormat="1" applyFont="1" applyBorder="1" applyAlignment="1">
      <alignment horizontal="right" vertical="top"/>
    </xf>
    <xf numFmtId="1" fontId="1" fillId="0" borderId="18" xfId="0" applyNumberFormat="1" applyFont="1" applyBorder="1" applyAlignment="1">
      <alignment horizontal="right"/>
    </xf>
    <xf numFmtId="169" fontId="0" fillId="0" borderId="0" xfId="0" applyNumberFormat="1" applyFont="1"/>
    <xf numFmtId="37" fontId="69" fillId="0" borderId="0" xfId="0" applyFont="1"/>
    <xf numFmtId="179" fontId="0" fillId="0" borderId="0" xfId="0" applyNumberFormat="1" applyBorder="1"/>
    <xf numFmtId="37" fontId="68" fillId="30" borderId="0" xfId="0" applyFont="1" applyFill="1" applyBorder="1"/>
    <xf numFmtId="169" fontId="25" fillId="0" borderId="17" xfId="79" quotePrefix="1" applyFont="1" applyBorder="1" applyAlignment="1">
      <alignment horizontal="right" vertical="top"/>
    </xf>
    <xf numFmtId="169" fontId="25" fillId="0" borderId="20" xfId="79" quotePrefix="1" applyFont="1" applyFill="1" applyBorder="1" applyAlignment="1">
      <alignment horizontal="right"/>
    </xf>
    <xf numFmtId="169" fontId="25" fillId="0" borderId="17" xfId="0" applyNumberFormat="1" applyFont="1" applyFill="1" applyBorder="1" applyAlignment="1">
      <alignment horizontal="right" vertical="top"/>
    </xf>
    <xf numFmtId="172" fontId="5" fillId="27" borderId="0" xfId="50" applyNumberFormat="1" applyFont="1" applyFill="1"/>
    <xf numFmtId="169" fontId="0" fillId="0" borderId="0" xfId="79" applyFont="1" applyAlignment="1">
      <alignment horizontal="right"/>
    </xf>
    <xf numFmtId="10" fontId="0" fillId="0" borderId="0" xfId="79" applyNumberFormat="1" applyFont="1" applyAlignment="1">
      <alignment horizontal="right"/>
    </xf>
    <xf numFmtId="169" fontId="36" fillId="0" borderId="19" xfId="0" applyNumberFormat="1" applyFont="1" applyFill="1" applyBorder="1" applyAlignment="1">
      <alignment horizontal="right"/>
    </xf>
    <xf numFmtId="169" fontId="0" fillId="27" borderId="0" xfId="79" applyFont="1" applyFill="1"/>
    <xf numFmtId="169" fontId="0" fillId="0" borderId="0" xfId="79" applyNumberFormat="1" applyFont="1" applyAlignment="1">
      <alignment horizontal="right"/>
    </xf>
    <xf numFmtId="9" fontId="18" fillId="0" borderId="0" xfId="79" applyNumberFormat="1" applyFont="1" applyAlignment="1">
      <alignment horizontal="right"/>
    </xf>
    <xf numFmtId="39" fontId="25" fillId="0" borderId="0" xfId="0" quotePrefix="1" applyNumberFormat="1" applyFont="1" applyBorder="1" applyAlignment="1">
      <alignment horizontal="right" vertical="top"/>
    </xf>
    <xf numFmtId="169" fontId="26" fillId="0" borderId="0" xfId="79" applyFont="1"/>
    <xf numFmtId="169" fontId="25" fillId="0" borderId="0" xfId="0" applyNumberFormat="1" applyFont="1" applyFill="1" applyAlignment="1">
      <alignment horizontal="right" vertical="top"/>
    </xf>
    <xf numFmtId="169" fontId="25" fillId="0" borderId="18" xfId="0" applyNumberFormat="1" applyFont="1" applyFill="1" applyBorder="1" applyAlignment="1">
      <alignment horizontal="right" vertical="top"/>
    </xf>
    <xf numFmtId="169" fontId="33" fillId="0" borderId="0" xfId="79" quotePrefix="1" applyFont="1" applyAlignment="1">
      <alignment horizontal="right"/>
    </xf>
    <xf numFmtId="37" fontId="33" fillId="0" borderId="0" xfId="0" quotePrefix="1" applyFont="1" applyAlignment="1">
      <alignment horizontal="right"/>
    </xf>
    <xf numFmtId="37" fontId="33" fillId="0" borderId="18" xfId="0" quotePrefix="1" applyFont="1" applyBorder="1" applyAlignment="1">
      <alignment horizontal="right"/>
    </xf>
    <xf numFmtId="37" fontId="33" fillId="0" borderId="0" xfId="0" applyFont="1" applyAlignment="1">
      <alignment horizontal="right"/>
    </xf>
    <xf numFmtId="4" fontId="0" fillId="0" borderId="17" xfId="0" applyNumberFormat="1" applyFont="1" applyBorder="1" applyAlignment="1">
      <alignment horizontal="right"/>
    </xf>
    <xf numFmtId="4" fontId="0" fillId="0" borderId="0" xfId="0" applyNumberFormat="1" applyFont="1" applyAlignment="1">
      <alignment horizontal="right"/>
    </xf>
    <xf numFmtId="4" fontId="0" fillId="0" borderId="18" xfId="0" applyNumberFormat="1" applyFont="1" applyBorder="1" applyAlignment="1">
      <alignment horizontal="right"/>
    </xf>
    <xf numFmtId="4" fontId="6" fillId="0" borderId="17" xfId="0" applyNumberFormat="1" applyFont="1" applyBorder="1" applyAlignment="1">
      <alignment horizontal="right"/>
    </xf>
    <xf numFmtId="4" fontId="6" fillId="0" borderId="0" xfId="0" applyNumberFormat="1" applyFont="1" applyAlignment="1">
      <alignment horizontal="right"/>
    </xf>
    <xf numFmtId="4" fontId="6" fillId="0" borderId="18" xfId="0" applyNumberFormat="1" applyFont="1" applyBorder="1" applyAlignment="1">
      <alignment horizontal="right"/>
    </xf>
    <xf numFmtId="169" fontId="24" fillId="0" borderId="17" xfId="0" applyNumberFormat="1" applyFont="1" applyBorder="1" applyAlignment="1">
      <alignment horizontal="right"/>
    </xf>
    <xf numFmtId="169" fontId="0" fillId="0" borderId="0" xfId="0" applyNumberFormat="1" applyFont="1" applyBorder="1" applyAlignment="1">
      <alignment horizontal="right"/>
    </xf>
    <xf numFmtId="169" fontId="8" fillId="0" borderId="17" xfId="0" applyNumberFormat="1" applyFont="1" applyBorder="1" applyAlignment="1">
      <alignment horizontal="right"/>
    </xf>
    <xf numFmtId="169" fontId="8" fillId="0" borderId="0" xfId="0" applyNumberFormat="1" applyFont="1" applyBorder="1" applyAlignment="1">
      <alignment horizontal="right"/>
    </xf>
    <xf numFmtId="169" fontId="8" fillId="0" borderId="18" xfId="0" applyNumberFormat="1" applyFont="1" applyBorder="1" applyAlignment="1">
      <alignment horizontal="right"/>
    </xf>
    <xf numFmtId="169" fontId="36" fillId="0" borderId="17" xfId="0" applyNumberFormat="1" applyFont="1" applyFill="1" applyBorder="1" applyAlignment="1">
      <alignment horizontal="right"/>
    </xf>
    <xf numFmtId="169" fontId="36" fillId="0" borderId="0" xfId="0" applyNumberFormat="1" applyFont="1" applyFill="1" applyAlignment="1">
      <alignment horizontal="right"/>
    </xf>
    <xf numFmtId="37" fontId="26" fillId="0" borderId="14" xfId="0" applyFont="1" applyBorder="1" applyAlignment="1">
      <alignment horizontal="right"/>
    </xf>
    <xf numFmtId="37" fontId="26" fillId="0" borderId="15" xfId="0" applyFont="1" applyBorder="1" applyAlignment="1">
      <alignment horizontal="right"/>
    </xf>
    <xf numFmtId="37" fontId="26" fillId="0" borderId="16" xfId="0" applyFont="1" applyBorder="1" applyAlignment="1">
      <alignment horizontal="right"/>
    </xf>
    <xf numFmtId="169" fontId="0" fillId="0" borderId="17" xfId="0" applyNumberFormat="1" applyFont="1" applyBorder="1" applyAlignment="1">
      <alignment horizontal="right"/>
    </xf>
    <xf numFmtId="169" fontId="0" fillId="0" borderId="0" xfId="0" applyNumberFormat="1" applyFont="1" applyAlignment="1">
      <alignment horizontal="right"/>
    </xf>
    <xf numFmtId="169" fontId="0" fillId="0" borderId="17" xfId="0" applyNumberFormat="1" applyFont="1" applyFill="1" applyBorder="1" applyAlignment="1">
      <alignment horizontal="right"/>
    </xf>
    <xf numFmtId="169" fontId="0" fillId="0" borderId="0" xfId="0" applyNumberFormat="1" applyFont="1" applyFill="1" applyAlignment="1">
      <alignment horizontal="right"/>
    </xf>
    <xf numFmtId="169" fontId="1" fillId="0" borderId="17" xfId="0" applyNumberFormat="1" applyFont="1" applyFill="1" applyBorder="1" applyAlignment="1">
      <alignment horizontal="right"/>
    </xf>
    <xf numFmtId="169" fontId="8" fillId="0" borderId="0" xfId="0" applyNumberFormat="1" applyFont="1" applyFill="1" applyAlignment="1">
      <alignment horizontal="right"/>
    </xf>
    <xf numFmtId="169" fontId="33" fillId="0" borderId="0" xfId="0" applyNumberFormat="1" applyFont="1" applyFill="1" applyBorder="1" applyAlignment="1">
      <alignment horizontal="right"/>
    </xf>
    <xf numFmtId="169" fontId="24" fillId="0" borderId="17" xfId="0" applyNumberFormat="1" applyFont="1" applyFill="1" applyBorder="1" applyAlignment="1">
      <alignment horizontal="right"/>
    </xf>
    <xf numFmtId="169" fontId="24" fillId="0" borderId="0" xfId="0" applyNumberFormat="1" applyFont="1" applyFill="1" applyAlignment="1">
      <alignment horizontal="right"/>
    </xf>
    <xf numFmtId="169" fontId="24" fillId="0" borderId="18" xfId="0" applyNumberFormat="1" applyFont="1" applyFill="1" applyBorder="1" applyAlignment="1">
      <alignment horizontal="right"/>
    </xf>
    <xf numFmtId="37" fontId="26" fillId="0" borderId="14" xfId="0" applyFont="1" applyFill="1" applyBorder="1" applyAlignment="1">
      <alignment horizontal="right"/>
    </xf>
    <xf numFmtId="37" fontId="26" fillId="0" borderId="15" xfId="0" applyFont="1" applyFill="1" applyBorder="1" applyAlignment="1">
      <alignment horizontal="right"/>
    </xf>
    <xf numFmtId="37" fontId="26" fillId="0" borderId="16" xfId="0" applyFont="1" applyFill="1" applyBorder="1" applyAlignment="1">
      <alignment horizontal="right"/>
    </xf>
    <xf numFmtId="9" fontId="5" fillId="0" borderId="17" xfId="0" applyNumberFormat="1" applyFont="1" applyBorder="1" applyAlignment="1">
      <alignment horizontal="right"/>
    </xf>
    <xf numFmtId="9" fontId="5" fillId="0" borderId="0" xfId="0" applyNumberFormat="1" applyFont="1" applyBorder="1" applyAlignment="1">
      <alignment horizontal="right"/>
    </xf>
    <xf numFmtId="9" fontId="5" fillId="0" borderId="18" xfId="0" applyNumberFormat="1" applyFont="1" applyBorder="1" applyAlignment="1">
      <alignment horizontal="right"/>
    </xf>
    <xf numFmtId="3" fontId="65" fillId="0" borderId="17" xfId="0" applyNumberFormat="1" applyFont="1" applyFill="1" applyBorder="1" applyAlignment="1">
      <alignment horizontal="right"/>
    </xf>
    <xf numFmtId="3" fontId="65" fillId="0" borderId="0" xfId="0" applyNumberFormat="1" applyFont="1" applyFill="1" applyAlignment="1">
      <alignment horizontal="right"/>
    </xf>
    <xf numFmtId="3" fontId="65" fillId="0" borderId="18" xfId="0" applyNumberFormat="1" applyFont="1" applyFill="1" applyBorder="1" applyAlignment="1">
      <alignment horizontal="right"/>
    </xf>
    <xf numFmtId="37" fontId="0" fillId="0" borderId="17" xfId="0" applyFont="1" applyFill="1" applyBorder="1" applyAlignment="1">
      <alignment horizontal="right"/>
    </xf>
    <xf numFmtId="37" fontId="0" fillId="0" borderId="0" xfId="0" applyNumberFormat="1" applyFont="1" applyFill="1" applyAlignment="1">
      <alignment horizontal="right"/>
    </xf>
    <xf numFmtId="37" fontId="5" fillId="0" borderId="17" xfId="0" applyFont="1" applyFill="1" applyBorder="1" applyAlignment="1">
      <alignment horizontal="right"/>
    </xf>
    <xf numFmtId="37" fontId="0" fillId="0" borderId="0" xfId="0" applyFont="1" applyFill="1" applyAlignment="1">
      <alignment horizontal="right"/>
    </xf>
    <xf numFmtId="37" fontId="33" fillId="0" borderId="18" xfId="0" applyFont="1" applyFill="1" applyBorder="1" applyAlignment="1">
      <alignment horizontal="right"/>
    </xf>
    <xf numFmtId="37" fontId="0" fillId="0" borderId="0" xfId="0" applyFont="1" applyFill="1" applyBorder="1" applyAlignment="1">
      <alignment horizontal="right"/>
    </xf>
    <xf numFmtId="37" fontId="68" fillId="0" borderId="0" xfId="0" applyFont="1" applyFill="1" applyBorder="1" applyAlignment="1">
      <alignment horizontal="right"/>
    </xf>
    <xf numFmtId="37" fontId="8" fillId="0" borderId="17" xfId="0" applyFont="1" applyFill="1" applyBorder="1" applyAlignment="1">
      <alignment horizontal="right"/>
    </xf>
    <xf numFmtId="37" fontId="8" fillId="0" borderId="0" xfId="0" applyFont="1" applyFill="1" applyBorder="1" applyAlignment="1">
      <alignment horizontal="right"/>
    </xf>
    <xf numFmtId="37" fontId="36" fillId="0" borderId="17" xfId="0" applyNumberFormat="1" applyFont="1" applyFill="1" applyBorder="1" applyAlignment="1">
      <alignment horizontal="right"/>
    </xf>
    <xf numFmtId="37" fontId="36" fillId="0" borderId="0" xfId="0" applyNumberFormat="1" applyFont="1" applyFill="1" applyBorder="1" applyAlignment="1">
      <alignment horizontal="right"/>
    </xf>
    <xf numFmtId="37" fontId="36" fillId="0" borderId="18" xfId="0" applyNumberFormat="1" applyFont="1" applyFill="1" applyBorder="1" applyAlignment="1">
      <alignment horizontal="right"/>
    </xf>
    <xf numFmtId="4" fontId="26" fillId="0" borderId="17" xfId="0" applyNumberFormat="1" applyFont="1" applyFill="1" applyBorder="1" applyAlignment="1">
      <alignment horizontal="right"/>
    </xf>
    <xf numFmtId="4" fontId="26" fillId="0" borderId="0" xfId="0" applyNumberFormat="1" applyFont="1" applyFill="1" applyAlignment="1">
      <alignment horizontal="right"/>
    </xf>
    <xf numFmtId="4" fontId="26" fillId="0" borderId="18" xfId="0" applyNumberFormat="1" applyFont="1" applyFill="1" applyBorder="1" applyAlignment="1">
      <alignment horizontal="right"/>
    </xf>
    <xf numFmtId="169" fontId="1" fillId="0" borderId="0" xfId="0" applyNumberFormat="1" applyFont="1" applyFill="1" applyAlignment="1">
      <alignment horizontal="right"/>
    </xf>
    <xf numFmtId="169" fontId="5" fillId="0" borderId="0" xfId="0" applyNumberFormat="1" applyFont="1" applyFill="1" applyBorder="1" applyAlignment="1">
      <alignment horizontal="right"/>
    </xf>
    <xf numFmtId="169" fontId="5" fillId="0" borderId="17" xfId="0" applyNumberFormat="1" applyFont="1" applyFill="1" applyBorder="1" applyAlignment="1">
      <alignment horizontal="right"/>
    </xf>
    <xf numFmtId="169" fontId="5" fillId="0" borderId="0" xfId="0" applyNumberFormat="1" applyFont="1" applyAlignment="1">
      <alignment horizontal="right"/>
    </xf>
    <xf numFmtId="169" fontId="5" fillId="0" borderId="18" xfId="0" applyNumberFormat="1" applyFont="1" applyBorder="1" applyAlignment="1">
      <alignment horizontal="right"/>
    </xf>
    <xf numFmtId="37" fontId="33" fillId="0" borderId="17" xfId="0" quotePrefix="1" applyFont="1" applyBorder="1" applyAlignment="1">
      <alignment horizontal="right"/>
    </xf>
    <xf numFmtId="37" fontId="8" fillId="0" borderId="18" xfId="0" applyFont="1" applyFill="1" applyBorder="1" applyAlignment="1">
      <alignment horizontal="right"/>
    </xf>
    <xf numFmtId="169" fontId="26" fillId="0" borderId="17" xfId="0" applyNumberFormat="1" applyFont="1" applyBorder="1" applyAlignment="1">
      <alignment horizontal="right"/>
    </xf>
    <xf numFmtId="169" fontId="26" fillId="0" borderId="0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3" fontId="26" fillId="0" borderId="17" xfId="0" applyNumberFormat="1" applyFont="1" applyBorder="1" applyAlignment="1">
      <alignment horizontal="right"/>
    </xf>
    <xf numFmtId="3" fontId="2" fillId="0" borderId="0" xfId="0" applyNumberFormat="1" applyFont="1" applyFill="1" applyBorder="1" applyAlignment="1">
      <alignment horizontal="right"/>
    </xf>
    <xf numFmtId="3" fontId="2" fillId="0" borderId="18" xfId="0" applyNumberFormat="1" applyFont="1" applyFill="1" applyBorder="1" applyAlignment="1">
      <alignment horizontal="right"/>
    </xf>
    <xf numFmtId="4" fontId="8" fillId="25" borderId="17" xfId="0" applyNumberFormat="1" applyFont="1" applyFill="1" applyBorder="1" applyAlignment="1">
      <alignment horizontal="right"/>
    </xf>
    <xf numFmtId="4" fontId="8" fillId="25" borderId="0" xfId="0" applyNumberFormat="1" applyFont="1" applyFill="1" applyBorder="1" applyAlignment="1">
      <alignment horizontal="right"/>
    </xf>
    <xf numFmtId="4" fontId="8" fillId="25" borderId="18" xfId="0" applyNumberFormat="1" applyFont="1" applyFill="1" applyBorder="1" applyAlignment="1">
      <alignment horizontal="right"/>
    </xf>
    <xf numFmtId="9" fontId="18" fillId="0" borderId="17" xfId="0" applyNumberFormat="1" applyFont="1" applyFill="1" applyBorder="1" applyAlignment="1">
      <alignment horizontal="right"/>
    </xf>
    <xf numFmtId="9" fontId="18" fillId="0" borderId="18" xfId="79" applyNumberFormat="1" applyFont="1" applyBorder="1" applyAlignment="1">
      <alignment horizontal="right"/>
    </xf>
    <xf numFmtId="4" fontId="26" fillId="0" borderId="17" xfId="0" applyNumberFormat="1" applyFont="1" applyBorder="1" applyAlignment="1">
      <alignment horizontal="right"/>
    </xf>
    <xf numFmtId="4" fontId="26" fillId="0" borderId="0" xfId="0" applyNumberFormat="1" applyFont="1" applyAlignment="1">
      <alignment horizontal="right"/>
    </xf>
    <xf numFmtId="4" fontId="26" fillId="0" borderId="18" xfId="0" applyNumberFormat="1" applyFont="1" applyBorder="1" applyAlignment="1">
      <alignment horizontal="right"/>
    </xf>
    <xf numFmtId="172" fontId="26" fillId="0" borderId="17" xfId="50" applyNumberFormat="1" applyFont="1" applyBorder="1" applyAlignment="1">
      <alignment horizontal="right"/>
    </xf>
    <xf numFmtId="172" fontId="26" fillId="0" borderId="0" xfId="50" applyNumberFormat="1" applyFont="1" applyAlignment="1">
      <alignment horizontal="right"/>
    </xf>
    <xf numFmtId="172" fontId="26" fillId="0" borderId="18" xfId="50" applyNumberFormat="1" applyFont="1" applyBorder="1" applyAlignment="1">
      <alignment horizontal="right"/>
    </xf>
    <xf numFmtId="4" fontId="8" fillId="0" borderId="18" xfId="0" applyNumberFormat="1" applyFont="1" applyFill="1" applyBorder="1" applyAlignment="1">
      <alignment horizontal="right"/>
    </xf>
    <xf numFmtId="37" fontId="26" fillId="0" borderId="17" xfId="0" applyFont="1" applyBorder="1" applyAlignment="1">
      <alignment horizontal="right"/>
    </xf>
    <xf numFmtId="37" fontId="26" fillId="0" borderId="0" xfId="0" applyFont="1" applyAlignment="1">
      <alignment horizontal="right"/>
    </xf>
    <xf numFmtId="37" fontId="26" fillId="0" borderId="18" xfId="0" applyFont="1" applyBorder="1" applyAlignment="1">
      <alignment horizontal="right"/>
    </xf>
    <xf numFmtId="3" fontId="26" fillId="0" borderId="0" xfId="0" applyNumberFormat="1" applyFont="1" applyAlignment="1">
      <alignment horizontal="right"/>
    </xf>
    <xf numFmtId="3" fontId="26" fillId="0" borderId="18" xfId="0" applyNumberFormat="1" applyFont="1" applyBorder="1" applyAlignment="1">
      <alignment horizontal="right"/>
    </xf>
    <xf numFmtId="3" fontId="6" fillId="0" borderId="17" xfId="0" applyNumberFormat="1" applyFont="1" applyFill="1" applyBorder="1" applyAlignment="1">
      <alignment horizontal="right"/>
    </xf>
    <xf numFmtId="3" fontId="6" fillId="0" borderId="0" xfId="0" applyNumberFormat="1" applyFont="1" applyFill="1" applyBorder="1" applyAlignment="1">
      <alignment horizontal="right"/>
    </xf>
    <xf numFmtId="3" fontId="6" fillId="0" borderId="18" xfId="0" applyNumberFormat="1" applyFont="1" applyFill="1" applyBorder="1" applyAlignment="1">
      <alignment horizontal="right"/>
    </xf>
    <xf numFmtId="3" fontId="6" fillId="0" borderId="17" xfId="0" applyNumberFormat="1" applyFont="1" applyBorder="1" applyAlignment="1">
      <alignment horizontal="right"/>
    </xf>
    <xf numFmtId="3" fontId="6" fillId="0" borderId="0" xfId="0" applyNumberFormat="1" applyFont="1" applyAlignment="1">
      <alignment horizontal="right"/>
    </xf>
    <xf numFmtId="3" fontId="6" fillId="0" borderId="18" xfId="0" applyNumberFormat="1" applyFont="1" applyBorder="1" applyAlignment="1">
      <alignment horizontal="right"/>
    </xf>
    <xf numFmtId="3" fontId="26" fillId="0" borderId="0" xfId="0" applyNumberFormat="1" applyFont="1" applyBorder="1" applyAlignment="1">
      <alignment horizontal="right"/>
    </xf>
    <xf numFmtId="184" fontId="13" fillId="0" borderId="17" xfId="0" applyNumberFormat="1" applyFont="1" applyBorder="1" applyAlignment="1">
      <alignment horizontal="right"/>
    </xf>
    <xf numFmtId="184" fontId="13" fillId="0" borderId="0" xfId="0" applyNumberFormat="1" applyFont="1" applyBorder="1" applyAlignment="1">
      <alignment horizontal="right"/>
    </xf>
    <xf numFmtId="184" fontId="13" fillId="0" borderId="18" xfId="0" applyNumberFormat="1" applyFont="1" applyBorder="1" applyAlignment="1">
      <alignment horizontal="right"/>
    </xf>
    <xf numFmtId="9" fontId="7" fillId="0" borderId="0" xfId="0" applyNumberFormat="1" applyFont="1" applyBorder="1" applyAlignment="1">
      <alignment horizontal="right"/>
    </xf>
    <xf numFmtId="4" fontId="0" fillId="0" borderId="0" xfId="0" applyNumberFormat="1" applyBorder="1" applyAlignment="1">
      <alignment horizontal="right"/>
    </xf>
    <xf numFmtId="169" fontId="0" fillId="0" borderId="0" xfId="0" applyNumberFormat="1" applyBorder="1" applyAlignment="1">
      <alignment horizontal="right"/>
    </xf>
    <xf numFmtId="37" fontId="0" fillId="26" borderId="0" xfId="0" applyFill="1" applyAlignment="1">
      <alignment horizontal="right"/>
    </xf>
    <xf numFmtId="4" fontId="0" fillId="0" borderId="0" xfId="0" applyNumberFormat="1" applyFill="1" applyBorder="1" applyAlignment="1">
      <alignment horizontal="right"/>
    </xf>
    <xf numFmtId="4" fontId="0" fillId="0" borderId="0" xfId="0" applyNumberFormat="1" applyAlignment="1">
      <alignment horizontal="right"/>
    </xf>
    <xf numFmtId="4" fontId="3" fillId="0" borderId="0" xfId="52" applyNumberFormat="1" applyFont="1" applyFill="1" applyBorder="1" applyAlignment="1" applyProtection="1">
      <alignment horizontal="right"/>
      <protection locked="0"/>
    </xf>
    <xf numFmtId="4" fontId="3" fillId="23" borderId="0" xfId="52" applyNumberFormat="1" applyFont="1" applyFill="1" applyBorder="1" applyAlignment="1" applyProtection="1">
      <alignment horizontal="right"/>
      <protection locked="0"/>
    </xf>
    <xf numFmtId="4" fontId="8" fillId="0" borderId="0" xfId="0" applyNumberFormat="1" applyFont="1" applyAlignment="1">
      <alignment horizontal="right"/>
    </xf>
    <xf numFmtId="172" fontId="0" fillId="0" borderId="0" xfId="0" applyNumberFormat="1" applyAlignment="1">
      <alignment horizontal="right"/>
    </xf>
    <xf numFmtId="37" fontId="0" fillId="0" borderId="0" xfId="0" applyFill="1" applyAlignment="1">
      <alignment horizontal="right"/>
    </xf>
    <xf numFmtId="3" fontId="6" fillId="0" borderId="0" xfId="0" applyNumberFormat="1" applyFont="1" applyFill="1"/>
    <xf numFmtId="37" fontId="8" fillId="0" borderId="0" xfId="0" applyFont="1" applyAlignment="1">
      <alignment horizontal="center"/>
    </xf>
    <xf numFmtId="37" fontId="8" fillId="0" borderId="0" xfId="0" applyFont="1" applyAlignment="1">
      <alignment horizontal="center"/>
    </xf>
    <xf numFmtId="169" fontId="25" fillId="0" borderId="0" xfId="79" quotePrefix="1" applyFont="1" applyBorder="1" applyAlignment="1">
      <alignment horizontal="right" vertical="top"/>
    </xf>
    <xf numFmtId="169" fontId="25" fillId="0" borderId="0" xfId="79" quotePrefix="1" applyFont="1" applyFill="1" applyBorder="1" applyAlignment="1">
      <alignment horizontal="right"/>
    </xf>
    <xf numFmtId="1" fontId="1" fillId="0" borderId="20" xfId="0" applyNumberFormat="1" applyFont="1" applyBorder="1" applyAlignment="1">
      <alignment horizontal="right"/>
    </xf>
    <xf numFmtId="4" fontId="6" fillId="0" borderId="17" xfId="0" applyNumberFormat="1" applyFont="1" applyBorder="1"/>
    <xf numFmtId="169" fontId="0" fillId="0" borderId="17" xfId="0" applyNumberFormat="1" applyFont="1" applyBorder="1"/>
    <xf numFmtId="169" fontId="36" fillId="0" borderId="17" xfId="0" applyNumberFormat="1" applyFont="1" applyFill="1" applyBorder="1"/>
    <xf numFmtId="9" fontId="6" fillId="0" borderId="17" xfId="0" applyNumberFormat="1" applyFont="1" applyFill="1" applyBorder="1"/>
    <xf numFmtId="3" fontId="7" fillId="0" borderId="17" xfId="0" applyNumberFormat="1" applyFont="1" applyBorder="1"/>
    <xf numFmtId="37" fontId="36" fillId="0" borderId="17" xfId="0" applyNumberFormat="1" applyFont="1" applyFill="1" applyBorder="1"/>
    <xf numFmtId="169" fontId="17" fillId="0" borderId="17" xfId="0" applyNumberFormat="1" applyFont="1" applyBorder="1"/>
    <xf numFmtId="37" fontId="33" fillId="0" borderId="17" xfId="0" applyFont="1" applyBorder="1" applyAlignment="1">
      <alignment horizontal="right"/>
    </xf>
    <xf numFmtId="169" fontId="25" fillId="0" borderId="19" xfId="79" quotePrefix="1" applyFont="1" applyFill="1" applyBorder="1" applyAlignment="1">
      <alignment horizontal="right"/>
    </xf>
    <xf numFmtId="9" fontId="18" fillId="0" borderId="17" xfId="79" applyNumberFormat="1" applyFont="1" applyBorder="1"/>
    <xf numFmtId="172" fontId="26" fillId="0" borderId="17" xfId="50" applyNumberFormat="1" applyFont="1" applyBorder="1"/>
    <xf numFmtId="4" fontId="8" fillId="0" borderId="17" xfId="79" applyNumberFormat="1" applyFont="1" applyBorder="1"/>
    <xf numFmtId="3" fontId="6" fillId="0" borderId="17" xfId="0" applyNumberFormat="1" applyFont="1" applyFill="1" applyBorder="1"/>
    <xf numFmtId="3" fontId="6" fillId="0" borderId="17" xfId="0" applyNumberFormat="1" applyFont="1" applyBorder="1"/>
    <xf numFmtId="184" fontId="13" fillId="0" borderId="17" xfId="0" applyNumberFormat="1" applyFont="1" applyBorder="1"/>
    <xf numFmtId="169" fontId="36" fillId="0" borderId="20" xfId="0" applyNumberFormat="1" applyFont="1" applyFill="1" applyBorder="1" applyAlignment="1">
      <alignment horizontal="right"/>
    </xf>
    <xf numFmtId="1" fontId="1" fillId="0" borderId="19" xfId="0" applyNumberFormat="1" applyFont="1" applyBorder="1" applyAlignment="1">
      <alignment horizontal="right"/>
    </xf>
    <xf numFmtId="169" fontId="25" fillId="0" borderId="17" xfId="79" quotePrefix="1" applyFont="1" applyFill="1" applyBorder="1" applyAlignment="1">
      <alignment horizontal="right"/>
    </xf>
    <xf numFmtId="169" fontId="62" fillId="0" borderId="0" xfId="0" applyNumberFormat="1" applyFont="1"/>
    <xf numFmtId="4" fontId="0" fillId="0" borderId="0" xfId="0" applyNumberFormat="1" applyFont="1"/>
    <xf numFmtId="169" fontId="0" fillId="0" borderId="18" xfId="0" applyNumberFormat="1" applyFont="1" applyBorder="1" applyAlignment="1">
      <alignment horizontal="right"/>
    </xf>
    <xf numFmtId="169" fontId="0" fillId="0" borderId="18" xfId="0" applyNumberFormat="1" applyFont="1" applyFill="1" applyBorder="1" applyAlignment="1">
      <alignment horizontal="right"/>
    </xf>
    <xf numFmtId="169" fontId="1" fillId="0" borderId="18" xfId="0" applyNumberFormat="1" applyFont="1" applyFill="1" applyBorder="1" applyAlignment="1">
      <alignment horizontal="right"/>
    </xf>
    <xf numFmtId="169" fontId="2" fillId="0" borderId="0" xfId="79" applyFont="1"/>
    <xf numFmtId="169" fontId="1" fillId="0" borderId="0" xfId="0" applyNumberFormat="1" applyFont="1"/>
    <xf numFmtId="9" fontId="0" fillId="0" borderId="0" xfId="0" applyNumberFormat="1" applyFont="1" applyFill="1"/>
    <xf numFmtId="37" fontId="0" fillId="0" borderId="18" xfId="0" applyNumberFormat="1" applyFont="1" applyFill="1" applyBorder="1" applyAlignment="1">
      <alignment horizontal="right"/>
    </xf>
    <xf numFmtId="1" fontId="1" fillId="0" borderId="17" xfId="0" applyNumberFormat="1" applyFont="1" applyBorder="1" applyAlignment="1">
      <alignment horizontal="right"/>
    </xf>
    <xf numFmtId="10" fontId="33" fillId="0" borderId="0" xfId="79" applyNumberFormat="1" applyFont="1"/>
    <xf numFmtId="169" fontId="62" fillId="27" borderId="0" xfId="0" applyNumberFormat="1" applyFont="1" applyFill="1"/>
    <xf numFmtId="169" fontId="17" fillId="27" borderId="0" xfId="0" applyNumberFormat="1" applyFont="1" applyFill="1"/>
    <xf numFmtId="169" fontId="70" fillId="27" borderId="17" xfId="0" applyNumberFormat="1" applyFont="1" applyFill="1" applyBorder="1"/>
    <xf numFmtId="3" fontId="68" fillId="0" borderId="0" xfId="0" applyNumberFormat="1" applyFont="1" applyFill="1"/>
    <xf numFmtId="37" fontId="62" fillId="30" borderId="0" xfId="0" applyNumberFormat="1" applyFont="1" applyFill="1" applyBorder="1" applyAlignment="1">
      <alignment horizontal="right"/>
    </xf>
    <xf numFmtId="37" fontId="62" fillId="30" borderId="0" xfId="0" applyFont="1" applyFill="1"/>
    <xf numFmtId="37" fontId="61" fillId="22" borderId="0" xfId="0" applyFont="1" applyFill="1" applyAlignment="1">
      <alignment vertical="top"/>
    </xf>
    <xf numFmtId="37" fontId="63" fillId="22" borderId="0" xfId="0" applyFont="1" applyFill="1" applyAlignment="1">
      <alignment vertical="top"/>
    </xf>
    <xf numFmtId="37" fontId="0" fillId="22" borderId="0" xfId="0" applyFill="1" applyAlignment="1">
      <alignment vertical="top"/>
    </xf>
    <xf numFmtId="0" fontId="2" fillId="0" borderId="0" xfId="64"/>
    <xf numFmtId="2" fontId="2" fillId="0" borderId="0" xfId="64" applyNumberFormat="1" applyAlignment="1">
      <alignment horizontal="left"/>
    </xf>
    <xf numFmtId="0" fontId="2" fillId="0" borderId="0" xfId="64" applyNumberFormat="1" applyAlignment="1">
      <alignment horizontal="left"/>
    </xf>
    <xf numFmtId="1" fontId="2" fillId="0" borderId="0" xfId="64" applyNumberFormat="1" applyAlignment="1">
      <alignment horizontal="left"/>
    </xf>
    <xf numFmtId="0" fontId="2" fillId="0" borderId="0" xfId="64" applyFont="1"/>
    <xf numFmtId="185" fontId="2" fillId="0" borderId="0" xfId="64" applyNumberFormat="1" applyAlignment="1">
      <alignment horizontal="left"/>
    </xf>
    <xf numFmtId="49" fontId="2" fillId="0" borderId="0" xfId="64" applyNumberFormat="1"/>
    <xf numFmtId="37" fontId="0" fillId="22" borderId="24" xfId="0" applyFill="1" applyBorder="1" applyAlignment="1">
      <alignment vertical="top"/>
    </xf>
    <xf numFmtId="37" fontId="61" fillId="22" borderId="0" xfId="0" applyFont="1" applyFill="1" applyAlignment="1">
      <alignment vertical="top"/>
    </xf>
    <xf numFmtId="37" fontId="61" fillId="22" borderId="26" xfId="0" applyFont="1" applyFill="1" applyBorder="1" applyAlignment="1">
      <alignment vertical="top"/>
    </xf>
    <xf numFmtId="37" fontId="61" fillId="22" borderId="27" xfId="0" applyFont="1" applyFill="1" applyBorder="1" applyAlignment="1">
      <alignment vertical="top"/>
    </xf>
    <xf numFmtId="37" fontId="61" fillId="22" borderId="28" xfId="0" applyFont="1" applyFill="1" applyBorder="1" applyAlignment="1">
      <alignment vertical="top"/>
    </xf>
    <xf numFmtId="37" fontId="63" fillId="22" borderId="0" xfId="0" applyFont="1" applyFill="1" applyAlignment="1">
      <alignment vertical="top"/>
    </xf>
    <xf numFmtId="37" fontId="0" fillId="22" borderId="0" xfId="0" applyFill="1" applyAlignment="1">
      <alignment vertical="top"/>
    </xf>
    <xf numFmtId="37" fontId="0" fillId="22" borderId="25" xfId="0" applyFill="1" applyBorder="1" applyAlignment="1">
      <alignment vertical="top"/>
    </xf>
    <xf numFmtId="9" fontId="61" fillId="22" borderId="23" xfId="0" applyNumberFormat="1" applyFont="1" applyFill="1" applyBorder="1" applyAlignment="1">
      <alignment vertical="top"/>
    </xf>
  </cellXfs>
  <cellStyles count="101">
    <cellStyle name="%" xfId="1"/>
    <cellStyle name="_SUMMARY " xfId="2"/>
    <cellStyle name="_SUMMARY _672895.RCL.N" xfId="3"/>
    <cellStyle name="_SUMMARY _672895.RCL.N_678964.RCL.N" xfId="4"/>
    <cellStyle name="_SUMMARY _672895.RCL.N_679038.RCL.N" xfId="5"/>
    <cellStyle name="_SUMMARY _672895.RCL.N_AC_RCL_newOLD_20Feb15" xfId="6"/>
    <cellStyle name="=C:\WINNT35\SYSTEM32\COMMAND.COM" xfId="7"/>
    <cellStyle name="0_Capex &amp; Depreciation " xfId="8"/>
    <cellStyle name="0_Capex &amp; Depreciation _672895.RCL.N" xfId="9"/>
    <cellStyle name="0_Capex &amp; Depreciation _672895.RCL.N_678964.RCL.N" xfId="10"/>
    <cellStyle name="0_Capex &amp; Depreciation _672895.RCL.N_679038.RCL.N" xfId="11"/>
    <cellStyle name="0_Capex &amp; Depreciation _672895.RCL.N_AC_RCL_newOLD_20Feb15" xfId="12"/>
    <cellStyle name="0_Valuing BP " xfId="13"/>
    <cellStyle name="0_Valuing BP _672895.RCL.N" xfId="14"/>
    <cellStyle name="0_Valuing BP _672895.RCL.N_678964.RCL.N" xfId="15"/>
    <cellStyle name="0_Valuing BP _672895.RCL.N_679038.RCL.N" xfId="16"/>
    <cellStyle name="0_Valuing BP _672895.RCL.N_AC_RCL_newOLD_20Feb15" xfId="17"/>
    <cellStyle name="20% - Accent1" xfId="18" builtinId="30" customBuiltin="1"/>
    <cellStyle name="20% - Accent2" xfId="19" builtinId="34" customBuiltin="1"/>
    <cellStyle name="20% - Accent3" xfId="20" builtinId="38" customBuiltin="1"/>
    <cellStyle name="20% - Accent4" xfId="21" builtinId="42" customBuiltin="1"/>
    <cellStyle name="20% - Accent5" xfId="22" builtinId="46" customBuiltin="1"/>
    <cellStyle name="20% - Accent6" xfId="23" builtinId="50" customBuiltin="1"/>
    <cellStyle name="40% - Accent1" xfId="24" builtinId="31" customBuiltin="1"/>
    <cellStyle name="40% - Accent2" xfId="25" builtinId="35" customBuiltin="1"/>
    <cellStyle name="40% - Accent3" xfId="26" builtinId="39" customBuiltin="1"/>
    <cellStyle name="40% - Accent4" xfId="27" builtinId="43" customBuiltin="1"/>
    <cellStyle name="40% - Accent5" xfId="28" builtinId="47" customBuiltin="1"/>
    <cellStyle name="40% - Accent6" xfId="29" builtinId="51" customBuiltin="1"/>
    <cellStyle name="60% - Accent1" xfId="30" builtinId="32" customBuiltin="1"/>
    <cellStyle name="60% - Accent2" xfId="31" builtinId="36" customBuiltin="1"/>
    <cellStyle name="60% - Accent3" xfId="32" builtinId="40" customBuiltin="1"/>
    <cellStyle name="60% - Accent4" xfId="33" builtinId="44" customBuiltin="1"/>
    <cellStyle name="60% - Accent5" xfId="34" builtinId="48" customBuiltin="1"/>
    <cellStyle name="60% - Accent6" xfId="35" builtinId="52" customBuiltin="1"/>
    <cellStyle name="Accent1" xfId="36" builtinId="29" customBuiltin="1"/>
    <cellStyle name="Accent2" xfId="37" builtinId="33" customBuiltin="1"/>
    <cellStyle name="Accent3" xfId="38" builtinId="37" customBuiltin="1"/>
    <cellStyle name="Accent4" xfId="39" builtinId="41" customBuiltin="1"/>
    <cellStyle name="Accent5" xfId="40" builtinId="45" customBuiltin="1"/>
    <cellStyle name="Accent6" xfId="41" builtinId="49" customBuiltin="1"/>
    <cellStyle name="Bad" xfId="42" builtinId="27" customBuiltin="1"/>
    <cellStyle name="c_HardInc " xfId="43"/>
    <cellStyle name="c_HardInc _672895.RCL.N" xfId="44"/>
    <cellStyle name="c_HardInc _672895.RCL.N_678964.RCL.N" xfId="45"/>
    <cellStyle name="c_HardInc _672895.RCL.N_679038.RCL.N" xfId="46"/>
    <cellStyle name="c_HardInc _672895.RCL.N_AC_RCL_newOLD_20Feb15" xfId="47"/>
    <cellStyle name="Calculation" xfId="48" builtinId="22" customBuiltin="1"/>
    <cellStyle name="Check Cell" xfId="49" builtinId="23" customBuiltin="1"/>
    <cellStyle name="Comma" xfId="50" builtinId="3"/>
    <cellStyle name="Comma_AC_InterContinental" xfId="51"/>
    <cellStyle name="Currency" xfId="52" builtinId="4"/>
    <cellStyle name="Currency 2" xfId="53"/>
    <cellStyle name="Explanatory Text" xfId="54" builtinId="53" customBuiltin="1"/>
    <cellStyle name="Good" xfId="55" builtinId="26" customBuiltin="1"/>
    <cellStyle name="Heading 1" xfId="56" builtinId="16" customBuiltin="1"/>
    <cellStyle name="Heading 2" xfId="57" builtinId="17" customBuiltin="1"/>
    <cellStyle name="Heading 3" xfId="58" builtinId="18" customBuiltin="1"/>
    <cellStyle name="Heading 4" xfId="59" builtinId="19" customBuiltin="1"/>
    <cellStyle name="Hyperlink_ParkPlaza_Public" xfId="60"/>
    <cellStyle name="Input" xfId="61" builtinId="20" customBuiltin="1"/>
    <cellStyle name="Linked Cell" xfId="62" builtinId="24" customBuiltin="1"/>
    <cellStyle name="Neutral" xfId="63" builtinId="28" customBuiltin="1"/>
    <cellStyle name="Normal" xfId="0" builtinId="0"/>
    <cellStyle name="Normal 2" xfId="64"/>
    <cellStyle name="Normal 3" xfId="65"/>
    <cellStyle name="Normal 4" xfId="66"/>
    <cellStyle name="Normal 5" xfId="67"/>
    <cellStyle name="Normal 6" xfId="100"/>
    <cellStyle name="Normal_AC_InterContinental" xfId="68"/>
    <cellStyle name="Normal_DisclaimerSheet Samples" xfId="69"/>
    <cellStyle name="Normal_ParkPlaza_Public" xfId="70"/>
    <cellStyle name="Normal_RCL_Public" xfId="71"/>
    <cellStyle name="Normal_SJH - Summary" xfId="72"/>
    <cellStyle name="Normal_SJH_Balance sheet" xfId="73"/>
    <cellStyle name="Normal_SJH_Balance sheet_1" xfId="74"/>
    <cellStyle name="Normal_Summary" xfId="75"/>
    <cellStyle name="Note" xfId="76" builtinId="10" customBuiltin="1"/>
    <cellStyle name="Output" xfId="77" builtinId="21" customBuiltin="1"/>
    <cellStyle name="p " xfId="78"/>
    <cellStyle name="Percent" xfId="79" builtinId="5"/>
    <cellStyle name="Percent_AC_InterContinental" xfId="80"/>
    <cellStyle name="Percent_RCL_Public" xfId="81"/>
    <cellStyle name="RRSInstruction" xfId="82"/>
    <cellStyle name="RRSInstruction 2" xfId="83"/>
    <cellStyle name="s_HardInc " xfId="84"/>
    <cellStyle name="s_HardInc _672895.RCL.N" xfId="85"/>
    <cellStyle name="s_HardInc _672895.RCL.N_678964.RCL.N" xfId="86"/>
    <cellStyle name="s_HardInc _672895.RCL.N_679038.RCL.N" xfId="87"/>
    <cellStyle name="s_HardInc _672895.RCL.N_AC_RCL_newOLD_20Feb15" xfId="88"/>
    <cellStyle name="s_Valuation " xfId="89"/>
    <cellStyle name="s_Valuation _672895.RCL.N" xfId="90"/>
    <cellStyle name="s_Valuation _672895.RCL.N_678964.RCL.N" xfId="91"/>
    <cellStyle name="s_Valuation _672895.RCL.N_679038.RCL.N" xfId="92"/>
    <cellStyle name="s_Valuation _672895.RCL.N_AC_RCL_newOLD_20Feb15" xfId="93"/>
    <cellStyle name="ssp " xfId="94"/>
    <cellStyle name="Style 1" xfId="95"/>
    <cellStyle name="Style 2" xfId="96"/>
    <cellStyle name="Title" xfId="97" builtinId="15" customBuiltin="1"/>
    <cellStyle name="Total" xfId="98" builtinId="25" customBuiltin="1"/>
    <cellStyle name="Warning Text" xfId="99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74BE74"/>
      <rgbColor rgb="002270AB"/>
      <rgbColor rgb="00F8CD14"/>
      <rgbColor rgb="00F26163"/>
      <rgbColor rgb="00A8D7E2"/>
      <rgbColor rgb="00B2122B"/>
      <rgbColor rgb="00238B45"/>
      <rgbColor rgb="001B4694"/>
      <rgbColor rgb="0041A95C"/>
      <rgbColor rgb="00800080"/>
      <rgbColor rgb="00238B45"/>
      <rgbColor rgb="00C0C0C0"/>
      <rgbColor rgb="00808080"/>
      <rgbColor rgb="00137CB1"/>
      <rgbColor rgb="00EACC80"/>
      <rgbColor rgb="004AAC6B"/>
      <rgbColor rgb="00A8D7E2"/>
      <rgbColor rgb="00E58061"/>
      <rgbColor rgb="00BCE3A1"/>
      <rgbColor rgb="008E466A"/>
      <rgbColor rgb="00F3A7A9"/>
      <rgbColor rgb="001275A6"/>
      <rgbColor rgb="00E5BF61"/>
      <rgbColor rgb="004AAC6B"/>
      <rgbColor rgb="0097D0DD"/>
      <rgbColor rgb="00763A58"/>
      <rgbColor rgb="00EF8D8F"/>
      <rgbColor rgb="00E2704C"/>
      <rgbColor rgb="00A5D981"/>
      <rgbColor rgb="0069ADCA"/>
      <rgbColor rgb="00C6D9E2"/>
      <rgbColor rgb="00E3EEDE"/>
      <rgbColor rgb="00F3EEA1"/>
      <rgbColor rgb="009DC9DC"/>
      <rgbColor rgb="00EFC1D2"/>
      <rgbColor rgb="009DC9DC"/>
      <rgbColor rgb="00EFC49F"/>
      <rgbColor rgb="004091BF"/>
      <rgbColor rgb="0097D0DD"/>
      <rgbColor rgb="00A5D981"/>
      <rgbColor rgb="00F8CD14"/>
      <rgbColor rgb="00EACC80"/>
      <rgbColor rgb="00FC7114"/>
      <rgbColor rgb="004091BF"/>
      <rgbColor rgb="00969696"/>
      <rgbColor rgb="00003366"/>
      <rgbColor rgb="0041A95C"/>
      <rgbColor rgb="00125A31"/>
      <rgbColor rgb="00125A31"/>
      <rgbColor rgb="00DDDDDD"/>
      <rgbColor rgb="008E466A"/>
      <rgbColor rgb="001B4694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
<Relationships xmlns="http://schemas.openxmlformats.org/package/2006/relationships">
<Relationship Id="rId1" Target="worksheets/sheet1.xml" Type="http://schemas.openxmlformats.org/officeDocument/2006/relationships/worksheet"/>
<Relationship Id="rId10" Target="worksheets/sheet10.xml" Type="http://schemas.openxmlformats.org/officeDocument/2006/relationships/worksheet"/>
<Relationship Id="rId11" Target="worksheets/sheet11.xml" Type="http://schemas.openxmlformats.org/officeDocument/2006/relationships/worksheet"/>
<Relationship Id="rId12" Target="theme/theme1.xml" Type="http://schemas.openxmlformats.org/officeDocument/2006/relationships/theme"/>
<Relationship Id="rId13" Target="styles.xml" Type="http://schemas.openxmlformats.org/officeDocument/2006/relationships/styles"/>
<Relationship Id="rId14" Target="sharedStrings.xml" Type="http://schemas.openxmlformats.org/officeDocument/2006/relationships/sharedStrings"/>
<Relationship Id="rId15" Target="calcChain.xml" Type="http://schemas.openxmlformats.org/officeDocument/2006/relationships/calcChain"/>
<Relationship Id="rId16" Target="../customXml/item1.xml" Type="http://schemas.openxmlformats.org/officeDocument/2006/relationships/customXml"/>
<Relationship Id="rId17" Target="../customXml/item2.xml" Type="http://schemas.openxmlformats.org/officeDocument/2006/relationships/customXml"/>
<Relationship Id="rId18" Target="vbaProject.bin" Type="http://schemas.microsoft.com/office/2006/relationships/vbaProject"/>
<Relationship Id="rId2" Target="worksheets/sheet2.xml" Type="http://schemas.openxmlformats.org/officeDocument/2006/relationships/worksheet"/>
<Relationship Id="rId3" Target="worksheets/sheet3.xml" Type="http://schemas.openxmlformats.org/officeDocument/2006/relationships/worksheet"/>
<Relationship Id="rId4" Target="worksheets/sheet4.xml" Type="http://schemas.openxmlformats.org/officeDocument/2006/relationships/worksheet"/>
<Relationship Id="rId5" Target="worksheets/sheet5.xml" Type="http://schemas.openxmlformats.org/officeDocument/2006/relationships/worksheet"/>
<Relationship Id="rId6" Target="worksheets/sheet6.xml" Type="http://schemas.openxmlformats.org/officeDocument/2006/relationships/worksheet"/>
<Relationship Id="rId7" Target="worksheets/sheet7.xml" Type="http://schemas.openxmlformats.org/officeDocument/2006/relationships/worksheet"/>
<Relationship Id="rId8" Target="worksheets/sheet8.xml" Type="http://schemas.openxmlformats.org/officeDocument/2006/relationships/worksheet"/>
<Relationship Id="rId9" Target="worksheets/sheet9.xml" Type="http://schemas.openxmlformats.org/officeDocument/2006/relationships/worksheet"/>
</Relationships>
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357590966122965E-2"/>
          <c:y val="5.602721113249013E-2"/>
          <c:w val="0.87327478042659978"/>
          <c:h val="0.84040816698735188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'Sum&amp;Val'!$A$120</c:f>
              <c:strCache>
                <c:ptCount val="1"/>
                <c:pt idx="0">
                  <c:v>Operating margin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invertIfNegative val="0"/>
          <c:cat>
            <c:numRef>
              <c:f>'Sum&amp;Val'!$G$3:$P$3</c:f>
              <c:numCache>
                <c:formatCode>0</c:formatCode>
                <c:ptCount val="6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</c:numCache>
            </c:numRef>
          </c:cat>
          <c:val>
            <c:numRef>
              <c:f>'Sum&amp;Val'!$G$120:$P$120</c:f>
              <c:numCache>
                <c:formatCode>0.0%</c:formatCode>
                <c:ptCount val="6"/>
                <c:pt idx="0">
                  <c:v>0.12735198104867559</c:v>
                </c:pt>
                <c:pt idx="1">
                  <c:v>8.2941499460255613E-2</c:v>
                </c:pt>
                <c:pt idx="2">
                  <c:v>0.11886449826612461</c:v>
                </c:pt>
                <c:pt idx="3">
                  <c:v>0.12360295773147366</c:v>
                </c:pt>
                <c:pt idx="4">
                  <c:v>0.10256913870196031</c:v>
                </c:pt>
                <c:pt idx="5">
                  <c:v>0.11129666123450303</c:v>
                </c:pt>
              </c:numCache>
            </c:numRef>
          </c:val>
        </c:ser>
        <c:ser>
          <c:idx val="0"/>
          <c:order val="1"/>
          <c:tx>
            <c:strRef>
              <c:f>'Sum&amp;Val'!$A$119</c:f>
              <c:strCache>
                <c:ptCount val="1"/>
                <c:pt idx="0">
                  <c:v>Fuel as % revenue</c:v>
                </c:pt>
              </c:strCache>
            </c:strRef>
          </c:tx>
          <c:spPr>
            <a:solidFill>
              <a:srgbClr val="000000"/>
            </a:solidFill>
            <a:ln w="25400">
              <a:noFill/>
            </a:ln>
          </c:spPr>
          <c:invertIfNegative val="0"/>
          <c:cat>
            <c:numRef>
              <c:f>'Sum&amp;Val'!$G$3:$P$3</c:f>
              <c:numCache>
                <c:formatCode>0</c:formatCode>
                <c:ptCount val="6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</c:numCache>
            </c:numRef>
          </c:cat>
          <c:val>
            <c:numRef>
              <c:f>'Sum&amp;Val'!$G$119:$P$119</c:f>
              <c:numCache>
                <c:formatCode>0.0%</c:formatCode>
                <c:ptCount val="6"/>
                <c:pt idx="0">
                  <c:v>0.11052495015327153</c:v>
                </c:pt>
                <c:pt idx="1">
                  <c:v>0.10190504778918767</c:v>
                </c:pt>
                <c:pt idx="2">
                  <c:v>9.5816011364080661E-2</c:v>
                </c:pt>
                <c:pt idx="3">
                  <c:v>0.10146362147639004</c:v>
                </c:pt>
                <c:pt idx="4">
                  <c:v>0.11832572322875164</c:v>
                </c:pt>
                <c:pt idx="5">
                  <c:v>0.11940955189300739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19144192"/>
        <c:axId val="521827840"/>
      </c:barChart>
      <c:catAx>
        <c:axId val="5191441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1827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1827840"/>
        <c:scaling>
          <c:orientation val="minMax"/>
          <c:max val="0.3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9144192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20577164366373901"/>
          <c:y val="8.4889643463497456E-3"/>
          <c:w val="0.6185695044079339"/>
          <c:h val="9.507640067911715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24160346695564E-2"/>
          <c:y val="9.8472068051043263E-2"/>
          <c:w val="0.87865655471289272"/>
          <c:h val="0.78607875013160389"/>
        </c:manualLayout>
      </c:layout>
      <c:lineChart>
        <c:grouping val="standard"/>
        <c:varyColors val="0"/>
        <c:ser>
          <c:idx val="1"/>
          <c:order val="0"/>
          <c:tx>
            <c:v>ROCE</c:v>
          </c:tx>
          <c:spPr>
            <a:ln w="38100">
              <a:solidFill>
                <a:srgbClr val="DDDDDD"/>
              </a:solidFill>
              <a:prstDash val="solid"/>
            </a:ln>
          </c:spPr>
          <c:marker>
            <c:symbol val="square"/>
            <c:size val="9"/>
            <c:spPr>
              <a:solidFill>
                <a:srgbClr val="DDDDDD"/>
              </a:solidFill>
              <a:ln>
                <a:solidFill>
                  <a:srgbClr val="DDDDDD"/>
                </a:solidFill>
                <a:prstDash val="solid"/>
              </a:ln>
            </c:spPr>
          </c:marker>
          <c:cat>
            <c:numRef>
              <c:f>'Sum&amp;Val'!$C$3:$T$3</c:f>
              <c:numCache>
                <c:formatCode>0</c:formatCode>
                <c:ptCount val="10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</c:numCache>
            </c:numRef>
          </c:cat>
          <c:val>
            <c:numRef>
              <c:f>'Sum&amp;Val'!$C$87:$T$87</c:f>
              <c:numCache>
                <c:formatCode>0.0%</c:formatCode>
                <c:ptCount val="10"/>
                <c:pt idx="0">
                  <c:v>6.9146159443062058E-2</c:v>
                </c:pt>
                <c:pt idx="1">
                  <c:v>3.5556483003674123E-2</c:v>
                </c:pt>
                <c:pt idx="2">
                  <c:v>5.2193832615161112E-2</c:v>
                </c:pt>
                <c:pt idx="3">
                  <c:v>5.8577641053216473E-2</c:v>
                </c:pt>
                <c:pt idx="4">
                  <c:v>4.9183462763107283E-2</c:v>
                </c:pt>
                <c:pt idx="5">
                  <c:v>5.3169241347536825E-2</c:v>
                </c:pt>
                <c:pt idx="6">
                  <c:v>6.0962753618210443E-2</c:v>
                </c:pt>
                <c:pt idx="7">
                  <c:v>7.7110438777598281E-2</c:v>
                </c:pt>
                <c:pt idx="8">
                  <c:v>8.422457976230506E-2</c:v>
                </c:pt>
                <c:pt idx="9">
                  <c:v>9.6604600978647856E-2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'Sum&amp;Val'!$A$68</c:f>
              <c:strCache>
                <c:ptCount val="1"/>
                <c:pt idx="0">
                  <c:v>WACC</c:v>
                </c:pt>
              </c:strCache>
            </c:strRef>
          </c:tx>
          <c:spPr>
            <a:ln w="38100">
              <a:solidFill>
                <a:srgbClr val="1275A6"/>
              </a:solidFill>
              <a:prstDash val="solid"/>
            </a:ln>
          </c:spPr>
          <c:marker>
            <c:symbol val="diamond"/>
            <c:size val="9"/>
            <c:spPr>
              <a:solidFill>
                <a:srgbClr val="1275A6"/>
              </a:solidFill>
              <a:ln>
                <a:solidFill>
                  <a:srgbClr val="1275A6"/>
                </a:solidFill>
                <a:prstDash val="solid"/>
              </a:ln>
            </c:spPr>
          </c:marker>
          <c:cat>
            <c:numRef>
              <c:f>'Sum&amp;Val'!$C$3:$T$3</c:f>
              <c:numCache>
                <c:formatCode>0</c:formatCode>
                <c:ptCount val="10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</c:numCache>
            </c:numRef>
          </c:cat>
          <c:val>
            <c:numRef>
              <c:f>'Sum&amp;Val'!$C$68:$T$68</c:f>
              <c:numCache>
                <c:formatCode>0.0%</c:formatCode>
                <c:ptCount val="10"/>
                <c:pt idx="0">
                  <c:v>6.4367362898978125E-2</c:v>
                </c:pt>
                <c:pt idx="1">
                  <c:v>5.7769974178388826E-2</c:v>
                </c:pt>
                <c:pt idx="2">
                  <c:v>6.6486983115077183E-2</c:v>
                </c:pt>
                <c:pt idx="3">
                  <c:v>6.868357724689618E-2</c:v>
                </c:pt>
                <c:pt idx="4">
                  <c:v>6.5817538741475889E-2</c:v>
                </c:pt>
                <c:pt idx="5">
                  <c:v>7.0711124421339477E-2</c:v>
                </c:pt>
                <c:pt idx="6">
                  <c:v>7.7052330382975348E-2</c:v>
                </c:pt>
                <c:pt idx="7">
                  <c:v>8.1156267543719449E-2</c:v>
                </c:pt>
                <c:pt idx="8">
                  <c:v>7.8179609386562307E-2</c:v>
                </c:pt>
                <c:pt idx="9">
                  <c:v>8.6047278449701309E-2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0105728"/>
        <c:axId val="260107648"/>
      </c:lineChart>
      <c:catAx>
        <c:axId val="2601057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01076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60107648"/>
        <c:scaling>
          <c:orientation val="minMax"/>
          <c:max val="0.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010572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6218851570964247"/>
          <c:y val="8.4889643463497456E-3"/>
          <c:w val="0.53412784398699897"/>
          <c:h val="6.960950764006791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42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6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315796743804446"/>
          <c:y val="4.2357350579374169E-2"/>
          <c:w val="0.78026365919488794"/>
          <c:h val="0.77716530193460431"/>
        </c:manualLayout>
      </c:layout>
      <c:barChart>
        <c:barDir val="col"/>
        <c:grouping val="clustered"/>
        <c:varyColors val="0"/>
        <c:ser>
          <c:idx val="1"/>
          <c:order val="0"/>
          <c:tx>
            <c:v>EPS</c:v>
          </c:tx>
          <c:spPr>
            <a:solidFill>
              <a:srgbClr val="EACC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'Sum&amp;Val'!$C$3:$T$3</c:f>
              <c:numCache>
                <c:formatCode>0</c:formatCode>
                <c:ptCount val="10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</c:numCache>
            </c:numRef>
          </c:cat>
          <c:val>
            <c:numRef>
              <c:f>'Sum&amp;Val'!$C$9:$T$9</c:f>
              <c:numCache>
                <c:formatCode>#,##0.00_);[Red]\(#,##0.00\)</c:formatCode>
                <c:ptCount val="10"/>
                <c:pt idx="0">
                  <c:v>2.6782511263101356</c:v>
                </c:pt>
                <c:pt idx="1">
                  <c:v>0.70406013576086912</c:v>
                </c:pt>
                <c:pt idx="2">
                  <c:v>1.9735015685932236</c:v>
                </c:pt>
                <c:pt idx="3">
                  <c:v>2.738126516685826</c:v>
                </c:pt>
                <c:pt idx="4">
                  <c:v>2.0605923280417211</c:v>
                </c:pt>
                <c:pt idx="5">
                  <c:v>2.4312010898837229</c:v>
                </c:pt>
                <c:pt idx="6">
                  <c:v>3.3836104087085932</c:v>
                </c:pt>
                <c:pt idx="7">
                  <c:v>4.8260221397532304</c:v>
                </c:pt>
                <c:pt idx="8">
                  <c:v>6.0695186671351191</c:v>
                </c:pt>
                <c:pt idx="9">
                  <c:v>7.5342522276929316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0195072"/>
        <c:axId val="260196992"/>
      </c:barChart>
      <c:lineChart>
        <c:grouping val="standard"/>
        <c:varyColors val="0"/>
        <c:ser>
          <c:idx val="0"/>
          <c:order val="1"/>
          <c:tx>
            <c:v>Operating income / ALBD (RHS)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9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'Sum&amp;Val'!$C$3:$T$3</c:f>
              <c:numCache>
                <c:formatCode>0</c:formatCode>
                <c:ptCount val="10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</c:numCache>
            </c:numRef>
          </c:cat>
          <c:val>
            <c:numRef>
              <c:f>'Sum&amp;Val'!$C$116:$T$116</c:f>
              <c:numCache>
                <c:formatCode>_(* #,##0_);_(* \(#,##0\);_(* "-"??_);_(@_)</c:formatCode>
                <c:ptCount val="10"/>
                <c:pt idx="0">
                  <c:v>31.436722019728414</c:v>
                </c:pt>
                <c:pt idx="1">
                  <c:v>17.55893270547692</c:v>
                </c:pt>
                <c:pt idx="2">
                  <c:v>25.965872295475705</c:v>
                </c:pt>
                <c:pt idx="3">
                  <c:v>28.031104564431516</c:v>
                </c:pt>
                <c:pt idx="4">
                  <c:v>23.395351939310697</c:v>
                </c:pt>
                <c:pt idx="5">
                  <c:v>25.360169339368998</c:v>
                </c:pt>
                <c:pt idx="6">
                  <c:v>28.137182712961692</c:v>
                </c:pt>
                <c:pt idx="7">
                  <c:v>35.096506394488195</c:v>
                </c:pt>
                <c:pt idx="8">
                  <c:v>39.158381302252451</c:v>
                </c:pt>
                <c:pt idx="9">
                  <c:v>47.224794365504735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0198784"/>
        <c:axId val="260200320"/>
      </c:lineChart>
      <c:catAx>
        <c:axId val="260195072"/>
        <c:scaling>
          <c:orientation val="minMax"/>
        </c:scaling>
        <c:delete val="0"/>
        <c:axPos val="b"/>
        <c:numFmt formatCode="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019699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601969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.00_);[Red]\(#,##0.00\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0195072"/>
        <c:crosses val="autoZero"/>
        <c:crossBetween val="between"/>
      </c:valAx>
      <c:catAx>
        <c:axId val="26019878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60200320"/>
        <c:crosses val="autoZero"/>
        <c:auto val="0"/>
        <c:lblAlgn val="ctr"/>
        <c:lblOffset val="100"/>
        <c:noMultiLvlLbl val="0"/>
      </c:catAx>
      <c:valAx>
        <c:axId val="260200320"/>
        <c:scaling>
          <c:orientation val="minMax"/>
        </c:scaling>
        <c:delete val="0"/>
        <c:axPos val="r"/>
        <c:numFmt formatCode="_(* #,##0_);_(* \(#,##0\);_(* &quot;-&quot;??_);_(@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0198784"/>
        <c:crosses val="max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8815803287746927"/>
          <c:y val="7.1823397765887004E-2"/>
          <c:w val="0.63815817101809647"/>
          <c:h val="5.893205338282991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4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Net debt:EBITDA</a:t>
            </a:r>
          </a:p>
        </c:rich>
      </c:tx>
      <c:layout>
        <c:manualLayout>
          <c:xMode val="edge"/>
          <c:yMode val="edge"/>
          <c:x val="0.35610495635719952"/>
          <c:y val="1.20772946859903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2848896008085038E-2"/>
          <c:y val="0.11594230247561536"/>
          <c:w val="0.89680296205242926"/>
          <c:h val="0.7463785721867739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137CB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'Sum&amp;Val'!$C$3:$T$3</c:f>
              <c:numCache>
                <c:formatCode>0</c:formatCode>
                <c:ptCount val="10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</c:numCache>
            </c:numRef>
          </c:cat>
          <c:val>
            <c:numRef>
              <c:f>'Sum&amp;Val'!$C$49:$T$49</c:f>
              <c:numCache>
                <c:formatCode>0.0</c:formatCode>
                <c:ptCount val="10"/>
                <c:pt idx="0">
                  <c:v>4.8872395792892478</c:v>
                </c:pt>
                <c:pt idx="1">
                  <c:v>7.6984560789230922</c:v>
                </c:pt>
                <c:pt idx="2">
                  <c:v>6.0360168949541269</c:v>
                </c:pt>
                <c:pt idx="3">
                  <c:v>5.0387973714454963</c:v>
                </c:pt>
                <c:pt idx="4">
                  <c:v>5.460720899353344</c:v>
                </c:pt>
                <c:pt idx="5">
                  <c:v>4.8651681382202412</c:v>
                </c:pt>
                <c:pt idx="6">
                  <c:v>4.7706763328627639</c:v>
                </c:pt>
                <c:pt idx="7">
                  <c:v>4.0500386679056364</c:v>
                </c:pt>
                <c:pt idx="8">
                  <c:v>3.9478412866309736</c:v>
                </c:pt>
                <c:pt idx="9">
                  <c:v>2.7740864714326441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0212224"/>
        <c:axId val="260213760"/>
      </c:barChart>
      <c:catAx>
        <c:axId val="2602122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3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02137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602137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3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021222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3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Operating margin</c:v>
          </c:tx>
          <c:spPr>
            <a:solidFill>
              <a:schemeClr val="accent1"/>
            </a:solidFill>
          </c:spPr>
          <c:invertIfNegative val="0"/>
          <c:cat>
            <c:strRef>
              <c:f>'Sum&amp;Val'!$B$3:$U$3</c:f>
              <c:strCache>
                <c:ptCount val="11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2018e</c:v>
                </c:pt>
              </c:strCache>
            </c:strRef>
          </c:cat>
          <c:val>
            <c:numRef>
              <c:f>'Sum&amp;Val'!$B$123:$U$123</c:f>
              <c:numCache>
                <c:formatCode>0.0%</c:formatCode>
                <c:ptCount val="11"/>
                <c:pt idx="0">
                  <c:v>0.12735198104867559</c:v>
                </c:pt>
                <c:pt idx="1">
                  <c:v>8.2941499460255613E-2</c:v>
                </c:pt>
                <c:pt idx="2">
                  <c:v>0.11886449826612461</c:v>
                </c:pt>
                <c:pt idx="3">
                  <c:v>0.12360295773147366</c:v>
                </c:pt>
                <c:pt idx="4">
                  <c:v>0.10256913870196031</c:v>
                </c:pt>
                <c:pt idx="5">
                  <c:v>0.11129666123450303</c:v>
                </c:pt>
                <c:pt idx="6">
                  <c:v>0.12172378414617496</c:v>
                </c:pt>
                <c:pt idx="7">
                  <c:v>0.15497741073281193</c:v>
                </c:pt>
                <c:pt idx="8">
                  <c:v>0.17441914523572985</c:v>
                </c:pt>
                <c:pt idx="9">
                  <c:v>0.19868840244957608</c:v>
                </c:pt>
                <c:pt idx="10">
                  <c:v>0.21043523482337884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0223360"/>
        <c:axId val="260225280"/>
      </c:barChart>
      <c:lineChart>
        <c:grouping val="standard"/>
        <c:varyColors val="0"/>
        <c:ser>
          <c:idx val="0"/>
          <c:order val="0"/>
          <c:tx>
            <c:v>Operating income per ALBD</c:v>
          </c:tx>
          <c:spPr>
            <a:ln>
              <a:solidFill>
                <a:schemeClr val="accent2"/>
              </a:solidFill>
            </a:ln>
          </c:spPr>
          <c:marker>
            <c:symbol val="diamond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cat>
            <c:strRef>
              <c:f>'Sum&amp;Val'!$B$3:$U$3</c:f>
              <c:strCache>
                <c:ptCount val="11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2018e</c:v>
                </c:pt>
              </c:strCache>
            </c:strRef>
          </c:cat>
          <c:val>
            <c:numRef>
              <c:f>'Sum&amp;Val'!$B$116:$U$116</c:f>
              <c:numCache>
                <c:formatCode>_(* #,##0_);_(* \(#,##0\);_(* "-"??_);_(@_)</c:formatCode>
                <c:ptCount val="11"/>
                <c:pt idx="0">
                  <c:v>31.436722019728414</c:v>
                </c:pt>
                <c:pt idx="1">
                  <c:v>17.55893270547692</c:v>
                </c:pt>
                <c:pt idx="2">
                  <c:v>25.965872295475705</c:v>
                </c:pt>
                <c:pt idx="3">
                  <c:v>28.031104564431516</c:v>
                </c:pt>
                <c:pt idx="4">
                  <c:v>23.395351939310697</c:v>
                </c:pt>
                <c:pt idx="5">
                  <c:v>25.360169339368998</c:v>
                </c:pt>
                <c:pt idx="6">
                  <c:v>28.137182712961692</c:v>
                </c:pt>
                <c:pt idx="7">
                  <c:v>35.096506394488195</c:v>
                </c:pt>
                <c:pt idx="8">
                  <c:v>39.158381302252451</c:v>
                </c:pt>
                <c:pt idx="9">
                  <c:v>47.224794365504735</c:v>
                </c:pt>
                <c:pt idx="10">
                  <c:v>51.961467643031192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0231168"/>
        <c:axId val="260232704"/>
      </c:lineChart>
      <c:catAx>
        <c:axId val="26022336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225280"/>
        <c:crosses val="autoZero"/>
        <c:auto val="1"/>
        <c:lblAlgn val="ctr"/>
        <c:lblOffset val="100"/>
        <c:noMultiLvlLbl val="0"/>
      </c:catAx>
      <c:valAx>
        <c:axId val="260225280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223360"/>
        <c:crosses val="autoZero"/>
        <c:crossBetween val="between"/>
      </c:valAx>
      <c:catAx>
        <c:axId val="260231168"/>
        <c:scaling>
          <c:orientation val="minMax"/>
        </c:scaling>
        <c:delete val="1"/>
        <c:axPos val="b"/>
        <c:majorTickMark val="out"/>
        <c:minorTickMark val="none"/>
        <c:tickLblPos val="nextTo"/>
        <c:crossAx val="260232704"/>
        <c:crosses val="autoZero"/>
        <c:auto val="1"/>
        <c:lblAlgn val="ctr"/>
        <c:lblOffset val="100"/>
        <c:noMultiLvlLbl val="0"/>
      </c:catAx>
      <c:valAx>
        <c:axId val="260232704"/>
        <c:scaling>
          <c:orientation val="minMax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231168"/>
        <c:crosses val="max"/>
        <c:crossBetween val="between"/>
      </c:valAx>
      <c:spPr>
        <a:noFill/>
        <a:ln w="25400">
          <a:noFill/>
        </a:ln>
      </c:spPr>
    </c:plotArea>
    <c:legend>
      <c:legendPos val="t"/>
      <c:layout/>
      <c:overlay val="0"/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ROCE:WACC</c:v>
          </c:tx>
          <c:marker>
            <c:symbol val="none"/>
          </c:marker>
          <c:cat>
            <c:strRef>
              <c:f>'Sum&amp;Val'!$J$3:$U$3</c:f>
              <c:strCache>
                <c:ptCount val="11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2018e</c:v>
                </c:pt>
              </c:strCache>
            </c:strRef>
          </c:cat>
          <c:val>
            <c:numRef>
              <c:f>'Sum&amp;Val'!$J$86:$U$86</c:f>
              <c:numCache>
                <c:formatCode>#,##0.0;\-#,##0.0</c:formatCode>
                <c:ptCount val="11"/>
                <c:pt idx="0">
                  <c:v>1.0742425404561635</c:v>
                </c:pt>
                <c:pt idx="1">
                  <c:v>0.6154837960266123</c:v>
                </c:pt>
                <c:pt idx="2">
                  <c:v>0.78502332591663604</c:v>
                </c:pt>
                <c:pt idx="3">
                  <c:v>0.85286240759778709</c:v>
                </c:pt>
                <c:pt idx="4">
                  <c:v>0.74726985699502624</c:v>
                </c:pt>
                <c:pt idx="5">
                  <c:v>0.75192187626267193</c:v>
                </c:pt>
                <c:pt idx="6">
                  <c:v>0.79118637055109908</c:v>
                </c:pt>
                <c:pt idx="7">
                  <c:v>0.95014767326575666</c:v>
                </c:pt>
                <c:pt idx="8">
                  <c:v>1.0773215730185239</c:v>
                </c:pt>
                <c:pt idx="9">
                  <c:v>1.1226921143719588</c:v>
                </c:pt>
                <c:pt idx="10">
                  <c:v>1.2478868864517221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'Sum&amp;Val'!$A$21</c:f>
              <c:strCache>
                <c:ptCount val="1"/>
                <c:pt idx="0">
                  <c:v>EV/Capital Employed</c:v>
                </c:pt>
              </c:strCache>
            </c:strRef>
          </c:tx>
          <c:marker>
            <c:symbol val="none"/>
          </c:marker>
          <c:cat>
            <c:strRef>
              <c:f>'Sum&amp;Val'!$J$3:$U$3</c:f>
              <c:strCache>
                <c:ptCount val="11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2018e</c:v>
                </c:pt>
              </c:strCache>
            </c:strRef>
          </c:cat>
          <c:val>
            <c:numRef>
              <c:f>'Sum&amp;Val'!$J$21:$U$21</c:f>
              <c:numCache>
                <c:formatCode>0.0</c:formatCode>
                <c:ptCount val="11"/>
                <c:pt idx="0">
                  <c:v>0.83557233680386378</c:v>
                </c:pt>
                <c:pt idx="1">
                  <c:v>0.72731919397648437</c:v>
                </c:pt>
                <c:pt idx="2">
                  <c:v>0.96350258991419013</c:v>
                </c:pt>
                <c:pt idx="3">
                  <c:v>1.0080791179439159</c:v>
                </c:pt>
                <c:pt idx="4">
                  <c:v>0.89850149611965435</c:v>
                </c:pt>
                <c:pt idx="5">
                  <c:v>1.0052801294846017</c:v>
                </c:pt>
                <c:pt idx="6">
                  <c:v>1.3034137029695647</c:v>
                </c:pt>
                <c:pt idx="7">
                  <c:v>1.5994241534525946</c:v>
                </c:pt>
                <c:pt idx="8">
                  <c:v>1.3937577514357578</c:v>
                </c:pt>
                <c:pt idx="9">
                  <c:v>1.8504380597271994</c:v>
                </c:pt>
                <c:pt idx="10">
                  <c:v>1.6316156301721072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0265856"/>
        <c:axId val="260267392"/>
      </c:lineChart>
      <c:catAx>
        <c:axId val="260265856"/>
        <c:scaling>
          <c:orientation val="minMax"/>
        </c:scaling>
        <c:delete val="0"/>
        <c:axPos val="b"/>
        <c:majorTickMark val="out"/>
        <c:minorTickMark val="none"/>
        <c:tickLblPos val="nextTo"/>
        <c:crossAx val="260267392"/>
        <c:crosses val="autoZero"/>
        <c:auto val="1"/>
        <c:lblAlgn val="ctr"/>
        <c:lblOffset val="100"/>
        <c:noMultiLvlLbl val="0"/>
      </c:catAx>
      <c:valAx>
        <c:axId val="260267392"/>
        <c:scaling>
          <c:orientation val="minMax"/>
        </c:scaling>
        <c:delete val="0"/>
        <c:axPos val="l"/>
        <c:majorGridlines/>
        <c:numFmt formatCode="#,##0.0;\-#,##0.0" sourceLinked="1"/>
        <c:majorTickMark val="out"/>
        <c:minorTickMark val="none"/>
        <c:tickLblPos val="nextTo"/>
        <c:crossAx val="260265856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sz="1800" b="1"/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086665794403971"/>
          <c:y val="6.9565291233537746E-2"/>
          <c:w val="0.87457289285923068"/>
          <c:h val="0.78913127243044379"/>
        </c:manualLayout>
      </c:layout>
      <c:lineChart>
        <c:grouping val="standard"/>
        <c:varyColors val="0"/>
        <c:ser>
          <c:idx val="0"/>
          <c:order val="0"/>
          <c:tx>
            <c:strRef>
              <c:f>Assumptions!$A$12</c:f>
              <c:strCache>
                <c:ptCount val="1"/>
                <c:pt idx="0">
                  <c:v>Ticket price (constant FX)</c:v>
                </c:pt>
              </c:strCache>
            </c:strRef>
          </c:tx>
          <c:spPr>
            <a:ln w="38100">
              <a:solidFill>
                <a:srgbClr val="1275A6"/>
              </a:solidFill>
              <a:prstDash val="solid"/>
            </a:ln>
          </c:spPr>
          <c:marker>
            <c:symbol val="diamond"/>
            <c:size val="9"/>
            <c:spPr>
              <a:solidFill>
                <a:srgbClr val="1275A6"/>
              </a:solidFill>
              <a:ln>
                <a:solidFill>
                  <a:srgbClr val="1275A6"/>
                </a:solidFill>
                <a:prstDash val="solid"/>
              </a:ln>
            </c:spPr>
          </c:marker>
          <c:cat>
            <c:multiLvlStrRef>
              <c:f>Assumptions!$AA$1:$AU$1</c:f>
            </c:multiLvlStrRef>
          </c:cat>
          <c:val>
            <c:numRef>
              <c:f>Assumptions!$AA$12:$AU$12</c:f>
            </c:numRef>
          </c:val>
          <c:smooth val="0"/>
        </c:ser>
        <c:ser>
          <c:idx val="1"/>
          <c:order val="1"/>
          <c:tx>
            <c:strRef>
              <c:f>Assumptions!$A$13</c:f>
              <c:strCache>
                <c:ptCount val="1"/>
                <c:pt idx="0">
                  <c:v>Onboard revenue per APCD (constant FX)</c:v>
                </c:pt>
              </c:strCache>
            </c:strRef>
          </c:tx>
          <c:spPr>
            <a:ln w="38100">
              <a:solidFill>
                <a:srgbClr val="DDDDDD"/>
              </a:solidFill>
              <a:prstDash val="solid"/>
            </a:ln>
          </c:spPr>
          <c:marker>
            <c:symbol val="square"/>
            <c:size val="9"/>
            <c:spPr>
              <a:solidFill>
                <a:srgbClr val="DDDDDD"/>
              </a:solidFill>
              <a:ln>
                <a:solidFill>
                  <a:srgbClr val="DDDDDD"/>
                </a:solidFill>
                <a:prstDash val="solid"/>
              </a:ln>
            </c:spPr>
          </c:marker>
          <c:cat>
            <c:multiLvlStrRef>
              <c:f>Assumptions!$AA$1:$AU$1</c:f>
            </c:multiLvlStrRef>
          </c:cat>
          <c:val>
            <c:numRef>
              <c:f>Assumptions!$AA$13:$AU$13</c:f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0593536"/>
        <c:axId val="260599808"/>
      </c:lineChart>
      <c:catAx>
        <c:axId val="26059353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0599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605998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059353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40706982072156234"/>
          <c:y val="0.5108700216820723"/>
          <c:w val="0.53477790382134449"/>
          <c:h val="0.15000022823234049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drawings/_rels/drawing1.xml.rels><?xml version="1.0" encoding="UTF-8" standalone="yes"?>
<Relationships xmlns="http://schemas.openxmlformats.org/package/2006/relationships">
<Relationship Id="rId1" Target="../media/image1.png" Type="http://schemas.openxmlformats.org/officeDocument/2006/relationships/image"/>
<Relationship Id="rId2" Target="../media/image2.jpeg" Type="http://schemas.openxmlformats.org/officeDocument/2006/relationships/image"/>
<Relationship Id="rId3" Target="../media/image3.gif" Type="http://schemas.openxmlformats.org/officeDocument/2006/relationships/image"/>
</Relationships>

</file>

<file path=xl/drawings/_rels/drawing2.xml.rels><?xml version="1.0" encoding="UTF-8" standalone="yes"?>
<Relationships xmlns="http://schemas.openxmlformats.org/package/2006/relationships">
<Relationship Id="rId1" Target="../charts/chart1.xml" Type="http://schemas.openxmlformats.org/officeDocument/2006/relationships/chart"/>
<Relationship Id="rId2" Target="../charts/chart2.xml" Type="http://schemas.openxmlformats.org/officeDocument/2006/relationships/chart"/>
<Relationship Id="rId3" Target="../charts/chart3.xml" Type="http://schemas.openxmlformats.org/officeDocument/2006/relationships/chart"/>
<Relationship Id="rId4" Target="../charts/chart4.xml" Type="http://schemas.openxmlformats.org/officeDocument/2006/relationships/chart"/>
<Relationship Id="rId5" Target="../charts/chart5.xml" Type="http://schemas.openxmlformats.org/officeDocument/2006/relationships/chart"/>
<Relationship Id="rId6" Target="../charts/chart6.xml" Type="http://schemas.openxmlformats.org/officeDocument/2006/relationships/chart"/>
</Relationships>

</file>

<file path=xl/drawings/_rels/drawing3.xml.rels><?xml version="1.0" encoding="UTF-8" standalone="yes"?>
<Relationships xmlns="http://schemas.openxmlformats.org/package/2006/relationships">
<Relationship Id="rId1" Target="../charts/chart7.xml" Type="http://schemas.openxmlformats.org/officeDocument/2006/relationships/chart"/>
<Relationship Id="rId2" Target="../media/image4.emf" Type="http://schemas.openxmlformats.org/officeDocument/2006/relationships/image"/>
<Relationship Id="rId3" Target="../media/image5.png" Type="http://schemas.openxmlformats.org/officeDocument/2006/relationships/image"/>
<Relationship Id="rId4" Target="../media/image6.png" Type="http://schemas.openxmlformats.org/officeDocument/2006/relationships/image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0</xdr:col>
      <xdr:colOff>1581150</xdr:colOff>
      <xdr:row>0</xdr:row>
      <xdr:rowOff>323850</xdr:rowOff>
    </xdr:to>
    <xdr:pic>
      <xdr:nvPicPr>
        <xdr:cNvPr id="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5621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95250</xdr:rowOff>
    </xdr:from>
    <xdr:to>
      <xdr:col>1</xdr:col>
      <xdr:colOff>523875</xdr:colOff>
      <xdr:row>0</xdr:row>
      <xdr:rowOff>314325</xdr:rowOff>
    </xdr:to>
    <xdr:pic>
      <xdr:nvPicPr>
        <xdr:cNvPr id="3" name="Picture 6" descr="MSMS_logo_3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250"/>
          <a:ext cx="2219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184</xdr:row>
      <xdr:rowOff>0</xdr:rowOff>
    </xdr:from>
    <xdr:to>
      <xdr:col>7</xdr:col>
      <xdr:colOff>390525</xdr:colOff>
      <xdr:row>207</xdr:row>
      <xdr:rowOff>104775</xdr:rowOff>
    </xdr:to>
    <xdr:pic>
      <xdr:nvPicPr>
        <xdr:cNvPr id="16784385" name="Picture 1" descr="C:\Users\adrija\AppData\Local\Temp\MercuryPriceRatingHistoryChart\RCL.N_2018_04_25_18_48_09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260675"/>
          <a:ext cx="6400800" cy="382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302559</xdr:colOff>
      <xdr:row>157</xdr:row>
      <xdr:rowOff>89647</xdr:rowOff>
    </xdr:from>
    <xdr:to>
      <xdr:col>23</xdr:col>
      <xdr:colOff>468406</xdr:colOff>
      <xdr:row>177</xdr:row>
      <xdr:rowOff>108697</xdr:rowOff>
    </xdr:to>
    <xdr:graphicFrame macro="">
      <xdr:nvGraphicFramePr>
        <xdr:cNvPr id="1658357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324970</xdr:colOff>
      <xdr:row>156</xdr:row>
      <xdr:rowOff>100854</xdr:rowOff>
    </xdr:from>
    <xdr:to>
      <xdr:col>38</xdr:col>
      <xdr:colOff>126065</xdr:colOff>
      <xdr:row>178</xdr:row>
      <xdr:rowOff>104776</xdr:rowOff>
    </xdr:to>
    <xdr:graphicFrame macro="">
      <xdr:nvGraphicFramePr>
        <xdr:cNvPr id="1658357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371475</xdr:colOff>
      <xdr:row>162</xdr:row>
      <xdr:rowOff>85725</xdr:rowOff>
    </xdr:from>
    <xdr:to>
      <xdr:col>22</xdr:col>
      <xdr:colOff>266700</xdr:colOff>
      <xdr:row>194</xdr:row>
      <xdr:rowOff>76200</xdr:rowOff>
    </xdr:to>
    <xdr:graphicFrame macro="">
      <xdr:nvGraphicFramePr>
        <xdr:cNvPr id="16583574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200025</xdr:colOff>
      <xdr:row>195</xdr:row>
      <xdr:rowOff>19050</xdr:rowOff>
    </xdr:from>
    <xdr:to>
      <xdr:col>21</xdr:col>
      <xdr:colOff>323850</xdr:colOff>
      <xdr:row>219</xdr:row>
      <xdr:rowOff>76200</xdr:rowOff>
    </xdr:to>
    <xdr:graphicFrame macro="">
      <xdr:nvGraphicFramePr>
        <xdr:cNvPr id="16583575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66675</xdr:colOff>
      <xdr:row>98</xdr:row>
      <xdr:rowOff>95250</xdr:rowOff>
    </xdr:from>
    <xdr:to>
      <xdr:col>32</xdr:col>
      <xdr:colOff>285750</xdr:colOff>
      <xdr:row>115</xdr:row>
      <xdr:rowOff>76200</xdr:rowOff>
    </xdr:to>
    <xdr:graphicFrame macro="">
      <xdr:nvGraphicFramePr>
        <xdr:cNvPr id="1658357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-1</xdr:colOff>
      <xdr:row>222</xdr:row>
      <xdr:rowOff>156881</xdr:rowOff>
    </xdr:from>
    <xdr:to>
      <xdr:col>22</xdr:col>
      <xdr:colOff>156881</xdr:colOff>
      <xdr:row>247</xdr:row>
      <xdr:rowOff>123264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80</xdr:col>
      <xdr:colOff>24847</xdr:colOff>
      <xdr:row>48</xdr:row>
      <xdr:rowOff>82826</xdr:rowOff>
    </xdr:from>
    <xdr:to>
      <xdr:col>88</xdr:col>
      <xdr:colOff>542924</xdr:colOff>
      <xdr:row>71</xdr:row>
      <xdr:rowOff>76200</xdr:rowOff>
    </xdr:to>
    <xdr:graphicFrame macro="">
      <xdr:nvGraphicFramePr>
        <xdr:cNvPr id="16760684" name="Chart 9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82</xdr:col>
      <xdr:colOff>1355035</xdr:colOff>
      <xdr:row>5</xdr:row>
      <xdr:rowOff>10767</xdr:rowOff>
    </xdr:from>
    <xdr:to>
      <xdr:col>86</xdr:col>
      <xdr:colOff>446848</xdr:colOff>
      <xdr:row>14</xdr:row>
      <xdr:rowOff>67918</xdr:rowOff>
    </xdr:to>
    <xdr:pic>
      <xdr:nvPicPr>
        <xdr:cNvPr id="1676068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85296" y="839028"/>
          <a:ext cx="3415335" cy="15480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88</xdr:col>
      <xdr:colOff>496955</xdr:colOff>
      <xdr:row>1</xdr:row>
      <xdr:rowOff>157370</xdr:rowOff>
    </xdr:from>
    <xdr:to>
      <xdr:col>95</xdr:col>
      <xdr:colOff>112175</xdr:colOff>
      <xdr:row>23</xdr:row>
      <xdr:rowOff>82825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876564" y="323022"/>
          <a:ext cx="3905611" cy="3569803"/>
        </a:xfrm>
        <a:prstGeom prst="rect">
          <a:avLst/>
        </a:prstGeom>
      </xdr:spPr>
    </xdr:pic>
    <xdr:clientData/>
  </xdr:twoCellAnchor>
  <xdr:twoCellAnchor editAs="oneCell">
    <xdr:from>
      <xdr:col>75</xdr:col>
      <xdr:colOff>239235</xdr:colOff>
      <xdr:row>1</xdr:row>
      <xdr:rowOff>124239</xdr:rowOff>
    </xdr:from>
    <xdr:to>
      <xdr:col>82</xdr:col>
      <xdr:colOff>0</xdr:colOff>
      <xdr:row>33</xdr:row>
      <xdr:rowOff>105539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514061" y="289891"/>
          <a:ext cx="4316200" cy="528217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Research">
      <a:dk1>
        <a:sysClr val="windowText" lastClr="000000"/>
      </a:dk1>
      <a:lt1>
        <a:sysClr val="window" lastClr="FFFFFF"/>
      </a:lt1>
      <a:dk2>
        <a:srgbClr val="003366"/>
      </a:dk2>
      <a:lt2>
        <a:srgbClr val="C6D9E2"/>
      </a:lt2>
      <a:accent1>
        <a:srgbClr val="137CB1"/>
      </a:accent1>
      <a:accent2>
        <a:srgbClr val="EACC80"/>
      </a:accent2>
      <a:accent3>
        <a:srgbClr val="4AAC6B"/>
      </a:accent3>
      <a:accent4>
        <a:srgbClr val="A8D7E2"/>
      </a:accent4>
      <a:accent5>
        <a:srgbClr val="E58061"/>
      </a:accent5>
      <a:accent6>
        <a:srgbClr val="BCE3A1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
<Relationships xmlns="http://schemas.openxmlformats.org/package/2006/relationships">
<Relationship Id="rId1" Target="../printerSettings/printerSettings1.bin" Type="http://schemas.openxmlformats.org/officeDocument/2006/relationships/printerSettings"/>
<Relationship Id="rId2" Target="../printerSettings/printerSettings2.bin" Type="http://schemas.openxmlformats.org/officeDocument/2006/relationships/printerSettings"/>
<Relationship Id="rId3" Target="../printerSettings/printerSettings3.bin" Type="http://schemas.openxmlformats.org/officeDocument/2006/relationships/printerSettings"/>
</Relationships>

</file>

<file path=xl/worksheets/_rels/sheet2.xml.rels><?xml version="1.0" encoding="UTF-8" standalone="yes"?>
<Relationships xmlns="http://schemas.openxmlformats.org/package/2006/relationships">
<Relationship Id="rId1" Target="../printerSettings/printerSettings4.bin" Type="http://schemas.openxmlformats.org/officeDocument/2006/relationships/printerSettings"/>
<Relationship Id="rId2" Target="../drawings/drawing1.xml" Type="http://schemas.openxmlformats.org/officeDocument/2006/relationships/drawing"/>
</Relationships>

</file>

<file path=xl/worksheets/_rels/sheet3.xml.rels><?xml version="1.0" encoding="UTF-8" standalone="yes"?>
<Relationships xmlns="http://schemas.openxmlformats.org/package/2006/relationships">
<Relationship Id="rId1" Target="../printerSettings/printerSettings5.bin" Type="http://schemas.openxmlformats.org/officeDocument/2006/relationships/printerSettings"/>
<Relationship Id="rId2" Target="../printerSettings/printerSettings6.bin" Type="http://schemas.openxmlformats.org/officeDocument/2006/relationships/printerSettings"/>
<Relationship Id="rId3" Target="mailto:jamie.rollo@morganstanley.com" TargetMode="External" Type="http://schemas.openxmlformats.org/officeDocument/2006/relationships/hyperlink"/>
<Relationship Id="rId4" Target="mailto:jamie.rollo@morganstanley.com" TargetMode="External" Type="http://schemas.openxmlformats.org/officeDocument/2006/relationships/hyperlink"/>
<Relationship Id="rId5" Target="../printerSettings/printerSettings7.bin" Type="http://schemas.openxmlformats.org/officeDocument/2006/relationships/printerSettings"/>
</Relationships>

</file>

<file path=xl/worksheets/_rels/sheet4.xml.rels><?xml version="1.0" encoding="UTF-8" standalone="yes"?>
<Relationships xmlns="http://schemas.openxmlformats.org/package/2006/relationships">
<Relationship Id="rId1" Target="../printerSettings/printerSettings8.bin" Type="http://schemas.openxmlformats.org/officeDocument/2006/relationships/printerSettings"/>
<Relationship Id="rId2" Target="../printerSettings/printerSettings9.bin" Type="http://schemas.openxmlformats.org/officeDocument/2006/relationships/printerSettings"/>
<Relationship Id="rId3" Target="../drawings/drawing2.xml" Type="http://schemas.openxmlformats.org/officeDocument/2006/relationships/drawing"/>
</Relationships>

</file>

<file path=xl/worksheets/_rels/sheet5.xml.rels><?xml version="1.0" encoding="UTF-8" standalone="yes"?>
<Relationships xmlns="http://schemas.openxmlformats.org/package/2006/relationships">
<Relationship Id="rId1" Target="../printerSettings/printerSettings10.bin" Type="http://schemas.openxmlformats.org/officeDocument/2006/relationships/printerSettings"/>
<Relationship Id="rId2" Target="../printerSettings/printerSettings11.bin" Type="http://schemas.openxmlformats.org/officeDocument/2006/relationships/printerSettings"/>
<Relationship Id="rId3" Target="../drawings/drawing3.xml" Type="http://schemas.openxmlformats.org/officeDocument/2006/relationships/drawing"/>
</Relationships>

</file>

<file path=xl/worksheets/_rels/sheet6.xml.rels><?xml version="1.0" encoding="UTF-8" standalone="yes"?>
<Relationships xmlns="http://schemas.openxmlformats.org/package/2006/relationships">
<Relationship Id="rId1" Target="../printerSettings/printerSettings12.bin" Type="http://schemas.openxmlformats.org/officeDocument/2006/relationships/printerSettings"/>
<Relationship Id="rId2" Target="../printerSettings/printerSettings13.bin" Type="http://schemas.openxmlformats.org/officeDocument/2006/relationships/printerSettings"/>
<Relationship Id="rId3" Target="../printerSettings/printerSettings14.bin" Type="http://schemas.openxmlformats.org/officeDocument/2006/relationships/printerSettings"/>
</Relationships>

</file>

<file path=xl/worksheets/_rels/sheet7.xml.rels><?xml version="1.0" encoding="UTF-8" standalone="yes"?>
<Relationships xmlns="http://schemas.openxmlformats.org/package/2006/relationships">
<Relationship Id="rId1" Target="../printerSettings/printerSettings15.bin" Type="http://schemas.openxmlformats.org/officeDocument/2006/relationships/printerSettings"/>
<Relationship Id="rId2" Target="../printerSettings/printerSettings16.bin" Type="http://schemas.openxmlformats.org/officeDocument/2006/relationships/printerSettings"/>
<Relationship Id="rId3" Target="../printerSettings/printerSettings17.bin" Type="http://schemas.openxmlformats.org/officeDocument/2006/relationships/printerSettings"/>
</Relationships>

</file>

<file path=xl/worksheets/_rels/sheet8.xml.rels><?xml version="1.0" encoding="UTF-8" standalone="yes"?>
<Relationships xmlns="http://schemas.openxmlformats.org/package/2006/relationships">
<Relationship Id="rId1" Target="../printerSettings/printerSettings18.bin" Type="http://schemas.openxmlformats.org/officeDocument/2006/relationships/printerSettings"/>
<Relationship Id="rId2" Target="../printerSettings/printerSettings19.bin" Type="http://schemas.openxmlformats.org/officeDocument/2006/relationships/printerSettings"/>
<Relationship Id="rId3" Target="../printerSettings/printerSettings20.bin" Type="http://schemas.openxmlformats.org/officeDocument/2006/relationships/printerSettings"/>
</Relationships>

</file>

<file path=xl/worksheets/_rels/sheet9.xml.rels><?xml version="1.0" encoding="UTF-8" standalone="yes"?>
<Relationships xmlns="http://schemas.openxmlformats.org/package/2006/relationships">
<Relationship Id="rId1" Target="../printerSettings/printerSettings21.bin" Type="http://schemas.openxmlformats.org/officeDocument/2006/relationships/printerSettings"/>
<Relationship Id="rId2" Target="../printerSettings/printerSettings22.bin" Type="http://schemas.openxmlformats.org/officeDocument/2006/relationships/printerSettings"/>
<Relationship Id="rId3" Target="../printerSettings/printerSettings23.bin" Type="http://schemas.openxmlformats.org/officeDocument/2006/relationships/printerSettings"/>
</Relationships>

</file>

<file path=xl/worksheets/_rels/sheet10.xml.rels><?xml version="1.0" encoding="UTF-8" standalone="yes"?>
<Relationships xmlns="http://schemas.openxmlformats.org/package/2006/relationships">
<Relationship Id="rId1" Target="../printerSettings/printerSettings24.bin" Type="http://schemas.openxmlformats.org/officeDocument/2006/relationships/printerSettings"/>
</Relationships>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workbookViewId="0"/>
  </sheetViews>
  <sheetFormatPr defaultRowHeight="12.75"/>
  <sheetData/>
  <customSheetViews>
    <customSheetView guid="{02BAE5C0-B718-491D-AA2C-366929DD884D}" state="veryHidden">
      <pageMargins left="0.75" right="0.75" top="1" bottom="1" header="0.5" footer="0.5"/>
      <pageSetup paperSize="9" orientation="portrait" horizontalDpi="300" verticalDpi="300" r:id="rId1"/>
      <headerFooter alignWithMargins="0"/>
    </customSheetView>
    <customSheetView guid="{0F63984D-41C2-41FC-9021-7F5BFFA3B850}" state="veryHidden">
      <pageMargins left="0.75" right="0.75" top="1" bottom="1" header="0.5" footer="0.5"/>
      <pageSetup paperSize="9" orientation="portrait" horizontalDpi="300" verticalDpi="300" r:id="rId2"/>
      <headerFooter alignWithMargins="0"/>
    </customSheetView>
  </customSheetViews>
  <phoneticPr fontId="9" type="noConversion"/>
  <pageMargins left="0.75" right="0.75" top="1" bottom="1" header="0.5" footer="0.5"/>
  <pageSetup paperSize="9" orientation="portrait" horizontalDpi="300" verticalDpi="300" r:id="rId3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01"/>
  <sheetViews>
    <sheetView showGridLines="0" tabSelected="1" workbookViewId="0"/>
  </sheetViews>
  <sheetFormatPr defaultRowHeight="12.75"/>
  <cols>
    <col min="1" max="1" width="25.7109375" style="418" customWidth="1"/>
    <col min="2" max="5" width="9.140625" style="418"/>
    <col min="6" max="6" width="18.7109375" style="418" customWidth="1"/>
    <col min="7" max="256" width="9.140625" style="418"/>
    <col min="257" max="257" width="100.7109375" style="418" customWidth="1"/>
    <col min="258" max="512" width="9.140625" style="418"/>
    <col min="513" max="513" width="100.7109375" style="418" customWidth="1"/>
    <col min="514" max="768" width="9.140625" style="418"/>
    <col min="769" max="769" width="100.7109375" style="418" customWidth="1"/>
    <col min="770" max="1024" width="9.140625" style="418"/>
    <col min="1025" max="1025" width="100.7109375" style="418" customWidth="1"/>
    <col min="1026" max="1280" width="9.140625" style="418"/>
    <col min="1281" max="1281" width="100.7109375" style="418" customWidth="1"/>
    <col min="1282" max="1536" width="9.140625" style="418"/>
    <col min="1537" max="1537" width="100.7109375" style="418" customWidth="1"/>
    <col min="1538" max="1792" width="9.140625" style="418"/>
    <col min="1793" max="1793" width="100.7109375" style="418" customWidth="1"/>
    <col min="1794" max="2048" width="9.140625" style="418"/>
    <col min="2049" max="2049" width="100.7109375" style="418" customWidth="1"/>
    <col min="2050" max="2304" width="9.140625" style="418"/>
    <col min="2305" max="2305" width="100.7109375" style="418" customWidth="1"/>
    <col min="2306" max="2560" width="9.140625" style="418"/>
    <col min="2561" max="2561" width="100.7109375" style="418" customWidth="1"/>
    <col min="2562" max="2816" width="9.140625" style="418"/>
    <col min="2817" max="2817" width="100.7109375" style="418" customWidth="1"/>
    <col min="2818" max="3072" width="9.140625" style="418"/>
    <col min="3073" max="3073" width="100.7109375" style="418" customWidth="1"/>
    <col min="3074" max="3328" width="9.140625" style="418"/>
    <col min="3329" max="3329" width="100.7109375" style="418" customWidth="1"/>
    <col min="3330" max="3584" width="9.140625" style="418"/>
    <col min="3585" max="3585" width="100.7109375" style="418" customWidth="1"/>
    <col min="3586" max="3840" width="9.140625" style="418"/>
    <col min="3841" max="3841" width="100.7109375" style="418" customWidth="1"/>
    <col min="3842" max="4096" width="9.140625" style="418"/>
    <col min="4097" max="4097" width="100.7109375" style="418" customWidth="1"/>
    <col min="4098" max="4352" width="9.140625" style="418"/>
    <col min="4353" max="4353" width="100.7109375" style="418" customWidth="1"/>
    <col min="4354" max="4608" width="9.140625" style="418"/>
    <col min="4609" max="4609" width="100.7109375" style="418" customWidth="1"/>
    <col min="4610" max="4864" width="9.140625" style="418"/>
    <col min="4865" max="4865" width="100.7109375" style="418" customWidth="1"/>
    <col min="4866" max="5120" width="9.140625" style="418"/>
    <col min="5121" max="5121" width="100.7109375" style="418" customWidth="1"/>
    <col min="5122" max="5376" width="9.140625" style="418"/>
    <col min="5377" max="5377" width="100.7109375" style="418" customWidth="1"/>
    <col min="5378" max="5632" width="9.140625" style="418"/>
    <col min="5633" max="5633" width="100.7109375" style="418" customWidth="1"/>
    <col min="5634" max="5888" width="9.140625" style="418"/>
    <col min="5889" max="5889" width="100.7109375" style="418" customWidth="1"/>
    <col min="5890" max="6144" width="9.140625" style="418"/>
    <col min="6145" max="6145" width="100.7109375" style="418" customWidth="1"/>
    <col min="6146" max="6400" width="9.140625" style="418"/>
    <col min="6401" max="6401" width="100.7109375" style="418" customWidth="1"/>
    <col min="6402" max="6656" width="9.140625" style="418"/>
    <col min="6657" max="6657" width="100.7109375" style="418" customWidth="1"/>
    <col min="6658" max="6912" width="9.140625" style="418"/>
    <col min="6913" max="6913" width="100.7109375" style="418" customWidth="1"/>
    <col min="6914" max="7168" width="9.140625" style="418"/>
    <col min="7169" max="7169" width="100.7109375" style="418" customWidth="1"/>
    <col min="7170" max="7424" width="9.140625" style="418"/>
    <col min="7425" max="7425" width="100.7109375" style="418" customWidth="1"/>
    <col min="7426" max="7680" width="9.140625" style="418"/>
    <col min="7681" max="7681" width="100.7109375" style="418" customWidth="1"/>
    <col min="7682" max="7936" width="9.140625" style="418"/>
    <col min="7937" max="7937" width="100.7109375" style="418" customWidth="1"/>
    <col min="7938" max="8192" width="9.140625" style="418"/>
    <col min="8193" max="8193" width="100.7109375" style="418" customWidth="1"/>
    <col min="8194" max="8448" width="9.140625" style="418"/>
    <col min="8449" max="8449" width="100.7109375" style="418" customWidth="1"/>
    <col min="8450" max="8704" width="9.140625" style="418"/>
    <col min="8705" max="8705" width="100.7109375" style="418" customWidth="1"/>
    <col min="8706" max="8960" width="9.140625" style="418"/>
    <col min="8961" max="8961" width="100.7109375" style="418" customWidth="1"/>
    <col min="8962" max="9216" width="9.140625" style="418"/>
    <col min="9217" max="9217" width="100.7109375" style="418" customWidth="1"/>
    <col min="9218" max="9472" width="9.140625" style="418"/>
    <col min="9473" max="9473" width="100.7109375" style="418" customWidth="1"/>
    <col min="9474" max="9728" width="9.140625" style="418"/>
    <col min="9729" max="9729" width="100.7109375" style="418" customWidth="1"/>
    <col min="9730" max="9984" width="9.140625" style="418"/>
    <col min="9985" max="9985" width="100.7109375" style="418" customWidth="1"/>
    <col min="9986" max="10240" width="9.140625" style="418"/>
    <col min="10241" max="10241" width="100.7109375" style="418" customWidth="1"/>
    <col min="10242" max="10496" width="9.140625" style="418"/>
    <col min="10497" max="10497" width="100.7109375" style="418" customWidth="1"/>
    <col min="10498" max="10752" width="9.140625" style="418"/>
    <col min="10753" max="10753" width="100.7109375" style="418" customWidth="1"/>
    <col min="10754" max="11008" width="9.140625" style="418"/>
    <col min="11009" max="11009" width="100.7109375" style="418" customWidth="1"/>
    <col min="11010" max="11264" width="9.140625" style="418"/>
    <col min="11265" max="11265" width="100.7109375" style="418" customWidth="1"/>
    <col min="11266" max="11520" width="9.140625" style="418"/>
    <col min="11521" max="11521" width="100.7109375" style="418" customWidth="1"/>
    <col min="11522" max="11776" width="9.140625" style="418"/>
    <col min="11777" max="11777" width="100.7109375" style="418" customWidth="1"/>
    <col min="11778" max="12032" width="9.140625" style="418"/>
    <col min="12033" max="12033" width="100.7109375" style="418" customWidth="1"/>
    <col min="12034" max="12288" width="9.140625" style="418"/>
    <col min="12289" max="12289" width="100.7109375" style="418" customWidth="1"/>
    <col min="12290" max="12544" width="9.140625" style="418"/>
    <col min="12545" max="12545" width="100.7109375" style="418" customWidth="1"/>
    <col min="12546" max="12800" width="9.140625" style="418"/>
    <col min="12801" max="12801" width="100.7109375" style="418" customWidth="1"/>
    <col min="12802" max="13056" width="9.140625" style="418"/>
    <col min="13057" max="13057" width="100.7109375" style="418" customWidth="1"/>
    <col min="13058" max="13312" width="9.140625" style="418"/>
    <col min="13313" max="13313" width="100.7109375" style="418" customWidth="1"/>
    <col min="13314" max="13568" width="9.140625" style="418"/>
    <col min="13569" max="13569" width="100.7109375" style="418" customWidth="1"/>
    <col min="13570" max="13824" width="9.140625" style="418"/>
    <col min="13825" max="13825" width="100.7109375" style="418" customWidth="1"/>
    <col min="13826" max="14080" width="9.140625" style="418"/>
    <col min="14081" max="14081" width="100.7109375" style="418" customWidth="1"/>
    <col min="14082" max="14336" width="9.140625" style="418"/>
    <col min="14337" max="14337" width="100.7109375" style="418" customWidth="1"/>
    <col min="14338" max="14592" width="9.140625" style="418"/>
    <col min="14593" max="14593" width="100.7109375" style="418" customWidth="1"/>
    <col min="14594" max="14848" width="9.140625" style="418"/>
    <col min="14849" max="14849" width="100.7109375" style="418" customWidth="1"/>
    <col min="14850" max="15104" width="9.140625" style="418"/>
    <col min="15105" max="15105" width="100.7109375" style="418" customWidth="1"/>
    <col min="15106" max="15360" width="9.140625" style="418"/>
    <col min="15361" max="15361" width="100.7109375" style="418" customWidth="1"/>
    <col min="15362" max="15616" width="9.140625" style="418"/>
    <col min="15617" max="15617" width="100.7109375" style="418" customWidth="1"/>
    <col min="15618" max="15872" width="9.140625" style="418"/>
    <col min="15873" max="15873" width="100.7109375" style="418" customWidth="1"/>
    <col min="15874" max="16128" width="9.140625" style="418"/>
    <col min="16129" max="16129" width="100.7109375" style="418" customWidth="1"/>
    <col min="16130" max="16384" width="9.140625" style="418"/>
  </cols>
  <sheetData>
    <row r="1" spans="1:8" ht="30" customHeight="1">
      <c r="A1" s="398"/>
      <c r="B1" s="417"/>
      <c r="C1" s="417"/>
      <c r="D1" s="417"/>
      <c r="E1" s="417"/>
      <c r="F1" s="417"/>
      <c r="G1" s="417"/>
      <c r="H1" s="417"/>
    </row>
    <row r="2" spans="1:8" ht="14.25">
      <c r="A2" s="399" t="s">
        <v>133</v>
      </c>
      <c r="B2" s="417"/>
      <c r="C2" s="417"/>
      <c r="D2" s="417"/>
      <c r="E2" s="417"/>
      <c r="F2" s="417"/>
      <c r="G2" s="417"/>
      <c r="H2" s="417"/>
    </row>
    <row r="3" spans="1:8" ht="14.25">
      <c r="A3" s="399" t="s">
        <v>134</v>
      </c>
      <c r="B3" s="417"/>
      <c r="C3" s="417"/>
      <c r="D3" s="417"/>
      <c r="E3" s="417"/>
      <c r="F3" s="417"/>
      <c r="G3" s="417"/>
      <c r="H3" s="417"/>
    </row>
    <row r="4" spans="1:8" ht="14.25">
      <c r="A4" s="399" t="s">
        <v>135</v>
      </c>
      <c r="B4" s="417"/>
      <c r="C4" s="417"/>
      <c r="D4" s="417"/>
      <c r="E4" s="417"/>
      <c r="F4" s="417"/>
      <c r="G4" s="417"/>
      <c r="H4" s="417"/>
    </row>
    <row r="5" spans="1:8" ht="14.25">
      <c r="A5" s="399" t="s">
        <v>136</v>
      </c>
      <c r="B5" s="417"/>
      <c r="C5" s="417"/>
      <c r="D5" s="417"/>
      <c r="E5" s="417"/>
      <c r="F5" s="417"/>
      <c r="G5" s="417"/>
      <c r="H5" s="417"/>
    </row>
    <row r="6" spans="1:8" ht="14.25">
      <c r="A6" s="399"/>
      <c r="B6" s="417"/>
      <c r="C6" s="417"/>
      <c r="D6" s="417"/>
      <c r="E6" s="417"/>
      <c r="F6" s="417"/>
      <c r="G6" s="417"/>
      <c r="H6" s="417"/>
    </row>
    <row r="7" spans="1:8">
      <c r="A7" s="398" t="s">
        <v>847</v>
      </c>
      <c r="B7" s="417"/>
      <c r="C7" s="417"/>
      <c r="D7" s="417"/>
      <c r="E7" s="417"/>
      <c r="F7" s="417"/>
      <c r="G7" s="417"/>
      <c r="H7" s="417"/>
    </row>
    <row r="8" spans="1:8">
      <c r="A8" s="398" t="s">
        <v>848</v>
      </c>
      <c r="B8" s="417"/>
      <c r="C8" s="417"/>
      <c r="D8" s="417"/>
      <c r="E8" s="417"/>
      <c r="F8" s="417"/>
      <c r="G8" s="417"/>
      <c r="H8" s="417"/>
    </row>
    <row r="9" spans="1:8">
      <c r="A9" s="398"/>
      <c r="B9" s="417"/>
      <c r="C9" s="417"/>
      <c r="D9" s="417"/>
      <c r="E9" s="417"/>
      <c r="F9" s="417"/>
      <c r="G9" s="417"/>
      <c r="H9" s="417"/>
    </row>
    <row r="10" spans="1:8">
      <c r="A10" s="419" t="s">
        <v>137</v>
      </c>
      <c r="B10" s="417"/>
      <c r="C10" s="417"/>
      <c r="D10" s="417"/>
      <c r="E10" s="417"/>
      <c r="F10" s="417"/>
      <c r="G10" s="417"/>
      <c r="H10" s="417"/>
    </row>
    <row r="11" spans="1:8">
      <c r="A11" s="419" t="s">
        <v>739</v>
      </c>
      <c r="B11" s="417"/>
      <c r="C11" s="417"/>
      <c r="D11" s="417"/>
      <c r="E11" s="417"/>
      <c r="F11" s="417"/>
      <c r="G11" s="417"/>
      <c r="H11" s="417"/>
    </row>
    <row r="12" spans="1:8">
      <c r="A12" s="419" t="s">
        <v>138</v>
      </c>
      <c r="B12" s="417"/>
      <c r="C12" s="417"/>
      <c r="D12" s="417"/>
      <c r="E12" s="417"/>
      <c r="F12" s="417"/>
      <c r="G12" s="417"/>
      <c r="H12" s="417"/>
    </row>
    <row r="13" spans="1:8">
      <c r="A13" s="419" t="s">
        <v>139</v>
      </c>
      <c r="B13" s="417"/>
      <c r="C13" s="417"/>
      <c r="D13" s="417"/>
      <c r="E13" s="417"/>
      <c r="F13" s="417"/>
      <c r="G13" s="417"/>
      <c r="H13" s="417"/>
    </row>
    <row r="14" spans="1:8">
      <c r="A14" s="419" t="s">
        <v>849</v>
      </c>
      <c r="B14" s="417"/>
      <c r="C14" s="417"/>
      <c r="D14" s="417"/>
      <c r="E14" s="417"/>
      <c r="F14" s="417"/>
      <c r="G14" s="417"/>
      <c r="H14" s="417"/>
    </row>
    <row r="15" spans="1:8">
      <c r="A15" s="419" t="s">
        <v>850</v>
      </c>
      <c r="B15" s="417"/>
      <c r="C15" s="417"/>
      <c r="D15" s="417"/>
      <c r="E15" s="417"/>
      <c r="F15" s="417"/>
      <c r="G15" s="417"/>
      <c r="H15" s="417"/>
    </row>
    <row r="16" spans="1:8">
      <c r="A16" s="419"/>
      <c r="B16" s="417"/>
      <c r="C16" s="417"/>
      <c r="D16" s="417"/>
      <c r="E16" s="417"/>
      <c r="F16" s="417"/>
      <c r="G16" s="417"/>
      <c r="H16" s="417"/>
    </row>
    <row r="17" spans="1:8">
      <c r="A17" s="419" t="s">
        <v>140</v>
      </c>
      <c r="B17" s="417"/>
      <c r="C17" s="417"/>
      <c r="D17" s="417"/>
      <c r="E17" s="417"/>
      <c r="F17" s="417"/>
      <c r="G17" s="417"/>
      <c r="H17" s="417"/>
    </row>
    <row r="18" spans="1:8">
      <c r="A18" s="419"/>
      <c r="B18" s="417"/>
      <c r="C18" s="417"/>
      <c r="D18" s="417"/>
      <c r="E18" s="417"/>
      <c r="F18" s="417"/>
      <c r="G18" s="417"/>
      <c r="H18" s="417"/>
    </row>
    <row r="19" spans="1:8">
      <c r="A19" s="419" t="s">
        <v>141</v>
      </c>
      <c r="B19" s="417"/>
      <c r="C19" s="417"/>
      <c r="D19" s="417"/>
      <c r="E19" s="417"/>
      <c r="F19" s="417"/>
      <c r="G19" s="417"/>
      <c r="H19" s="417"/>
    </row>
    <row r="20" spans="1:8">
      <c r="A20" s="398"/>
      <c r="B20" s="417"/>
      <c r="C20" s="417"/>
      <c r="D20" s="417"/>
      <c r="E20" s="417"/>
      <c r="F20" s="417"/>
      <c r="G20" s="417"/>
      <c r="H20" s="417"/>
    </row>
    <row r="21" spans="1:8">
      <c r="A21" s="400" t="s">
        <v>142</v>
      </c>
      <c r="B21" s="417"/>
      <c r="C21" s="417"/>
      <c r="D21" s="417"/>
      <c r="E21" s="417"/>
      <c r="F21" s="417"/>
      <c r="G21" s="417"/>
      <c r="H21" s="417"/>
    </row>
    <row r="22" spans="1:8">
      <c r="A22" s="756"/>
      <c r="B22" s="756"/>
      <c r="C22" s="756"/>
      <c r="D22" s="756"/>
      <c r="E22" s="756"/>
      <c r="F22" s="756"/>
      <c r="G22" s="756"/>
      <c r="H22" s="756"/>
    </row>
    <row r="23" spans="1:8">
      <c r="A23" s="754" t="s">
        <v>143</v>
      </c>
      <c r="B23" s="756"/>
      <c r="C23" s="756"/>
      <c r="D23" s="756"/>
      <c r="E23" s="756"/>
      <c r="F23" s="756"/>
      <c r="G23" s="756"/>
      <c r="H23" s="756"/>
    </row>
    <row r="24" spans="1:8">
      <c r="A24" s="754" t="s">
        <v>144</v>
      </c>
      <c r="B24" s="756"/>
      <c r="C24" s="756"/>
      <c r="D24" s="756"/>
      <c r="E24" s="756"/>
      <c r="F24" s="756"/>
      <c r="G24" s="756"/>
      <c r="H24" s="756"/>
    </row>
    <row r="25" spans="1:8">
      <c r="A25" s="754" t="s">
        <v>145</v>
      </c>
      <c r="B25" s="756"/>
      <c r="C25" s="756"/>
      <c r="D25" s="756"/>
      <c r="E25" s="756"/>
      <c r="F25" s="756"/>
      <c r="G25" s="756"/>
      <c r="H25" s="756"/>
    </row>
    <row r="26" spans="1:8">
      <c r="A26" s="754" t="s">
        <v>146</v>
      </c>
      <c r="B26" s="756"/>
      <c r="C26" s="756"/>
      <c r="D26" s="756"/>
      <c r="E26" s="756"/>
      <c r="F26" s="756"/>
      <c r="G26" s="756"/>
      <c r="H26" s="756"/>
    </row>
    <row r="27" spans="1:8">
      <c r="A27" s="756"/>
      <c r="B27" s="756"/>
      <c r="C27" s="756"/>
      <c r="D27" s="756"/>
      <c r="E27" s="756"/>
      <c r="F27" s="756"/>
      <c r="G27" s="756"/>
      <c r="H27" s="756"/>
    </row>
    <row r="28" spans="1:8">
      <c r="A28" s="756"/>
      <c r="B28" s="756"/>
      <c r="C28" s="756"/>
      <c r="D28" s="756"/>
      <c r="E28" s="756"/>
      <c r="F28" s="756"/>
      <c r="G28" s="756"/>
      <c r="H28" s="756"/>
    </row>
    <row r="29" spans="1:8">
      <c r="A29" s="754" t="s">
        <v>313</v>
      </c>
      <c r="B29" s="756"/>
      <c r="C29" s="756"/>
      <c r="D29" s="756"/>
      <c r="E29" s="756"/>
      <c r="F29" s="756"/>
      <c r="G29" s="756"/>
      <c r="H29" s="756"/>
    </row>
    <row r="30" spans="1:8">
      <c r="A30" s="754" t="s">
        <v>314</v>
      </c>
      <c r="B30" s="756"/>
      <c r="C30" s="756"/>
      <c r="D30" s="756"/>
      <c r="E30" s="756"/>
      <c r="F30" s="756"/>
      <c r="G30" s="756"/>
      <c r="H30" s="756"/>
    </row>
    <row r="31" spans="1:8">
      <c r="A31" s="754" t="s">
        <v>319</v>
      </c>
      <c r="B31" s="756"/>
      <c r="C31" s="756"/>
      <c r="D31" s="756"/>
      <c r="E31" s="756"/>
      <c r="F31" s="756"/>
      <c r="G31" s="756"/>
      <c r="H31" s="756"/>
    </row>
    <row r="32" spans="1:8">
      <c r="A32" s="754" t="s">
        <v>320</v>
      </c>
      <c r="B32" s="756"/>
      <c r="C32" s="756"/>
      <c r="D32" s="756"/>
      <c r="E32" s="756"/>
      <c r="F32" s="756"/>
      <c r="G32" s="756"/>
      <c r="H32" s="756"/>
    </row>
    <row r="33" spans="1:8">
      <c r="A33" s="754" t="s">
        <v>740</v>
      </c>
      <c r="B33" s="756"/>
      <c r="C33" s="756"/>
      <c r="D33" s="756"/>
      <c r="E33" s="756"/>
      <c r="F33" s="756"/>
      <c r="G33" s="756"/>
      <c r="H33" s="756"/>
    </row>
    <row r="34" spans="1:8">
      <c r="A34" s="754" t="s">
        <v>741</v>
      </c>
      <c r="B34" s="756"/>
      <c r="C34" s="756"/>
      <c r="D34" s="756"/>
      <c r="E34" s="756"/>
      <c r="F34" s="756"/>
      <c r="G34" s="756"/>
      <c r="H34" s="756"/>
    </row>
    <row r="35" spans="1:8">
      <c r="A35" s="756"/>
      <c r="B35" s="756"/>
      <c r="C35" s="756"/>
      <c r="D35" s="756"/>
      <c r="E35" s="756"/>
      <c r="F35" s="756"/>
      <c r="G35" s="756"/>
      <c r="H35" s="756"/>
    </row>
    <row r="36" spans="1:8">
      <c r="A36" s="754" t="s">
        <v>508</v>
      </c>
      <c r="B36" s="756"/>
      <c r="C36" s="756"/>
      <c r="D36" s="756"/>
      <c r="E36" s="756"/>
      <c r="F36" s="756"/>
      <c r="G36" s="756"/>
      <c r="H36" s="756"/>
    </row>
    <row r="37" spans="1:8">
      <c r="A37" s="754" t="s">
        <v>509</v>
      </c>
      <c r="B37" s="756"/>
      <c r="C37" s="756"/>
      <c r="D37" s="756"/>
      <c r="E37" s="756"/>
      <c r="F37" s="756"/>
      <c r="G37" s="756"/>
      <c r="H37" s="756"/>
    </row>
    <row r="38" spans="1:8">
      <c r="A38" s="754" t="s">
        <v>510</v>
      </c>
      <c r="B38" s="756"/>
      <c r="C38" s="756"/>
      <c r="D38" s="756"/>
      <c r="E38" s="756"/>
      <c r="F38" s="756"/>
      <c r="G38" s="756"/>
      <c r="H38" s="756"/>
    </row>
    <row r="39" spans="1:8">
      <c r="A39" s="754" t="s">
        <v>511</v>
      </c>
      <c r="B39" s="756"/>
      <c r="C39" s="756"/>
      <c r="D39" s="756"/>
      <c r="E39" s="756"/>
      <c r="F39" s="756"/>
      <c r="G39" s="756"/>
      <c r="H39" s="756"/>
    </row>
    <row r="40" spans="1:8">
      <c r="A40" s="756"/>
      <c r="B40" s="756"/>
      <c r="C40" s="756"/>
      <c r="D40" s="756"/>
      <c r="E40" s="756"/>
      <c r="F40" s="756"/>
      <c r="G40" s="756"/>
      <c r="H40" s="756"/>
    </row>
    <row r="41" spans="1:8">
      <c r="A41" s="754" t="s">
        <v>742</v>
      </c>
      <c r="B41" s="756"/>
      <c r="C41" s="756"/>
      <c r="D41" s="756"/>
      <c r="E41" s="756"/>
      <c r="F41" s="756"/>
      <c r="G41" s="756"/>
      <c r="H41" s="756"/>
    </row>
    <row r="42" spans="1:8">
      <c r="A42" s="754" t="s">
        <v>743</v>
      </c>
      <c r="B42" s="756"/>
      <c r="C42" s="756"/>
      <c r="D42" s="756"/>
      <c r="E42" s="756"/>
      <c r="F42" s="756"/>
      <c r="G42" s="756"/>
      <c r="H42" s="756"/>
    </row>
    <row r="43" spans="1:8">
      <c r="A43" s="754" t="s">
        <v>744</v>
      </c>
      <c r="B43" s="756"/>
      <c r="C43" s="756"/>
      <c r="D43" s="756"/>
      <c r="E43" s="756"/>
      <c r="F43" s="756"/>
      <c r="G43" s="756"/>
      <c r="H43" s="756"/>
    </row>
    <row r="44" spans="1:8">
      <c r="A44" s="754" t="s">
        <v>745</v>
      </c>
      <c r="B44" s="756"/>
      <c r="C44" s="756"/>
      <c r="D44" s="756"/>
      <c r="E44" s="756"/>
      <c r="F44" s="756"/>
      <c r="G44" s="756"/>
      <c r="H44" s="756"/>
    </row>
    <row r="45" spans="1:8">
      <c r="A45" s="754" t="s">
        <v>746</v>
      </c>
      <c r="B45" s="756"/>
      <c r="C45" s="756"/>
      <c r="D45" s="756"/>
      <c r="E45" s="756"/>
      <c r="F45" s="756"/>
      <c r="G45" s="756"/>
      <c r="H45" s="756"/>
    </row>
    <row r="46" spans="1:8">
      <c r="A46" s="754" t="s">
        <v>747</v>
      </c>
      <c r="B46" s="756"/>
      <c r="C46" s="756"/>
      <c r="D46" s="756"/>
      <c r="E46" s="756"/>
      <c r="F46" s="756"/>
      <c r="G46" s="756"/>
      <c r="H46" s="756"/>
    </row>
    <row r="47" spans="1:8">
      <c r="A47" s="756"/>
      <c r="B47" s="756"/>
      <c r="C47" s="756"/>
      <c r="D47" s="756"/>
      <c r="E47" s="756"/>
      <c r="F47" s="756"/>
      <c r="G47" s="756"/>
      <c r="H47" s="756"/>
    </row>
    <row r="48" spans="1:8" ht="15.75">
      <c r="A48" s="755" t="s">
        <v>147</v>
      </c>
      <c r="B48" s="756"/>
      <c r="C48" s="756"/>
      <c r="D48" s="756"/>
      <c r="E48" s="756"/>
      <c r="F48" s="756"/>
      <c r="G48" s="756"/>
      <c r="H48" s="756"/>
    </row>
    <row r="49" spans="1:8">
      <c r="A49" s="756"/>
      <c r="B49" s="756"/>
      <c r="C49" s="756"/>
      <c r="D49" s="756"/>
      <c r="E49" s="756"/>
      <c r="F49" s="756"/>
      <c r="G49" s="756"/>
      <c r="H49" s="756"/>
    </row>
    <row r="50" spans="1:8">
      <c r="A50" s="754" t="s">
        <v>148</v>
      </c>
      <c r="B50" s="756"/>
      <c r="C50" s="756"/>
      <c r="D50" s="756"/>
      <c r="E50" s="756"/>
      <c r="F50" s="756"/>
      <c r="G50" s="756"/>
      <c r="H50" s="756"/>
    </row>
    <row r="51" spans="1:8">
      <c r="A51" s="754" t="s">
        <v>149</v>
      </c>
      <c r="B51" s="756"/>
      <c r="C51" s="756"/>
      <c r="D51" s="756"/>
      <c r="E51" s="756"/>
      <c r="F51" s="756"/>
      <c r="G51" s="756"/>
      <c r="H51" s="756"/>
    </row>
    <row r="52" spans="1:8">
      <c r="A52" s="754" t="s">
        <v>150</v>
      </c>
      <c r="B52" s="756"/>
      <c r="C52" s="756"/>
      <c r="D52" s="756"/>
      <c r="E52" s="756"/>
      <c r="F52" s="756"/>
      <c r="G52" s="756"/>
      <c r="H52" s="756"/>
    </row>
    <row r="53" spans="1:8">
      <c r="A53" s="754" t="s">
        <v>8</v>
      </c>
      <c r="B53" s="756"/>
      <c r="C53" s="756"/>
      <c r="D53" s="756"/>
      <c r="E53" s="756"/>
      <c r="F53" s="756"/>
      <c r="G53" s="756"/>
      <c r="H53" s="756"/>
    </row>
    <row r="54" spans="1:8">
      <c r="A54" s="756"/>
      <c r="B54" s="756"/>
      <c r="C54" s="756"/>
      <c r="D54" s="756"/>
      <c r="E54" s="756"/>
      <c r="F54" s="756"/>
      <c r="G54" s="756"/>
      <c r="H54" s="756"/>
    </row>
    <row r="55" spans="1:8">
      <c r="A55" s="754" t="s">
        <v>152</v>
      </c>
      <c r="B55" s="756"/>
      <c r="C55" s="756"/>
      <c r="D55" s="756"/>
      <c r="E55" s="756"/>
      <c r="F55" s="756"/>
      <c r="G55" s="756"/>
      <c r="H55" s="756"/>
    </row>
    <row r="56" spans="1:8">
      <c r="A56" s="756"/>
      <c r="B56" s="756"/>
      <c r="C56" s="756"/>
      <c r="D56" s="756"/>
      <c r="E56" s="756"/>
      <c r="F56" s="756"/>
      <c r="G56" s="756"/>
      <c r="H56" s="756"/>
    </row>
    <row r="57" spans="1:8" ht="15.75">
      <c r="A57" s="755" t="s">
        <v>153</v>
      </c>
      <c r="B57" s="756"/>
      <c r="C57" s="756"/>
      <c r="D57" s="756"/>
      <c r="E57" s="756"/>
      <c r="F57" s="756"/>
      <c r="G57" s="756"/>
      <c r="H57" s="756"/>
    </row>
    <row r="58" spans="1:8">
      <c r="A58" s="756"/>
      <c r="B58" s="756"/>
      <c r="C58" s="756"/>
      <c r="D58" s="756"/>
      <c r="E58" s="756"/>
      <c r="F58" s="756"/>
      <c r="G58" s="756"/>
      <c r="H58" s="756"/>
    </row>
    <row r="59" spans="1:8">
      <c r="A59" s="754" t="s">
        <v>154</v>
      </c>
      <c r="B59" s="756"/>
      <c r="C59" s="756"/>
      <c r="D59" s="756"/>
      <c r="E59" s="756"/>
      <c r="F59" s="756"/>
      <c r="G59" s="756"/>
      <c r="H59" s="756"/>
    </row>
    <row r="60" spans="1:8">
      <c r="A60" s="754" t="s">
        <v>155</v>
      </c>
      <c r="B60" s="756"/>
      <c r="C60" s="756"/>
      <c r="D60" s="756"/>
      <c r="E60" s="756"/>
      <c r="F60" s="756"/>
      <c r="G60" s="756"/>
      <c r="H60" s="756"/>
    </row>
    <row r="61" spans="1:8">
      <c r="A61" s="756"/>
      <c r="B61" s="756"/>
      <c r="C61" s="756"/>
      <c r="D61" s="756"/>
      <c r="E61" s="756"/>
      <c r="F61" s="756"/>
      <c r="G61" s="756"/>
      <c r="H61" s="756"/>
    </row>
    <row r="62" spans="1:8" ht="15.75">
      <c r="A62" s="755" t="s">
        <v>156</v>
      </c>
      <c r="B62" s="756"/>
      <c r="C62" s="756"/>
      <c r="D62" s="756"/>
      <c r="E62" s="756"/>
      <c r="F62" s="756"/>
      <c r="G62" s="756"/>
      <c r="H62" s="756"/>
    </row>
    <row r="63" spans="1:8">
      <c r="A63" s="756"/>
      <c r="B63" s="756"/>
      <c r="C63" s="756"/>
      <c r="D63" s="756"/>
      <c r="E63" s="756"/>
      <c r="F63" s="756"/>
      <c r="G63" s="756"/>
      <c r="H63" s="756"/>
    </row>
    <row r="64" spans="1:8">
      <c r="A64" s="754" t="s">
        <v>874</v>
      </c>
      <c r="B64" s="756"/>
      <c r="C64" s="756"/>
      <c r="D64" s="756"/>
      <c r="E64" s="756"/>
      <c r="F64" s="756"/>
      <c r="G64" s="756"/>
      <c r="H64" s="756"/>
    </row>
    <row r="65" spans="1:8">
      <c r="A65" s="754" t="s">
        <v>875</v>
      </c>
      <c r="B65" s="756"/>
      <c r="C65" s="756"/>
      <c r="D65" s="756"/>
      <c r="E65" s="756"/>
      <c r="F65" s="756"/>
      <c r="G65" s="756"/>
      <c r="H65" s="756"/>
    </row>
    <row r="66" spans="1:8">
      <c r="A66" s="756"/>
      <c r="B66" s="756"/>
      <c r="C66" s="756"/>
      <c r="D66" s="756"/>
      <c r="E66" s="756"/>
      <c r="F66" s="756"/>
      <c r="G66" s="756"/>
      <c r="H66" s="756"/>
    </row>
    <row r="67" spans="1:8">
      <c r="A67" s="754" t="s">
        <v>872</v>
      </c>
      <c r="B67" s="756"/>
      <c r="C67" s="756"/>
      <c r="D67" s="756"/>
      <c r="E67" s="756"/>
      <c r="F67" s="756"/>
      <c r="G67" s="756"/>
      <c r="H67" s="756"/>
    </row>
    <row r="68" spans="1:8">
      <c r="A68" s="754" t="s">
        <v>873</v>
      </c>
      <c r="B68" s="756"/>
      <c r="C68" s="756"/>
      <c r="D68" s="756"/>
      <c r="E68" s="756"/>
      <c r="F68" s="756"/>
      <c r="G68" s="756"/>
      <c r="H68" s="756"/>
    </row>
    <row r="69" spans="1:8">
      <c r="A69" s="756"/>
      <c r="B69" s="756"/>
      <c r="C69" s="756"/>
      <c r="D69" s="756"/>
      <c r="E69" s="756"/>
      <c r="F69" s="756"/>
      <c r="G69" s="756"/>
      <c r="H69" s="756"/>
    </row>
    <row r="70" spans="1:8">
      <c r="A70" s="754" t="s">
        <v>157</v>
      </c>
      <c r="B70" s="756"/>
      <c r="C70" s="756"/>
      <c r="D70" s="756"/>
      <c r="E70" s="756"/>
      <c r="F70" s="756"/>
      <c r="G70" s="756"/>
      <c r="H70" s="756"/>
    </row>
    <row r="71" spans="1:8">
      <c r="A71" s="754" t="s">
        <v>158</v>
      </c>
      <c r="B71" s="756"/>
      <c r="C71" s="756"/>
      <c r="D71" s="756"/>
      <c r="E71" s="756"/>
      <c r="F71" s="756"/>
      <c r="G71" s="756"/>
      <c r="H71" s="756"/>
    </row>
    <row r="72" spans="1:8">
      <c r="A72" s="756"/>
      <c r="B72" s="756"/>
      <c r="C72" s="756"/>
      <c r="D72" s="756"/>
      <c r="E72" s="756"/>
      <c r="F72" s="756"/>
      <c r="G72" s="756"/>
      <c r="H72" s="756"/>
    </row>
    <row r="73" spans="1:8">
      <c r="A73" s="754" t="s">
        <v>159</v>
      </c>
      <c r="B73" s="756"/>
      <c r="C73" s="756"/>
      <c r="D73" s="756"/>
      <c r="E73" s="756"/>
      <c r="F73" s="756"/>
      <c r="G73" s="756"/>
      <c r="H73" s="756"/>
    </row>
    <row r="74" spans="1:8">
      <c r="A74" s="754" t="s">
        <v>160</v>
      </c>
      <c r="B74" s="756"/>
      <c r="C74" s="756"/>
      <c r="D74" s="756"/>
      <c r="E74" s="756"/>
      <c r="F74" s="756"/>
      <c r="G74" s="756"/>
      <c r="H74" s="756"/>
    </row>
    <row r="75" spans="1:8">
      <c r="A75" s="756"/>
      <c r="B75" s="756"/>
      <c r="C75" s="756"/>
      <c r="D75" s="756"/>
      <c r="E75" s="756"/>
      <c r="F75" s="756"/>
      <c r="G75" s="756"/>
      <c r="H75" s="756"/>
    </row>
    <row r="76" spans="1:8">
      <c r="A76" s="754" t="s">
        <v>161</v>
      </c>
      <c r="B76" s="756"/>
      <c r="C76" s="756"/>
      <c r="D76" s="756"/>
      <c r="E76" s="756"/>
      <c r="F76" s="756"/>
      <c r="G76" s="756"/>
      <c r="H76" s="756"/>
    </row>
    <row r="77" spans="1:8">
      <c r="A77" s="754" t="s">
        <v>162</v>
      </c>
      <c r="B77" s="756"/>
      <c r="C77" s="756"/>
      <c r="D77" s="756"/>
      <c r="E77" s="756"/>
      <c r="F77" s="756"/>
      <c r="G77" s="756"/>
      <c r="H77" s="756"/>
    </row>
    <row r="78" spans="1:8">
      <c r="A78" s="756"/>
      <c r="B78" s="756"/>
      <c r="C78" s="756"/>
      <c r="D78" s="756"/>
      <c r="E78" s="756"/>
      <c r="F78" s="756"/>
      <c r="G78" s="756"/>
      <c r="H78" s="756"/>
    </row>
    <row r="79" spans="1:8">
      <c r="A79" s="754" t="s">
        <v>164</v>
      </c>
      <c r="B79" s="756"/>
      <c r="C79" s="756"/>
      <c r="D79" s="756"/>
      <c r="E79" s="756"/>
      <c r="F79" s="756"/>
      <c r="G79" s="756"/>
      <c r="H79" s="756"/>
    </row>
    <row r="80" spans="1:8">
      <c r="A80" s="754" t="s">
        <v>165</v>
      </c>
      <c r="B80" s="756"/>
      <c r="C80" s="756"/>
      <c r="D80" s="756"/>
      <c r="E80" s="756"/>
      <c r="F80" s="756"/>
      <c r="G80" s="756"/>
      <c r="H80" s="756"/>
    </row>
    <row r="81" spans="1:8">
      <c r="A81" s="754" t="s">
        <v>166</v>
      </c>
      <c r="B81" s="756"/>
      <c r="C81" s="756"/>
      <c r="D81" s="756"/>
      <c r="E81" s="756"/>
      <c r="F81" s="756"/>
      <c r="G81" s="756"/>
      <c r="H81" s="756"/>
    </row>
    <row r="82" spans="1:8">
      <c r="A82" s="756"/>
      <c r="B82" s="756"/>
      <c r="C82" s="756"/>
      <c r="D82" s="756"/>
      <c r="E82" s="756"/>
      <c r="F82" s="756"/>
      <c r="G82" s="756"/>
      <c r="H82" s="756"/>
    </row>
    <row r="83" spans="1:8">
      <c r="A83" s="754" t="s">
        <v>870</v>
      </c>
      <c r="B83" s="756"/>
      <c r="C83" s="756"/>
      <c r="D83" s="756"/>
      <c r="E83" s="756"/>
      <c r="F83" s="756"/>
      <c r="G83" s="756"/>
      <c r="H83" s="756"/>
    </row>
    <row r="84" spans="1:8">
      <c r="A84" s="754" t="s">
        <v>871</v>
      </c>
      <c r="B84" s="756"/>
      <c r="C84" s="756"/>
      <c r="D84" s="756"/>
      <c r="E84" s="756"/>
      <c r="F84" s="756"/>
      <c r="G84" s="756"/>
      <c r="H84" s="756"/>
    </row>
    <row r="85" spans="1:8">
      <c r="A85" s="756"/>
      <c r="B85" s="756"/>
      <c r="C85" s="756"/>
      <c r="D85" s="756"/>
      <c r="E85" s="756"/>
      <c r="F85" s="756"/>
      <c r="G85" s="756"/>
      <c r="H85" s="756"/>
    </row>
    <row r="86" spans="1:8">
      <c r="A86" s="754" t="s">
        <v>167</v>
      </c>
      <c r="B86" s="756"/>
      <c r="C86" s="756"/>
      <c r="D86" s="756"/>
      <c r="E86" s="756"/>
      <c r="F86" s="756"/>
      <c r="G86" s="756"/>
      <c r="H86" s="756"/>
    </row>
    <row r="87" spans="1:8">
      <c r="A87" s="756"/>
      <c r="B87" s="756"/>
      <c r="C87" s="756"/>
      <c r="D87" s="756"/>
      <c r="E87" s="756"/>
      <c r="F87" s="756"/>
      <c r="G87" s="756"/>
      <c r="H87" s="756"/>
    </row>
    <row r="88" spans="1:8">
      <c r="A88" s="754" t="s">
        <v>168</v>
      </c>
      <c r="B88" s="756"/>
      <c r="C88" s="756"/>
      <c r="D88" s="756"/>
      <c r="E88" s="756"/>
      <c r="F88" s="756"/>
      <c r="G88" s="756"/>
      <c r="H88" s="756"/>
    </row>
    <row r="89" spans="1:8">
      <c r="A89" s="754" t="s">
        <v>169</v>
      </c>
      <c r="B89" s="756"/>
      <c r="C89" s="756"/>
      <c r="D89" s="756"/>
      <c r="E89" s="756"/>
      <c r="F89" s="756"/>
      <c r="G89" s="756"/>
      <c r="H89" s="756"/>
    </row>
    <row r="90" spans="1:8">
      <c r="A90" s="754" t="s">
        <v>170</v>
      </c>
      <c r="B90" s="756"/>
      <c r="C90" s="756"/>
      <c r="D90" s="756"/>
      <c r="E90" s="756"/>
      <c r="F90" s="756"/>
      <c r="G90" s="756"/>
      <c r="H90" s="756"/>
    </row>
    <row r="91" spans="1:8">
      <c r="A91" s="754" t="s">
        <v>748</v>
      </c>
      <c r="B91" s="756"/>
      <c r="C91" s="756"/>
      <c r="D91" s="756"/>
      <c r="E91" s="756"/>
      <c r="F91" s="756"/>
      <c r="G91" s="756"/>
      <c r="H91" s="756"/>
    </row>
    <row r="92" spans="1:8">
      <c r="A92" s="754" t="s">
        <v>749</v>
      </c>
      <c r="B92" s="756"/>
      <c r="C92" s="756"/>
      <c r="D92" s="756"/>
      <c r="E92" s="756"/>
      <c r="F92" s="756"/>
      <c r="G92" s="756"/>
      <c r="H92" s="756"/>
    </row>
    <row r="93" spans="1:8">
      <c r="A93" s="754" t="s">
        <v>270</v>
      </c>
      <c r="B93" s="756"/>
      <c r="C93" s="756"/>
      <c r="D93" s="756"/>
      <c r="E93" s="756"/>
      <c r="F93" s="756"/>
      <c r="G93" s="756"/>
      <c r="H93" s="756"/>
    </row>
    <row r="94" spans="1:8">
      <c r="A94" s="756"/>
      <c r="B94" s="756"/>
      <c r="C94" s="756"/>
      <c r="D94" s="756"/>
      <c r="E94" s="756"/>
      <c r="F94" s="756"/>
      <c r="G94" s="756"/>
      <c r="H94" s="756"/>
    </row>
    <row r="95" spans="1:8">
      <c r="A95" s="754" t="s">
        <v>171</v>
      </c>
      <c r="B95" s="756"/>
      <c r="C95" s="756"/>
      <c r="D95" s="756"/>
      <c r="E95" s="756"/>
      <c r="F95" s="756"/>
      <c r="G95" s="756"/>
      <c r="H95" s="756"/>
    </row>
    <row r="96" spans="1:8">
      <c r="A96" s="754" t="s">
        <v>694</v>
      </c>
      <c r="B96" s="756"/>
      <c r="C96" s="756"/>
      <c r="D96" s="756"/>
      <c r="E96" s="756"/>
      <c r="F96" s="756"/>
      <c r="G96" s="756"/>
      <c r="H96" s="756"/>
    </row>
    <row r="97" spans="1:8">
      <c r="A97" s="754" t="s">
        <v>693</v>
      </c>
      <c r="B97" s="756"/>
      <c r="C97" s="756"/>
      <c r="D97" s="756"/>
      <c r="E97" s="756"/>
      <c r="F97" s="756"/>
      <c r="G97" s="756"/>
      <c r="H97" s="756"/>
    </row>
    <row r="98" spans="1:8">
      <c r="A98" s="754" t="s">
        <v>692</v>
      </c>
      <c r="B98" s="756"/>
      <c r="C98" s="756"/>
      <c r="D98" s="756"/>
      <c r="E98" s="756"/>
      <c r="F98" s="756"/>
      <c r="G98" s="756"/>
      <c r="H98" s="756"/>
    </row>
    <row r="99" spans="1:8">
      <c r="A99" s="754" t="s">
        <v>691</v>
      </c>
      <c r="B99" s="756"/>
      <c r="C99" s="756"/>
      <c r="D99" s="756"/>
      <c r="E99" s="756"/>
      <c r="F99" s="756"/>
      <c r="G99" s="756"/>
      <c r="H99" s="756"/>
    </row>
    <row r="100" spans="1:8">
      <c r="A100" s="754" t="s">
        <v>750</v>
      </c>
      <c r="B100" s="756"/>
      <c r="C100" s="756"/>
      <c r="D100" s="756"/>
      <c r="E100" s="756"/>
      <c r="F100" s="756"/>
      <c r="G100" s="756"/>
      <c r="H100" s="756"/>
    </row>
    <row r="101" spans="1:8">
      <c r="A101" s="754" t="s">
        <v>751</v>
      </c>
      <c r="B101" s="756"/>
      <c r="C101" s="756"/>
      <c r="D101" s="756"/>
      <c r="E101" s="756"/>
      <c r="F101" s="756"/>
      <c r="G101" s="756"/>
      <c r="H101" s="756"/>
    </row>
    <row r="102" spans="1:8">
      <c r="A102" s="756"/>
      <c r="B102" s="756"/>
      <c r="C102" s="756"/>
      <c r="D102" s="756"/>
      <c r="E102" s="756"/>
      <c r="F102" s="756"/>
      <c r="G102" s="756"/>
      <c r="H102" s="756"/>
    </row>
    <row r="103" spans="1:8">
      <c r="A103" s="754" t="s">
        <v>172</v>
      </c>
      <c r="B103" s="756"/>
      <c r="C103" s="756"/>
      <c r="D103" s="756"/>
      <c r="E103" s="756"/>
      <c r="F103" s="756"/>
      <c r="G103" s="756"/>
      <c r="H103" s="756"/>
    </row>
    <row r="104" spans="1:8">
      <c r="A104" s="754" t="s">
        <v>173</v>
      </c>
      <c r="B104" s="756"/>
      <c r="C104" s="756"/>
      <c r="D104" s="756"/>
      <c r="E104" s="756"/>
      <c r="F104" s="756"/>
      <c r="G104" s="756"/>
      <c r="H104" s="756"/>
    </row>
    <row r="105" spans="1:8">
      <c r="A105" s="756"/>
      <c r="B105" s="756"/>
      <c r="C105" s="756"/>
      <c r="D105" s="756"/>
      <c r="E105" s="756"/>
      <c r="F105" s="756"/>
      <c r="G105" s="756"/>
      <c r="H105" s="756"/>
    </row>
    <row r="106" spans="1:8" ht="15.75">
      <c r="A106" s="755" t="s">
        <v>174</v>
      </c>
      <c r="B106" s="756"/>
      <c r="C106" s="756"/>
      <c r="D106" s="756"/>
      <c r="E106" s="756"/>
      <c r="F106" s="756"/>
      <c r="G106" s="756"/>
      <c r="H106" s="756"/>
    </row>
    <row r="107" spans="1:8">
      <c r="A107" s="756"/>
      <c r="B107" s="756"/>
      <c r="C107" s="756"/>
      <c r="D107" s="756"/>
      <c r="E107" s="756"/>
      <c r="F107" s="756"/>
      <c r="G107" s="756"/>
      <c r="H107" s="756"/>
    </row>
    <row r="108" spans="1:8">
      <c r="A108" s="754" t="s">
        <v>175</v>
      </c>
      <c r="B108" s="756"/>
      <c r="C108" s="756"/>
      <c r="D108" s="756"/>
      <c r="E108" s="756"/>
      <c r="F108" s="756"/>
      <c r="G108" s="756"/>
      <c r="H108" s="756"/>
    </row>
    <row r="109" spans="1:8">
      <c r="A109" s="754" t="s">
        <v>176</v>
      </c>
      <c r="B109" s="756"/>
      <c r="C109" s="756"/>
      <c r="D109" s="756"/>
      <c r="E109" s="756"/>
      <c r="F109" s="756"/>
      <c r="G109" s="756"/>
      <c r="H109" s="756"/>
    </row>
    <row r="110" spans="1:8">
      <c r="A110" s="754" t="s">
        <v>177</v>
      </c>
      <c r="B110" s="756"/>
      <c r="C110" s="756"/>
      <c r="D110" s="756"/>
      <c r="E110" s="756"/>
      <c r="F110" s="756"/>
      <c r="G110" s="756"/>
      <c r="H110" s="756"/>
    </row>
    <row r="111" spans="1:8">
      <c r="A111" s="754" t="s">
        <v>178</v>
      </c>
      <c r="B111" s="756"/>
      <c r="C111" s="756"/>
      <c r="D111" s="756"/>
      <c r="E111" s="756"/>
      <c r="F111" s="756"/>
      <c r="G111" s="756"/>
      <c r="H111" s="756"/>
    </row>
    <row r="112" spans="1:8">
      <c r="A112" s="754" t="s">
        <v>179</v>
      </c>
      <c r="B112" s="756"/>
      <c r="C112" s="756"/>
      <c r="D112" s="756"/>
      <c r="E112" s="756"/>
      <c r="F112" s="756"/>
      <c r="G112" s="756"/>
      <c r="H112" s="756"/>
    </row>
    <row r="113" spans="1:8">
      <c r="A113" s="754" t="s">
        <v>180</v>
      </c>
      <c r="B113" s="756"/>
      <c r="C113" s="756"/>
      <c r="D113" s="756"/>
      <c r="E113" s="756"/>
      <c r="F113" s="756"/>
      <c r="G113" s="756"/>
      <c r="H113" s="756"/>
    </row>
    <row r="114" spans="1:8">
      <c r="A114" s="754" t="s">
        <v>181</v>
      </c>
      <c r="B114" s="756"/>
      <c r="C114" s="756"/>
      <c r="D114" s="756"/>
      <c r="E114" s="756"/>
      <c r="F114" s="756"/>
      <c r="G114" s="756"/>
      <c r="H114" s="756"/>
    </row>
    <row r="115" spans="1:8">
      <c r="A115" s="754" t="s">
        <v>182</v>
      </c>
      <c r="B115" s="756"/>
      <c r="C115" s="756"/>
      <c r="D115" s="756"/>
      <c r="E115" s="756"/>
      <c r="F115" s="756"/>
      <c r="G115" s="756"/>
      <c r="H115" s="756"/>
    </row>
    <row r="116" spans="1:8">
      <c r="A116" s="754" t="s">
        <v>183</v>
      </c>
      <c r="B116" s="756"/>
      <c r="C116" s="756"/>
      <c r="D116" s="756"/>
      <c r="E116" s="756"/>
      <c r="F116" s="756"/>
      <c r="G116" s="756"/>
      <c r="H116" s="756"/>
    </row>
    <row r="117" spans="1:8">
      <c r="A117" s="756"/>
      <c r="B117" s="756"/>
      <c r="C117" s="756"/>
      <c r="D117" s="756"/>
      <c r="E117" s="756"/>
      <c r="F117" s="756"/>
      <c r="G117" s="756"/>
      <c r="H117" s="756"/>
    </row>
    <row r="118" spans="1:8" ht="15.75">
      <c r="A118" s="769" t="s">
        <v>184</v>
      </c>
      <c r="B118" s="769"/>
      <c r="C118" s="769"/>
      <c r="D118" s="769"/>
      <c r="E118" s="769"/>
      <c r="F118" s="769"/>
      <c r="G118" s="769"/>
      <c r="H118" s="769"/>
    </row>
    <row r="119" spans="1:8">
      <c r="A119" s="765" t="s">
        <v>851</v>
      </c>
      <c r="B119" s="765"/>
      <c r="C119" s="765"/>
      <c r="D119" s="765"/>
      <c r="E119" s="765"/>
      <c r="F119" s="765"/>
      <c r="G119" s="765"/>
      <c r="H119" s="765"/>
    </row>
    <row r="120" spans="1:8">
      <c r="A120" s="770"/>
      <c r="B120" s="770"/>
      <c r="C120" s="770"/>
      <c r="D120" s="770"/>
      <c r="E120" s="770"/>
      <c r="F120" s="770"/>
      <c r="G120" s="770"/>
      <c r="H120" s="770"/>
    </row>
    <row r="121" spans="1:8">
      <c r="A121" s="765" t="s">
        <v>752</v>
      </c>
      <c r="B121" s="765"/>
      <c r="C121" s="765"/>
      <c r="D121" s="765"/>
      <c r="E121" s="765"/>
      <c r="F121" s="765"/>
      <c r="G121" s="765"/>
      <c r="H121" s="765"/>
    </row>
    <row r="122" spans="1:8">
      <c r="A122" s="754" t="s">
        <v>753</v>
      </c>
      <c r="B122" s="754"/>
      <c r="C122" s="754"/>
      <c r="D122" s="754"/>
      <c r="E122" s="754"/>
      <c r="F122" s="754"/>
      <c r="G122" s="754"/>
      <c r="H122" s="754"/>
    </row>
    <row r="123" spans="1:8">
      <c r="A123" s="770"/>
      <c r="B123" s="770"/>
      <c r="C123" s="770"/>
      <c r="D123" s="770"/>
      <c r="E123" s="770"/>
      <c r="F123" s="770"/>
      <c r="G123" s="770"/>
      <c r="H123" s="770"/>
    </row>
    <row r="124" spans="1:8">
      <c r="A124" s="765" t="s">
        <v>185</v>
      </c>
      <c r="B124" s="765"/>
      <c r="C124" s="765"/>
      <c r="D124" s="765"/>
      <c r="E124" s="765"/>
      <c r="F124" s="765"/>
      <c r="G124" s="765"/>
      <c r="H124" s="765"/>
    </row>
    <row r="125" spans="1:8">
      <c r="A125" s="754" t="s">
        <v>186</v>
      </c>
      <c r="B125" s="754"/>
      <c r="C125" s="754"/>
      <c r="D125" s="754"/>
      <c r="E125" s="754"/>
      <c r="F125" s="754"/>
      <c r="G125" s="754"/>
      <c r="H125" s="754"/>
    </row>
    <row r="126" spans="1:8">
      <c r="A126" s="754" t="s">
        <v>187</v>
      </c>
      <c r="B126" s="754"/>
      <c r="C126" s="754"/>
      <c r="D126" s="754"/>
      <c r="E126" s="754"/>
      <c r="F126" s="754"/>
      <c r="G126" s="754"/>
      <c r="H126" s="754"/>
    </row>
    <row r="127" spans="1:8">
      <c r="A127" s="754" t="s">
        <v>188</v>
      </c>
      <c r="B127" s="754"/>
      <c r="C127" s="754"/>
      <c r="D127" s="754"/>
      <c r="E127" s="754"/>
      <c r="F127" s="754"/>
      <c r="G127" s="754"/>
      <c r="H127" s="754"/>
    </row>
    <row r="128" spans="1:8">
      <c r="A128" s="754" t="s">
        <v>189</v>
      </c>
      <c r="B128" s="754"/>
      <c r="C128" s="754"/>
      <c r="D128" s="754"/>
      <c r="E128" s="754"/>
      <c r="F128" s="754"/>
      <c r="G128" s="754"/>
      <c r="H128" s="754"/>
    </row>
    <row r="129" spans="1:8">
      <c r="A129" s="754" t="s">
        <v>190</v>
      </c>
      <c r="B129" s="754"/>
      <c r="C129" s="754"/>
      <c r="D129" s="754"/>
      <c r="E129" s="754"/>
      <c r="F129" s="754"/>
      <c r="G129" s="754"/>
      <c r="H129" s="754"/>
    </row>
    <row r="130" spans="1:8">
      <c r="A130" s="754" t="s">
        <v>191</v>
      </c>
      <c r="B130" s="754"/>
      <c r="C130" s="754"/>
      <c r="D130" s="754"/>
      <c r="E130" s="754"/>
      <c r="F130" s="754"/>
      <c r="G130" s="754"/>
      <c r="H130" s="754"/>
    </row>
    <row r="131" spans="1:8">
      <c r="A131" s="771"/>
      <c r="B131" s="771"/>
      <c r="C131" s="771"/>
      <c r="D131" s="771"/>
      <c r="E131" s="771"/>
      <c r="F131" s="771"/>
      <c r="G131" s="771"/>
      <c r="H131" s="771"/>
    </row>
    <row r="132" spans="1:8">
      <c r="A132" s="401"/>
      <c r="B132" s="766" t="s">
        <v>192</v>
      </c>
      <c r="C132" s="767"/>
      <c r="D132" s="766" t="s">
        <v>193</v>
      </c>
      <c r="E132" s="768"/>
      <c r="F132" s="767"/>
      <c r="G132" s="766" t="s">
        <v>754</v>
      </c>
      <c r="H132" s="767"/>
    </row>
    <row r="133" spans="1:8">
      <c r="A133" s="401" t="s">
        <v>194</v>
      </c>
      <c r="B133" s="401" t="s">
        <v>24</v>
      </c>
      <c r="C133" s="401" t="s">
        <v>195</v>
      </c>
      <c r="D133" s="401" t="s">
        <v>24</v>
      </c>
      <c r="E133" s="401" t="s">
        <v>196</v>
      </c>
      <c r="F133" s="401" t="s">
        <v>197</v>
      </c>
      <c r="G133" s="401" t="s">
        <v>24</v>
      </c>
      <c r="H133" s="401" t="s">
        <v>755</v>
      </c>
    </row>
    <row r="134" spans="1:8">
      <c r="A134" s="401" t="s">
        <v>198</v>
      </c>
      <c r="B134" s="401">
        <v>1189</v>
      </c>
      <c r="C134" s="772">
        <v>0.38</v>
      </c>
      <c r="D134" s="401">
        <v>315</v>
      </c>
      <c r="E134" s="772">
        <v>0.41</v>
      </c>
      <c r="F134" s="772">
        <v>0.26</v>
      </c>
      <c r="G134" s="401">
        <v>555</v>
      </c>
      <c r="H134" s="772">
        <v>0.39</v>
      </c>
    </row>
    <row r="135" spans="1:8">
      <c r="A135" s="401" t="s">
        <v>199</v>
      </c>
      <c r="B135" s="401">
        <v>1355</v>
      </c>
      <c r="C135" s="772">
        <v>0.43</v>
      </c>
      <c r="D135" s="401">
        <v>364</v>
      </c>
      <c r="E135" s="772">
        <v>0.47</v>
      </c>
      <c r="F135" s="772">
        <v>0.27</v>
      </c>
      <c r="G135" s="401">
        <v>644</v>
      </c>
      <c r="H135" s="772">
        <v>0.45</v>
      </c>
    </row>
    <row r="136" spans="1:8">
      <c r="A136" s="401" t="s">
        <v>200</v>
      </c>
      <c r="B136" s="401">
        <v>53</v>
      </c>
      <c r="C136" s="772">
        <v>0.02</v>
      </c>
      <c r="D136" s="401">
        <v>4</v>
      </c>
      <c r="E136" s="772">
        <v>0.01</v>
      </c>
      <c r="F136" s="772">
        <v>0.08</v>
      </c>
      <c r="G136" s="401">
        <v>7</v>
      </c>
      <c r="H136" s="772">
        <v>0</v>
      </c>
    </row>
    <row r="137" spans="1:8">
      <c r="A137" s="401" t="s">
        <v>201</v>
      </c>
      <c r="B137" s="401">
        <v>545</v>
      </c>
      <c r="C137" s="772">
        <v>0.17</v>
      </c>
      <c r="D137" s="401">
        <v>84</v>
      </c>
      <c r="E137" s="772">
        <v>0.11</v>
      </c>
      <c r="F137" s="772">
        <v>0.15</v>
      </c>
      <c r="G137" s="401">
        <v>214</v>
      </c>
      <c r="H137" s="772">
        <v>0.15</v>
      </c>
    </row>
    <row r="138" spans="1:8">
      <c r="A138" s="401" t="s">
        <v>202</v>
      </c>
      <c r="B138" s="401">
        <v>3142</v>
      </c>
      <c r="C138" s="401"/>
      <c r="D138" s="401">
        <v>767</v>
      </c>
      <c r="E138" s="401"/>
      <c r="F138" s="401"/>
      <c r="G138" s="401">
        <v>1420</v>
      </c>
      <c r="H138" s="401"/>
    </row>
    <row r="139" spans="1:8">
      <c r="A139" s="764"/>
      <c r="B139" s="764"/>
      <c r="C139" s="764"/>
      <c r="D139" s="764"/>
      <c r="E139" s="764"/>
      <c r="F139" s="764"/>
      <c r="G139" s="764"/>
      <c r="H139" s="764"/>
    </row>
    <row r="140" spans="1:8">
      <c r="A140" s="765" t="s">
        <v>535</v>
      </c>
      <c r="B140" s="765"/>
      <c r="C140" s="765"/>
      <c r="D140" s="765"/>
      <c r="E140" s="765"/>
      <c r="F140" s="765"/>
      <c r="G140" s="765"/>
      <c r="H140" s="765"/>
    </row>
    <row r="141" spans="1:8">
      <c r="A141" s="754" t="s">
        <v>867</v>
      </c>
      <c r="B141" s="754"/>
      <c r="C141" s="754"/>
      <c r="D141" s="754"/>
      <c r="E141" s="754"/>
      <c r="F141" s="754"/>
      <c r="G141" s="754"/>
      <c r="H141" s="754"/>
    </row>
    <row r="142" spans="1:8">
      <c r="A142" s="754" t="s">
        <v>868</v>
      </c>
      <c r="B142" s="754"/>
      <c r="C142" s="754"/>
      <c r="D142" s="754"/>
      <c r="E142" s="754"/>
      <c r="F142" s="754"/>
      <c r="G142" s="754"/>
      <c r="H142" s="754"/>
    </row>
    <row r="143" spans="1:8">
      <c r="A143" s="754" t="s">
        <v>869</v>
      </c>
      <c r="B143" s="754"/>
      <c r="C143" s="754"/>
      <c r="D143" s="754"/>
      <c r="E143" s="754"/>
      <c r="F143" s="754"/>
      <c r="G143" s="754"/>
      <c r="H143" s="754"/>
    </row>
    <row r="144" spans="1:8">
      <c r="A144" s="756"/>
      <c r="B144" s="756"/>
      <c r="C144" s="756"/>
      <c r="D144" s="756"/>
      <c r="E144" s="756"/>
      <c r="F144" s="756"/>
      <c r="G144" s="756"/>
      <c r="H144" s="756"/>
    </row>
    <row r="145" spans="1:8" ht="15.75">
      <c r="A145" s="755" t="s">
        <v>203</v>
      </c>
      <c r="B145" s="756"/>
      <c r="C145" s="756"/>
      <c r="D145" s="756"/>
      <c r="E145" s="756"/>
      <c r="F145" s="756"/>
      <c r="G145" s="756"/>
      <c r="H145" s="756"/>
    </row>
    <row r="146" spans="1:8">
      <c r="A146" s="756"/>
      <c r="B146" s="756"/>
      <c r="C146" s="756"/>
      <c r="D146" s="756"/>
      <c r="E146" s="756"/>
      <c r="F146" s="756"/>
      <c r="G146" s="756"/>
      <c r="H146" s="756"/>
    </row>
    <row r="147" spans="1:8">
      <c r="A147" s="754" t="s">
        <v>204</v>
      </c>
      <c r="B147" s="756"/>
      <c r="C147" s="756"/>
      <c r="D147" s="756"/>
      <c r="E147" s="756"/>
      <c r="F147" s="756"/>
      <c r="G147" s="756"/>
      <c r="H147" s="756"/>
    </row>
    <row r="148" spans="1:8">
      <c r="A148" s="754" t="s">
        <v>205</v>
      </c>
      <c r="B148" s="756"/>
      <c r="C148" s="756"/>
      <c r="D148" s="756"/>
      <c r="E148" s="756"/>
      <c r="F148" s="756"/>
      <c r="G148" s="756"/>
      <c r="H148" s="756"/>
    </row>
    <row r="149" spans="1:8">
      <c r="A149" s="756"/>
      <c r="B149" s="756"/>
      <c r="C149" s="756"/>
      <c r="D149" s="756"/>
      <c r="E149" s="756"/>
      <c r="F149" s="756"/>
      <c r="G149" s="756"/>
      <c r="H149" s="756"/>
    </row>
    <row r="150" spans="1:8">
      <c r="A150" s="754" t="s">
        <v>206</v>
      </c>
      <c r="B150" s="756"/>
      <c r="C150" s="756"/>
      <c r="D150" s="756"/>
      <c r="E150" s="756"/>
      <c r="F150" s="756"/>
      <c r="G150" s="756"/>
      <c r="H150" s="756"/>
    </row>
    <row r="151" spans="1:8">
      <c r="A151" s="754" t="s">
        <v>207</v>
      </c>
      <c r="B151" s="756"/>
      <c r="C151" s="756"/>
      <c r="D151" s="756"/>
      <c r="E151" s="756"/>
      <c r="F151" s="756"/>
      <c r="G151" s="756"/>
      <c r="H151" s="756"/>
    </row>
    <row r="152" spans="1:8">
      <c r="A152" s="754" t="s">
        <v>208</v>
      </c>
      <c r="B152" s="756"/>
      <c r="C152" s="756"/>
      <c r="D152" s="756"/>
      <c r="E152" s="756"/>
      <c r="F152" s="756"/>
      <c r="G152" s="756"/>
      <c r="H152" s="756"/>
    </row>
    <row r="153" spans="1:8">
      <c r="A153" s="756"/>
      <c r="B153" s="756"/>
      <c r="C153" s="756"/>
      <c r="D153" s="756"/>
      <c r="E153" s="756"/>
      <c r="F153" s="756"/>
      <c r="G153" s="756"/>
      <c r="H153" s="756"/>
    </row>
    <row r="154" spans="1:8">
      <c r="A154" s="754" t="s">
        <v>209</v>
      </c>
      <c r="B154" s="756"/>
      <c r="C154" s="756"/>
      <c r="D154" s="756"/>
      <c r="E154" s="756"/>
      <c r="F154" s="756"/>
      <c r="G154" s="756"/>
      <c r="H154" s="756"/>
    </row>
    <row r="155" spans="1:8">
      <c r="A155" s="754" t="s">
        <v>210</v>
      </c>
      <c r="B155" s="756"/>
      <c r="C155" s="756"/>
      <c r="D155" s="756"/>
      <c r="E155" s="756"/>
      <c r="F155" s="756"/>
      <c r="G155" s="756"/>
      <c r="H155" s="756"/>
    </row>
    <row r="156" spans="1:8">
      <c r="A156" s="754" t="s">
        <v>211</v>
      </c>
      <c r="B156" s="756"/>
      <c r="C156" s="756"/>
      <c r="D156" s="756"/>
      <c r="E156" s="756"/>
      <c r="F156" s="756"/>
      <c r="G156" s="756"/>
      <c r="H156" s="756"/>
    </row>
    <row r="157" spans="1:8">
      <c r="A157" s="756"/>
      <c r="B157" s="756"/>
      <c r="C157" s="756"/>
      <c r="D157" s="756"/>
      <c r="E157" s="756"/>
      <c r="F157" s="756"/>
      <c r="G157" s="756"/>
      <c r="H157" s="756"/>
    </row>
    <row r="158" spans="1:8">
      <c r="A158" s="754" t="s">
        <v>212</v>
      </c>
      <c r="B158" s="756"/>
      <c r="C158" s="756"/>
      <c r="D158" s="756"/>
      <c r="E158" s="756"/>
      <c r="F158" s="756"/>
      <c r="G158" s="756"/>
      <c r="H158" s="756"/>
    </row>
    <row r="159" spans="1:8">
      <c r="A159" s="754" t="s">
        <v>213</v>
      </c>
      <c r="B159" s="756"/>
      <c r="C159" s="756"/>
      <c r="D159" s="756"/>
      <c r="E159" s="756"/>
      <c r="F159" s="756"/>
      <c r="G159" s="756"/>
      <c r="H159" s="756"/>
    </row>
    <row r="160" spans="1:8">
      <c r="A160" s="754" t="s">
        <v>214</v>
      </c>
      <c r="B160" s="756"/>
      <c r="C160" s="756"/>
      <c r="D160" s="756"/>
      <c r="E160" s="756"/>
      <c r="F160" s="756"/>
      <c r="G160" s="756"/>
      <c r="H160" s="756"/>
    </row>
    <row r="161" spans="1:8">
      <c r="A161" s="756"/>
      <c r="B161" s="756"/>
      <c r="C161" s="756"/>
      <c r="D161" s="756"/>
      <c r="E161" s="756"/>
      <c r="F161" s="756"/>
      <c r="G161" s="756"/>
      <c r="H161" s="756"/>
    </row>
    <row r="162" spans="1:8">
      <c r="A162" s="754" t="s">
        <v>215</v>
      </c>
      <c r="B162" s="756"/>
      <c r="C162" s="756"/>
      <c r="D162" s="756"/>
      <c r="E162" s="756"/>
      <c r="F162" s="756"/>
      <c r="G162" s="756"/>
      <c r="H162" s="756"/>
    </row>
    <row r="163" spans="1:8">
      <c r="A163" s="754" t="s">
        <v>216</v>
      </c>
      <c r="B163" s="756"/>
      <c r="C163" s="756"/>
      <c r="D163" s="756"/>
      <c r="E163" s="756"/>
      <c r="F163" s="756"/>
      <c r="G163" s="756"/>
      <c r="H163" s="756"/>
    </row>
    <row r="164" spans="1:8">
      <c r="A164" s="756"/>
      <c r="B164" s="756"/>
      <c r="C164" s="756"/>
      <c r="D164" s="756"/>
      <c r="E164" s="756"/>
      <c r="F164" s="756"/>
      <c r="G164" s="756"/>
      <c r="H164" s="756"/>
    </row>
    <row r="165" spans="1:8" ht="15.75">
      <c r="A165" s="755" t="s">
        <v>217</v>
      </c>
      <c r="B165" s="756"/>
      <c r="C165" s="756"/>
      <c r="D165" s="756"/>
      <c r="E165" s="756"/>
      <c r="F165" s="756"/>
      <c r="G165" s="756"/>
      <c r="H165" s="756"/>
    </row>
    <row r="166" spans="1:8">
      <c r="A166" s="756"/>
      <c r="B166" s="756"/>
      <c r="C166" s="756"/>
      <c r="D166" s="756"/>
      <c r="E166" s="756"/>
      <c r="F166" s="756"/>
      <c r="G166" s="756"/>
      <c r="H166" s="756"/>
    </row>
    <row r="167" spans="1:8">
      <c r="A167" s="754" t="s">
        <v>218</v>
      </c>
      <c r="B167" s="756"/>
      <c r="C167" s="756"/>
      <c r="D167" s="756"/>
      <c r="E167" s="756"/>
      <c r="F167" s="756"/>
      <c r="G167" s="756"/>
      <c r="H167" s="756"/>
    </row>
    <row r="168" spans="1:8">
      <c r="A168" s="754" t="s">
        <v>219</v>
      </c>
      <c r="B168" s="756"/>
      <c r="C168" s="756"/>
      <c r="D168" s="756"/>
      <c r="E168" s="756"/>
      <c r="F168" s="756"/>
      <c r="G168" s="756"/>
      <c r="H168" s="756"/>
    </row>
    <row r="169" spans="1:8">
      <c r="A169" s="756"/>
      <c r="B169" s="756"/>
      <c r="C169" s="756"/>
      <c r="D169" s="756"/>
      <c r="E169" s="756"/>
      <c r="F169" s="756"/>
      <c r="G169" s="756"/>
      <c r="H169" s="756"/>
    </row>
    <row r="170" spans="1:8">
      <c r="A170" s="754" t="s">
        <v>220</v>
      </c>
      <c r="B170" s="756"/>
      <c r="C170" s="756"/>
      <c r="D170" s="756"/>
      <c r="E170" s="756"/>
      <c r="F170" s="756"/>
      <c r="G170" s="756"/>
      <c r="H170" s="756"/>
    </row>
    <row r="171" spans="1:8">
      <c r="A171" s="754" t="s">
        <v>221</v>
      </c>
      <c r="B171" s="756"/>
      <c r="C171" s="756"/>
      <c r="D171" s="756"/>
      <c r="E171" s="756"/>
      <c r="F171" s="756"/>
      <c r="G171" s="756"/>
      <c r="H171" s="756"/>
    </row>
    <row r="172" spans="1:8">
      <c r="A172" s="756"/>
      <c r="B172" s="756"/>
      <c r="C172" s="756"/>
      <c r="D172" s="756"/>
      <c r="E172" s="756"/>
      <c r="F172" s="756"/>
      <c r="G172" s="756"/>
      <c r="H172" s="756"/>
    </row>
    <row r="173" spans="1:8">
      <c r="A173" s="754" t="s">
        <v>222</v>
      </c>
      <c r="B173" s="756"/>
      <c r="C173" s="756"/>
      <c r="D173" s="756"/>
      <c r="E173" s="756"/>
      <c r="F173" s="756"/>
      <c r="G173" s="756"/>
      <c r="H173" s="756"/>
    </row>
    <row r="174" spans="1:8">
      <c r="A174" s="754" t="s">
        <v>223</v>
      </c>
      <c r="B174" s="756"/>
      <c r="C174" s="756"/>
      <c r="D174" s="756"/>
      <c r="E174" s="756"/>
      <c r="F174" s="756"/>
      <c r="G174" s="756"/>
      <c r="H174" s="756"/>
    </row>
    <row r="175" spans="1:8">
      <c r="A175" s="756"/>
      <c r="B175" s="756"/>
      <c r="C175" s="756"/>
      <c r="D175" s="756"/>
      <c r="E175" s="756"/>
      <c r="F175" s="756"/>
      <c r="G175" s="756"/>
      <c r="H175" s="756"/>
    </row>
    <row r="176" spans="1:8">
      <c r="A176" s="754" t="s">
        <v>224</v>
      </c>
      <c r="B176" s="756"/>
      <c r="C176" s="756"/>
      <c r="D176" s="756"/>
      <c r="E176" s="756"/>
      <c r="F176" s="756"/>
      <c r="G176" s="756"/>
      <c r="H176" s="756"/>
    </row>
    <row r="177" spans="1:8">
      <c r="A177" s="754" t="s">
        <v>225</v>
      </c>
      <c r="B177" s="756"/>
      <c r="C177" s="756"/>
      <c r="D177" s="756"/>
      <c r="E177" s="756"/>
      <c r="F177" s="756"/>
      <c r="G177" s="756"/>
      <c r="H177" s="756"/>
    </row>
    <row r="178" spans="1:8">
      <c r="A178" s="754" t="s">
        <v>536</v>
      </c>
      <c r="B178" s="756"/>
      <c r="C178" s="756"/>
      <c r="D178" s="756"/>
      <c r="E178" s="756"/>
      <c r="F178" s="756"/>
      <c r="G178" s="756"/>
      <c r="H178" s="756"/>
    </row>
    <row r="179" spans="1:8">
      <c r="A179" s="756"/>
      <c r="B179" s="756"/>
      <c r="C179" s="756"/>
      <c r="D179" s="756"/>
      <c r="E179" s="756"/>
      <c r="F179" s="756"/>
      <c r="G179" s="756"/>
      <c r="H179" s="756"/>
    </row>
    <row r="180" spans="1:8">
      <c r="A180" s="756"/>
      <c r="B180" s="756"/>
      <c r="C180" s="756"/>
      <c r="D180" s="756"/>
      <c r="E180" s="756"/>
      <c r="F180" s="756"/>
      <c r="G180" s="756"/>
      <c r="H180" s="756"/>
    </row>
    <row r="181" spans="1:8">
      <c r="A181" s="754" t="s">
        <v>226</v>
      </c>
      <c r="B181" s="756"/>
      <c r="C181" s="756"/>
      <c r="D181" s="756"/>
      <c r="E181" s="756"/>
      <c r="F181" s="756"/>
      <c r="G181" s="756"/>
      <c r="H181" s="756"/>
    </row>
    <row r="182" spans="1:8">
      <c r="A182" s="756"/>
      <c r="B182" s="756"/>
      <c r="C182" s="756"/>
      <c r="D182" s="756"/>
      <c r="E182" s="756"/>
      <c r="F182" s="756"/>
      <c r="G182" s="756"/>
      <c r="H182" s="756"/>
    </row>
    <row r="183" spans="1:8" ht="15.75">
      <c r="A183" s="755" t="s">
        <v>227</v>
      </c>
      <c r="B183" s="756"/>
      <c r="C183" s="756"/>
      <c r="D183" s="756"/>
      <c r="E183" s="756"/>
      <c r="F183" s="756"/>
      <c r="G183" s="756"/>
      <c r="H183" s="756"/>
    </row>
    <row r="184" spans="1:8">
      <c r="A184" s="756"/>
      <c r="B184" s="756"/>
      <c r="C184" s="756"/>
      <c r="D184" s="756"/>
      <c r="E184" s="756"/>
      <c r="F184" s="756"/>
      <c r="G184" s="756"/>
      <c r="H184" s="756"/>
    </row>
    <row r="185" spans="1:8">
      <c r="A185" s="756"/>
      <c r="B185" s="756"/>
      <c r="C185" s="756"/>
      <c r="D185" s="756"/>
      <c r="E185" s="756"/>
      <c r="F185" s="756"/>
      <c r="G185" s="756"/>
      <c r="H185" s="756"/>
    </row>
    <row r="186" spans="1:8">
      <c r="A186" s="756"/>
      <c r="B186" s="756"/>
      <c r="C186" s="756"/>
      <c r="D186" s="756"/>
      <c r="E186" s="756"/>
      <c r="F186" s="756"/>
      <c r="G186" s="756"/>
      <c r="H186" s="756"/>
    </row>
    <row r="187" spans="1:8">
      <c r="A187" s="756"/>
      <c r="B187" s="756"/>
      <c r="C187" s="756"/>
      <c r="D187" s="756"/>
      <c r="E187" s="756"/>
      <c r="F187" s="756"/>
      <c r="G187" s="756"/>
      <c r="H187" s="756"/>
    </row>
    <row r="188" spans="1:8">
      <c r="A188" s="756"/>
      <c r="B188" s="756"/>
      <c r="C188" s="756"/>
      <c r="D188" s="756"/>
      <c r="E188" s="756"/>
      <c r="F188" s="756"/>
      <c r="G188" s="756"/>
      <c r="H188" s="756"/>
    </row>
    <row r="189" spans="1:8">
      <c r="A189" s="756"/>
      <c r="B189" s="756"/>
      <c r="C189" s="756"/>
      <c r="D189" s="756"/>
      <c r="E189" s="756"/>
      <c r="F189" s="756"/>
      <c r="G189" s="756"/>
      <c r="H189" s="756"/>
    </row>
    <row r="190" spans="1:8">
      <c r="A190" s="756"/>
      <c r="B190" s="756"/>
      <c r="C190" s="756"/>
      <c r="D190" s="756"/>
      <c r="E190" s="756"/>
      <c r="F190" s="756"/>
      <c r="G190" s="756"/>
      <c r="H190" s="756"/>
    </row>
    <row r="191" spans="1:8">
      <c r="A191" s="756"/>
      <c r="B191" s="756"/>
      <c r="C191" s="756"/>
      <c r="D191" s="756"/>
      <c r="E191" s="756"/>
      <c r="F191" s="756"/>
      <c r="G191" s="756"/>
      <c r="H191" s="756"/>
    </row>
    <row r="192" spans="1:8">
      <c r="A192" s="756"/>
      <c r="B192" s="756"/>
      <c r="C192" s="756"/>
      <c r="D192" s="756"/>
      <c r="E192" s="756"/>
      <c r="F192" s="756"/>
      <c r="G192" s="756"/>
      <c r="H192" s="756"/>
    </row>
    <row r="193" spans="1:8">
      <c r="A193" s="756"/>
      <c r="B193" s="756"/>
      <c r="C193" s="756"/>
      <c r="D193" s="756"/>
      <c r="E193" s="756"/>
      <c r="F193" s="756"/>
      <c r="G193" s="756"/>
      <c r="H193" s="756"/>
    </row>
    <row r="194" spans="1:8">
      <c r="A194" s="756"/>
      <c r="B194" s="756"/>
      <c r="C194" s="756"/>
      <c r="D194" s="756"/>
      <c r="E194" s="756"/>
      <c r="F194" s="756"/>
      <c r="G194" s="756"/>
      <c r="H194" s="756"/>
    </row>
    <row r="195" spans="1:8">
      <c r="A195" s="756"/>
      <c r="B195" s="756"/>
      <c r="C195" s="756"/>
      <c r="D195" s="756"/>
      <c r="E195" s="756"/>
      <c r="F195" s="756"/>
      <c r="G195" s="756"/>
      <c r="H195" s="756"/>
    </row>
    <row r="196" spans="1:8">
      <c r="A196" s="756"/>
      <c r="B196" s="756"/>
      <c r="C196" s="756"/>
      <c r="D196" s="756"/>
      <c r="E196" s="756"/>
      <c r="F196" s="756"/>
      <c r="G196" s="756"/>
      <c r="H196" s="756"/>
    </row>
    <row r="197" spans="1:8">
      <c r="A197" s="756"/>
      <c r="B197" s="756"/>
      <c r="C197" s="756"/>
      <c r="D197" s="756"/>
      <c r="E197" s="756"/>
      <c r="F197" s="756"/>
      <c r="G197" s="756"/>
      <c r="H197" s="756"/>
    </row>
    <row r="198" spans="1:8">
      <c r="A198" s="756"/>
      <c r="B198" s="756"/>
      <c r="C198" s="756"/>
      <c r="D198" s="756"/>
      <c r="E198" s="756"/>
      <c r="F198" s="756"/>
      <c r="G198" s="756"/>
      <c r="H198" s="756"/>
    </row>
    <row r="199" spans="1:8">
      <c r="A199" s="756"/>
      <c r="B199" s="756"/>
      <c r="C199" s="756"/>
      <c r="D199" s="756"/>
      <c r="E199" s="756"/>
      <c r="F199" s="756"/>
      <c r="G199" s="756"/>
      <c r="H199" s="756"/>
    </row>
    <row r="200" spans="1:8">
      <c r="A200" s="756"/>
      <c r="B200" s="756"/>
      <c r="C200" s="756"/>
      <c r="D200" s="756"/>
      <c r="E200" s="756"/>
      <c r="F200" s="756"/>
      <c r="G200" s="756"/>
      <c r="H200" s="756"/>
    </row>
    <row r="201" spans="1:8">
      <c r="A201" s="756"/>
      <c r="B201" s="756"/>
      <c r="C201" s="756"/>
      <c r="D201" s="756"/>
      <c r="E201" s="756"/>
      <c r="F201" s="756"/>
      <c r="G201" s="756"/>
      <c r="H201" s="756"/>
    </row>
    <row r="202" spans="1:8">
      <c r="A202" s="756"/>
      <c r="B202" s="756"/>
      <c r="C202" s="756"/>
      <c r="D202" s="756"/>
      <c r="E202" s="756"/>
      <c r="F202" s="756"/>
      <c r="G202" s="756"/>
      <c r="H202" s="756"/>
    </row>
    <row r="203" spans="1:8">
      <c r="A203" s="756"/>
      <c r="B203" s="756"/>
      <c r="C203" s="756"/>
      <c r="D203" s="756"/>
      <c r="E203" s="756"/>
      <c r="F203" s="756"/>
      <c r="G203" s="756"/>
      <c r="H203" s="756"/>
    </row>
    <row r="204" spans="1:8">
      <c r="A204" s="756"/>
      <c r="B204" s="756"/>
      <c r="C204" s="756"/>
      <c r="D204" s="756"/>
      <c r="E204" s="756"/>
      <c r="F204" s="756"/>
      <c r="G204" s="756"/>
      <c r="H204" s="756"/>
    </row>
    <row r="205" spans="1:8">
      <c r="A205" s="756"/>
      <c r="B205" s="756"/>
      <c r="C205" s="756"/>
      <c r="D205" s="756"/>
      <c r="E205" s="756"/>
      <c r="F205" s="756"/>
      <c r="G205" s="756"/>
      <c r="H205" s="756"/>
    </row>
    <row r="206" spans="1:8">
      <c r="A206" s="756"/>
      <c r="B206" s="756"/>
      <c r="C206" s="756"/>
      <c r="D206" s="756"/>
      <c r="E206" s="756"/>
      <c r="F206" s="756"/>
      <c r="G206" s="756"/>
      <c r="H206" s="756"/>
    </row>
    <row r="207" spans="1:8">
      <c r="A207" s="756"/>
      <c r="B207" s="756"/>
      <c r="C207" s="756"/>
      <c r="D207" s="756"/>
      <c r="E207" s="756"/>
      <c r="F207" s="756"/>
      <c r="G207" s="756"/>
      <c r="H207" s="756"/>
    </row>
    <row r="208" spans="1:8">
      <c r="A208" s="756"/>
      <c r="B208" s="756"/>
      <c r="C208" s="756"/>
      <c r="D208" s="756"/>
      <c r="E208" s="756"/>
      <c r="F208" s="756"/>
      <c r="G208" s="756"/>
      <c r="H208" s="756"/>
    </row>
    <row r="209" spans="1:8">
      <c r="A209" s="756"/>
      <c r="B209" s="756"/>
      <c r="C209" s="756"/>
      <c r="D209" s="756"/>
      <c r="E209" s="756"/>
      <c r="F209" s="756"/>
      <c r="G209" s="756"/>
      <c r="H209" s="756"/>
    </row>
    <row r="210" spans="1:8" ht="15.75">
      <c r="A210" s="755" t="s">
        <v>228</v>
      </c>
      <c r="B210" s="756"/>
      <c r="C210" s="756"/>
      <c r="D210" s="756"/>
      <c r="E210" s="756"/>
      <c r="F210" s="756"/>
      <c r="G210" s="756"/>
      <c r="H210" s="756"/>
    </row>
    <row r="211" spans="1:8">
      <c r="A211" s="756"/>
      <c r="B211" s="756"/>
      <c r="C211" s="756"/>
      <c r="D211" s="756"/>
      <c r="E211" s="756"/>
      <c r="F211" s="756"/>
      <c r="G211" s="756"/>
      <c r="H211" s="756"/>
    </row>
    <row r="212" spans="1:8">
      <c r="A212" s="754" t="s">
        <v>229</v>
      </c>
      <c r="B212" s="756"/>
      <c r="C212" s="756"/>
      <c r="D212" s="756"/>
      <c r="E212" s="756"/>
      <c r="F212" s="756"/>
      <c r="G212" s="756"/>
      <c r="H212" s="756"/>
    </row>
    <row r="213" spans="1:8">
      <c r="A213" s="754" t="s">
        <v>321</v>
      </c>
      <c r="B213" s="756"/>
      <c r="C213" s="756"/>
      <c r="D213" s="756"/>
      <c r="E213" s="756"/>
      <c r="F213" s="756"/>
      <c r="G213" s="756"/>
      <c r="H213" s="756"/>
    </row>
    <row r="214" spans="1:8">
      <c r="A214" s="754" t="s">
        <v>322</v>
      </c>
      <c r="B214" s="756"/>
      <c r="C214" s="756"/>
      <c r="D214" s="756"/>
      <c r="E214" s="756"/>
      <c r="F214" s="756"/>
      <c r="G214" s="756"/>
      <c r="H214" s="756"/>
    </row>
    <row r="215" spans="1:8">
      <c r="A215" s="754" t="s">
        <v>512</v>
      </c>
      <c r="B215" s="756"/>
      <c r="C215" s="756"/>
      <c r="D215" s="756"/>
      <c r="E215" s="756"/>
      <c r="F215" s="756"/>
      <c r="G215" s="756"/>
      <c r="H215" s="756"/>
    </row>
    <row r="216" spans="1:8">
      <c r="A216" s="754" t="s">
        <v>513</v>
      </c>
      <c r="B216" s="756"/>
      <c r="C216" s="756"/>
      <c r="D216" s="756"/>
      <c r="E216" s="756"/>
      <c r="F216" s="756"/>
      <c r="G216" s="756"/>
      <c r="H216" s="756"/>
    </row>
    <row r="217" spans="1:8">
      <c r="A217" s="756"/>
      <c r="B217" s="756"/>
      <c r="C217" s="756"/>
      <c r="D217" s="756"/>
      <c r="E217" s="756"/>
      <c r="F217" s="756"/>
      <c r="G217" s="756"/>
      <c r="H217" s="756"/>
    </row>
    <row r="218" spans="1:8">
      <c r="A218" s="754" t="s">
        <v>236</v>
      </c>
      <c r="B218" s="756"/>
      <c r="C218" s="756"/>
      <c r="D218" s="756"/>
      <c r="E218" s="756"/>
      <c r="F218" s="756"/>
      <c r="G218" s="756"/>
      <c r="H218" s="756"/>
    </row>
    <row r="219" spans="1:8">
      <c r="A219" s="754" t="s">
        <v>237</v>
      </c>
      <c r="B219" s="756"/>
      <c r="C219" s="756"/>
      <c r="D219" s="756"/>
      <c r="E219" s="756"/>
      <c r="F219" s="756"/>
      <c r="G219" s="756"/>
      <c r="H219" s="756"/>
    </row>
    <row r="220" spans="1:8">
      <c r="A220" s="754" t="s">
        <v>238</v>
      </c>
      <c r="B220" s="756"/>
      <c r="C220" s="756"/>
      <c r="D220" s="756"/>
      <c r="E220" s="756"/>
      <c r="F220" s="756"/>
      <c r="G220" s="756"/>
      <c r="H220" s="756"/>
    </row>
    <row r="221" spans="1:8" ht="15.75">
      <c r="A221" s="755" t="s">
        <v>239</v>
      </c>
      <c r="B221" s="756"/>
      <c r="C221" s="756"/>
      <c r="D221" s="756"/>
      <c r="E221" s="756"/>
      <c r="F221" s="756"/>
      <c r="G221" s="756"/>
      <c r="H221" s="756"/>
    </row>
    <row r="222" spans="1:8">
      <c r="A222" s="756"/>
      <c r="B222" s="756"/>
      <c r="C222" s="756"/>
      <c r="D222" s="756"/>
      <c r="E222" s="756"/>
      <c r="F222" s="756"/>
      <c r="G222" s="756"/>
      <c r="H222" s="756"/>
    </row>
    <row r="223" spans="1:8">
      <c r="A223" s="754" t="s">
        <v>240</v>
      </c>
      <c r="B223" s="756"/>
      <c r="C223" s="756"/>
      <c r="D223" s="756"/>
      <c r="E223" s="756"/>
      <c r="F223" s="756"/>
      <c r="G223" s="756"/>
      <c r="H223" s="756"/>
    </row>
    <row r="224" spans="1:8">
      <c r="A224" s="754" t="s">
        <v>241</v>
      </c>
      <c r="B224" s="756"/>
      <c r="C224" s="756"/>
      <c r="D224" s="756"/>
      <c r="E224" s="756"/>
      <c r="F224" s="756"/>
      <c r="G224" s="756"/>
      <c r="H224" s="756"/>
    </row>
    <row r="225" spans="1:8">
      <c r="A225" s="756"/>
      <c r="B225" s="756"/>
      <c r="C225" s="756"/>
      <c r="D225" s="756"/>
      <c r="E225" s="756"/>
      <c r="F225" s="756"/>
      <c r="G225" s="756"/>
      <c r="H225" s="756"/>
    </row>
    <row r="226" spans="1:8">
      <c r="A226" s="754" t="s">
        <v>756</v>
      </c>
      <c r="B226" s="756"/>
      <c r="C226" s="756"/>
      <c r="D226" s="756"/>
      <c r="E226" s="756"/>
      <c r="F226" s="756"/>
      <c r="G226" s="756"/>
      <c r="H226" s="756"/>
    </row>
    <row r="227" spans="1:8">
      <c r="A227" s="754" t="s">
        <v>757</v>
      </c>
      <c r="B227" s="756"/>
      <c r="C227" s="756"/>
      <c r="D227" s="756"/>
      <c r="E227" s="756"/>
      <c r="F227" s="756"/>
      <c r="G227" s="756"/>
      <c r="H227" s="756"/>
    </row>
    <row r="228" spans="1:8">
      <c r="A228" s="754" t="s">
        <v>758</v>
      </c>
      <c r="B228" s="756"/>
      <c r="C228" s="756"/>
      <c r="D228" s="756"/>
      <c r="E228" s="756"/>
      <c r="F228" s="756"/>
      <c r="G228" s="756"/>
      <c r="H228" s="756"/>
    </row>
    <row r="229" spans="1:8">
      <c r="A229" s="754" t="s">
        <v>759</v>
      </c>
      <c r="B229" s="756"/>
      <c r="C229" s="756"/>
      <c r="D229" s="756"/>
      <c r="E229" s="756"/>
      <c r="F229" s="756"/>
      <c r="G229" s="756"/>
      <c r="H229" s="756"/>
    </row>
    <row r="230" spans="1:8">
      <c r="A230" s="754" t="s">
        <v>760</v>
      </c>
      <c r="B230" s="756"/>
      <c r="C230" s="756"/>
      <c r="D230" s="756"/>
      <c r="E230" s="756"/>
      <c r="F230" s="756"/>
      <c r="G230" s="756"/>
      <c r="H230" s="756"/>
    </row>
    <row r="231" spans="1:8">
      <c r="A231" s="754" t="s">
        <v>761</v>
      </c>
      <c r="B231" s="756"/>
      <c r="C231" s="756"/>
      <c r="D231" s="756"/>
      <c r="E231" s="756"/>
      <c r="F231" s="756"/>
      <c r="G231" s="756"/>
      <c r="H231" s="756"/>
    </row>
    <row r="232" spans="1:8">
      <c r="A232" s="754" t="s">
        <v>762</v>
      </c>
      <c r="B232" s="756"/>
      <c r="C232" s="756"/>
      <c r="D232" s="756"/>
      <c r="E232" s="756"/>
      <c r="F232" s="756"/>
      <c r="G232" s="756"/>
      <c r="H232" s="756"/>
    </row>
    <row r="233" spans="1:8">
      <c r="A233" s="756"/>
      <c r="B233" s="756"/>
      <c r="C233" s="756"/>
      <c r="D233" s="756"/>
      <c r="E233" s="756"/>
      <c r="F233" s="756"/>
      <c r="G233" s="756"/>
      <c r="H233" s="756"/>
    </row>
    <row r="234" spans="1:8">
      <c r="A234" s="754" t="s">
        <v>242</v>
      </c>
      <c r="B234" s="756"/>
      <c r="C234" s="756"/>
      <c r="D234" s="756"/>
      <c r="E234" s="756"/>
      <c r="F234" s="756"/>
      <c r="G234" s="756"/>
      <c r="H234" s="756"/>
    </row>
    <row r="235" spans="1:8">
      <c r="A235" s="754" t="s">
        <v>243</v>
      </c>
      <c r="B235" s="756"/>
      <c r="C235" s="756"/>
      <c r="D235" s="756"/>
      <c r="E235" s="756"/>
      <c r="F235" s="756"/>
      <c r="G235" s="756"/>
      <c r="H235" s="756"/>
    </row>
    <row r="236" spans="1:8">
      <c r="A236" s="754" t="s">
        <v>244</v>
      </c>
      <c r="B236" s="756"/>
      <c r="C236" s="756"/>
      <c r="D236" s="756"/>
      <c r="E236" s="756"/>
      <c r="F236" s="756"/>
      <c r="G236" s="756"/>
      <c r="H236" s="756"/>
    </row>
    <row r="237" spans="1:8">
      <c r="A237" s="756"/>
      <c r="B237" s="756"/>
      <c r="C237" s="756"/>
      <c r="D237" s="756"/>
      <c r="E237" s="756"/>
      <c r="F237" s="756"/>
      <c r="G237" s="756"/>
      <c r="H237" s="756"/>
    </row>
    <row r="238" spans="1:8">
      <c r="A238" s="754" t="s">
        <v>245</v>
      </c>
      <c r="B238" s="756"/>
      <c r="C238" s="756"/>
      <c r="D238" s="756"/>
      <c r="E238" s="756"/>
      <c r="F238" s="756"/>
      <c r="G238" s="756"/>
      <c r="H238" s="756"/>
    </row>
    <row r="239" spans="1:8">
      <c r="A239" s="754" t="s">
        <v>246</v>
      </c>
      <c r="B239" s="756"/>
      <c r="C239" s="756"/>
      <c r="D239" s="756"/>
      <c r="E239" s="756"/>
      <c r="F239" s="756"/>
      <c r="G239" s="756"/>
      <c r="H239" s="756"/>
    </row>
    <row r="240" spans="1:8">
      <c r="A240" s="754" t="s">
        <v>247</v>
      </c>
      <c r="B240" s="756"/>
      <c r="C240" s="756"/>
      <c r="D240" s="756"/>
      <c r="E240" s="756"/>
      <c r="F240" s="756"/>
      <c r="G240" s="756"/>
      <c r="H240" s="756"/>
    </row>
    <row r="241" spans="1:8">
      <c r="A241" s="754" t="s">
        <v>248</v>
      </c>
      <c r="B241" s="756"/>
      <c r="C241" s="756"/>
      <c r="D241" s="756"/>
      <c r="E241" s="756"/>
      <c r="F241" s="756"/>
      <c r="G241" s="756"/>
      <c r="H241" s="756"/>
    </row>
    <row r="242" spans="1:8">
      <c r="A242" s="754" t="s">
        <v>323</v>
      </c>
      <c r="B242" s="756"/>
      <c r="C242" s="756"/>
      <c r="D242" s="756"/>
      <c r="E242" s="756"/>
      <c r="F242" s="756"/>
      <c r="G242" s="756"/>
      <c r="H242" s="756"/>
    </row>
    <row r="243" spans="1:8">
      <c r="A243" s="756"/>
      <c r="B243" s="756"/>
      <c r="C243" s="756"/>
      <c r="D243" s="756"/>
      <c r="E243" s="756"/>
      <c r="F243" s="756"/>
      <c r="G243" s="756"/>
      <c r="H243" s="756"/>
    </row>
    <row r="244" spans="1:8">
      <c r="A244" s="754" t="s">
        <v>334</v>
      </c>
      <c r="B244" s="756"/>
      <c r="C244" s="756"/>
      <c r="D244" s="756"/>
      <c r="E244" s="756"/>
      <c r="F244" s="756"/>
      <c r="G244" s="756"/>
      <c r="H244" s="756"/>
    </row>
    <row r="245" spans="1:8">
      <c r="A245" s="754" t="s">
        <v>335</v>
      </c>
      <c r="B245" s="756"/>
      <c r="C245" s="756"/>
      <c r="D245" s="756"/>
      <c r="E245" s="756"/>
      <c r="F245" s="756"/>
      <c r="G245" s="756"/>
      <c r="H245" s="756"/>
    </row>
    <row r="246" spans="1:8">
      <c r="A246" s="754" t="s">
        <v>336</v>
      </c>
      <c r="B246" s="756"/>
      <c r="C246" s="756"/>
      <c r="D246" s="756"/>
      <c r="E246" s="756"/>
      <c r="F246" s="756"/>
      <c r="G246" s="756"/>
      <c r="H246" s="756"/>
    </row>
    <row r="247" spans="1:8">
      <c r="A247" s="754" t="s">
        <v>337</v>
      </c>
      <c r="B247" s="756"/>
      <c r="C247" s="756"/>
      <c r="D247" s="756"/>
      <c r="E247" s="756"/>
      <c r="F247" s="756"/>
      <c r="G247" s="756"/>
      <c r="H247" s="756"/>
    </row>
    <row r="248" spans="1:8">
      <c r="A248" s="754" t="s">
        <v>338</v>
      </c>
      <c r="B248" s="756"/>
      <c r="C248" s="756"/>
      <c r="D248" s="756"/>
      <c r="E248" s="756"/>
      <c r="F248" s="756"/>
      <c r="G248" s="756"/>
      <c r="H248" s="756"/>
    </row>
    <row r="249" spans="1:8">
      <c r="A249" s="754" t="s">
        <v>324</v>
      </c>
      <c r="B249" s="756"/>
      <c r="C249" s="756"/>
      <c r="D249" s="756"/>
      <c r="E249" s="756"/>
      <c r="F249" s="756"/>
      <c r="G249" s="756"/>
      <c r="H249" s="756"/>
    </row>
    <row r="250" spans="1:8">
      <c r="A250" s="756"/>
      <c r="B250" s="756"/>
      <c r="C250" s="756"/>
      <c r="D250" s="756"/>
      <c r="E250" s="756"/>
      <c r="F250" s="756"/>
      <c r="G250" s="756"/>
      <c r="H250" s="756"/>
    </row>
    <row r="251" spans="1:8">
      <c r="A251" s="754" t="s">
        <v>514</v>
      </c>
      <c r="B251" s="756"/>
      <c r="C251" s="756"/>
      <c r="D251" s="756"/>
      <c r="E251" s="756"/>
      <c r="F251" s="756"/>
      <c r="G251" s="756"/>
      <c r="H251" s="756"/>
    </row>
    <row r="252" spans="1:8">
      <c r="A252" s="754" t="s">
        <v>325</v>
      </c>
      <c r="B252" s="756"/>
      <c r="C252" s="756"/>
      <c r="D252" s="756"/>
      <c r="E252" s="756"/>
      <c r="F252" s="756"/>
      <c r="G252" s="756"/>
      <c r="H252" s="756"/>
    </row>
    <row r="253" spans="1:8">
      <c r="A253" s="754" t="s">
        <v>326</v>
      </c>
      <c r="B253" s="756"/>
      <c r="C253" s="756"/>
      <c r="D253" s="756"/>
      <c r="E253" s="756"/>
      <c r="F253" s="756"/>
      <c r="G253" s="756"/>
      <c r="H253" s="756"/>
    </row>
    <row r="254" spans="1:8">
      <c r="A254" s="754" t="s">
        <v>327</v>
      </c>
      <c r="B254" s="756"/>
      <c r="C254" s="756"/>
      <c r="D254" s="756"/>
      <c r="E254" s="756"/>
      <c r="F254" s="756"/>
      <c r="G254" s="756"/>
      <c r="H254" s="756"/>
    </row>
    <row r="255" spans="1:8">
      <c r="A255" s="754" t="s">
        <v>328</v>
      </c>
      <c r="B255" s="756"/>
      <c r="C255" s="756"/>
      <c r="D255" s="756"/>
      <c r="E255" s="756"/>
      <c r="F255" s="756"/>
      <c r="G255" s="756"/>
      <c r="H255" s="756"/>
    </row>
    <row r="256" spans="1:8">
      <c r="A256" s="754" t="s">
        <v>329</v>
      </c>
      <c r="B256" s="756"/>
      <c r="C256" s="756"/>
      <c r="D256" s="756"/>
      <c r="E256" s="756"/>
      <c r="F256" s="756"/>
      <c r="G256" s="756"/>
      <c r="H256" s="756"/>
    </row>
    <row r="257" spans="1:8">
      <c r="A257" s="754" t="s">
        <v>515</v>
      </c>
      <c r="B257" s="756"/>
      <c r="C257" s="756"/>
      <c r="D257" s="756"/>
      <c r="E257" s="756"/>
      <c r="F257" s="756"/>
      <c r="G257" s="756"/>
      <c r="H257" s="756"/>
    </row>
    <row r="258" spans="1:8">
      <c r="A258" s="754" t="s">
        <v>330</v>
      </c>
      <c r="B258" s="756"/>
      <c r="C258" s="756"/>
      <c r="D258" s="756"/>
      <c r="E258" s="756"/>
      <c r="F258" s="756"/>
      <c r="G258" s="756"/>
      <c r="H258" s="756"/>
    </row>
    <row r="259" spans="1:8">
      <c r="A259" s="754" t="s">
        <v>331</v>
      </c>
      <c r="B259" s="756"/>
      <c r="C259" s="756"/>
      <c r="D259" s="756"/>
      <c r="E259" s="756"/>
      <c r="F259" s="756"/>
      <c r="G259" s="756"/>
      <c r="H259" s="756"/>
    </row>
    <row r="260" spans="1:8">
      <c r="A260" s="754" t="s">
        <v>332</v>
      </c>
      <c r="B260" s="756"/>
      <c r="C260" s="756"/>
      <c r="D260" s="756"/>
      <c r="E260" s="756"/>
      <c r="F260" s="756"/>
      <c r="G260" s="756"/>
      <c r="H260" s="756"/>
    </row>
    <row r="261" spans="1:8">
      <c r="A261" s="756"/>
      <c r="B261" s="756"/>
      <c r="C261" s="756"/>
      <c r="D261" s="756"/>
      <c r="E261" s="756"/>
      <c r="F261" s="756"/>
      <c r="G261" s="756"/>
      <c r="H261" s="756"/>
    </row>
    <row r="262" spans="1:8">
      <c r="A262" s="754" t="s">
        <v>333</v>
      </c>
      <c r="B262" s="756"/>
      <c r="C262" s="756"/>
      <c r="D262" s="756"/>
      <c r="E262" s="756"/>
      <c r="F262" s="756"/>
      <c r="G262" s="756"/>
      <c r="H262" s="756"/>
    </row>
    <row r="263" spans="1:8">
      <c r="A263" s="754" t="s">
        <v>516</v>
      </c>
      <c r="B263" s="756"/>
      <c r="C263" s="756"/>
      <c r="D263" s="756"/>
      <c r="E263" s="756"/>
      <c r="F263" s="756"/>
      <c r="G263" s="756"/>
      <c r="H263" s="756"/>
    </row>
    <row r="264" spans="1:8">
      <c r="A264" s="756"/>
      <c r="B264" s="756"/>
      <c r="C264" s="756"/>
      <c r="D264" s="756"/>
      <c r="E264" s="756"/>
      <c r="F264" s="756"/>
      <c r="G264" s="756"/>
      <c r="H264" s="756"/>
    </row>
    <row r="265" spans="1:8">
      <c r="A265" s="754" t="s">
        <v>249</v>
      </c>
      <c r="B265" s="756"/>
      <c r="C265" s="756"/>
      <c r="D265" s="756"/>
      <c r="E265" s="756"/>
      <c r="F265" s="756"/>
      <c r="G265" s="756"/>
      <c r="H265" s="756"/>
    </row>
    <row r="266" spans="1:8">
      <c r="A266" s="754" t="s">
        <v>250</v>
      </c>
      <c r="B266" s="756"/>
      <c r="C266" s="756"/>
      <c r="D266" s="756"/>
      <c r="E266" s="756"/>
      <c r="F266" s="756"/>
      <c r="G266" s="756"/>
      <c r="H266" s="756"/>
    </row>
    <row r="267" spans="1:8">
      <c r="A267" s="754" t="s">
        <v>251</v>
      </c>
      <c r="B267" s="756"/>
      <c r="C267" s="756"/>
      <c r="D267" s="756"/>
      <c r="E267" s="756"/>
      <c r="F267" s="756"/>
      <c r="G267" s="756"/>
      <c r="H267" s="756"/>
    </row>
    <row r="268" spans="1:8">
      <c r="A268" s="754" t="s">
        <v>260</v>
      </c>
      <c r="B268" s="756"/>
      <c r="C268" s="756"/>
      <c r="D268" s="756"/>
      <c r="E268" s="756"/>
      <c r="F268" s="756"/>
      <c r="G268" s="756"/>
      <c r="H268" s="756"/>
    </row>
    <row r="269" spans="1:8">
      <c r="A269" s="754" t="s">
        <v>261</v>
      </c>
      <c r="B269" s="756"/>
      <c r="C269" s="756"/>
      <c r="D269" s="756"/>
      <c r="E269" s="756"/>
      <c r="F269" s="756"/>
      <c r="G269" s="756"/>
      <c r="H269" s="756"/>
    </row>
    <row r="270" spans="1:8">
      <c r="A270" s="754" t="s">
        <v>262</v>
      </c>
      <c r="B270" s="756"/>
      <c r="C270" s="756"/>
      <c r="D270" s="756"/>
      <c r="E270" s="756"/>
      <c r="F270" s="756"/>
      <c r="G270" s="756"/>
      <c r="H270" s="756"/>
    </row>
    <row r="271" spans="1:8">
      <c r="A271" s="754" t="s">
        <v>263</v>
      </c>
      <c r="B271" s="756"/>
      <c r="C271" s="756"/>
      <c r="D271" s="756"/>
      <c r="E271" s="756"/>
      <c r="F271" s="756"/>
      <c r="G271" s="756"/>
      <c r="H271" s="756"/>
    </row>
    <row r="272" spans="1:8">
      <c r="A272" s="754" t="s">
        <v>517</v>
      </c>
      <c r="B272" s="756"/>
      <c r="C272" s="756"/>
      <c r="D272" s="756"/>
      <c r="E272" s="756"/>
      <c r="F272" s="756"/>
      <c r="G272" s="756"/>
      <c r="H272" s="756"/>
    </row>
    <row r="273" spans="1:8">
      <c r="A273" s="754" t="s">
        <v>518</v>
      </c>
      <c r="B273" s="756"/>
      <c r="C273" s="756"/>
      <c r="D273" s="756"/>
      <c r="E273" s="756"/>
      <c r="F273" s="756"/>
      <c r="G273" s="756"/>
      <c r="H273" s="756"/>
    </row>
    <row r="274" spans="1:8">
      <c r="A274" s="754" t="s">
        <v>519</v>
      </c>
      <c r="B274" s="756"/>
      <c r="C274" s="756"/>
      <c r="D274" s="756"/>
      <c r="E274" s="756"/>
      <c r="F274" s="756"/>
      <c r="G274" s="756"/>
      <c r="H274" s="756"/>
    </row>
    <row r="275" spans="1:8">
      <c r="A275" s="754" t="s">
        <v>520</v>
      </c>
      <c r="B275" s="756"/>
      <c r="C275" s="756"/>
      <c r="D275" s="756"/>
      <c r="E275" s="756"/>
      <c r="F275" s="756"/>
      <c r="G275" s="756"/>
      <c r="H275" s="756"/>
    </row>
    <row r="276" spans="1:8">
      <c r="A276" s="754" t="s">
        <v>521</v>
      </c>
      <c r="B276" s="756"/>
      <c r="C276" s="756"/>
      <c r="D276" s="756"/>
      <c r="E276" s="756"/>
      <c r="F276" s="756"/>
      <c r="G276" s="756"/>
      <c r="H276" s="756"/>
    </row>
    <row r="277" spans="1:8">
      <c r="A277" s="754" t="s">
        <v>522</v>
      </c>
      <c r="B277" s="756"/>
      <c r="C277" s="756"/>
      <c r="D277" s="756"/>
      <c r="E277" s="756"/>
      <c r="F277" s="756"/>
      <c r="G277" s="756"/>
      <c r="H277" s="756"/>
    </row>
    <row r="278" spans="1:8">
      <c r="A278" s="754" t="s">
        <v>523</v>
      </c>
      <c r="B278" s="756"/>
      <c r="C278" s="756"/>
      <c r="D278" s="756"/>
      <c r="E278" s="756"/>
      <c r="F278" s="756"/>
      <c r="G278" s="756"/>
      <c r="H278" s="756"/>
    </row>
    <row r="279" spans="1:8">
      <c r="A279" s="754" t="s">
        <v>524</v>
      </c>
      <c r="B279" s="756"/>
      <c r="C279" s="756"/>
      <c r="D279" s="756"/>
      <c r="E279" s="756"/>
      <c r="F279" s="756"/>
      <c r="G279" s="756"/>
      <c r="H279" s="756"/>
    </row>
    <row r="280" spans="1:8">
      <c r="A280" s="754" t="s">
        <v>525</v>
      </c>
      <c r="B280" s="756"/>
      <c r="C280" s="756"/>
      <c r="D280" s="756"/>
      <c r="E280" s="756"/>
      <c r="F280" s="756"/>
      <c r="G280" s="756"/>
      <c r="H280" s="756"/>
    </row>
    <row r="281" spans="1:8">
      <c r="A281" s="756"/>
      <c r="B281" s="756"/>
      <c r="C281" s="756"/>
      <c r="D281" s="756"/>
      <c r="E281" s="756"/>
      <c r="F281" s="756"/>
      <c r="G281" s="756"/>
      <c r="H281" s="756"/>
    </row>
    <row r="282" spans="1:8">
      <c r="A282" s="754" t="s">
        <v>264</v>
      </c>
      <c r="B282" s="756"/>
      <c r="C282" s="756"/>
      <c r="D282" s="756"/>
      <c r="E282" s="756"/>
      <c r="F282" s="756"/>
      <c r="G282" s="756"/>
      <c r="H282" s="756"/>
    </row>
    <row r="283" spans="1:8">
      <c r="A283" s="754" t="s">
        <v>265</v>
      </c>
      <c r="B283" s="756"/>
      <c r="C283" s="756"/>
      <c r="D283" s="756"/>
      <c r="E283" s="756"/>
      <c r="F283" s="756"/>
      <c r="G283" s="756"/>
      <c r="H283" s="756"/>
    </row>
    <row r="284" spans="1:8">
      <c r="A284" s="754" t="s">
        <v>266</v>
      </c>
      <c r="B284" s="756"/>
      <c r="C284" s="756"/>
      <c r="D284" s="756"/>
      <c r="E284" s="756"/>
      <c r="F284" s="756"/>
      <c r="G284" s="756"/>
      <c r="H284" s="756"/>
    </row>
    <row r="285" spans="1:8">
      <c r="A285" s="754" t="s">
        <v>267</v>
      </c>
      <c r="B285" s="756"/>
      <c r="C285" s="756"/>
      <c r="D285" s="756"/>
      <c r="E285" s="756"/>
      <c r="F285" s="756"/>
      <c r="G285" s="756"/>
      <c r="H285" s="756"/>
    </row>
    <row r="286" spans="1:8">
      <c r="A286" s="754" t="s">
        <v>268</v>
      </c>
      <c r="B286" s="756"/>
      <c r="C286" s="756"/>
      <c r="D286" s="756"/>
      <c r="E286" s="756"/>
      <c r="F286" s="756"/>
      <c r="G286" s="756"/>
      <c r="H286" s="756"/>
    </row>
    <row r="287" spans="1:8">
      <c r="A287" s="754" t="s">
        <v>269</v>
      </c>
      <c r="B287" s="756"/>
      <c r="C287" s="756"/>
      <c r="D287" s="756"/>
      <c r="E287" s="756"/>
      <c r="F287" s="756"/>
      <c r="G287" s="756"/>
      <c r="H287" s="756"/>
    </row>
    <row r="288" spans="1:8">
      <c r="A288" s="754" t="s">
        <v>270</v>
      </c>
      <c r="B288" s="756"/>
      <c r="C288" s="756"/>
      <c r="D288" s="756"/>
      <c r="E288" s="756"/>
      <c r="F288" s="756"/>
      <c r="G288" s="756"/>
      <c r="H288" s="756"/>
    </row>
    <row r="289" spans="1:8">
      <c r="A289" s="756"/>
      <c r="B289" s="756"/>
      <c r="C289" s="756"/>
      <c r="D289" s="756"/>
      <c r="E289" s="756"/>
      <c r="F289" s="756"/>
      <c r="G289" s="756"/>
      <c r="H289" s="756"/>
    </row>
    <row r="290" spans="1:8">
      <c r="A290" s="754" t="s">
        <v>526</v>
      </c>
      <c r="B290" s="756"/>
      <c r="C290" s="756"/>
      <c r="D290" s="756"/>
      <c r="E290" s="756"/>
      <c r="F290" s="756"/>
      <c r="G290" s="756"/>
      <c r="H290" s="756"/>
    </row>
    <row r="291" spans="1:8">
      <c r="A291" s="754" t="s">
        <v>527</v>
      </c>
      <c r="B291" s="756"/>
      <c r="C291" s="756"/>
      <c r="D291" s="756"/>
      <c r="E291" s="756"/>
      <c r="F291" s="756"/>
      <c r="G291" s="756"/>
      <c r="H291" s="756"/>
    </row>
    <row r="292" spans="1:8">
      <c r="A292" s="754" t="s">
        <v>528</v>
      </c>
      <c r="B292" s="756"/>
      <c r="C292" s="756"/>
      <c r="D292" s="756"/>
      <c r="E292" s="756"/>
      <c r="F292" s="756"/>
      <c r="G292" s="756"/>
      <c r="H292" s="756"/>
    </row>
    <row r="293" spans="1:8">
      <c r="A293" s="754" t="s">
        <v>529</v>
      </c>
      <c r="B293" s="756"/>
      <c r="C293" s="756"/>
      <c r="D293" s="756"/>
      <c r="E293" s="756"/>
      <c r="F293" s="756"/>
      <c r="G293" s="756"/>
      <c r="H293" s="756"/>
    </row>
    <row r="294" spans="1:8">
      <c r="A294" s="754" t="s">
        <v>530</v>
      </c>
      <c r="B294" s="756"/>
      <c r="C294" s="756"/>
      <c r="D294" s="756"/>
      <c r="E294" s="756"/>
      <c r="F294" s="756"/>
      <c r="G294" s="756"/>
      <c r="H294" s="756"/>
    </row>
    <row r="295" spans="1:8">
      <c r="A295" s="754" t="s">
        <v>531</v>
      </c>
      <c r="B295" s="756"/>
      <c r="C295" s="756"/>
      <c r="D295" s="756"/>
      <c r="E295" s="756"/>
      <c r="F295" s="756"/>
      <c r="G295" s="756"/>
      <c r="H295" s="756"/>
    </row>
    <row r="296" spans="1:8">
      <c r="A296" s="754" t="s">
        <v>532</v>
      </c>
      <c r="B296" s="756"/>
      <c r="C296" s="756"/>
      <c r="D296" s="756"/>
      <c r="E296" s="756"/>
      <c r="F296" s="756"/>
      <c r="G296" s="756"/>
      <c r="H296" s="756"/>
    </row>
    <row r="297" spans="1:8">
      <c r="A297" s="754" t="s">
        <v>533</v>
      </c>
      <c r="B297" s="756"/>
      <c r="C297" s="756"/>
      <c r="D297" s="756"/>
      <c r="E297" s="756"/>
      <c r="F297" s="756"/>
      <c r="G297" s="756"/>
      <c r="H297" s="756"/>
    </row>
    <row r="298" spans="1:8">
      <c r="A298" s="754" t="s">
        <v>534</v>
      </c>
      <c r="B298" s="756"/>
      <c r="C298" s="756"/>
      <c r="D298" s="756"/>
      <c r="E298" s="756"/>
      <c r="F298" s="756"/>
      <c r="G298" s="756"/>
      <c r="H298" s="756"/>
    </row>
    <row r="299" spans="1:8">
      <c r="A299" s="756"/>
      <c r="B299" s="756"/>
      <c r="C299" s="756"/>
      <c r="D299" s="756"/>
      <c r="E299" s="756"/>
      <c r="F299" s="756"/>
      <c r="G299" s="756"/>
      <c r="H299" s="756"/>
    </row>
    <row r="300" spans="1:8">
      <c r="A300" s="754" t="s">
        <v>271</v>
      </c>
      <c r="B300" s="756"/>
      <c r="C300" s="756"/>
      <c r="D300" s="756"/>
      <c r="E300" s="756"/>
      <c r="F300" s="756"/>
      <c r="G300" s="756"/>
      <c r="H300" s="756"/>
    </row>
    <row r="301" spans="1:8">
      <c r="A301" s="754" t="s">
        <v>272</v>
      </c>
      <c r="B301" s="756"/>
      <c r="C301" s="756"/>
      <c r="D301" s="756"/>
      <c r="E301" s="756"/>
      <c r="F301" s="756"/>
      <c r="G301" s="756"/>
      <c r="H301" s="756"/>
    </row>
    <row r="302" spans="1:8">
      <c r="A302" s="754" t="s">
        <v>273</v>
      </c>
      <c r="B302" s="756"/>
      <c r="C302" s="756"/>
      <c r="D302" s="756"/>
      <c r="E302" s="756"/>
      <c r="F302" s="756"/>
      <c r="G302" s="756"/>
      <c r="H302" s="756"/>
    </row>
    <row r="303" spans="1:8">
      <c r="A303" s="754" t="s">
        <v>274</v>
      </c>
      <c r="B303" s="756"/>
      <c r="C303" s="756"/>
      <c r="D303" s="756"/>
      <c r="E303" s="756"/>
      <c r="F303" s="756"/>
      <c r="G303" s="756"/>
      <c r="H303" s="756"/>
    </row>
    <row r="304" spans="1:8">
      <c r="A304" s="754" t="s">
        <v>276</v>
      </c>
      <c r="B304" s="756"/>
      <c r="C304" s="756"/>
      <c r="D304" s="756"/>
      <c r="E304" s="756"/>
      <c r="F304" s="756"/>
      <c r="G304" s="756"/>
      <c r="H304" s="756"/>
    </row>
    <row r="305" spans="1:8">
      <c r="A305" s="754" t="s">
        <v>277</v>
      </c>
      <c r="B305" s="756"/>
      <c r="C305" s="756"/>
      <c r="D305" s="756"/>
      <c r="E305" s="756"/>
      <c r="F305" s="756"/>
      <c r="G305" s="756"/>
      <c r="H305" s="756"/>
    </row>
    <row r="306" spans="1:8">
      <c r="A306" s="754" t="s">
        <v>278</v>
      </c>
      <c r="B306" s="756"/>
      <c r="C306" s="756"/>
      <c r="D306" s="756"/>
      <c r="E306" s="756"/>
      <c r="F306" s="756"/>
      <c r="G306" s="756"/>
      <c r="H306" s="756"/>
    </row>
    <row r="307" spans="1:8">
      <c r="A307" s="756"/>
      <c r="B307" s="756"/>
      <c r="C307" s="756"/>
      <c r="D307" s="756"/>
      <c r="E307" s="756"/>
      <c r="F307" s="756"/>
      <c r="G307" s="756"/>
      <c r="H307" s="756"/>
    </row>
    <row r="308" spans="1:8">
      <c r="A308" s="754" t="s">
        <v>279</v>
      </c>
      <c r="B308" s="756"/>
      <c r="C308" s="756"/>
      <c r="D308" s="756"/>
      <c r="E308" s="756"/>
      <c r="F308" s="756"/>
      <c r="G308" s="756"/>
      <c r="H308" s="756"/>
    </row>
    <row r="309" spans="1:8">
      <c r="A309" s="754" t="s">
        <v>280</v>
      </c>
      <c r="B309" s="756"/>
      <c r="C309" s="756"/>
      <c r="D309" s="756"/>
      <c r="E309" s="756"/>
      <c r="F309" s="756"/>
      <c r="G309" s="756"/>
      <c r="H309" s="756"/>
    </row>
    <row r="310" spans="1:8">
      <c r="A310" s="754" t="s">
        <v>281</v>
      </c>
      <c r="B310" s="756"/>
      <c r="C310" s="756"/>
      <c r="D310" s="756"/>
      <c r="E310" s="756"/>
      <c r="F310" s="756"/>
      <c r="G310" s="756"/>
      <c r="H310" s="756"/>
    </row>
    <row r="311" spans="1:8">
      <c r="A311" s="756"/>
      <c r="B311" s="756"/>
      <c r="C311" s="756"/>
      <c r="D311" s="756"/>
      <c r="E311" s="756"/>
      <c r="F311" s="756"/>
      <c r="G311" s="756"/>
      <c r="H311" s="756"/>
    </row>
    <row r="312" spans="1:8">
      <c r="A312" s="754" t="s">
        <v>690</v>
      </c>
      <c r="B312" s="756"/>
      <c r="C312" s="756"/>
      <c r="D312" s="756"/>
      <c r="E312" s="756"/>
      <c r="F312" s="756"/>
      <c r="G312" s="756"/>
      <c r="H312" s="756"/>
    </row>
    <row r="313" spans="1:8">
      <c r="A313" s="754" t="s">
        <v>689</v>
      </c>
      <c r="B313" s="756"/>
      <c r="C313" s="756"/>
      <c r="D313" s="756"/>
      <c r="E313" s="756"/>
      <c r="F313" s="756"/>
      <c r="G313" s="756"/>
      <c r="H313" s="756"/>
    </row>
    <row r="314" spans="1:8">
      <c r="A314" s="756"/>
      <c r="B314" s="756"/>
      <c r="C314" s="756"/>
      <c r="D314" s="756"/>
      <c r="E314" s="756"/>
      <c r="F314" s="756"/>
      <c r="G314" s="756"/>
      <c r="H314" s="756"/>
    </row>
    <row r="315" spans="1:8">
      <c r="A315" s="754" t="s">
        <v>854</v>
      </c>
      <c r="B315" s="756"/>
      <c r="C315" s="756"/>
      <c r="D315" s="756"/>
      <c r="E315" s="756"/>
      <c r="F315" s="756"/>
      <c r="G315" s="756"/>
      <c r="H315" s="756"/>
    </row>
    <row r="316" spans="1:8">
      <c r="A316" s="754" t="s">
        <v>855</v>
      </c>
      <c r="B316" s="756"/>
      <c r="C316" s="756"/>
      <c r="D316" s="756"/>
      <c r="E316" s="756"/>
      <c r="F316" s="756"/>
      <c r="G316" s="756"/>
      <c r="H316" s="756"/>
    </row>
    <row r="317" spans="1:8">
      <c r="A317" s="754" t="s">
        <v>856</v>
      </c>
      <c r="B317" s="756"/>
      <c r="C317" s="756"/>
      <c r="D317" s="756"/>
      <c r="E317" s="756"/>
      <c r="F317" s="756"/>
      <c r="G317" s="756"/>
      <c r="H317" s="756"/>
    </row>
    <row r="318" spans="1:8">
      <c r="A318" s="754" t="s">
        <v>857</v>
      </c>
      <c r="B318" s="756"/>
      <c r="C318" s="756"/>
      <c r="D318" s="756"/>
      <c r="E318" s="756"/>
      <c r="F318" s="756"/>
      <c r="G318" s="756"/>
      <c r="H318" s="756"/>
    </row>
    <row r="319" spans="1:8">
      <c r="A319" s="754" t="s">
        <v>858</v>
      </c>
      <c r="B319" s="756"/>
      <c r="C319" s="756"/>
      <c r="D319" s="756"/>
      <c r="E319" s="756"/>
      <c r="F319" s="756"/>
      <c r="G319" s="756"/>
      <c r="H319" s="756"/>
    </row>
    <row r="320" spans="1:8">
      <c r="A320" s="754" t="s">
        <v>859</v>
      </c>
      <c r="B320" s="756"/>
      <c r="C320" s="756"/>
      <c r="D320" s="756"/>
      <c r="E320" s="756"/>
      <c r="F320" s="756"/>
      <c r="G320" s="756"/>
      <c r="H320" s="756"/>
    </row>
    <row r="321" spans="1:8">
      <c r="A321" s="754" t="s">
        <v>860</v>
      </c>
      <c r="B321" s="756"/>
      <c r="C321" s="756"/>
      <c r="D321" s="756"/>
      <c r="E321" s="756"/>
      <c r="F321" s="756"/>
      <c r="G321" s="756"/>
      <c r="H321" s="756"/>
    </row>
    <row r="322" spans="1:8">
      <c r="A322" s="754" t="s">
        <v>861</v>
      </c>
      <c r="B322" s="756"/>
      <c r="C322" s="756"/>
      <c r="D322" s="756"/>
      <c r="E322" s="756"/>
      <c r="F322" s="756"/>
      <c r="G322" s="756"/>
      <c r="H322" s="756"/>
    </row>
    <row r="323" spans="1:8">
      <c r="A323" s="754" t="s">
        <v>862</v>
      </c>
      <c r="B323" s="756"/>
      <c r="C323" s="756"/>
      <c r="D323" s="756"/>
      <c r="E323" s="756"/>
      <c r="F323" s="756"/>
      <c r="G323" s="756"/>
      <c r="H323" s="756"/>
    </row>
    <row r="324" spans="1:8">
      <c r="A324" s="754" t="s">
        <v>863</v>
      </c>
      <c r="B324" s="756"/>
      <c r="C324" s="756"/>
      <c r="D324" s="756"/>
      <c r="E324" s="756"/>
      <c r="F324" s="756"/>
      <c r="G324" s="756"/>
      <c r="H324" s="756"/>
    </row>
    <row r="325" spans="1:8">
      <c r="A325" s="754" t="s">
        <v>864</v>
      </c>
      <c r="B325" s="756"/>
      <c r="C325" s="756"/>
      <c r="D325" s="756"/>
      <c r="E325" s="756"/>
      <c r="F325" s="756"/>
      <c r="G325" s="756"/>
      <c r="H325" s="756"/>
    </row>
    <row r="326" spans="1:8">
      <c r="A326" s="754" t="s">
        <v>865</v>
      </c>
      <c r="B326" s="756"/>
      <c r="C326" s="756"/>
      <c r="D326" s="756"/>
      <c r="E326" s="756"/>
      <c r="F326" s="756"/>
      <c r="G326" s="756"/>
      <c r="H326" s="756"/>
    </row>
    <row r="327" spans="1:8">
      <c r="A327" s="754" t="s">
        <v>866</v>
      </c>
      <c r="B327" s="756"/>
      <c r="C327" s="756"/>
      <c r="D327" s="756"/>
      <c r="E327" s="756"/>
      <c r="F327" s="756"/>
      <c r="G327" s="756"/>
      <c r="H327" s="756"/>
    </row>
    <row r="328" spans="1:8">
      <c r="A328" s="756"/>
      <c r="B328" s="756"/>
      <c r="C328" s="756"/>
      <c r="D328" s="756"/>
      <c r="E328" s="756"/>
      <c r="F328" s="756"/>
      <c r="G328" s="756"/>
      <c r="H328" s="756"/>
    </row>
    <row r="329" spans="1:8">
      <c r="A329" s="754" t="s">
        <v>282</v>
      </c>
      <c r="B329" s="756"/>
      <c r="C329" s="756"/>
      <c r="D329" s="756"/>
      <c r="E329" s="756"/>
      <c r="F329" s="756"/>
      <c r="G329" s="756"/>
      <c r="H329" s="756"/>
    </row>
    <row r="330" spans="1:8">
      <c r="A330" s="754" t="s">
        <v>283</v>
      </c>
      <c r="B330" s="756"/>
      <c r="C330" s="756"/>
      <c r="D330" s="756"/>
      <c r="E330" s="756"/>
      <c r="F330" s="756"/>
      <c r="G330" s="756"/>
      <c r="H330" s="756"/>
    </row>
    <row r="331" spans="1:8">
      <c r="A331" s="754" t="s">
        <v>284</v>
      </c>
      <c r="B331" s="756"/>
      <c r="C331" s="756"/>
      <c r="D331" s="756"/>
      <c r="E331" s="756"/>
      <c r="F331" s="756"/>
      <c r="G331" s="756"/>
      <c r="H331" s="756"/>
    </row>
    <row r="332" spans="1:8">
      <c r="A332" s="754" t="s">
        <v>285</v>
      </c>
      <c r="B332" s="756"/>
      <c r="C332" s="756"/>
      <c r="D332" s="756"/>
      <c r="E332" s="756"/>
      <c r="F332" s="756"/>
      <c r="G332" s="756"/>
      <c r="H332" s="756"/>
    </row>
    <row r="333" spans="1:8">
      <c r="A333" s="754" t="s">
        <v>286</v>
      </c>
      <c r="B333" s="756"/>
      <c r="C333" s="756"/>
      <c r="D333" s="756"/>
      <c r="E333" s="756"/>
      <c r="F333" s="756"/>
      <c r="G333" s="756"/>
      <c r="H333" s="756"/>
    </row>
    <row r="334" spans="1:8">
      <c r="A334" s="754" t="s">
        <v>763</v>
      </c>
      <c r="B334" s="756"/>
      <c r="C334" s="756"/>
      <c r="D334" s="756"/>
      <c r="E334" s="756"/>
      <c r="F334" s="756"/>
      <c r="G334" s="756"/>
      <c r="H334" s="756"/>
    </row>
    <row r="335" spans="1:8">
      <c r="A335" s="754" t="s">
        <v>764</v>
      </c>
      <c r="B335" s="756"/>
      <c r="C335" s="756"/>
      <c r="D335" s="756"/>
      <c r="E335" s="756"/>
      <c r="F335" s="756"/>
      <c r="G335" s="756"/>
      <c r="H335" s="756"/>
    </row>
    <row r="336" spans="1:8">
      <c r="A336" s="754" t="s">
        <v>765</v>
      </c>
      <c r="B336" s="756"/>
      <c r="C336" s="756"/>
      <c r="D336" s="756"/>
      <c r="E336" s="756"/>
      <c r="F336" s="756"/>
      <c r="G336" s="756"/>
      <c r="H336" s="756"/>
    </row>
    <row r="337" spans="1:8">
      <c r="A337" s="756"/>
      <c r="B337" s="756"/>
      <c r="C337" s="756"/>
      <c r="D337" s="756"/>
      <c r="E337" s="756"/>
      <c r="F337" s="756"/>
      <c r="G337" s="756"/>
      <c r="H337" s="756"/>
    </row>
    <row r="338" spans="1:8">
      <c r="A338" s="754" t="s">
        <v>699</v>
      </c>
      <c r="B338" s="756"/>
      <c r="C338" s="756"/>
      <c r="D338" s="756"/>
      <c r="E338" s="756"/>
      <c r="F338" s="756"/>
      <c r="G338" s="756"/>
      <c r="H338" s="756"/>
    </row>
    <row r="339" spans="1:8">
      <c r="A339" s="754" t="s">
        <v>700</v>
      </c>
      <c r="B339" s="756"/>
      <c r="C339" s="756"/>
      <c r="D339" s="756"/>
      <c r="E339" s="756"/>
      <c r="F339" s="756"/>
      <c r="G339" s="756"/>
      <c r="H339" s="756"/>
    </row>
    <row r="340" spans="1:8">
      <c r="A340" s="754" t="s">
        <v>701</v>
      </c>
      <c r="B340" s="756"/>
      <c r="C340" s="756"/>
      <c r="D340" s="756"/>
      <c r="E340" s="756"/>
      <c r="F340" s="756"/>
      <c r="G340" s="756"/>
      <c r="H340" s="756"/>
    </row>
    <row r="341" spans="1:8">
      <c r="A341" s="754" t="s">
        <v>702</v>
      </c>
      <c r="B341" s="756"/>
      <c r="C341" s="756"/>
      <c r="D341" s="756"/>
      <c r="E341" s="756"/>
      <c r="F341" s="756"/>
      <c r="G341" s="756"/>
      <c r="H341" s="756"/>
    </row>
    <row r="342" spans="1:8">
      <c r="A342" s="754" t="s">
        <v>703</v>
      </c>
      <c r="B342" s="756"/>
      <c r="C342" s="756"/>
      <c r="D342" s="756"/>
      <c r="E342" s="756"/>
      <c r="F342" s="756"/>
      <c r="G342" s="756"/>
      <c r="H342" s="756"/>
    </row>
    <row r="343" spans="1:8">
      <c r="A343" s="754" t="s">
        <v>766</v>
      </c>
      <c r="B343" s="756"/>
      <c r="C343" s="756"/>
      <c r="D343" s="756"/>
      <c r="E343" s="756"/>
      <c r="F343" s="756"/>
      <c r="G343" s="756"/>
      <c r="H343" s="756"/>
    </row>
    <row r="344" spans="1:8">
      <c r="A344" s="754" t="s">
        <v>767</v>
      </c>
      <c r="B344" s="756"/>
      <c r="C344" s="756"/>
      <c r="D344" s="756"/>
      <c r="E344" s="756"/>
      <c r="F344" s="756"/>
      <c r="G344" s="756"/>
      <c r="H344" s="756"/>
    </row>
    <row r="345" spans="1:8">
      <c r="A345" s="754" t="s">
        <v>768</v>
      </c>
      <c r="B345" s="756"/>
      <c r="C345" s="756"/>
      <c r="D345" s="756"/>
      <c r="E345" s="756"/>
      <c r="F345" s="756"/>
      <c r="G345" s="756"/>
      <c r="H345" s="756"/>
    </row>
    <row r="346" spans="1:8">
      <c r="A346" s="754" t="s">
        <v>769</v>
      </c>
      <c r="B346" s="756"/>
      <c r="C346" s="756"/>
      <c r="D346" s="756"/>
      <c r="E346" s="756"/>
      <c r="F346" s="756"/>
      <c r="G346" s="756"/>
      <c r="H346" s="756"/>
    </row>
    <row r="347" spans="1:8">
      <c r="A347" s="754" t="s">
        <v>770</v>
      </c>
      <c r="B347" s="756"/>
      <c r="C347" s="756"/>
      <c r="D347" s="756"/>
      <c r="E347" s="756"/>
      <c r="F347" s="756"/>
      <c r="G347" s="756"/>
      <c r="H347" s="756"/>
    </row>
    <row r="348" spans="1:8">
      <c r="A348" s="754" t="s">
        <v>771</v>
      </c>
      <c r="B348" s="756"/>
      <c r="C348" s="756"/>
      <c r="D348" s="756"/>
      <c r="E348" s="756"/>
      <c r="F348" s="756"/>
      <c r="G348" s="756"/>
      <c r="H348" s="756"/>
    </row>
    <row r="349" spans="1:8">
      <c r="A349" s="754" t="s">
        <v>772</v>
      </c>
      <c r="B349" s="756"/>
      <c r="C349" s="756"/>
      <c r="D349" s="756"/>
      <c r="E349" s="756"/>
      <c r="F349" s="756"/>
      <c r="G349" s="756"/>
      <c r="H349" s="756"/>
    </row>
    <row r="350" spans="1:8">
      <c r="A350" s="754" t="s">
        <v>773</v>
      </c>
      <c r="B350" s="756"/>
      <c r="C350" s="756"/>
      <c r="D350" s="756"/>
      <c r="E350" s="756"/>
      <c r="F350" s="756"/>
      <c r="G350" s="756"/>
      <c r="H350" s="756"/>
    </row>
    <row r="351" spans="1:8">
      <c r="A351" s="754" t="s">
        <v>774</v>
      </c>
      <c r="B351" s="756"/>
      <c r="C351" s="756"/>
      <c r="D351" s="756"/>
      <c r="E351" s="756"/>
      <c r="F351" s="756"/>
      <c r="G351" s="756"/>
      <c r="H351" s="756"/>
    </row>
    <row r="352" spans="1:8">
      <c r="A352" s="754" t="s">
        <v>775</v>
      </c>
      <c r="B352" s="756"/>
      <c r="C352" s="756"/>
      <c r="D352" s="756"/>
      <c r="E352" s="756"/>
      <c r="F352" s="756"/>
      <c r="G352" s="756"/>
      <c r="H352" s="756"/>
    </row>
    <row r="353" spans="1:8">
      <c r="A353" s="754" t="s">
        <v>776</v>
      </c>
      <c r="B353" s="756"/>
      <c r="C353" s="756"/>
      <c r="D353" s="756"/>
      <c r="E353" s="756"/>
      <c r="F353" s="756"/>
      <c r="G353" s="756"/>
      <c r="H353" s="756"/>
    </row>
    <row r="354" spans="1:8">
      <c r="A354" s="754" t="s">
        <v>777</v>
      </c>
      <c r="B354" s="756"/>
      <c r="C354" s="756"/>
      <c r="D354" s="756"/>
      <c r="E354" s="756"/>
      <c r="F354" s="756"/>
      <c r="G354" s="756"/>
      <c r="H354" s="756"/>
    </row>
    <row r="355" spans="1:8">
      <c r="A355" s="754" t="s">
        <v>852</v>
      </c>
      <c r="B355" s="756"/>
      <c r="C355" s="756"/>
      <c r="D355" s="756"/>
      <c r="E355" s="756"/>
      <c r="F355" s="756"/>
      <c r="G355" s="756"/>
      <c r="H355" s="756"/>
    </row>
    <row r="356" spans="1:8">
      <c r="A356" s="754" t="s">
        <v>853</v>
      </c>
      <c r="B356" s="756"/>
      <c r="C356" s="756"/>
      <c r="D356" s="756"/>
      <c r="E356" s="756"/>
      <c r="F356" s="756"/>
      <c r="G356" s="756"/>
      <c r="H356" s="756"/>
    </row>
    <row r="357" spans="1:8">
      <c r="A357" s="754" t="s">
        <v>778</v>
      </c>
      <c r="B357" s="756"/>
      <c r="C357" s="756"/>
      <c r="D357" s="756"/>
      <c r="E357" s="756"/>
      <c r="F357" s="756"/>
      <c r="G357" s="756"/>
      <c r="H357" s="756"/>
    </row>
    <row r="358" spans="1:8">
      <c r="A358" s="754" t="s">
        <v>779</v>
      </c>
      <c r="B358" s="756"/>
      <c r="C358" s="756"/>
      <c r="D358" s="756"/>
      <c r="E358" s="756"/>
      <c r="F358" s="756"/>
      <c r="G358" s="756"/>
      <c r="H358" s="756"/>
    </row>
    <row r="359" spans="1:8">
      <c r="A359" s="754" t="s">
        <v>780</v>
      </c>
      <c r="B359" s="756"/>
      <c r="C359" s="756"/>
      <c r="D359" s="756"/>
      <c r="E359" s="756"/>
      <c r="F359" s="756"/>
      <c r="G359" s="756"/>
      <c r="H359" s="756"/>
    </row>
    <row r="360" spans="1:8">
      <c r="A360" s="754" t="s">
        <v>781</v>
      </c>
      <c r="B360" s="756"/>
      <c r="C360" s="756"/>
      <c r="D360" s="756"/>
      <c r="E360" s="756"/>
      <c r="F360" s="756"/>
      <c r="G360" s="756"/>
      <c r="H360" s="756"/>
    </row>
    <row r="361" spans="1:8">
      <c r="A361" s="754" t="s">
        <v>782</v>
      </c>
      <c r="B361" s="756"/>
      <c r="C361" s="756"/>
      <c r="D361" s="756"/>
      <c r="E361" s="756"/>
      <c r="F361" s="756"/>
      <c r="G361" s="756"/>
      <c r="H361" s="756"/>
    </row>
    <row r="362" spans="1:8">
      <c r="A362" s="754" t="s">
        <v>783</v>
      </c>
      <c r="B362" s="756"/>
      <c r="C362" s="756"/>
      <c r="D362" s="756"/>
      <c r="E362" s="756"/>
      <c r="F362" s="756"/>
      <c r="G362" s="756"/>
      <c r="H362" s="756"/>
    </row>
    <row r="363" spans="1:8">
      <c r="A363" s="754" t="s">
        <v>784</v>
      </c>
      <c r="B363" s="756"/>
      <c r="C363" s="756"/>
      <c r="D363" s="756"/>
      <c r="E363" s="756"/>
      <c r="F363" s="756"/>
      <c r="G363" s="756"/>
      <c r="H363" s="756"/>
    </row>
    <row r="364" spans="1:8">
      <c r="A364" s="754" t="s">
        <v>785</v>
      </c>
      <c r="B364" s="756"/>
      <c r="C364" s="756"/>
      <c r="D364" s="756"/>
      <c r="E364" s="756"/>
      <c r="F364" s="756"/>
      <c r="G364" s="756"/>
      <c r="H364" s="756"/>
    </row>
    <row r="365" spans="1:8">
      <c r="A365" s="754" t="s">
        <v>786</v>
      </c>
      <c r="B365" s="756"/>
      <c r="C365" s="756"/>
      <c r="D365" s="756"/>
      <c r="E365" s="756"/>
      <c r="F365" s="756"/>
      <c r="G365" s="756"/>
      <c r="H365" s="756"/>
    </row>
    <row r="366" spans="1:8">
      <c r="A366" s="754" t="s">
        <v>787</v>
      </c>
      <c r="B366" s="756"/>
      <c r="C366" s="756"/>
      <c r="D366" s="756"/>
      <c r="E366" s="756"/>
      <c r="F366" s="756"/>
      <c r="G366" s="756"/>
      <c r="H366" s="756"/>
    </row>
    <row r="367" spans="1:8">
      <c r="A367" s="754" t="s">
        <v>788</v>
      </c>
      <c r="B367" s="756"/>
      <c r="C367" s="756"/>
      <c r="D367" s="756"/>
      <c r="E367" s="756"/>
      <c r="F367" s="756"/>
      <c r="G367" s="756"/>
      <c r="H367" s="756"/>
    </row>
    <row r="368" spans="1:8">
      <c r="A368" s="754" t="s">
        <v>789</v>
      </c>
      <c r="B368" s="756"/>
      <c r="C368" s="756"/>
      <c r="D368" s="756"/>
      <c r="E368" s="756"/>
      <c r="F368" s="756"/>
      <c r="G368" s="756"/>
      <c r="H368" s="756"/>
    </row>
    <row r="369" spans="1:8">
      <c r="A369" s="754" t="s">
        <v>790</v>
      </c>
      <c r="B369" s="756"/>
      <c r="C369" s="756"/>
      <c r="D369" s="756"/>
      <c r="E369" s="756"/>
      <c r="F369" s="756"/>
      <c r="G369" s="756"/>
      <c r="H369" s="756"/>
    </row>
    <row r="370" spans="1:8">
      <c r="A370" s="754" t="s">
        <v>791</v>
      </c>
      <c r="B370" s="756"/>
      <c r="C370" s="756"/>
      <c r="D370" s="756"/>
      <c r="E370" s="756"/>
      <c r="F370" s="756"/>
      <c r="G370" s="756"/>
      <c r="H370" s="756"/>
    </row>
    <row r="371" spans="1:8">
      <c r="A371" s="754" t="s">
        <v>792</v>
      </c>
      <c r="B371" s="756"/>
      <c r="C371" s="756"/>
      <c r="D371" s="756"/>
      <c r="E371" s="756"/>
      <c r="F371" s="756"/>
      <c r="G371" s="756"/>
      <c r="H371" s="756"/>
    </row>
    <row r="372" spans="1:8">
      <c r="A372" s="754" t="s">
        <v>793</v>
      </c>
      <c r="B372" s="756"/>
      <c r="C372" s="756"/>
      <c r="D372" s="756"/>
      <c r="E372" s="756"/>
      <c r="F372" s="756"/>
      <c r="G372" s="756"/>
      <c r="H372" s="756"/>
    </row>
    <row r="373" spans="1:8">
      <c r="A373" s="756"/>
      <c r="B373" s="756"/>
      <c r="C373" s="756"/>
      <c r="D373" s="756"/>
      <c r="E373" s="756"/>
      <c r="F373" s="756"/>
      <c r="G373" s="756"/>
      <c r="H373" s="756"/>
    </row>
    <row r="374" spans="1:8">
      <c r="A374" s="754" t="s">
        <v>288</v>
      </c>
      <c r="B374" s="756"/>
      <c r="C374" s="756"/>
      <c r="D374" s="756"/>
      <c r="E374" s="756"/>
      <c r="F374" s="756"/>
      <c r="G374" s="756"/>
      <c r="H374" s="756"/>
    </row>
    <row r="375" spans="1:8">
      <c r="A375" s="754" t="s">
        <v>289</v>
      </c>
      <c r="B375" s="756"/>
      <c r="C375" s="756"/>
      <c r="D375" s="756"/>
      <c r="E375" s="756"/>
      <c r="F375" s="756"/>
      <c r="G375" s="756"/>
      <c r="H375" s="756"/>
    </row>
    <row r="376" spans="1:8">
      <c r="A376" s="754" t="s">
        <v>290</v>
      </c>
      <c r="B376" s="756"/>
      <c r="C376" s="756"/>
      <c r="D376" s="756"/>
      <c r="E376" s="756"/>
      <c r="F376" s="756"/>
      <c r="G376" s="756"/>
      <c r="H376" s="756"/>
    </row>
    <row r="377" spans="1:8">
      <c r="A377" s="754" t="s">
        <v>291</v>
      </c>
      <c r="B377" s="756"/>
      <c r="C377" s="756"/>
      <c r="D377" s="756"/>
      <c r="E377" s="756"/>
      <c r="F377" s="756"/>
      <c r="G377" s="756"/>
      <c r="H377" s="756"/>
    </row>
    <row r="378" spans="1:8">
      <c r="A378" s="754" t="s">
        <v>292</v>
      </c>
      <c r="B378" s="756"/>
      <c r="C378" s="756"/>
      <c r="D378" s="756"/>
      <c r="E378" s="756"/>
      <c r="F378" s="756"/>
      <c r="G378" s="756"/>
      <c r="H378" s="756"/>
    </row>
    <row r="379" spans="1:8">
      <c r="A379" s="756"/>
      <c r="B379" s="756"/>
      <c r="C379" s="756"/>
      <c r="D379" s="756"/>
      <c r="E379" s="756"/>
      <c r="F379" s="756"/>
      <c r="G379" s="756"/>
      <c r="H379" s="756"/>
    </row>
    <row r="380" spans="1:8">
      <c r="A380" s="754" t="s">
        <v>288</v>
      </c>
      <c r="B380" s="756"/>
      <c r="C380" s="756"/>
      <c r="D380" s="756"/>
      <c r="E380" s="756"/>
      <c r="F380" s="756"/>
      <c r="G380" s="756"/>
      <c r="H380" s="756"/>
    </row>
    <row r="381" spans="1:8">
      <c r="A381" s="754" t="s">
        <v>293</v>
      </c>
      <c r="B381" s="756"/>
      <c r="C381" s="756"/>
      <c r="D381" s="756"/>
      <c r="E381" s="756"/>
      <c r="F381" s="756"/>
      <c r="G381" s="756"/>
      <c r="H381" s="756"/>
    </row>
    <row r="382" spans="1:8">
      <c r="A382" s="754" t="s">
        <v>294</v>
      </c>
      <c r="B382" s="756"/>
      <c r="C382" s="756"/>
      <c r="D382" s="756"/>
      <c r="E382" s="756"/>
      <c r="F382" s="756"/>
      <c r="G382" s="756"/>
      <c r="H382" s="756"/>
    </row>
    <row r="383" spans="1:8">
      <c r="A383" s="754" t="s">
        <v>295</v>
      </c>
      <c r="B383" s="756"/>
      <c r="C383" s="756"/>
      <c r="D383" s="756"/>
      <c r="E383" s="756"/>
      <c r="F383" s="756"/>
      <c r="G383" s="756"/>
      <c r="H383" s="756"/>
    </row>
    <row r="384" spans="1:8">
      <c r="A384" s="756"/>
      <c r="B384" s="756"/>
      <c r="C384" s="756"/>
      <c r="D384" s="756"/>
      <c r="E384" s="756"/>
      <c r="F384" s="756"/>
      <c r="G384" s="756"/>
      <c r="H384" s="756"/>
    </row>
    <row r="385" spans="1:8">
      <c r="A385" s="754" t="s">
        <v>296</v>
      </c>
      <c r="B385" s="756"/>
      <c r="C385" s="756"/>
      <c r="D385" s="756"/>
      <c r="E385" s="756"/>
      <c r="F385" s="756"/>
      <c r="G385" s="756"/>
      <c r="H385" s="756"/>
    </row>
    <row r="386" spans="1:8">
      <c r="A386" s="754" t="s">
        <v>297</v>
      </c>
      <c r="B386" s="756"/>
      <c r="C386" s="756"/>
      <c r="D386" s="756"/>
      <c r="E386" s="756"/>
      <c r="F386" s="756"/>
      <c r="G386" s="756"/>
      <c r="H386" s="756"/>
    </row>
    <row r="387" spans="1:8">
      <c r="A387" s="754" t="s">
        <v>380</v>
      </c>
      <c r="B387" s="756"/>
      <c r="C387" s="756"/>
      <c r="D387" s="756"/>
      <c r="E387" s="756"/>
      <c r="F387" s="756"/>
      <c r="G387" s="756"/>
      <c r="H387" s="756"/>
    </row>
    <row r="388" spans="1:8">
      <c r="A388" s="754" t="s">
        <v>381</v>
      </c>
      <c r="B388" s="756"/>
      <c r="C388" s="756"/>
      <c r="D388" s="756"/>
      <c r="E388" s="756"/>
      <c r="F388" s="756"/>
      <c r="G388" s="756"/>
      <c r="H388" s="756"/>
    </row>
    <row r="389" spans="1:8">
      <c r="A389" s="754" t="s">
        <v>382</v>
      </c>
      <c r="B389" s="756"/>
      <c r="C389" s="756"/>
      <c r="D389" s="756"/>
      <c r="E389" s="756"/>
      <c r="F389" s="756"/>
      <c r="G389" s="756"/>
      <c r="H389" s="756"/>
    </row>
    <row r="390" spans="1:8">
      <c r="A390" s="754" t="s">
        <v>383</v>
      </c>
      <c r="B390" s="756"/>
      <c r="C390" s="756"/>
      <c r="D390" s="756"/>
      <c r="E390" s="756"/>
      <c r="F390" s="756"/>
      <c r="G390" s="756"/>
      <c r="H390" s="756"/>
    </row>
    <row r="391" spans="1:8">
      <c r="A391" s="756"/>
      <c r="B391" s="756"/>
      <c r="C391" s="756"/>
      <c r="D391" s="756"/>
      <c r="E391" s="756"/>
      <c r="F391" s="756"/>
      <c r="G391" s="756"/>
      <c r="H391" s="756"/>
    </row>
    <row r="392" spans="1:8">
      <c r="A392" s="754" t="s">
        <v>299</v>
      </c>
      <c r="B392" s="756"/>
      <c r="C392" s="756"/>
      <c r="D392" s="756"/>
      <c r="E392" s="756"/>
      <c r="F392" s="756"/>
      <c r="G392" s="756"/>
      <c r="H392" s="756"/>
    </row>
    <row r="393" spans="1:8">
      <c r="A393" s="754" t="s">
        <v>300</v>
      </c>
      <c r="B393" s="756"/>
      <c r="C393" s="756"/>
      <c r="D393" s="756"/>
      <c r="E393" s="756"/>
      <c r="F393" s="756"/>
      <c r="G393" s="756"/>
      <c r="H393" s="756"/>
    </row>
    <row r="394" spans="1:8">
      <c r="A394" s="754" t="s">
        <v>301</v>
      </c>
      <c r="B394" s="756"/>
      <c r="C394" s="756"/>
      <c r="D394" s="756"/>
      <c r="E394" s="756"/>
      <c r="F394" s="756"/>
      <c r="G394" s="756"/>
      <c r="H394" s="756"/>
    </row>
    <row r="395" spans="1:8">
      <c r="A395" s="754" t="s">
        <v>302</v>
      </c>
      <c r="B395" s="756"/>
      <c r="C395" s="756"/>
      <c r="D395" s="756"/>
      <c r="E395" s="756"/>
      <c r="F395" s="756"/>
      <c r="G395" s="756"/>
      <c r="H395" s="756"/>
    </row>
    <row r="396" spans="1:8">
      <c r="A396" s="754" t="s">
        <v>704</v>
      </c>
      <c r="B396" s="756"/>
      <c r="C396" s="756"/>
      <c r="D396" s="756"/>
      <c r="E396" s="756"/>
      <c r="F396" s="756"/>
      <c r="G396" s="756"/>
      <c r="H396" s="756"/>
    </row>
    <row r="397" spans="1:8">
      <c r="A397" s="756"/>
      <c r="B397" s="756"/>
      <c r="C397" s="756"/>
      <c r="D397" s="756"/>
      <c r="E397" s="756"/>
      <c r="F397" s="756"/>
      <c r="G397" s="756"/>
      <c r="H397" s="756"/>
    </row>
    <row r="398" spans="1:8">
      <c r="A398" s="754" t="s">
        <v>303</v>
      </c>
      <c r="B398" s="756"/>
      <c r="C398" s="756"/>
      <c r="D398" s="756"/>
      <c r="E398" s="756"/>
      <c r="F398" s="756"/>
      <c r="G398" s="756"/>
      <c r="H398" s="756"/>
    </row>
    <row r="399" spans="1:8">
      <c r="A399" s="754" t="s">
        <v>304</v>
      </c>
      <c r="B399" s="756"/>
      <c r="C399" s="756"/>
      <c r="D399" s="756"/>
      <c r="E399" s="756"/>
      <c r="F399" s="756"/>
      <c r="G399" s="756"/>
      <c r="H399" s="756"/>
    </row>
    <row r="401" spans="1:1">
      <c r="A401" s="418" t="s">
        <v>876</v>
      </c>
    </row>
  </sheetData>
  <mergeCells count="12">
    <mergeCell ref="A124:H124"/>
    <mergeCell ref="A131:H131"/>
    <mergeCell ref="A118:H118"/>
    <mergeCell ref="A119:H119"/>
    <mergeCell ref="A120:H120"/>
    <mergeCell ref="A121:H121"/>
    <mergeCell ref="A123:H123"/>
    <mergeCell ref="A139:H139"/>
    <mergeCell ref="A140:H140"/>
    <mergeCell ref="B132:C132"/>
    <mergeCell ref="D132:F132"/>
    <mergeCell ref="G132:H132"/>
  </mergeCells>
  <pageMargins left="0.5" right="0.5" top="0.5" bottom="0.5" header="0.5" footer="0.5"/>
  <pageSetup orientation="portrait" horizontalDpi="300" verticalDpi="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4"/>
  <sheetViews>
    <sheetView workbookViewId="0"/>
  </sheetViews>
  <sheetFormatPr defaultColWidth="8.140625" defaultRowHeight="12.75"/>
  <cols>
    <col min="1" max="1" width="77.7109375" customWidth="1"/>
  </cols>
  <sheetData>
    <row r="1" spans="1:1" ht="37.5" customHeight="1">
      <c r="A1" s="22" t="s">
        <v>498</v>
      </c>
    </row>
    <row r="2" spans="1:1" ht="37.5" customHeight="1">
      <c r="A2" s="199" t="s">
        <v>499</v>
      </c>
    </row>
    <row r="3" spans="1:1" ht="37.5" customHeight="1">
      <c r="A3" s="199" t="s">
        <v>801</v>
      </c>
    </row>
    <row r="4" spans="1:1">
      <c r="A4" s="199" t="s">
        <v>802</v>
      </c>
    </row>
  </sheetData>
  <customSheetViews>
    <customSheetView guid="{02BAE5C0-B718-491D-AA2C-366929DD884D}">
      <selection activeCell="E23" sqref="E23"/>
      <pageMargins left="0.75" right="0.75" top="1" bottom="1" header="0.5" footer="0.5"/>
      <pageSetup orientation="portrait" verticalDpi="300" r:id="rId1"/>
      <headerFooter alignWithMargins="0"/>
    </customSheetView>
    <customSheetView guid="{0F63984D-41C2-41FC-9021-7F5BFFA3B850}">
      <selection activeCell="E23" sqref="E23"/>
      <pageMargins left="0.75" right="0.75" top="1" bottom="1" header="0.5" footer="0.5"/>
      <pageSetup orientation="portrait" verticalDpi="300" r:id="rId2"/>
      <headerFooter alignWithMargins="0"/>
    </customSheetView>
  </customSheetViews>
  <phoneticPr fontId="10" type="noConversion"/>
  <hyperlinks>
    <hyperlink ref="A2" r:id="rId3" tooltip="mailto:jamie.rollo@morganstanley.com" display="mailto:jamie.rollo@morganstanley.com"/>
    <hyperlink ref="A3:A4" r:id="rId4" tooltip="mailto:jamie.rollo@morganstanley.com" display="mailto:jamie.rollo@morganstanley.com"/>
  </hyperlinks>
  <pageMargins left="0.75" right="0.75" top="1" bottom="1" header="0.5" footer="0.5"/>
  <pageSetup orientation="portrait" verticalDpi="300" r:id="rId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Y126"/>
  <sheetViews>
    <sheetView zoomScale="85" zoomScaleNormal="85" workbookViewId="0">
      <pane xSplit="10" ySplit="3" topLeftCell="K4" activePane="bottomRight" state="frozen"/>
      <selection pane="topRight"/>
      <selection pane="bottomLeft"/>
      <selection pane="bottomRight"/>
    </sheetView>
  </sheetViews>
  <sheetFormatPr defaultColWidth="8.140625" defaultRowHeight="12.75" outlineLevelCol="2"/>
  <cols>
    <col min="1" max="1" width="39.42578125" style="473" customWidth="1"/>
    <col min="2" max="2" width="8.7109375" style="473" hidden="1" customWidth="1" outlineLevel="2"/>
    <col min="3" max="3" width="9.28515625" style="473" hidden="1" customWidth="1" outlineLevel="2" collapsed="1"/>
    <col min="4" max="4" width="9.42578125" style="473" hidden="1" customWidth="1" outlineLevel="2"/>
    <col min="5" max="5" width="9.28515625" style="473" hidden="1" customWidth="1" outlineLevel="2"/>
    <col min="6" max="6" width="8.85546875" style="473" hidden="1" customWidth="1" outlineLevel="2"/>
    <col min="7" max="7" width="9.140625" style="473" hidden="1" customWidth="1" outlineLevel="2"/>
    <col min="8" max="9" width="9" style="473" hidden="1" customWidth="1" outlineLevel="2" collapsed="1"/>
    <col min="10" max="10" width="1.28515625" style="473" hidden="1" customWidth="1" outlineLevel="2"/>
    <col min="11" max="11" width="9" style="473" customWidth="1" collapsed="1"/>
    <col min="12" max="18" width="9" style="473" customWidth="1"/>
    <col min="19" max="16384" width="8.140625" style="473"/>
  </cols>
  <sheetData>
    <row r="1" spans="1:25">
      <c r="A1" s="469" t="s">
        <v>661</v>
      </c>
      <c r="B1" s="470"/>
      <c r="C1" s="470"/>
      <c r="D1" s="470"/>
      <c r="E1" s="470"/>
      <c r="F1" s="470"/>
      <c r="G1" s="470"/>
      <c r="H1" s="471"/>
      <c r="I1" s="471"/>
      <c r="J1" s="471"/>
      <c r="K1" s="471"/>
      <c r="L1" s="471"/>
      <c r="M1" s="471"/>
      <c r="N1" s="471"/>
      <c r="O1" s="471"/>
      <c r="P1" s="472"/>
      <c r="Q1" s="472"/>
      <c r="R1" s="471"/>
      <c r="S1" s="471"/>
      <c r="T1" s="471"/>
      <c r="U1" s="471"/>
      <c r="V1" s="471"/>
      <c r="W1" s="471"/>
      <c r="X1" s="471"/>
    </row>
    <row r="2" spans="1:25">
      <c r="A2" s="481" t="s">
        <v>469</v>
      </c>
      <c r="B2" s="474"/>
      <c r="C2" s="475"/>
      <c r="D2" s="476"/>
      <c r="E2" s="476"/>
      <c r="F2" s="477"/>
      <c r="G2" s="475"/>
      <c r="H2" s="478"/>
      <c r="I2" s="479"/>
      <c r="J2" s="479"/>
      <c r="K2" s="479"/>
      <c r="L2" s="480">
        <v>114.4</v>
      </c>
      <c r="N2" s="471"/>
      <c r="O2" s="471"/>
      <c r="P2" s="471"/>
      <c r="Q2" s="471"/>
      <c r="R2" s="471"/>
      <c r="S2" s="471"/>
      <c r="T2" s="471"/>
      <c r="U2" s="471"/>
      <c r="V2" s="471"/>
      <c r="W2" s="471"/>
      <c r="X2" s="471"/>
    </row>
    <row r="3" spans="1:25" s="551" customFormat="1">
      <c r="A3" s="549" t="s">
        <v>409</v>
      </c>
      <c r="B3" s="550">
        <v>1999</v>
      </c>
      <c r="C3" s="550">
        <v>2000</v>
      </c>
      <c r="D3" s="550">
        <v>2001</v>
      </c>
      <c r="E3" s="550">
        <v>2002</v>
      </c>
      <c r="F3" s="550">
        <v>2003</v>
      </c>
      <c r="G3" s="550">
        <v>2004</v>
      </c>
      <c r="H3" s="550">
        <v>2005</v>
      </c>
      <c r="I3" s="550">
        <v>2006</v>
      </c>
      <c r="J3" s="550">
        <v>2007</v>
      </c>
      <c r="K3" s="550">
        <v>2008</v>
      </c>
      <c r="L3" s="550">
        <v>2009</v>
      </c>
      <c r="M3" s="550">
        <v>2010</v>
      </c>
      <c r="N3" s="550">
        <v>2011</v>
      </c>
      <c r="O3" s="550">
        <v>2012</v>
      </c>
      <c r="P3" s="550">
        <v>2013</v>
      </c>
      <c r="Q3" s="550">
        <v>2014</v>
      </c>
      <c r="R3" s="550">
        <v>2015</v>
      </c>
      <c r="S3" s="550">
        <v>2016</v>
      </c>
      <c r="T3" s="550">
        <v>2017</v>
      </c>
      <c r="U3" s="550" t="s">
        <v>316</v>
      </c>
      <c r="V3" s="550" t="s">
        <v>317</v>
      </c>
      <c r="W3" s="550" t="s">
        <v>734</v>
      </c>
      <c r="X3" s="550" t="s">
        <v>825</v>
      </c>
    </row>
    <row r="4" spans="1:25">
      <c r="A4" s="552" t="s">
        <v>451</v>
      </c>
      <c r="B4" s="553"/>
      <c r="C4" s="553"/>
      <c r="D4" s="553"/>
      <c r="E4" s="553"/>
      <c r="F4" s="553"/>
      <c r="G4" s="553"/>
      <c r="H4" s="554"/>
      <c r="I4" s="555"/>
      <c r="J4" s="554"/>
      <c r="K4" s="556"/>
      <c r="L4" s="557"/>
      <c r="M4" s="554"/>
      <c r="N4" s="554"/>
      <c r="O4" s="554"/>
      <c r="P4" s="554"/>
      <c r="Q4" s="554"/>
      <c r="R4" s="554"/>
      <c r="S4" s="554"/>
      <c r="T4" s="554"/>
      <c r="U4" s="554"/>
      <c r="V4" s="554"/>
      <c r="W4" s="554"/>
      <c r="X4" s="554"/>
    </row>
    <row r="5" spans="1:25">
      <c r="A5" s="483" t="s">
        <v>452</v>
      </c>
      <c r="B5" s="484">
        <v>2546.152</v>
      </c>
      <c r="C5" s="484">
        <v>2865.846</v>
      </c>
      <c r="D5" s="484">
        <v>3145.25</v>
      </c>
      <c r="E5" s="484">
        <v>3434.3470000000002</v>
      </c>
      <c r="F5" s="484">
        <v>3784.2490000000003</v>
      </c>
      <c r="G5" s="484">
        <v>4555.375</v>
      </c>
      <c r="H5" s="484">
        <v>4903.174</v>
      </c>
      <c r="I5" s="484">
        <v>5229.5860000000002</v>
      </c>
      <c r="J5" s="484">
        <v>6149.1379999999999</v>
      </c>
      <c r="K5" s="484">
        <v>6532.5249999999996</v>
      </c>
      <c r="L5" s="484">
        <v>5889.8259999999991</v>
      </c>
      <c r="M5" s="484">
        <v>6752.503999999999</v>
      </c>
      <c r="N5" s="484">
        <v>7537.262999999999</v>
      </c>
      <c r="O5" s="484">
        <v>7688.0239999999994</v>
      </c>
      <c r="P5" s="484">
        <v>7741.5439999999999</v>
      </c>
      <c r="Q5" s="484">
        <v>8038.1989999999996</v>
      </c>
      <c r="R5" s="484">
        <v>8299.0740000000005</v>
      </c>
      <c r="S5" s="484">
        <v>8496.4009999999998</v>
      </c>
      <c r="T5" s="484">
        <v>8777.8449999999993</v>
      </c>
      <c r="U5" s="484">
        <v>9458.5093143859831</v>
      </c>
      <c r="V5" s="484">
        <v>10202.266108319394</v>
      </c>
      <c r="W5" s="484">
        <v>10737.296310095651</v>
      </c>
      <c r="X5" s="484">
        <v>11699.756467944801</v>
      </c>
      <c r="Y5" s="601">
        <f>+U5/T5-1</f>
        <v>7.7543441970777893E-2</v>
      </c>
    </row>
    <row r="6" spans="1:25">
      <c r="A6" s="485" t="s">
        <v>356</v>
      </c>
      <c r="B6" s="484">
        <v>480.17400000000009</v>
      </c>
      <c r="C6" s="484">
        <v>569.53999999999974</v>
      </c>
      <c r="D6" s="484">
        <v>455.60500000000002</v>
      </c>
      <c r="E6" s="484">
        <v>570.97500000000036</v>
      </c>
      <c r="F6" s="484">
        <v>525.91500000000065</v>
      </c>
      <c r="G6" s="484">
        <v>753.58899999999994</v>
      </c>
      <c r="H6" s="484">
        <v>871.56500000000005</v>
      </c>
      <c r="I6" s="484">
        <v>858.44599999999991</v>
      </c>
      <c r="J6" s="484">
        <v>901.33400000000051</v>
      </c>
      <c r="K6" s="484">
        <v>831.9299999999995</v>
      </c>
      <c r="L6" s="484">
        <v>488.5109999999994</v>
      </c>
      <c r="M6" s="484">
        <v>802.63299999999936</v>
      </c>
      <c r="N6" s="484">
        <v>931.62800000000027</v>
      </c>
      <c r="O6" s="484">
        <v>788.55399999999963</v>
      </c>
      <c r="P6" s="484">
        <v>861.60799999999949</v>
      </c>
      <c r="Q6" s="484">
        <v>978.43999999999937</v>
      </c>
      <c r="R6" s="484">
        <v>1286.1690000000006</v>
      </c>
      <c r="S6" s="484">
        <v>1481.9350000000004</v>
      </c>
      <c r="T6" s="484">
        <v>1744.0559999999991</v>
      </c>
      <c r="U6" s="484">
        <v>1990.4036286519304</v>
      </c>
      <c r="V6" s="484">
        <v>2159.8357293067211</v>
      </c>
      <c r="W6" s="484">
        <v>2190.7495616288397</v>
      </c>
      <c r="X6" s="484">
        <v>2242.0486544225932</v>
      </c>
      <c r="Y6" s="601">
        <f t="shared" ref="Y6:Y9" si="0">+U6/T6-1</f>
        <v>0.14124983868174601</v>
      </c>
    </row>
    <row r="7" spans="1:25">
      <c r="A7" s="485" t="s">
        <v>453</v>
      </c>
      <c r="B7" s="484">
        <v>678.08300000000008</v>
      </c>
      <c r="C7" s="484">
        <v>800.58799999999974</v>
      </c>
      <c r="D7" s="484">
        <v>756.779</v>
      </c>
      <c r="E7" s="484">
        <v>910.07500000000027</v>
      </c>
      <c r="F7" s="484">
        <v>888.88000000000056</v>
      </c>
      <c r="G7" s="484">
        <v>1147.7249999999999</v>
      </c>
      <c r="H7" s="484">
        <v>1273.634</v>
      </c>
      <c r="I7" s="484">
        <v>1280.0909999999999</v>
      </c>
      <c r="J7" s="484">
        <v>1384.4000000000005</v>
      </c>
      <c r="K7" s="484">
        <v>1352.2829999999994</v>
      </c>
      <c r="L7" s="484">
        <v>1056.7249999999995</v>
      </c>
      <c r="M7" s="484">
        <v>1446.3489999999993</v>
      </c>
      <c r="N7" s="484">
        <v>1634.0540000000003</v>
      </c>
      <c r="O7" s="484">
        <v>1519.0470000000003</v>
      </c>
      <c r="P7" s="484">
        <v>1616.3189999999995</v>
      </c>
      <c r="Q7" s="484">
        <v>1750.8849999999993</v>
      </c>
      <c r="R7" s="484">
        <v>2113.1770000000006</v>
      </c>
      <c r="S7" s="484">
        <v>2376.8500000000004</v>
      </c>
      <c r="T7" s="484">
        <v>2695.2499999999991</v>
      </c>
      <c r="U7" s="484">
        <v>3036.1933353802615</v>
      </c>
      <c r="V7" s="484">
        <v>3321.3653241459542</v>
      </c>
      <c r="W7" s="484">
        <v>3437.3992182126567</v>
      </c>
      <c r="X7" s="484">
        <v>3627.34330250325</v>
      </c>
      <c r="Y7" s="601">
        <f t="shared" si="0"/>
        <v>0.12649785191735918</v>
      </c>
    </row>
    <row r="8" spans="1:25">
      <c r="A8" s="481" t="s">
        <v>372</v>
      </c>
      <c r="B8" s="486">
        <v>383.85300000000007</v>
      </c>
      <c r="C8" s="486">
        <v>445.36299999999972</v>
      </c>
      <c r="D8" s="486">
        <v>254.45700000000005</v>
      </c>
      <c r="E8" s="486">
        <v>338.28400000000039</v>
      </c>
      <c r="F8" s="486">
        <v>280.39400000000063</v>
      </c>
      <c r="G8" s="486">
        <v>474.68899999999996</v>
      </c>
      <c r="H8" s="486">
        <v>619.31000000000006</v>
      </c>
      <c r="I8" s="486">
        <v>599.38699999999994</v>
      </c>
      <c r="J8" s="486">
        <v>603.40400000000045</v>
      </c>
      <c r="K8" s="486">
        <v>573.66799999999944</v>
      </c>
      <c r="L8" s="486">
        <v>152.48499999999945</v>
      </c>
      <c r="M8" s="486">
        <v>429.65299999999934</v>
      </c>
      <c r="N8" s="486">
        <v>600.27400000000023</v>
      </c>
      <c r="O8" s="486">
        <v>450.60929999999962</v>
      </c>
      <c r="P8" s="486">
        <v>537.15199999999959</v>
      </c>
      <c r="Q8" s="486">
        <v>767.24399999999946</v>
      </c>
      <c r="R8" s="486">
        <v>1065.0500000000006</v>
      </c>
      <c r="S8" s="486">
        <v>1312.9340000000004</v>
      </c>
      <c r="T8" s="486">
        <v>1625.0929999999992</v>
      </c>
      <c r="U8" s="486">
        <v>1892.8843271216008</v>
      </c>
      <c r="V8" s="486">
        <v>2042.7971134463608</v>
      </c>
      <c r="W8" s="486">
        <v>2048.4604501830145</v>
      </c>
      <c r="X8" s="486">
        <v>2063.8420538442051</v>
      </c>
      <c r="Y8" s="601">
        <f t="shared" si="0"/>
        <v>0.16478523205847395</v>
      </c>
    </row>
    <row r="9" spans="1:25">
      <c r="A9" s="481" t="s">
        <v>373</v>
      </c>
      <c r="B9" s="487">
        <v>2.0586787231303898</v>
      </c>
      <c r="C9" s="487">
        <v>2.3086046046531199</v>
      </c>
      <c r="D9" s="487">
        <v>1.3183480819845397</v>
      </c>
      <c r="E9" s="487">
        <v>1.7283218315049198</v>
      </c>
      <c r="F9" s="487">
        <v>1.4208603381963232</v>
      </c>
      <c r="G9" s="487">
        <v>2.2498504778295527</v>
      </c>
      <c r="H9" s="487">
        <v>2.8047325681467661</v>
      </c>
      <c r="I9" s="487">
        <v>2.787651533963925</v>
      </c>
      <c r="J9" s="487">
        <v>2.8162890014235393</v>
      </c>
      <c r="K9" s="487">
        <v>2.6782511263101356</v>
      </c>
      <c r="L9" s="487">
        <v>0.70406013576086912</v>
      </c>
      <c r="M9" s="487">
        <v>1.9735015685932236</v>
      </c>
      <c r="N9" s="487">
        <v>2.738126516685826</v>
      </c>
      <c r="O9" s="487">
        <v>2.0605923280417211</v>
      </c>
      <c r="P9" s="487">
        <v>2.4312010898837229</v>
      </c>
      <c r="Q9" s="487">
        <v>3.3836104087085932</v>
      </c>
      <c r="R9" s="487">
        <v>4.8260221397532304</v>
      </c>
      <c r="S9" s="487">
        <v>6.0695186671351191</v>
      </c>
      <c r="T9" s="487">
        <v>7.5342522276929316</v>
      </c>
      <c r="U9" s="487">
        <v>8.9032808706320701</v>
      </c>
      <c r="V9" s="487">
        <v>9.8465075527766626</v>
      </c>
      <c r="W9" s="487">
        <v>10.273141559092142</v>
      </c>
      <c r="X9" s="487">
        <v>10.786531528399486</v>
      </c>
      <c r="Y9" s="601">
        <f t="shared" si="0"/>
        <v>0.18170730174218619</v>
      </c>
    </row>
    <row r="10" spans="1:25">
      <c r="A10" s="485" t="s">
        <v>454</v>
      </c>
      <c r="B10" s="489">
        <v>0.4</v>
      </c>
      <c r="C10" s="489">
        <v>0.48</v>
      </c>
      <c r="D10" s="489">
        <v>0.52</v>
      </c>
      <c r="E10" s="489">
        <v>0.52</v>
      </c>
      <c r="F10" s="489">
        <v>0.52</v>
      </c>
      <c r="G10" s="489">
        <v>0.52</v>
      </c>
      <c r="H10" s="489">
        <v>0.56000000000000005</v>
      </c>
      <c r="I10" s="489">
        <v>0.6</v>
      </c>
      <c r="J10" s="489">
        <v>0.6002541938457342</v>
      </c>
      <c r="K10" s="489">
        <v>0.6</v>
      </c>
      <c r="L10" s="489">
        <v>0</v>
      </c>
      <c r="M10" s="489">
        <v>0</v>
      </c>
      <c r="N10" s="489">
        <v>0.30000000000000004</v>
      </c>
      <c r="O10" s="489">
        <v>0.44</v>
      </c>
      <c r="P10" s="489">
        <v>0.74</v>
      </c>
      <c r="Q10" s="489">
        <v>1.1000000000000001</v>
      </c>
      <c r="R10" s="489">
        <v>1.425</v>
      </c>
      <c r="S10" s="489">
        <v>1.8149999999999999</v>
      </c>
      <c r="T10" s="489">
        <v>2.2800000000000002</v>
      </c>
      <c r="U10" s="489">
        <v>2.6219999999999999</v>
      </c>
      <c r="V10" s="489">
        <v>2.8842000000000003</v>
      </c>
      <c r="W10" s="489">
        <v>3.1726200000000007</v>
      </c>
      <c r="X10" s="489">
        <v>3.489882000000001</v>
      </c>
    </row>
    <row r="11" spans="1:25">
      <c r="A11" s="485" t="s">
        <v>374</v>
      </c>
      <c r="B11" s="490"/>
      <c r="C11" s="490">
        <v>2.7682334056311704</v>
      </c>
      <c r="D11" s="490">
        <v>1.7777443889499098</v>
      </c>
      <c r="E11" s="490">
        <v>3.5272307863265544</v>
      </c>
      <c r="F11" s="490">
        <v>2.7534014725779263</v>
      </c>
      <c r="G11" s="490">
        <v>3.1921945604910906</v>
      </c>
      <c r="H11" s="490">
        <v>3.2721737944903162</v>
      </c>
      <c r="I11" s="490">
        <v>3.0230805697902792</v>
      </c>
      <c r="J11" s="490">
        <v>3.6707194697906722</v>
      </c>
      <c r="K11" s="490">
        <v>3.7070006302668097</v>
      </c>
      <c r="L11" s="490">
        <v>1.7450428481850462</v>
      </c>
      <c r="M11" s="490">
        <v>3.7025414425545753</v>
      </c>
      <c r="N11" s="490">
        <v>4.0847884394329208</v>
      </c>
      <c r="O11" s="490">
        <v>1.1297904010206696</v>
      </c>
      <c r="P11" s="490">
        <v>3.1571731819807076</v>
      </c>
      <c r="Q11" s="490">
        <v>3.8680843241692195</v>
      </c>
      <c r="R11" s="490">
        <v>5.178287091789807</v>
      </c>
      <c r="S11" s="490">
        <v>7.537710899794746</v>
      </c>
      <c r="T11" s="490">
        <v>9.4737783155766948</v>
      </c>
      <c r="U11" s="490">
        <v>11.093142838527122</v>
      </c>
      <c r="V11" s="490">
        <v>12.598999555347223</v>
      </c>
      <c r="W11" s="490">
        <v>13.469546753535694</v>
      </c>
      <c r="X11" s="490">
        <v>14.763579745261472</v>
      </c>
    </row>
    <row r="12" spans="1:25">
      <c r="A12" s="485" t="s">
        <v>455</v>
      </c>
      <c r="B12" s="491"/>
      <c r="C12" s="491">
        <f>C26/C33</f>
        <v>18.743627151411967</v>
      </c>
      <c r="D12" s="491">
        <f t="shared" ref="D12:N12" si="1">D26/D33</f>
        <v>19.462955671149981</v>
      </c>
      <c r="E12" s="491">
        <f t="shared" si="1"/>
        <v>20.613596042502479</v>
      </c>
      <c r="F12" s="491">
        <f t="shared" si="1"/>
        <v>21.601679326647787</v>
      </c>
      <c r="G12" s="491">
        <f t="shared" si="1"/>
        <v>20.481370960866229</v>
      </c>
      <c r="H12" s="491">
        <f t="shared" si="1"/>
        <v>23.664821868316334</v>
      </c>
      <c r="I12" s="491">
        <f>I26/I33</f>
        <v>27.503329796600219</v>
      </c>
      <c r="J12" s="491">
        <f>J26/J33</f>
        <v>31.538860936734267</v>
      </c>
      <c r="K12" s="491">
        <f>K26/K33</f>
        <v>31.774070356450899</v>
      </c>
      <c r="L12" s="491">
        <f t="shared" si="1"/>
        <v>34.834608328107947</v>
      </c>
      <c r="M12" s="491">
        <f t="shared" si="1"/>
        <v>36.481858978186672</v>
      </c>
      <c r="N12" s="491">
        <f t="shared" si="1"/>
        <v>38.351957779115814</v>
      </c>
      <c r="O12" s="491">
        <f t="shared" ref="O12:V12" si="2">O26/O33</f>
        <v>37.995097848678085</v>
      </c>
      <c r="P12" s="491">
        <f t="shared" si="2"/>
        <v>39.896254203610923</v>
      </c>
      <c r="Q12" s="491">
        <f t="shared" si="2"/>
        <v>37.899008132924436</v>
      </c>
      <c r="R12" s="491">
        <f t="shared" si="2"/>
        <v>39.43081186647273</v>
      </c>
      <c r="S12" s="491">
        <f t="shared" si="2"/>
        <v>42.167070397011777</v>
      </c>
      <c r="T12" s="491">
        <f t="shared" si="2"/>
        <v>49.617991228314189</v>
      </c>
      <c r="U12" s="491">
        <f t="shared" si="2"/>
        <v>55.338882356833302</v>
      </c>
      <c r="V12" s="491">
        <f t="shared" si="2"/>
        <v>58.866212777771601</v>
      </c>
      <c r="W12" s="491">
        <f t="shared" ref="W12:X12" si="3">W26/W33</f>
        <v>63.348247615868857</v>
      </c>
      <c r="X12" s="491">
        <f t="shared" si="3"/>
        <v>68.106601344909279</v>
      </c>
    </row>
    <row r="13" spans="1:25">
      <c r="A13" s="492" t="s">
        <v>456</v>
      </c>
      <c r="B13" s="493"/>
      <c r="C13" s="494">
        <f t="shared" ref="C13:K13" si="4">C9/C10</f>
        <v>4.8095929263606667</v>
      </c>
      <c r="D13" s="494">
        <f t="shared" si="4"/>
        <v>2.5352847730471915</v>
      </c>
      <c r="E13" s="494">
        <f t="shared" si="4"/>
        <v>3.3236958298171535</v>
      </c>
      <c r="F13" s="494">
        <f t="shared" si="4"/>
        <v>2.7324237273006213</v>
      </c>
      <c r="G13" s="494">
        <f t="shared" si="4"/>
        <v>4.3266355342876013</v>
      </c>
      <c r="H13" s="494">
        <f t="shared" si="4"/>
        <v>5.0084510145477958</v>
      </c>
      <c r="I13" s="494">
        <f t="shared" si="4"/>
        <v>4.6460858899398749</v>
      </c>
      <c r="J13" s="494">
        <f t="shared" si="4"/>
        <v>4.6918272796729976</v>
      </c>
      <c r="K13" s="494">
        <f t="shared" si="4"/>
        <v>4.4637518771835598</v>
      </c>
      <c r="L13" s="494" t="str">
        <f t="shared" ref="L13:R13" si="5">IF(ISERROR(L9/L10),"NM",L9/L10)</f>
        <v>NM</v>
      </c>
      <c r="M13" s="494" t="str">
        <f t="shared" si="5"/>
        <v>NM</v>
      </c>
      <c r="N13" s="494">
        <f t="shared" si="5"/>
        <v>9.1270883889527514</v>
      </c>
      <c r="O13" s="494">
        <f t="shared" si="5"/>
        <v>4.6831643819130022</v>
      </c>
      <c r="P13" s="494">
        <f>IF(ISERROR(P9/P10),"NM",P9/P10)</f>
        <v>3.2854068782212473</v>
      </c>
      <c r="Q13" s="494">
        <f t="shared" si="5"/>
        <v>3.0760094624623573</v>
      </c>
      <c r="R13" s="494">
        <f t="shared" si="5"/>
        <v>3.3866822033356003</v>
      </c>
      <c r="S13" s="494">
        <f t="shared" ref="S13:X13" si="6">IF(ISERROR(S9/S10),"NM",S9/S10)</f>
        <v>3.3440874199091568</v>
      </c>
      <c r="T13" s="494">
        <f t="shared" si="6"/>
        <v>3.3044965910933906</v>
      </c>
      <c r="U13" s="494">
        <f t="shared" si="6"/>
        <v>3.395606739371499</v>
      </c>
      <c r="V13" s="494">
        <f t="shared" si="6"/>
        <v>3.4139475600778937</v>
      </c>
      <c r="W13" s="494">
        <f t="shared" si="6"/>
        <v>3.2380624087007397</v>
      </c>
      <c r="X13" s="494">
        <f t="shared" si="6"/>
        <v>3.090801215742963</v>
      </c>
    </row>
    <row r="14" spans="1:25" ht="8.25" customHeight="1">
      <c r="A14" s="485"/>
      <c r="B14" s="495"/>
      <c r="C14" s="495"/>
      <c r="D14" s="495"/>
      <c r="E14" s="495"/>
      <c r="F14" s="495"/>
      <c r="G14" s="495"/>
      <c r="H14" s="495"/>
      <c r="I14" s="496"/>
      <c r="J14" s="496"/>
      <c r="K14" s="484"/>
      <c r="L14" s="489"/>
      <c r="M14" s="489"/>
      <c r="N14" s="489"/>
      <c r="O14" s="489"/>
      <c r="P14" s="489"/>
      <c r="Q14" s="489"/>
      <c r="R14" s="489"/>
      <c r="S14" s="489"/>
      <c r="T14" s="489"/>
      <c r="U14" s="489"/>
      <c r="V14" s="489"/>
      <c r="W14" s="489"/>
      <c r="X14" s="489"/>
    </row>
    <row r="15" spans="1:25">
      <c r="A15" s="552" t="s">
        <v>457</v>
      </c>
      <c r="B15" s="553"/>
      <c r="C15" s="553"/>
      <c r="D15" s="553"/>
      <c r="E15" s="558"/>
      <c r="F15" s="553"/>
      <c r="G15" s="553"/>
      <c r="H15" s="553"/>
      <c r="I15" s="554"/>
      <c r="J15" s="554"/>
      <c r="K15" s="554"/>
      <c r="L15" s="554"/>
      <c r="M15" s="554"/>
      <c r="N15" s="554"/>
      <c r="O15" s="554"/>
      <c r="P15" s="559"/>
      <c r="Q15" s="554"/>
      <c r="R15" s="554"/>
      <c r="S15" s="554"/>
      <c r="T15" s="554"/>
      <c r="U15" s="554"/>
      <c r="V15" s="554"/>
      <c r="W15" s="554"/>
      <c r="X15" s="554"/>
    </row>
    <row r="16" spans="1:25">
      <c r="A16" s="481" t="s">
        <v>458</v>
      </c>
      <c r="B16" s="497">
        <f t="shared" ref="B16:N16" si="7">B32/B9</f>
        <v>20.745150527936477</v>
      </c>
      <c r="C16" s="497">
        <f t="shared" si="7"/>
        <v>11.56109623371834</v>
      </c>
      <c r="D16" s="497">
        <f t="shared" si="7"/>
        <v>15.200841320930452</v>
      </c>
      <c r="E16" s="497">
        <f t="shared" si="7"/>
        <v>11.288406848978962</v>
      </c>
      <c r="F16" s="497">
        <f t="shared" si="7"/>
        <v>16.61880437170549</v>
      </c>
      <c r="G16" s="497">
        <f t="shared" si="7"/>
        <v>19.391555318862057</v>
      </c>
      <c r="H16" s="497">
        <f>H32/H9</f>
        <v>16.115618477616927</v>
      </c>
      <c r="I16" s="497">
        <f t="shared" si="7"/>
        <v>14.779465617574989</v>
      </c>
      <c r="J16" s="497">
        <f t="shared" si="7"/>
        <v>14.025549217439716</v>
      </c>
      <c r="K16" s="497">
        <f t="shared" si="7"/>
        <v>7.8782754136538982</v>
      </c>
      <c r="L16" s="497">
        <f t="shared" si="7"/>
        <v>22.583298204800457</v>
      </c>
      <c r="M16" s="497">
        <f t="shared" si="7"/>
        <v>16.059228116036607</v>
      </c>
      <c r="N16" s="497">
        <f t="shared" si="7"/>
        <v>12.563334743800326</v>
      </c>
      <c r="O16" s="497">
        <f t="shared" ref="O16:V16" si="8">O32/O9</f>
        <v>13.903769129931419</v>
      </c>
      <c r="P16" s="497">
        <f t="shared" si="8"/>
        <v>15.350437343619694</v>
      </c>
      <c r="Q16" s="497">
        <f t="shared" si="8"/>
        <v>17.555212576222956</v>
      </c>
      <c r="R16" s="497">
        <f t="shared" si="8"/>
        <v>17.55068616496877</v>
      </c>
      <c r="S16" s="497">
        <f t="shared" si="8"/>
        <v>12.505110234025469</v>
      </c>
      <c r="T16" s="497">
        <f t="shared" si="8"/>
        <v>15.183988608651944</v>
      </c>
      <c r="U16" s="497">
        <f t="shared" si="8"/>
        <v>12.849195893319989</v>
      </c>
      <c r="V16" s="497">
        <f t="shared" si="8"/>
        <v>11.618332630815869</v>
      </c>
      <c r="W16" s="497">
        <f t="shared" ref="W16:X16" si="9">W32/W9</f>
        <v>11.135834091447073</v>
      </c>
      <c r="X16" s="497">
        <f t="shared" si="9"/>
        <v>10.60581890469612</v>
      </c>
    </row>
    <row r="17" spans="1:24">
      <c r="A17" s="471" t="s">
        <v>46</v>
      </c>
      <c r="B17" s="498"/>
      <c r="C17" s="498">
        <f t="shared" ref="C17:N17" si="10">C101</f>
        <v>9.1722391485434943E-2</v>
      </c>
      <c r="D17" s="498">
        <f t="shared" si="10"/>
        <v>8.5966493639045669E-2</v>
      </c>
      <c r="E17" s="498">
        <f t="shared" si="10"/>
        <v>0.1391499070777899</v>
      </c>
      <c r="F17" s="498">
        <f t="shared" si="10"/>
        <v>0.16262519432289851</v>
      </c>
      <c r="G17" s="498">
        <f t="shared" si="10"/>
        <v>9.3473016981052981E-2</v>
      </c>
      <c r="H17" s="498">
        <f t="shared" si="10"/>
        <v>7.1764989679399704E-2</v>
      </c>
      <c r="I17" s="498">
        <f t="shared" si="10"/>
        <v>6.9105909339671256E-2</v>
      </c>
      <c r="J17" s="498">
        <f t="shared" si="10"/>
        <v>0.11424727839682343</v>
      </c>
      <c r="K17" s="498">
        <f t="shared" si="10"/>
        <v>0.1702505877567157</v>
      </c>
      <c r="L17" s="498">
        <f t="shared" si="10"/>
        <v>0.14312525113633012</v>
      </c>
      <c r="M17" s="498">
        <f>M101</f>
        <v>0.1898193955019053</v>
      </c>
      <c r="N17" s="498">
        <f t="shared" si="10"/>
        <v>0.13808921878507299</v>
      </c>
      <c r="O17" s="498">
        <f t="shared" ref="O17:V17" si="11">O101</f>
        <v>0.14045981618520684</v>
      </c>
      <c r="P17" s="498">
        <f t="shared" si="11"/>
        <v>9.6811745287875228E-2</v>
      </c>
      <c r="Q17" s="498">
        <f t="shared" si="11"/>
        <v>0.10285494544205824</v>
      </c>
      <c r="R17" s="498">
        <f t="shared" si="11"/>
        <v>8.2130086282371367E-2</v>
      </c>
      <c r="S17" s="498">
        <f t="shared" si="11"/>
        <v>0.12160121375888844</v>
      </c>
      <c r="T17" s="498">
        <f t="shared" si="11"/>
        <v>0.10023739357900249</v>
      </c>
      <c r="U17" s="498">
        <f t="shared" si="11"/>
        <v>0.1010483541146226</v>
      </c>
      <c r="V17" s="498">
        <f t="shared" si="11"/>
        <v>0.11683929374298979</v>
      </c>
      <c r="W17" s="498">
        <f t="shared" ref="W17:X17" si="12">W101</f>
        <v>0.12235012369217299</v>
      </c>
      <c r="X17" s="498">
        <f t="shared" si="12"/>
        <v>0.13844433527180386</v>
      </c>
    </row>
    <row r="18" spans="1:24">
      <c r="A18" s="499" t="s">
        <v>47</v>
      </c>
      <c r="B18" s="500"/>
      <c r="C18" s="500">
        <f t="shared" ref="C18:R18" si="13">C105</f>
        <v>-0.16724282699990001</v>
      </c>
      <c r="D18" s="500">
        <f t="shared" si="13"/>
        <v>-0.29738747485858491</v>
      </c>
      <c r="E18" s="500">
        <f t="shared" si="13"/>
        <v>4.5618816291057719E-2</v>
      </c>
      <c r="F18" s="500">
        <f t="shared" si="13"/>
        <v>-3.6852766148310796E-2</v>
      </c>
      <c r="G18" s="500">
        <f t="shared" si="13"/>
        <v>4.3575025615837898E-2</v>
      </c>
      <c r="H18" s="500">
        <f t="shared" si="13"/>
        <v>6.4233888563758376E-2</v>
      </c>
      <c r="I18" s="500">
        <f t="shared" si="13"/>
        <v>-2.7393974169501484E-2</v>
      </c>
      <c r="J18" s="500">
        <f t="shared" si="13"/>
        <v>-5.9668636892806475E-3</v>
      </c>
      <c r="K18" s="500">
        <f t="shared" si="13"/>
        <v>-0.2553557467289907</v>
      </c>
      <c r="L18" s="500">
        <f t="shared" si="13"/>
        <v>-0.47984592151678401</v>
      </c>
      <c r="M18" s="500">
        <f t="shared" si="13"/>
        <v>-7.5967816778241881E-2</v>
      </c>
      <c r="N18" s="500">
        <f t="shared" si="13"/>
        <v>3.740835706353933E-2</v>
      </c>
      <c r="O18" s="500">
        <f t="shared" si="13"/>
        <v>1.4402695136168018E-2</v>
      </c>
      <c r="P18" s="500">
        <f>P105</f>
        <v>7.940604707566877E-2</v>
      </c>
      <c r="Q18" s="500">
        <f t="shared" si="13"/>
        <v>-7.4491198215665662E-3</v>
      </c>
      <c r="R18" s="500">
        <f t="shared" si="13"/>
        <v>1.4544178729978693E-2</v>
      </c>
      <c r="S18" s="500">
        <f t="shared" ref="S18:X18" si="14">S105</f>
        <v>2.8316428015901477E-3</v>
      </c>
      <c r="T18" s="500">
        <f t="shared" si="14"/>
        <v>9.8969404078725579E-2</v>
      </c>
      <c r="U18" s="500">
        <f t="shared" si="14"/>
        <v>-1.4073561017397622E-2</v>
      </c>
      <c r="V18" s="500">
        <f t="shared" si="14"/>
        <v>5.1868924928411914E-2</v>
      </c>
      <c r="W18" s="500">
        <f t="shared" si="14"/>
        <v>3.7173099088275312E-2</v>
      </c>
      <c r="X18" s="500">
        <f t="shared" si="14"/>
        <v>4.9677214024258107E-2</v>
      </c>
    </row>
    <row r="19" spans="1:24">
      <c r="A19" s="485" t="s">
        <v>459</v>
      </c>
      <c r="B19" s="490"/>
      <c r="C19" s="490">
        <f t="shared" ref="C19:N19" si="15">C32/C11</f>
        <v>9.641528039401198</v>
      </c>
      <c r="D19" s="490">
        <f t="shared" si="15"/>
        <v>11.272711715229974</v>
      </c>
      <c r="E19" s="490">
        <f t="shared" si="15"/>
        <v>5.5312513362128914</v>
      </c>
      <c r="F19" s="490">
        <f t="shared" si="15"/>
        <v>8.5759378845293721</v>
      </c>
      <c r="G19" s="490">
        <f t="shared" si="15"/>
        <v>13.667118082328983</v>
      </c>
      <c r="H19" s="490">
        <f t="shared" si="15"/>
        <v>13.813447218515021</v>
      </c>
      <c r="I19" s="490">
        <f t="shared" si="15"/>
        <v>13.628482287806897</v>
      </c>
      <c r="J19" s="490">
        <f t="shared" si="15"/>
        <v>10.760833216778764</v>
      </c>
      <c r="K19" s="490">
        <f t="shared" si="15"/>
        <v>5.6919332108344793</v>
      </c>
      <c r="L19" s="490">
        <f t="shared" si="15"/>
        <v>9.1115241190421177</v>
      </c>
      <c r="M19" s="490">
        <f t="shared" si="15"/>
        <v>8.5597723534265313</v>
      </c>
      <c r="N19" s="490">
        <f t="shared" si="15"/>
        <v>8.4214887772194267</v>
      </c>
      <c r="O19" s="490">
        <f t="shared" ref="O19:V19" si="16">O32/O11</f>
        <v>25.358685977608907</v>
      </c>
      <c r="P19" s="490">
        <f t="shared" si="16"/>
        <v>11.820700940005656</v>
      </c>
      <c r="Q19" s="490">
        <f t="shared" si="16"/>
        <v>15.356438748981468</v>
      </c>
      <c r="R19" s="490">
        <f t="shared" si="16"/>
        <v>16.356760159994248</v>
      </c>
      <c r="S19" s="490">
        <f t="shared" si="16"/>
        <v>10.069369999593217</v>
      </c>
      <c r="T19" s="490">
        <f t="shared" si="16"/>
        <v>12.075435606499745</v>
      </c>
      <c r="U19" s="490">
        <f t="shared" si="16"/>
        <v>10.312677089371125</v>
      </c>
      <c r="V19" s="490">
        <f t="shared" si="16"/>
        <v>9.0800860415497642</v>
      </c>
      <c r="W19" s="490">
        <f t="shared" ref="W19:X19" si="17">W32/W11</f>
        <v>8.4932330755651098</v>
      </c>
      <c r="X19" s="490">
        <f t="shared" si="17"/>
        <v>7.7487981894579399</v>
      </c>
    </row>
    <row r="20" spans="1:24">
      <c r="A20" s="485" t="s">
        <v>460</v>
      </c>
      <c r="B20" s="490">
        <f t="shared" ref="B20:I20" si="18">B36/B7</f>
        <v>15.104043702024674</v>
      </c>
      <c r="C20" s="490">
        <f t="shared" si="18"/>
        <v>9.873219436136317</v>
      </c>
      <c r="D20" s="490">
        <f t="shared" si="18"/>
        <v>10.496552467761394</v>
      </c>
      <c r="E20" s="490">
        <f t="shared" si="18"/>
        <v>9.7566479932972534</v>
      </c>
      <c r="F20" s="490">
        <f>F36/F7</f>
        <v>11.26563150594005</v>
      </c>
      <c r="G20" s="490">
        <f>G36/G7</f>
        <v>13.538952012023788</v>
      </c>
      <c r="H20" s="490">
        <f t="shared" si="18"/>
        <v>11.915357002090081</v>
      </c>
      <c r="I20" s="490">
        <f t="shared" si="18"/>
        <v>10.776454173961071</v>
      </c>
      <c r="J20" s="490">
        <f t="shared" ref="J20:V20" si="19">J36/J7</f>
        <v>10.005621207743422</v>
      </c>
      <c r="K20" s="490">
        <f t="shared" si="19"/>
        <v>7.8074641180877098</v>
      </c>
      <c r="L20" s="490">
        <f t="shared" si="19"/>
        <v>10.215743452648518</v>
      </c>
      <c r="M20" s="490">
        <f t="shared" si="19"/>
        <v>10.600874711248444</v>
      </c>
      <c r="N20" s="490">
        <f t="shared" si="19"/>
        <v>9.8059000498147544</v>
      </c>
      <c r="O20" s="490">
        <f t="shared" si="19"/>
        <v>9.5649094629725084</v>
      </c>
      <c r="P20" s="490">
        <f t="shared" si="19"/>
        <v>10.100045733546414</v>
      </c>
      <c r="Q20" s="490">
        <f t="shared" si="19"/>
        <v>12.197887505765493</v>
      </c>
      <c r="R20" s="490">
        <f t="shared" si="19"/>
        <v>12.847023887065124</v>
      </c>
      <c r="S20" s="490">
        <f t="shared" si="19"/>
        <v>10.681920172551415</v>
      </c>
      <c r="T20" s="490">
        <f t="shared" si="19"/>
        <v>12.28291815680506</v>
      </c>
      <c r="U20" s="490">
        <f t="shared" si="19"/>
        <v>10.600435604249482</v>
      </c>
      <c r="V20" s="490">
        <f t="shared" si="19"/>
        <v>9.6090387896949494</v>
      </c>
      <c r="W20" s="490">
        <f t="shared" ref="W20:X20" si="20">W36/W7</f>
        <v>9.0666010999955802</v>
      </c>
      <c r="X20" s="490">
        <f t="shared" si="20"/>
        <v>8.4420327633683332</v>
      </c>
    </row>
    <row r="21" spans="1:24">
      <c r="A21" s="485" t="s">
        <v>461</v>
      </c>
      <c r="B21" s="490">
        <f t="shared" ref="B21:V21" si="21">B36/B29</f>
        <v>1.8487452244938185</v>
      </c>
      <c r="C21" s="490">
        <f t="shared" si="21"/>
        <v>1.2050781291663637</v>
      </c>
      <c r="D21" s="490">
        <f t="shared" si="21"/>
        <v>0.94600585426363371</v>
      </c>
      <c r="E21" s="490">
        <f t="shared" si="21"/>
        <v>0.99116966285336872</v>
      </c>
      <c r="F21" s="490">
        <f t="shared" si="21"/>
        <v>1.0551893624318955</v>
      </c>
      <c r="G21" s="490">
        <f t="shared" si="21"/>
        <v>1.6136566246555699</v>
      </c>
      <c r="H21" s="490">
        <f t="shared" si="21"/>
        <v>1.6316182591797186</v>
      </c>
      <c r="I21" s="490">
        <f t="shared" si="21"/>
        <v>1.2916956548527208</v>
      </c>
      <c r="J21" s="490">
        <f t="shared" si="21"/>
        <v>1.2121541472874389</v>
      </c>
      <c r="K21" s="490">
        <f t="shared" si="21"/>
        <v>0.83557233680386378</v>
      </c>
      <c r="L21" s="490">
        <f t="shared" si="21"/>
        <v>0.72731919397648437</v>
      </c>
      <c r="M21" s="490">
        <f t="shared" si="21"/>
        <v>0.96350258991419013</v>
      </c>
      <c r="N21" s="490">
        <f t="shared" si="21"/>
        <v>1.0080791179439159</v>
      </c>
      <c r="O21" s="490">
        <f t="shared" si="21"/>
        <v>0.89850149611965435</v>
      </c>
      <c r="P21" s="490">
        <f t="shared" si="21"/>
        <v>1.0052801294846017</v>
      </c>
      <c r="Q21" s="490">
        <f t="shared" si="21"/>
        <v>1.3034137029695647</v>
      </c>
      <c r="R21" s="490">
        <f t="shared" si="21"/>
        <v>1.5994241534525946</v>
      </c>
      <c r="S21" s="490">
        <f t="shared" si="21"/>
        <v>1.3937577514357578</v>
      </c>
      <c r="T21" s="490">
        <f t="shared" si="21"/>
        <v>1.8504380597271994</v>
      </c>
      <c r="U21" s="490">
        <f t="shared" si="21"/>
        <v>1.6316156301721072</v>
      </c>
      <c r="V21" s="490">
        <f t="shared" si="21"/>
        <v>1.5927640024108909</v>
      </c>
      <c r="W21" s="490">
        <f t="shared" ref="W21:X21" si="22">W36/W29</f>
        <v>1.4884624137678779</v>
      </c>
      <c r="X21" s="490">
        <f t="shared" si="22"/>
        <v>1.4167385747910775</v>
      </c>
    </row>
    <row r="22" spans="1:24">
      <c r="A22" s="485" t="s">
        <v>462</v>
      </c>
      <c r="B22" s="490">
        <f t="shared" ref="B22:N22" si="23">B10/B32*100</f>
        <v>0.93660144798583866</v>
      </c>
      <c r="C22" s="490">
        <f t="shared" si="23"/>
        <v>1.7984263769201945</v>
      </c>
      <c r="D22" s="490">
        <f t="shared" si="23"/>
        <v>2.5948103792415171</v>
      </c>
      <c r="E22" s="490">
        <f t="shared" si="23"/>
        <v>2.6652998462327009</v>
      </c>
      <c r="F22" s="490">
        <f t="shared" si="23"/>
        <v>2.202176767035108</v>
      </c>
      <c r="G22" s="490">
        <f t="shared" si="23"/>
        <v>1.1918923812863726</v>
      </c>
      <c r="H22" s="490">
        <f t="shared" si="23"/>
        <v>1.2389380530973451</v>
      </c>
      <c r="I22" s="490">
        <f>I10/I32*100</f>
        <v>1.4563106796116503</v>
      </c>
      <c r="J22" s="490">
        <f t="shared" si="23"/>
        <v>1.5196308704955297</v>
      </c>
      <c r="K22" s="490">
        <f t="shared" si="23"/>
        <v>2.8436018957345972</v>
      </c>
      <c r="L22" s="490">
        <f t="shared" si="23"/>
        <v>0</v>
      </c>
      <c r="M22" s="490">
        <f t="shared" si="23"/>
        <v>0</v>
      </c>
      <c r="N22" s="490">
        <f t="shared" si="23"/>
        <v>0.87209302325581417</v>
      </c>
      <c r="O22" s="490">
        <f t="shared" ref="O22:T22" si="24">O10/O32*100</f>
        <v>1.5357766143106457</v>
      </c>
      <c r="P22" s="490">
        <f t="shared" si="24"/>
        <v>1.982851018220793</v>
      </c>
      <c r="Q22" s="490">
        <f t="shared" si="24"/>
        <v>1.8518518518518521</v>
      </c>
      <c r="R22" s="490">
        <f t="shared" si="24"/>
        <v>1.6824085005903187</v>
      </c>
      <c r="S22" s="490">
        <f t="shared" si="24"/>
        <v>2.3913043478260865</v>
      </c>
      <c r="T22" s="490">
        <f t="shared" si="24"/>
        <v>1.9930069930069934</v>
      </c>
      <c r="U22" s="490">
        <f>U10/U32*100</f>
        <v>2.2919580419580416</v>
      </c>
      <c r="V22" s="490">
        <f>V10/V32*100</f>
        <v>2.5211538461538461</v>
      </c>
      <c r="W22" s="490">
        <f>W10/W32*100</f>
        <v>2.7732692307692313</v>
      </c>
      <c r="X22" s="490">
        <f>X10/X32*100</f>
        <v>3.0505961538461546</v>
      </c>
    </row>
    <row r="23" spans="1:24">
      <c r="A23" s="492" t="s">
        <v>463</v>
      </c>
      <c r="B23" s="502" t="e">
        <f t="shared" ref="B23:N23" si="25">B32/B12</f>
        <v>#DIV/0!</v>
      </c>
      <c r="C23" s="502">
        <f t="shared" si="25"/>
        <v>1.4239506464995719</v>
      </c>
      <c r="D23" s="502">
        <f t="shared" si="25"/>
        <v>1.0296483400876966</v>
      </c>
      <c r="E23" s="502">
        <f t="shared" si="25"/>
        <v>0.9464627112985522</v>
      </c>
      <c r="F23" s="502">
        <f t="shared" si="25"/>
        <v>1.0931094588961447</v>
      </c>
      <c r="G23" s="502">
        <f t="shared" si="25"/>
        <v>2.1301357259414053</v>
      </c>
      <c r="H23" s="502">
        <f t="shared" si="25"/>
        <v>1.910008038577973</v>
      </c>
      <c r="I23" s="502">
        <f>I32/I12</f>
        <v>1.4980004350270664</v>
      </c>
      <c r="J23" s="502">
        <f>J32/J12</f>
        <v>1.2524231638940757</v>
      </c>
      <c r="K23" s="502">
        <f>K32/K12</f>
        <v>0.66406348835053153</v>
      </c>
      <c r="L23" s="502">
        <f t="shared" si="25"/>
        <v>0.45644262310164502</v>
      </c>
      <c r="M23" s="502">
        <f t="shared" si="25"/>
        <v>0.86873072713604182</v>
      </c>
      <c r="N23" s="502">
        <f t="shared" si="25"/>
        <v>0.89695551393030015</v>
      </c>
      <c r="O23" s="502">
        <f t="shared" ref="O23:V23" si="26">O32/O12</f>
        <v>0.75404464318274633</v>
      </c>
      <c r="P23" s="502">
        <f t="shared" si="26"/>
        <v>0.93542616330688633</v>
      </c>
      <c r="Q23" s="502">
        <f t="shared" si="26"/>
        <v>1.5673233397471624</v>
      </c>
      <c r="R23" s="502">
        <f t="shared" si="26"/>
        <v>2.1480663468666443</v>
      </c>
      <c r="S23" s="502">
        <f t="shared" si="26"/>
        <v>1.7999827658261685</v>
      </c>
      <c r="T23" s="502">
        <f t="shared" si="26"/>
        <v>2.30561530541604</v>
      </c>
      <c r="U23" s="502">
        <f t="shared" si="26"/>
        <v>2.0672625670741214</v>
      </c>
      <c r="V23" s="502">
        <f t="shared" si="26"/>
        <v>1.9433898428607326</v>
      </c>
      <c r="W23" s="502">
        <f t="shared" ref="W23:X23" si="27">W32/W12</f>
        <v>1.805890522713411</v>
      </c>
      <c r="X23" s="502">
        <f t="shared" si="27"/>
        <v>1.6797197003070099</v>
      </c>
    </row>
    <row r="24" spans="1:24">
      <c r="A24" s="485"/>
      <c r="B24" s="470"/>
      <c r="C24" s="470"/>
      <c r="D24" s="470"/>
      <c r="E24" s="470"/>
      <c r="F24" s="470"/>
      <c r="G24" s="470"/>
      <c r="H24" s="471"/>
      <c r="I24" s="471"/>
      <c r="J24" s="471"/>
      <c r="K24" s="471"/>
      <c r="L24" s="471"/>
      <c r="M24" s="471"/>
      <c r="N24" s="471"/>
      <c r="O24" s="471"/>
      <c r="P24" s="501"/>
      <c r="Q24" s="471"/>
      <c r="R24" s="471"/>
      <c r="S24" s="471"/>
      <c r="T24" s="471"/>
      <c r="U24" s="471"/>
      <c r="V24" s="471"/>
      <c r="W24" s="471"/>
      <c r="X24" s="471"/>
    </row>
    <row r="25" spans="1:24">
      <c r="A25" s="560" t="s">
        <v>464</v>
      </c>
      <c r="B25" s="561"/>
      <c r="C25" s="561"/>
      <c r="D25" s="562"/>
      <c r="E25" s="562"/>
      <c r="F25" s="553"/>
      <c r="G25" s="553"/>
      <c r="H25" s="554"/>
      <c r="I25" s="554"/>
      <c r="J25" s="554"/>
      <c r="K25" s="554"/>
      <c r="L25" s="554"/>
      <c r="M25" s="554"/>
      <c r="N25" s="554"/>
      <c r="O25" s="554"/>
      <c r="P25" s="554"/>
      <c r="Q25" s="554"/>
      <c r="R25" s="554"/>
      <c r="S25" s="554"/>
      <c r="T25" s="554"/>
      <c r="U25" s="554"/>
      <c r="V25" s="554"/>
      <c r="W25" s="554"/>
      <c r="X25" s="554"/>
    </row>
    <row r="26" spans="1:24">
      <c r="A26" s="503" t="s">
        <v>506</v>
      </c>
      <c r="B26" s="484">
        <v>3261.1559999999999</v>
      </c>
      <c r="C26" s="484">
        <v>3615.915</v>
      </c>
      <c r="D26" s="484">
        <v>3756.5839999999998</v>
      </c>
      <c r="E26" s="484">
        <v>4034.694</v>
      </c>
      <c r="F26" s="484">
        <v>4262.8970000000008</v>
      </c>
      <c r="G26" s="484">
        <v>4804.5200000000004</v>
      </c>
      <c r="H26" s="484">
        <v>5554.4650000000001</v>
      </c>
      <c r="I26" s="484">
        <v>6091.5749999999998</v>
      </c>
      <c r="J26" s="484">
        <v>6757.3586500000001</v>
      </c>
      <c r="K26" s="484">
        <v>6805.8469999999998</v>
      </c>
      <c r="L26" s="484">
        <v>7499.7169999999996</v>
      </c>
      <c r="M26" s="484">
        <v>7942.5019999999995</v>
      </c>
      <c r="N26" s="484">
        <v>8407.8230000000003</v>
      </c>
      <c r="O26" s="484">
        <v>8308.7489999999998</v>
      </c>
      <c r="P26" s="484">
        <v>8814.7183000000005</v>
      </c>
      <c r="Q26" s="484">
        <v>8453.1463699999986</v>
      </c>
      <c r="R26" s="484">
        <v>8701.9464399999997</v>
      </c>
      <c r="S26" s="484">
        <v>9121.4120000000003</v>
      </c>
      <c r="T26" s="484">
        <v>10702.303</v>
      </c>
      <c r="U26" s="484">
        <v>11765.33736447644</v>
      </c>
      <c r="V26" s="484">
        <v>12212.627563367963</v>
      </c>
      <c r="W26" s="484">
        <v>12631.616052701946</v>
      </c>
      <c r="X26" s="484">
        <v>13031.183159289634</v>
      </c>
    </row>
    <row r="27" spans="1:24">
      <c r="A27" s="504" t="s">
        <v>507</v>
      </c>
      <c r="B27" s="484">
        <v>2278.7069999999994</v>
      </c>
      <c r="C27" s="484">
        <v>3232.2859999999996</v>
      </c>
      <c r="D27" s="484">
        <v>4918.9339999999993</v>
      </c>
      <c r="E27" s="484">
        <v>5202.2539999999981</v>
      </c>
      <c r="F27" s="484">
        <v>5505.7089999999989</v>
      </c>
      <c r="G27" s="484">
        <v>5103.7190000000001</v>
      </c>
      <c r="H27" s="484">
        <v>4029.7429999999986</v>
      </c>
      <c r="I27" s="484">
        <v>5309.5769999999993</v>
      </c>
      <c r="J27" s="484">
        <v>5467.8419999999987</v>
      </c>
      <c r="K27" s="484">
        <v>6608.9309999999996</v>
      </c>
      <c r="L27" s="484">
        <v>8135.1510000000007</v>
      </c>
      <c r="M27" s="484">
        <v>8730.1870000000017</v>
      </c>
      <c r="N27" s="484">
        <v>8233.6670000000013</v>
      </c>
      <c r="O27" s="484">
        <v>8295.0917000000009</v>
      </c>
      <c r="P27" s="484">
        <v>7863.6637000000001</v>
      </c>
      <c r="Q27" s="484">
        <v>8352.9056310644173</v>
      </c>
      <c r="R27" s="484">
        <v>8558.4485621288313</v>
      </c>
      <c r="S27" s="484">
        <v>9383.4265621288305</v>
      </c>
      <c r="T27" s="484">
        <v>7476.8565621288317</v>
      </c>
      <c r="U27" s="484">
        <v>8249.0042602097092</v>
      </c>
      <c r="V27" s="484">
        <v>8113.4594861420719</v>
      </c>
      <c r="W27" s="484">
        <v>8594.9641475415083</v>
      </c>
      <c r="X27" s="484">
        <v>8871.8677179572751</v>
      </c>
    </row>
    <row r="28" spans="1:24">
      <c r="A28" s="504" t="s">
        <v>570</v>
      </c>
      <c r="B28" s="484"/>
      <c r="C28" s="484">
        <v>288.97399999999999</v>
      </c>
      <c r="D28" s="484">
        <v>278.56099999999998</v>
      </c>
      <c r="E28" s="484">
        <v>278.56099999999998</v>
      </c>
      <c r="F28" s="484">
        <v>278.56099999999998</v>
      </c>
      <c r="G28" s="484">
        <v>278.56099999999998</v>
      </c>
      <c r="H28" s="484">
        <v>283.13299999999998</v>
      </c>
      <c r="I28" s="484">
        <v>721.51400000000001</v>
      </c>
      <c r="J28" s="484">
        <v>797.79100000000005</v>
      </c>
      <c r="K28" s="484">
        <v>779.24599999999998</v>
      </c>
      <c r="L28" s="484">
        <v>792.37300000000005</v>
      </c>
      <c r="M28" s="484">
        <v>759.32799999999997</v>
      </c>
      <c r="N28" s="484">
        <v>746.53700000000003</v>
      </c>
      <c r="O28" s="484">
        <v>432.97500000000002</v>
      </c>
      <c r="P28" s="484">
        <v>439.23099999999999</v>
      </c>
      <c r="Q28" s="484">
        <v>420.54199999999997</v>
      </c>
      <c r="R28" s="484">
        <v>286.76400000000001</v>
      </c>
      <c r="S28" s="484">
        <v>288.38600000000002</v>
      </c>
      <c r="T28" s="484">
        <v>288.512</v>
      </c>
      <c r="U28" s="484">
        <v>288.512</v>
      </c>
      <c r="V28" s="484">
        <v>288.512</v>
      </c>
      <c r="W28" s="484">
        <v>288.512</v>
      </c>
      <c r="X28" s="484">
        <v>288.512</v>
      </c>
    </row>
    <row r="29" spans="1:24">
      <c r="A29" s="505" t="s">
        <v>404</v>
      </c>
      <c r="B29" s="506">
        <f>SUM(B26:B27)</f>
        <v>5539.8629999999994</v>
      </c>
      <c r="C29" s="506">
        <f>C26+C27-C28</f>
        <v>6559.226999999999</v>
      </c>
      <c r="D29" s="506">
        <f>D26+D27-D28</f>
        <v>8396.9570000000003</v>
      </c>
      <c r="E29" s="506">
        <f>E26+E27-E28</f>
        <v>8958.3869999999988</v>
      </c>
      <c r="F29" s="506">
        <f>F26+F27-F28</f>
        <v>9490.0450000000001</v>
      </c>
      <c r="G29" s="506">
        <f>G26+G27-G28</f>
        <v>9629.6780000000017</v>
      </c>
      <c r="H29" s="506">
        <f t="shared" ref="H29:N29" si="28">H26+H27-H28</f>
        <v>9301.0749999999989</v>
      </c>
      <c r="I29" s="506">
        <f>I26+I27-I28</f>
        <v>10679.637999999999</v>
      </c>
      <c r="J29" s="506">
        <f>J26+J27-J28</f>
        <v>11427.40965</v>
      </c>
      <c r="K29" s="506">
        <f>K26+K27-K28</f>
        <v>12635.531999999999</v>
      </c>
      <c r="L29" s="506">
        <f t="shared" si="28"/>
        <v>14842.495000000001</v>
      </c>
      <c r="M29" s="506">
        <f>M26+M27-M28</f>
        <v>15913.361000000003</v>
      </c>
      <c r="N29" s="506">
        <f t="shared" si="28"/>
        <v>15894.953000000001</v>
      </c>
      <c r="O29" s="506">
        <f t="shared" ref="O29:V29" si="29">O26+O27-O28</f>
        <v>16170.8657</v>
      </c>
      <c r="P29" s="506">
        <f t="shared" si="29"/>
        <v>16239.151000000002</v>
      </c>
      <c r="Q29" s="506">
        <f t="shared" si="29"/>
        <v>16385.510001064416</v>
      </c>
      <c r="R29" s="506">
        <f t="shared" si="29"/>
        <v>16973.631002128834</v>
      </c>
      <c r="S29" s="506">
        <f t="shared" si="29"/>
        <v>18216.452562128834</v>
      </c>
      <c r="T29" s="506">
        <f t="shared" si="29"/>
        <v>17890.647562128834</v>
      </c>
      <c r="U29" s="506">
        <f t="shared" si="29"/>
        <v>19725.82962468615</v>
      </c>
      <c r="V29" s="506">
        <f t="shared" si="29"/>
        <v>20037.575049510036</v>
      </c>
      <c r="W29" s="506">
        <f t="shared" ref="W29:X29" si="30">W26+W27-W28</f>
        <v>20938.068200243455</v>
      </c>
      <c r="X29" s="506">
        <f t="shared" si="30"/>
        <v>21614.538877246912</v>
      </c>
    </row>
    <row r="30" spans="1:24">
      <c r="A30" s="504" t="s">
        <v>405</v>
      </c>
      <c r="B30" s="507"/>
      <c r="C30" s="507">
        <f t="shared" ref="C30:X30" si="31">C29*0.5+B29*0.5</f>
        <v>6049.5449999999992</v>
      </c>
      <c r="D30" s="507">
        <f t="shared" si="31"/>
        <v>7478.0919999999996</v>
      </c>
      <c r="E30" s="507">
        <f t="shared" si="31"/>
        <v>8677.6719999999987</v>
      </c>
      <c r="F30" s="507">
        <f t="shared" si="31"/>
        <v>9224.2160000000003</v>
      </c>
      <c r="G30" s="507">
        <f t="shared" si="31"/>
        <v>9559.8615000000009</v>
      </c>
      <c r="H30" s="507">
        <f t="shared" si="31"/>
        <v>9465.3765000000003</v>
      </c>
      <c r="I30" s="507">
        <f t="shared" si="31"/>
        <v>9990.3564999999981</v>
      </c>
      <c r="J30" s="507">
        <f t="shared" si="31"/>
        <v>11053.523825</v>
      </c>
      <c r="K30" s="507">
        <f t="shared" si="31"/>
        <v>12031.470825</v>
      </c>
      <c r="L30" s="507">
        <f t="shared" si="31"/>
        <v>13739.013500000001</v>
      </c>
      <c r="M30" s="507">
        <f t="shared" si="31"/>
        <v>15377.928000000002</v>
      </c>
      <c r="N30" s="507">
        <f t="shared" si="31"/>
        <v>15904.157000000003</v>
      </c>
      <c r="O30" s="507">
        <f t="shared" si="31"/>
        <v>16032.909350000002</v>
      </c>
      <c r="P30" s="507">
        <f t="shared" si="31"/>
        <v>16205.00835</v>
      </c>
      <c r="Q30" s="507">
        <f t="shared" si="31"/>
        <v>16312.330500532209</v>
      </c>
      <c r="R30" s="507">
        <f t="shared" si="31"/>
        <v>16679.570501596623</v>
      </c>
      <c r="S30" s="507">
        <f t="shared" si="31"/>
        <v>17595.041782128836</v>
      </c>
      <c r="T30" s="507">
        <f t="shared" si="31"/>
        <v>18053.550062128834</v>
      </c>
      <c r="U30" s="507">
        <f t="shared" si="31"/>
        <v>18808.238593407492</v>
      </c>
      <c r="V30" s="507">
        <f t="shared" si="31"/>
        <v>19881.702337098093</v>
      </c>
      <c r="W30" s="507">
        <f t="shared" si="31"/>
        <v>20487.821624876746</v>
      </c>
      <c r="X30" s="507">
        <f t="shared" si="31"/>
        <v>21276.303538745182</v>
      </c>
    </row>
    <row r="31" spans="1:24">
      <c r="A31" s="471"/>
      <c r="B31" s="470"/>
      <c r="C31" s="470"/>
      <c r="D31" s="470"/>
      <c r="E31" s="470"/>
      <c r="F31" s="470"/>
      <c r="G31" s="470"/>
      <c r="H31" s="471"/>
      <c r="I31" s="471"/>
      <c r="J31" s="471"/>
      <c r="K31" s="471"/>
      <c r="L31" s="471"/>
      <c r="M31" s="471"/>
      <c r="N31" s="471"/>
      <c r="O31" s="471"/>
      <c r="P31" s="471"/>
      <c r="Q31" s="471"/>
      <c r="R31" s="471"/>
      <c r="S31" s="471"/>
      <c r="T31" s="471"/>
      <c r="U31" s="471"/>
      <c r="V31" s="471"/>
      <c r="W31" s="471"/>
      <c r="X31" s="471"/>
    </row>
    <row r="32" spans="1:24">
      <c r="A32" s="501" t="s">
        <v>406</v>
      </c>
      <c r="B32" s="508">
        <v>42.707599999999999</v>
      </c>
      <c r="C32" s="509">
        <v>26.69</v>
      </c>
      <c r="D32" s="509">
        <v>20.04</v>
      </c>
      <c r="E32" s="509">
        <v>19.510000000000002</v>
      </c>
      <c r="F32" s="509">
        <v>23.613</v>
      </c>
      <c r="G32" s="509">
        <v>43.628100000000003</v>
      </c>
      <c r="H32" s="509">
        <v>45.2</v>
      </c>
      <c r="I32" s="509">
        <v>41.2</v>
      </c>
      <c r="J32" s="509">
        <v>39.5</v>
      </c>
      <c r="K32" s="509">
        <v>21.1</v>
      </c>
      <c r="L32" s="509">
        <v>15.9</v>
      </c>
      <c r="M32" s="509">
        <v>31.692911877394643</v>
      </c>
      <c r="N32" s="509">
        <v>34.4</v>
      </c>
      <c r="O32" s="577">
        <v>28.65</v>
      </c>
      <c r="P32" s="577">
        <v>37.32</v>
      </c>
      <c r="Q32" s="577">
        <v>59.4</v>
      </c>
      <c r="R32" s="577">
        <v>84.7</v>
      </c>
      <c r="S32" s="577">
        <v>75.900000000000006</v>
      </c>
      <c r="T32" s="508">
        <f t="shared" ref="T32:X32" si="32">$L$2</f>
        <v>114.4</v>
      </c>
      <c r="U32" s="508">
        <f t="shared" si="32"/>
        <v>114.4</v>
      </c>
      <c r="V32" s="508">
        <f t="shared" si="32"/>
        <v>114.4</v>
      </c>
      <c r="W32" s="508">
        <f t="shared" si="32"/>
        <v>114.4</v>
      </c>
      <c r="X32" s="508">
        <f t="shared" si="32"/>
        <v>114.4</v>
      </c>
    </row>
    <row r="33" spans="1:24">
      <c r="A33" s="471" t="s">
        <v>407</v>
      </c>
      <c r="B33" s="509">
        <v>186.45599999999999</v>
      </c>
      <c r="C33" s="509">
        <v>192.91436874999999</v>
      </c>
      <c r="D33" s="509">
        <v>193.012</v>
      </c>
      <c r="E33" s="509">
        <v>195.72975000000002</v>
      </c>
      <c r="F33" s="509">
        <v>197.34100000000001</v>
      </c>
      <c r="G33" s="509">
        <v>234.58</v>
      </c>
      <c r="H33" s="509">
        <v>234.714</v>
      </c>
      <c r="I33" s="509">
        <v>221.48500000000001</v>
      </c>
      <c r="J33" s="509">
        <v>214.255</v>
      </c>
      <c r="K33" s="509">
        <v>214.19499999999999</v>
      </c>
      <c r="L33" s="509">
        <v>215.29499999999999</v>
      </c>
      <c r="M33" s="509">
        <v>217.71100000000001</v>
      </c>
      <c r="N33" s="509">
        <v>219.22799999999998</v>
      </c>
      <c r="O33" s="509">
        <v>218.67950000000002</v>
      </c>
      <c r="P33" s="509">
        <v>220.941</v>
      </c>
      <c r="Q33" s="509">
        <v>223.04400000000001</v>
      </c>
      <c r="R33" s="509">
        <v>220.68899999999999</v>
      </c>
      <c r="S33" s="509">
        <v>216.316</v>
      </c>
      <c r="T33" s="509">
        <v>215.69399999999999</v>
      </c>
      <c r="U33" s="509">
        <v>212.60525806451608</v>
      </c>
      <c r="V33" s="509">
        <v>207.46412903225803</v>
      </c>
      <c r="W33" s="509">
        <v>199.39961290322577</v>
      </c>
      <c r="X33" s="509">
        <v>191.33509677419352</v>
      </c>
    </row>
    <row r="34" spans="1:24">
      <c r="A34" s="471" t="s">
        <v>420</v>
      </c>
      <c r="B34" s="484">
        <f>(B32*B33)</f>
        <v>7963.0882655999994</v>
      </c>
      <c r="C34" s="484">
        <f t="shared" ref="C34:N34" si="33">(C32*C33)</f>
        <v>5148.8845019375003</v>
      </c>
      <c r="D34" s="484">
        <f t="shared" si="33"/>
        <v>3867.9604799999997</v>
      </c>
      <c r="E34" s="484">
        <f t="shared" si="33"/>
        <v>3818.6874225000006</v>
      </c>
      <c r="F34" s="484">
        <f t="shared" si="33"/>
        <v>4659.8130330000004</v>
      </c>
      <c r="G34" s="484">
        <f t="shared" si="33"/>
        <v>10234.279698000002</v>
      </c>
      <c r="H34" s="484">
        <f t="shared" si="33"/>
        <v>10609.0728</v>
      </c>
      <c r="I34" s="484">
        <f t="shared" si="33"/>
        <v>9125.1820000000007</v>
      </c>
      <c r="J34" s="484">
        <f t="shared" si="33"/>
        <v>8463.0725000000002</v>
      </c>
      <c r="K34" s="484">
        <f t="shared" si="33"/>
        <v>4519.5145000000002</v>
      </c>
      <c r="L34" s="484">
        <f t="shared" si="33"/>
        <v>3423.1904999999997</v>
      </c>
      <c r="M34" s="484">
        <f t="shared" si="33"/>
        <v>6899.8955377394659</v>
      </c>
      <c r="N34" s="484">
        <f t="shared" si="33"/>
        <v>7541.4431999999988</v>
      </c>
      <c r="O34" s="484">
        <f t="shared" ref="O34:T34" si="34">(O32*O33)</f>
        <v>6265.1676750000006</v>
      </c>
      <c r="P34" s="484">
        <f t="shared" si="34"/>
        <v>8245.5181200000006</v>
      </c>
      <c r="Q34" s="484">
        <f t="shared" si="34"/>
        <v>13248.813599999999</v>
      </c>
      <c r="R34" s="484">
        <f t="shared" si="34"/>
        <v>18692.3583</v>
      </c>
      <c r="S34" s="484">
        <f t="shared" si="34"/>
        <v>16418.384400000003</v>
      </c>
      <c r="T34" s="484">
        <f t="shared" si="34"/>
        <v>24675.393599999999</v>
      </c>
      <c r="U34" s="484">
        <f>(U32*U33)</f>
        <v>24322.041522580639</v>
      </c>
      <c r="V34" s="484">
        <f>(V32*V33)</f>
        <v>23733.896361290321</v>
      </c>
      <c r="W34" s="484">
        <f>(W32*W33)</f>
        <v>22811.315716129029</v>
      </c>
      <c r="X34" s="484">
        <f>(X32*X33)</f>
        <v>21888.735070967738</v>
      </c>
    </row>
    <row r="35" spans="1:24">
      <c r="A35" s="501" t="s">
        <v>421</v>
      </c>
      <c r="B35" s="484">
        <f>B27</f>
        <v>2278.7069999999994</v>
      </c>
      <c r="C35" s="484">
        <f t="shared" ref="C35:X35" si="35">(C27+B27)/2</f>
        <v>2755.4964999999993</v>
      </c>
      <c r="D35" s="484">
        <f t="shared" si="35"/>
        <v>4075.6099999999997</v>
      </c>
      <c r="E35" s="484">
        <f t="shared" si="35"/>
        <v>5060.5939999999991</v>
      </c>
      <c r="F35" s="484">
        <f t="shared" si="35"/>
        <v>5353.9814999999981</v>
      </c>
      <c r="G35" s="484">
        <f t="shared" si="35"/>
        <v>5304.7139999999999</v>
      </c>
      <c r="H35" s="484">
        <f t="shared" si="35"/>
        <v>4566.7309999999998</v>
      </c>
      <c r="I35" s="484">
        <f t="shared" si="35"/>
        <v>4669.6599999999989</v>
      </c>
      <c r="J35" s="484">
        <f t="shared" si="35"/>
        <v>5388.709499999999</v>
      </c>
      <c r="K35" s="484">
        <f t="shared" si="35"/>
        <v>6038.3864999999987</v>
      </c>
      <c r="L35" s="484">
        <f t="shared" si="35"/>
        <v>7372.0410000000002</v>
      </c>
      <c r="M35" s="484">
        <f t="shared" si="35"/>
        <v>8432.6690000000017</v>
      </c>
      <c r="N35" s="484">
        <f t="shared" si="35"/>
        <v>8481.9270000000015</v>
      </c>
      <c r="O35" s="484">
        <f t="shared" si="35"/>
        <v>8264.3793500000011</v>
      </c>
      <c r="P35" s="484">
        <f t="shared" si="35"/>
        <v>8079.3777000000009</v>
      </c>
      <c r="Q35" s="484">
        <f t="shared" si="35"/>
        <v>8108.2846655322082</v>
      </c>
      <c r="R35" s="484">
        <f t="shared" si="35"/>
        <v>8455.6770965966243</v>
      </c>
      <c r="S35" s="484">
        <f t="shared" si="35"/>
        <v>8970.9375621288309</v>
      </c>
      <c r="T35" s="484">
        <f t="shared" si="35"/>
        <v>8430.1415621288306</v>
      </c>
      <c r="U35" s="484">
        <f t="shared" si="35"/>
        <v>7862.9304111692709</v>
      </c>
      <c r="V35" s="484">
        <f t="shared" si="35"/>
        <v>8181.2318731758905</v>
      </c>
      <c r="W35" s="484">
        <f t="shared" si="35"/>
        <v>8354.211816841791</v>
      </c>
      <c r="X35" s="484">
        <f t="shared" si="35"/>
        <v>8733.4159327493908</v>
      </c>
    </row>
    <row r="36" spans="1:24">
      <c r="A36" s="510" t="s">
        <v>426</v>
      </c>
      <c r="B36" s="511">
        <f t="shared" ref="B36:I36" si="36">SUM(B34+B35)</f>
        <v>10241.795265599998</v>
      </c>
      <c r="C36" s="511">
        <f t="shared" si="36"/>
        <v>7904.3810019374996</v>
      </c>
      <c r="D36" s="511">
        <f t="shared" si="36"/>
        <v>7943.5704799999994</v>
      </c>
      <c r="E36" s="511">
        <f t="shared" si="36"/>
        <v>8879.2814225000002</v>
      </c>
      <c r="F36" s="512">
        <f>SUM(F34+F35)</f>
        <v>10013.794532999998</v>
      </c>
      <c r="G36" s="511">
        <f>SUM(G34+G35)</f>
        <v>15538.993698000002</v>
      </c>
      <c r="H36" s="511">
        <f t="shared" si="36"/>
        <v>15175.8038</v>
      </c>
      <c r="I36" s="511">
        <f t="shared" si="36"/>
        <v>13794.842000000001</v>
      </c>
      <c r="J36" s="511">
        <f t="shared" ref="J36:V36" si="37">SUM(J34+J35)</f>
        <v>13851.781999999999</v>
      </c>
      <c r="K36" s="511">
        <f t="shared" si="37"/>
        <v>10557.900999999998</v>
      </c>
      <c r="L36" s="511">
        <f t="shared" si="37"/>
        <v>10795.2315</v>
      </c>
      <c r="M36" s="511">
        <f t="shared" si="37"/>
        <v>15332.564537739469</v>
      </c>
      <c r="N36" s="511">
        <f t="shared" si="37"/>
        <v>16023.370200000001</v>
      </c>
      <c r="O36" s="511">
        <f t="shared" si="37"/>
        <v>14529.547025000002</v>
      </c>
      <c r="P36" s="511">
        <f t="shared" si="37"/>
        <v>16324.895820000002</v>
      </c>
      <c r="Q36" s="511">
        <f t="shared" si="37"/>
        <v>21357.098265532208</v>
      </c>
      <c r="R36" s="511">
        <f t="shared" si="37"/>
        <v>27148.035396596624</v>
      </c>
      <c r="S36" s="511">
        <f t="shared" si="37"/>
        <v>25389.321962128834</v>
      </c>
      <c r="T36" s="511">
        <f t="shared" si="37"/>
        <v>33105.535162128828</v>
      </c>
      <c r="U36" s="511">
        <f t="shared" si="37"/>
        <v>32184.971933749912</v>
      </c>
      <c r="V36" s="511">
        <f t="shared" si="37"/>
        <v>31915.12823446621</v>
      </c>
      <c r="W36" s="511">
        <f t="shared" ref="W36:X36" si="38">SUM(W34+W35)</f>
        <v>31165.52753297082</v>
      </c>
      <c r="X36" s="511">
        <f t="shared" si="38"/>
        <v>30622.151003717128</v>
      </c>
    </row>
    <row r="37" spans="1:24">
      <c r="A37" s="485"/>
      <c r="B37" s="470"/>
      <c r="C37" s="470"/>
      <c r="D37" s="470"/>
      <c r="E37" s="470"/>
      <c r="F37" s="470"/>
      <c r="G37" s="470"/>
      <c r="H37" s="471"/>
      <c r="I37" s="471"/>
      <c r="J37" s="471"/>
      <c r="K37" s="471"/>
      <c r="L37" s="471"/>
      <c r="M37" s="513"/>
      <c r="N37" s="471"/>
      <c r="O37" s="471"/>
      <c r="P37" s="471"/>
      <c r="Q37" s="471"/>
      <c r="R37" s="471"/>
      <c r="S37" s="471"/>
      <c r="T37" s="471"/>
      <c r="U37" s="471"/>
      <c r="V37" s="471"/>
      <c r="W37" s="471"/>
      <c r="X37" s="471"/>
    </row>
    <row r="38" spans="1:24">
      <c r="A38" s="552" t="s">
        <v>412</v>
      </c>
      <c r="B38" s="553"/>
      <c r="C38" s="553"/>
      <c r="D38" s="553"/>
      <c r="E38" s="553"/>
      <c r="F38" s="553"/>
      <c r="G38" s="553"/>
      <c r="H38" s="554"/>
      <c r="I38" s="554"/>
      <c r="J38" s="554"/>
      <c r="K38" s="554"/>
      <c r="L38" s="563"/>
      <c r="M38" s="564"/>
      <c r="N38" s="554"/>
      <c r="O38" s="554"/>
      <c r="P38" s="554"/>
      <c r="Q38" s="554"/>
      <c r="R38" s="554"/>
      <c r="S38" s="554"/>
      <c r="T38" s="554"/>
      <c r="U38" s="554"/>
      <c r="V38" s="554"/>
      <c r="W38" s="554"/>
      <c r="X38" s="554"/>
    </row>
    <row r="39" spans="1:24">
      <c r="A39" s="481" t="s">
        <v>413</v>
      </c>
      <c r="B39" s="514"/>
      <c r="C39" s="509">
        <f t="shared" ref="C39:V39" si="39">C87*100</f>
        <v>9.4145923371096476</v>
      </c>
      <c r="D39" s="509">
        <f t="shared" si="39"/>
        <v>6.0925300196895149</v>
      </c>
      <c r="E39" s="509">
        <f t="shared" si="39"/>
        <v>6.5798177206974451</v>
      </c>
      <c r="F39" s="509">
        <f t="shared" si="39"/>
        <v>5.7014601566138587</v>
      </c>
      <c r="G39" s="509">
        <f t="shared" si="39"/>
        <v>7.8828443278179279</v>
      </c>
      <c r="H39" s="509">
        <f t="shared" si="39"/>
        <v>9.2079274395477029</v>
      </c>
      <c r="I39" s="509">
        <f t="shared" si="39"/>
        <v>8.5927464150053119</v>
      </c>
      <c r="J39" s="509">
        <f t="shared" si="39"/>
        <v>8.1542683968476499</v>
      </c>
      <c r="K39" s="509">
        <f t="shared" si="39"/>
        <v>6.9146159443062061</v>
      </c>
      <c r="L39" s="509">
        <f t="shared" si="39"/>
        <v>3.5556483003674124</v>
      </c>
      <c r="M39" s="509">
        <f t="shared" si="39"/>
        <v>5.2193832615161115</v>
      </c>
      <c r="N39" s="509">
        <f t="shared" si="39"/>
        <v>5.8577641053216469</v>
      </c>
      <c r="O39" s="509">
        <f t="shared" si="39"/>
        <v>4.9183462763107286</v>
      </c>
      <c r="P39" s="509">
        <f t="shared" si="39"/>
        <v>5.3169241347536822</v>
      </c>
      <c r="Q39" s="509">
        <f t="shared" si="39"/>
        <v>6.0962753618210446</v>
      </c>
      <c r="R39" s="509">
        <f t="shared" si="39"/>
        <v>7.7110438777598285</v>
      </c>
      <c r="S39" s="509">
        <f t="shared" si="39"/>
        <v>8.4224579762305058</v>
      </c>
      <c r="T39" s="509">
        <f t="shared" si="39"/>
        <v>9.6604600978647852</v>
      </c>
      <c r="U39" s="509">
        <f t="shared" si="39"/>
        <v>10.582615797683417</v>
      </c>
      <c r="V39" s="509">
        <f t="shared" si="39"/>
        <v>10.863434592703836</v>
      </c>
      <c r="W39" s="509">
        <f t="shared" ref="W39:X39" si="40">W87*100</f>
        <v>10.692935548446913</v>
      </c>
      <c r="X39" s="509">
        <f t="shared" si="40"/>
        <v>10.537773398183166</v>
      </c>
    </row>
    <row r="40" spans="1:24">
      <c r="A40" s="469" t="s">
        <v>425</v>
      </c>
      <c r="B40" s="509"/>
      <c r="C40" s="509">
        <f t="shared" ref="C40:N40" si="41">C68*100</f>
        <v>7.6860372909110142</v>
      </c>
      <c r="D40" s="509">
        <f t="shared" si="41"/>
        <v>6.6411791939488509</v>
      </c>
      <c r="E40" s="509">
        <f t="shared" si="41"/>
        <v>6.5398817553401543</v>
      </c>
      <c r="F40" s="509">
        <f>F68*100</f>
        <v>6.7503632481674849</v>
      </c>
      <c r="G40" s="509">
        <f t="shared" si="41"/>
        <v>8.0035000261153382</v>
      </c>
      <c r="H40" s="509">
        <f t="shared" si="41"/>
        <v>8.3483323835525027</v>
      </c>
      <c r="I40" s="509">
        <f t="shared" si="41"/>
        <v>7.7930035409666347</v>
      </c>
      <c r="J40" s="509">
        <f>J68*100</f>
        <v>7.6450180639612713</v>
      </c>
      <c r="K40" s="509">
        <f>K68*100</f>
        <v>6.4367362898978122</v>
      </c>
      <c r="L40" s="509">
        <f t="shared" si="41"/>
        <v>5.7769974178388823</v>
      </c>
      <c r="M40" s="509">
        <f>M68*100</f>
        <v>6.6486983115077187</v>
      </c>
      <c r="N40" s="509">
        <f t="shared" si="41"/>
        <v>6.8683577246896181</v>
      </c>
      <c r="O40" s="509">
        <f t="shared" ref="O40:V40" si="42">O68*100</f>
        <v>6.5817538741475889</v>
      </c>
      <c r="P40" s="509">
        <f t="shared" si="42"/>
        <v>7.0711124421339475</v>
      </c>
      <c r="Q40" s="509">
        <f t="shared" si="42"/>
        <v>7.7052330382975347</v>
      </c>
      <c r="R40" s="509">
        <f t="shared" si="42"/>
        <v>8.1156267543719451</v>
      </c>
      <c r="S40" s="509">
        <f t="shared" si="42"/>
        <v>7.8179609386562303</v>
      </c>
      <c r="T40" s="509">
        <f t="shared" si="42"/>
        <v>8.6047278449701317</v>
      </c>
      <c r="U40" s="509">
        <f t="shared" si="42"/>
        <v>8.4804287252142974</v>
      </c>
      <c r="V40" s="509">
        <f t="shared" si="42"/>
        <v>8.4714348924268013</v>
      </c>
      <c r="W40" s="509">
        <f t="shared" ref="W40:X40" si="43">W68*100</f>
        <v>8.3579785600489789</v>
      </c>
      <c r="X40" s="509">
        <f t="shared" si="43"/>
        <v>8.2695005467542764</v>
      </c>
    </row>
    <row r="41" spans="1:24">
      <c r="A41" s="515" t="s">
        <v>417</v>
      </c>
      <c r="B41" s="509"/>
      <c r="C41" s="509">
        <f t="shared" ref="C41:V41" si="44">C39-C40</f>
        <v>1.7285550461986334</v>
      </c>
      <c r="D41" s="509">
        <f t="shared" si="44"/>
        <v>-0.54864917425933601</v>
      </c>
      <c r="E41" s="509">
        <f t="shared" si="44"/>
        <v>3.9935965357290826E-2</v>
      </c>
      <c r="F41" s="509">
        <f t="shared" si="44"/>
        <v>-1.0489030915536262</v>
      </c>
      <c r="G41" s="509">
        <f t="shared" si="44"/>
        <v>-0.1206556982974103</v>
      </c>
      <c r="H41" s="509">
        <f t="shared" si="44"/>
        <v>0.85959505599520014</v>
      </c>
      <c r="I41" s="509">
        <f t="shared" si="44"/>
        <v>0.79974287403867717</v>
      </c>
      <c r="J41" s="509">
        <f t="shared" si="44"/>
        <v>0.50925033288637866</v>
      </c>
      <c r="K41" s="509">
        <f t="shared" si="44"/>
        <v>0.47787965440839386</v>
      </c>
      <c r="L41" s="509">
        <f t="shared" si="44"/>
        <v>-2.2213491174714699</v>
      </c>
      <c r="M41" s="509">
        <f t="shared" si="44"/>
        <v>-1.4293150499916072</v>
      </c>
      <c r="N41" s="509">
        <f t="shared" si="44"/>
        <v>-1.0105936193679712</v>
      </c>
      <c r="O41" s="509">
        <f t="shared" si="44"/>
        <v>-1.6634075978368603</v>
      </c>
      <c r="P41" s="509">
        <f t="shared" si="44"/>
        <v>-1.7541883073802653</v>
      </c>
      <c r="Q41" s="509">
        <f t="shared" si="44"/>
        <v>-1.6089576764764901</v>
      </c>
      <c r="R41" s="509">
        <f t="shared" si="44"/>
        <v>-0.40458287661211667</v>
      </c>
      <c r="S41" s="509">
        <f t="shared" si="44"/>
        <v>0.60449703757427553</v>
      </c>
      <c r="T41" s="509">
        <f t="shared" si="44"/>
        <v>1.0557322528946536</v>
      </c>
      <c r="U41" s="509">
        <f t="shared" si="44"/>
        <v>2.1021870724691194</v>
      </c>
      <c r="V41" s="509">
        <f t="shared" si="44"/>
        <v>2.3919997002770348</v>
      </c>
      <c r="W41" s="509">
        <f t="shared" ref="W41:X41" si="45">W39-W40</f>
        <v>2.3349569883979342</v>
      </c>
      <c r="X41" s="509">
        <f t="shared" si="45"/>
        <v>2.2682728514288897</v>
      </c>
    </row>
    <row r="42" spans="1:24">
      <c r="A42" s="510" t="s">
        <v>378</v>
      </c>
      <c r="B42" s="516"/>
      <c r="C42" s="517">
        <f t="shared" ref="C42:N42" si="46">((C9/100*C33)/((C26+B26)/2))*10000</f>
        <v>12.952112898063721</v>
      </c>
      <c r="D42" s="517">
        <f t="shared" si="46"/>
        <v>6.9028697053739849</v>
      </c>
      <c r="E42" s="517">
        <f t="shared" si="46"/>
        <v>8.6836588297837682</v>
      </c>
      <c r="F42" s="517">
        <f t="shared" si="46"/>
        <v>6.7584435048678726</v>
      </c>
      <c r="G42" s="517">
        <f t="shared" si="46"/>
        <v>11.641020261652386</v>
      </c>
      <c r="H42" s="517">
        <f t="shared" si="46"/>
        <v>12.709932488559449</v>
      </c>
      <c r="I42" s="517">
        <f>((I9/100*I33)/((I26+H26)/2))*10000</f>
        <v>10.603140638362911</v>
      </c>
      <c r="J42" s="517">
        <f>((J9/100*J33)/((J26+I26)/2))*10000</f>
        <v>9.3922813586947029</v>
      </c>
      <c r="K42" s="517">
        <f>((K9/100*K33)/((K26+J26)/2))*10000</f>
        <v>8.4591801496425667</v>
      </c>
      <c r="L42" s="517">
        <f>((L9/100*L33)/((L26+K26)/2))*10000</f>
        <v>2.1191842129207399</v>
      </c>
      <c r="M42" s="517">
        <f t="shared" si="46"/>
        <v>5.5646536291189674</v>
      </c>
      <c r="N42" s="517">
        <f t="shared" si="46"/>
        <v>7.3426552683203568</v>
      </c>
      <c r="O42" s="517">
        <f t="shared" ref="O42:X42" si="47">((O9/100*O33)/((O26+N26)/2))*10000</f>
        <v>5.3911687156912276</v>
      </c>
      <c r="P42" s="517">
        <f t="shared" si="47"/>
        <v>6.2738695451008288</v>
      </c>
      <c r="Q42" s="517">
        <f t="shared" si="47"/>
        <v>8.7410228702006574</v>
      </c>
      <c r="R42" s="517">
        <f t="shared" si="47"/>
        <v>12.416720932913456</v>
      </c>
      <c r="S42" s="517">
        <f t="shared" si="47"/>
        <v>14.732734062660757</v>
      </c>
      <c r="T42" s="517">
        <f t="shared" si="47"/>
        <v>16.395443538206631</v>
      </c>
      <c r="U42" s="517">
        <f t="shared" si="47"/>
        <v>16.849872050777865</v>
      </c>
      <c r="V42" s="517">
        <f t="shared" si="47"/>
        <v>17.038953218871075</v>
      </c>
      <c r="W42" s="517">
        <f t="shared" si="47"/>
        <v>16.490423148628413</v>
      </c>
      <c r="X42" s="517">
        <f t="shared" si="47"/>
        <v>16.084309718480156</v>
      </c>
    </row>
    <row r="43" spans="1:24">
      <c r="A43" s="471"/>
      <c r="B43" s="518"/>
      <c r="C43" s="518"/>
      <c r="D43" s="518"/>
      <c r="E43" s="518"/>
      <c r="F43" s="518"/>
      <c r="G43" s="518"/>
      <c r="H43" s="471"/>
      <c r="I43" s="471"/>
      <c r="J43" s="471"/>
      <c r="K43" s="471"/>
      <c r="L43" s="471"/>
      <c r="M43" s="471"/>
      <c r="N43" s="471"/>
      <c r="O43" s="471"/>
      <c r="P43" s="471"/>
      <c r="Q43" s="471"/>
      <c r="R43" s="471"/>
      <c r="S43" s="471"/>
      <c r="T43" s="471"/>
      <c r="U43" s="471"/>
      <c r="V43" s="471"/>
      <c r="W43" s="471"/>
      <c r="X43" s="471"/>
    </row>
    <row r="44" spans="1:24">
      <c r="A44" s="552" t="s">
        <v>418</v>
      </c>
      <c r="B44" s="565"/>
      <c r="C44" s="565"/>
      <c r="D44" s="565"/>
      <c r="E44" s="565"/>
      <c r="F44" s="565"/>
      <c r="G44" s="565"/>
      <c r="H44" s="554"/>
      <c r="I44" s="554"/>
      <c r="J44" s="554"/>
      <c r="K44" s="554"/>
      <c r="L44" s="554"/>
      <c r="M44" s="554"/>
      <c r="N44" s="554"/>
      <c r="O44" s="554"/>
      <c r="P44" s="566"/>
      <c r="Q44" s="554"/>
      <c r="R44" s="554"/>
      <c r="S44" s="554"/>
      <c r="T44" s="554"/>
      <c r="U44" s="554"/>
      <c r="V44" s="554"/>
      <c r="W44" s="554"/>
      <c r="X44" s="554"/>
    </row>
    <row r="45" spans="1:24" ht="13.5" customHeight="1">
      <c r="A45" s="471" t="s">
        <v>419</v>
      </c>
      <c r="B45" s="519">
        <v>987.44399999999996</v>
      </c>
      <c r="C45" s="519">
        <v>1564.4299999999998</v>
      </c>
      <c r="D45" s="519">
        <v>1783.972</v>
      </c>
      <c r="E45" s="519">
        <v>696.26599999999985</v>
      </c>
      <c r="F45" s="519">
        <v>1029.53</v>
      </c>
      <c r="G45" s="519">
        <v>630.67000000000007</v>
      </c>
      <c r="H45" s="519">
        <v>429.89800000000002</v>
      </c>
      <c r="I45" s="519">
        <v>1180.579</v>
      </c>
      <c r="J45" s="519">
        <v>1317.3810000000001</v>
      </c>
      <c r="K45" s="519">
        <v>2223.5340000000001</v>
      </c>
      <c r="L45" s="519">
        <v>2477.549</v>
      </c>
      <c r="M45" s="519">
        <v>2187.1889999999999</v>
      </c>
      <c r="N45" s="519">
        <v>1173.626</v>
      </c>
      <c r="O45" s="519">
        <v>1291.499</v>
      </c>
      <c r="P45" s="519">
        <v>763.77700000000004</v>
      </c>
      <c r="Q45" s="519">
        <v>1811.3979999999999</v>
      </c>
      <c r="R45" s="519">
        <v>1613.34</v>
      </c>
      <c r="S45" s="519">
        <v>2494.3629999999998</v>
      </c>
      <c r="T45" s="519">
        <v>564.13800000000003</v>
      </c>
      <c r="U45" s="519">
        <v>3380.2135379183351</v>
      </c>
      <c r="V45" s="519">
        <v>2132.4862388576757</v>
      </c>
      <c r="W45" s="519">
        <v>2552.2876981299128</v>
      </c>
      <c r="X45" s="519">
        <v>2567.345742631735</v>
      </c>
    </row>
    <row r="46" spans="1:24">
      <c r="A46" s="495" t="s">
        <v>476</v>
      </c>
      <c r="B46" s="509">
        <f t="shared" ref="B46:N46" si="48">B45/B5*100</f>
        <v>38.781816639383663</v>
      </c>
      <c r="C46" s="509">
        <f t="shared" si="48"/>
        <v>54.588767156364995</v>
      </c>
      <c r="D46" s="509">
        <f t="shared" si="48"/>
        <v>56.719561243144426</v>
      </c>
      <c r="E46" s="509">
        <f t="shared" si="48"/>
        <v>20.273606598284907</v>
      </c>
      <c r="F46" s="509">
        <f t="shared" si="48"/>
        <v>27.205662206688828</v>
      </c>
      <c r="G46" s="509">
        <f t="shared" si="48"/>
        <v>13.844524325659249</v>
      </c>
      <c r="H46" s="509">
        <f t="shared" si="48"/>
        <v>8.7677492171397553</v>
      </c>
      <c r="I46" s="509">
        <f t="shared" si="48"/>
        <v>22.574999244682083</v>
      </c>
      <c r="J46" s="509">
        <f t="shared" si="48"/>
        <v>21.423832088334986</v>
      </c>
      <c r="K46" s="509">
        <f t="shared" si="48"/>
        <v>34.037894994661336</v>
      </c>
      <c r="L46" s="509">
        <f t="shared" si="48"/>
        <v>42.064892918738181</v>
      </c>
      <c r="M46" s="509">
        <f t="shared" si="48"/>
        <v>32.390784218713534</v>
      </c>
      <c r="N46" s="509">
        <f t="shared" si="48"/>
        <v>15.570983790800454</v>
      </c>
      <c r="O46" s="509">
        <f t="shared" ref="O46:V46" si="49">O45/O5*100</f>
        <v>16.798841939099045</v>
      </c>
      <c r="P46" s="509">
        <f t="shared" si="49"/>
        <v>9.865951804962938</v>
      </c>
      <c r="Q46" s="509">
        <f t="shared" si="49"/>
        <v>22.534873794490533</v>
      </c>
      <c r="R46" s="509">
        <f t="shared" si="49"/>
        <v>19.440000173513333</v>
      </c>
      <c r="S46" s="509">
        <f t="shared" si="49"/>
        <v>29.357877529556337</v>
      </c>
      <c r="T46" s="509">
        <f t="shared" si="49"/>
        <v>6.4268393893945506</v>
      </c>
      <c r="U46" s="509">
        <f t="shared" si="49"/>
        <v>35.737275563890144</v>
      </c>
      <c r="V46" s="509">
        <f t="shared" si="49"/>
        <v>20.9020840685458</v>
      </c>
      <c r="W46" s="509">
        <f t="shared" ref="W46:X46" si="50">W45/W5*100</f>
        <v>23.770301428024727</v>
      </c>
      <c r="X46" s="509">
        <f t="shared" si="50"/>
        <v>21.94358275461369</v>
      </c>
    </row>
    <row r="47" spans="1:24">
      <c r="A47" s="520" t="s">
        <v>401</v>
      </c>
      <c r="B47" s="521"/>
      <c r="C47" s="490">
        <v>6.7710172777950897</v>
      </c>
      <c r="D47" s="490">
        <v>5.9233931215842013</v>
      </c>
      <c r="E47" s="490">
        <v>2.0532763196697137</v>
      </c>
      <c r="F47" s="490">
        <v>2.8364442852616638</v>
      </c>
      <c r="G47" s="490">
        <v>1.6001329490328213</v>
      </c>
      <c r="H47" s="490">
        <v>1.069214488060507</v>
      </c>
      <c r="I47" s="490">
        <v>2.7999359650891149</v>
      </c>
      <c r="J47" s="490">
        <v>2.7271242438921393</v>
      </c>
      <c r="K47" s="490">
        <v>4.2731261278401398</v>
      </c>
      <c r="L47" s="490">
        <v>4.3602392760474045</v>
      </c>
      <c r="M47" s="490">
        <v>3.3977545998545944</v>
      </c>
      <c r="N47" s="490">
        <v>1.6708179936391874</v>
      </c>
      <c r="O47" s="490">
        <v>1.7679827185202324</v>
      </c>
      <c r="P47" s="490">
        <v>1.0120125451994209</v>
      </c>
      <c r="Q47" s="490">
        <v>2.34501873919826</v>
      </c>
      <c r="R47" s="490">
        <v>1.9508154697415259</v>
      </c>
      <c r="S47" s="490">
        <v>2.7872624774419914</v>
      </c>
      <c r="T47" s="490">
        <v>0.59308406066480657</v>
      </c>
      <c r="U47" s="490">
        <v>3.2322115203189949</v>
      </c>
      <c r="V47" s="490">
        <v>1.8359293196940305</v>
      </c>
      <c r="W47" s="490">
        <v>2.047317531955148</v>
      </c>
      <c r="X47" s="490">
        <v>1.853284964457796</v>
      </c>
    </row>
    <row r="48" spans="1:24">
      <c r="A48" s="501" t="s">
        <v>45</v>
      </c>
      <c r="B48" s="490"/>
      <c r="C48" s="521">
        <v>6.4471520490912138</v>
      </c>
      <c r="D48" s="521">
        <v>3.7622994014357594</v>
      </c>
      <c r="E48" s="521">
        <v>3.9110880953711162</v>
      </c>
      <c r="F48" s="521">
        <v>3.6203827778479254</v>
      </c>
      <c r="G48" s="521">
        <v>4.1151846539978489</v>
      </c>
      <c r="H48" s="521">
        <v>5.0489940734574148</v>
      </c>
      <c r="I48" s="521">
        <v>4.9413106666821074</v>
      </c>
      <c r="J48" s="521">
        <v>4.6467290974389979</v>
      </c>
      <c r="K48" s="521">
        <v>5.2360897073514456</v>
      </c>
      <c r="L48" s="521">
        <v>3.1447715355359396</v>
      </c>
      <c r="M48" s="521">
        <v>3.8778191860153339</v>
      </c>
      <c r="N48" s="521">
        <v>4.931444919934572</v>
      </c>
      <c r="O48" s="521">
        <v>4.4949573110630237</v>
      </c>
      <c r="P48" s="521">
        <v>4.981627709150084</v>
      </c>
      <c r="Q48" s="521">
        <v>8.2903322032614231</v>
      </c>
      <c r="R48" s="521">
        <v>9.5567409403986101</v>
      </c>
      <c r="S48" s="521">
        <v>14.064117963799033</v>
      </c>
      <c r="T48" s="521">
        <v>22.656204029824387</v>
      </c>
      <c r="U48" s="521">
        <v>31.134280985759251</v>
      </c>
      <c r="V48" s="521">
        <v>28.378371529177194</v>
      </c>
      <c r="W48" s="521">
        <v>24.157851456689972</v>
      </c>
      <c r="X48" s="521">
        <v>20.354707910539393</v>
      </c>
    </row>
    <row r="49" spans="1:24">
      <c r="A49" s="522" t="s">
        <v>375</v>
      </c>
      <c r="B49" s="497"/>
      <c r="C49" s="497">
        <f>C27/C7</f>
        <v>4.0373900183365237</v>
      </c>
      <c r="D49" s="497">
        <f t="shared" ref="D49:N49" si="51">D27/D7</f>
        <v>6.4998288800297042</v>
      </c>
      <c r="E49" s="497">
        <f t="shared" si="51"/>
        <v>5.7162915144356194</v>
      </c>
      <c r="F49" s="497">
        <f>F27/F7</f>
        <v>6.1939845648456435</v>
      </c>
      <c r="G49" s="497">
        <f t="shared" si="51"/>
        <v>4.446813478838572</v>
      </c>
      <c r="H49" s="497">
        <f t="shared" si="51"/>
        <v>3.1639725384215547</v>
      </c>
      <c r="I49" s="497">
        <f t="shared" si="51"/>
        <v>4.1478121477301224</v>
      </c>
      <c r="J49" s="497">
        <f>J27/J7</f>
        <v>3.9496113839930631</v>
      </c>
      <c r="K49" s="497">
        <f>K27/K7</f>
        <v>4.8872395792892478</v>
      </c>
      <c r="L49" s="497">
        <f t="shared" si="51"/>
        <v>7.6984560789230922</v>
      </c>
      <c r="M49" s="497">
        <f>M27/M7</f>
        <v>6.0360168949541269</v>
      </c>
      <c r="N49" s="497">
        <f t="shared" si="51"/>
        <v>5.0387973714454963</v>
      </c>
      <c r="O49" s="497">
        <f t="shared" ref="O49:V49" si="52">O27/O7</f>
        <v>5.460720899353344</v>
      </c>
      <c r="P49" s="497">
        <f t="shared" si="52"/>
        <v>4.8651681382202412</v>
      </c>
      <c r="Q49" s="497">
        <f t="shared" si="52"/>
        <v>4.7706763328627639</v>
      </c>
      <c r="R49" s="497">
        <f t="shared" si="52"/>
        <v>4.0500386679056364</v>
      </c>
      <c r="S49" s="497">
        <f t="shared" si="52"/>
        <v>3.9478412866309736</v>
      </c>
      <c r="T49" s="497">
        <f t="shared" si="52"/>
        <v>2.7740864714326441</v>
      </c>
      <c r="U49" s="497">
        <f t="shared" si="52"/>
        <v>2.7168903126442641</v>
      </c>
      <c r="V49" s="497">
        <f t="shared" si="52"/>
        <v>2.442808512257935</v>
      </c>
      <c r="W49" s="497">
        <f t="shared" ref="W49:X49" si="53">W27/W7</f>
        <v>2.5004265149075784</v>
      </c>
      <c r="X49" s="497">
        <f t="shared" si="53"/>
        <v>2.4458307301199613</v>
      </c>
    </row>
    <row r="50" spans="1:24" ht="15" customHeight="1">
      <c r="A50" s="499" t="s">
        <v>376</v>
      </c>
      <c r="B50" s="523"/>
      <c r="C50" s="524">
        <f>C27/C29</f>
        <v>0.49278459184291079</v>
      </c>
      <c r="D50" s="524">
        <f>D27/D29</f>
        <v>0.58579959382905011</v>
      </c>
      <c r="E50" s="524">
        <f>E27/E29</f>
        <v>0.58071324670389868</v>
      </c>
      <c r="F50" s="524">
        <f>F27/F29</f>
        <v>0.58015625847927998</v>
      </c>
      <c r="G50" s="524">
        <f t="shared" ref="G50:N50" si="54">G27/G29</f>
        <v>0.52999892623616274</v>
      </c>
      <c r="H50" s="524">
        <f t="shared" si="54"/>
        <v>0.4332556183021854</v>
      </c>
      <c r="I50" s="524">
        <f>I27/I29</f>
        <v>0.49716825607759363</v>
      </c>
      <c r="J50" s="524">
        <f>J27/J29</f>
        <v>0.47848481567299017</v>
      </c>
      <c r="K50" s="524">
        <f>K27/K29</f>
        <v>0.52304335108327848</v>
      </c>
      <c r="L50" s="524">
        <f t="shared" si="54"/>
        <v>0.54809861819054007</v>
      </c>
      <c r="M50" s="524">
        <f>M27/M29</f>
        <v>0.54860736207769056</v>
      </c>
      <c r="N50" s="524">
        <f t="shared" si="54"/>
        <v>0.51800511772510438</v>
      </c>
      <c r="O50" s="524">
        <f t="shared" ref="O50:V50" si="55">O27/O29</f>
        <v>0.51296522115077614</v>
      </c>
      <c r="P50" s="524">
        <f t="shared" si="55"/>
        <v>0.48424106038548437</v>
      </c>
      <c r="Q50" s="524">
        <f t="shared" si="55"/>
        <v>0.50977391796299321</v>
      </c>
      <c r="R50" s="524">
        <f t="shared" si="55"/>
        <v>0.50422025558676453</v>
      </c>
      <c r="S50" s="524">
        <f t="shared" si="55"/>
        <v>0.51510723781844014</v>
      </c>
      <c r="T50" s="524">
        <f t="shared" si="55"/>
        <v>0.41791983974665864</v>
      </c>
      <c r="U50" s="524">
        <f t="shared" si="55"/>
        <v>0.41818288088052752</v>
      </c>
      <c r="V50" s="524">
        <f t="shared" si="55"/>
        <v>0.40491224442552814</v>
      </c>
      <c r="W50" s="524">
        <f t="shared" ref="W50:X50" si="56">W27/W29</f>
        <v>0.41049461035959234</v>
      </c>
      <c r="X50" s="524">
        <f t="shared" si="56"/>
        <v>0.41045833863689174</v>
      </c>
    </row>
    <row r="51" spans="1:24">
      <c r="A51" s="525" t="s">
        <v>402</v>
      </c>
      <c r="B51" s="526"/>
      <c r="C51" s="526">
        <f t="shared" ref="C51:N51" si="57">C94</f>
        <v>472.26800000000014</v>
      </c>
      <c r="D51" s="526">
        <f t="shared" si="57"/>
        <v>332.51499999999999</v>
      </c>
      <c r="E51" s="526">
        <f t="shared" si="57"/>
        <v>531.37000000000012</v>
      </c>
      <c r="F51" s="526">
        <f t="shared" si="57"/>
        <v>757.80300000000011</v>
      </c>
      <c r="G51" s="526">
        <f t="shared" si="57"/>
        <v>956.62899999999991</v>
      </c>
      <c r="H51" s="526">
        <f t="shared" si="57"/>
        <v>761.36000000000013</v>
      </c>
      <c r="I51" s="526">
        <f t="shared" si="57"/>
        <v>630.60400000000004</v>
      </c>
      <c r="J51" s="526">
        <f t="shared" si="57"/>
        <v>966.88300000000049</v>
      </c>
      <c r="K51" s="526">
        <f t="shared" si="57"/>
        <v>769.44999999999914</v>
      </c>
      <c r="L51" s="526">
        <f t="shared" si="57"/>
        <v>489.94499999999948</v>
      </c>
      <c r="M51" s="526">
        <f t="shared" si="57"/>
        <v>1309.7339999999992</v>
      </c>
      <c r="N51" s="526">
        <f t="shared" si="57"/>
        <v>1041.3920000000007</v>
      </c>
      <c r="O51" s="526">
        <f t="shared" ref="O51:V51" si="58">O94</f>
        <v>880.00429999999972</v>
      </c>
      <c r="P51" s="526">
        <f t="shared" si="58"/>
        <v>798.26299999999992</v>
      </c>
      <c r="Q51" s="526">
        <f t="shared" si="58"/>
        <v>1362.7059999999992</v>
      </c>
      <c r="R51" s="526">
        <f t="shared" si="58"/>
        <v>1535.2050000000006</v>
      </c>
      <c r="S51" s="526">
        <f t="shared" si="58"/>
        <v>1996.4954709999997</v>
      </c>
      <c r="T51" s="526">
        <f t="shared" si="58"/>
        <v>2473.3971399999991</v>
      </c>
      <c r="U51" s="526">
        <f t="shared" si="58"/>
        <v>2457.7022645642828</v>
      </c>
      <c r="V51" s="526">
        <f t="shared" si="58"/>
        <v>2773.0516886224764</v>
      </c>
      <c r="W51" s="526">
        <f t="shared" ref="W51:X51" si="59">W94</f>
        <v>2790.9672994495963</v>
      </c>
      <c r="X51" s="526">
        <f t="shared" si="59"/>
        <v>3030.3713768407488</v>
      </c>
    </row>
    <row r="52" spans="1:24">
      <c r="A52" s="510" t="s">
        <v>403</v>
      </c>
      <c r="B52" s="527"/>
      <c r="C52" s="527">
        <f t="shared" ref="C52:N52" si="60">C100</f>
        <v>1.0604113947499012</v>
      </c>
      <c r="D52" s="527">
        <f t="shared" si="60"/>
        <v>1.3067630287239103</v>
      </c>
      <c r="E52" s="527">
        <f t="shared" si="60"/>
        <v>1.5126507327404606</v>
      </c>
      <c r="F52" s="527">
        <f t="shared" si="60"/>
        <v>2.7026362903628409</v>
      </c>
      <c r="G52" s="527">
        <f t="shared" si="60"/>
        <v>2.0152752644362941</v>
      </c>
      <c r="H52" s="527">
        <f t="shared" si="60"/>
        <v>1.0634173049740487</v>
      </c>
      <c r="I52" s="527">
        <f t="shared" si="60"/>
        <v>0.99476591757345556</v>
      </c>
      <c r="J52" s="527">
        <f t="shared" si="60"/>
        <v>1.6023808261131842</v>
      </c>
      <c r="K52" s="527">
        <f t="shared" si="60"/>
        <v>1.3412810196838587</v>
      </c>
      <c r="L52" s="527">
        <f t="shared" si="60"/>
        <v>3.2130701380463735</v>
      </c>
      <c r="M52" s="527">
        <f t="shared" si="60"/>
        <v>2.5399522547139277</v>
      </c>
      <c r="N52" s="527">
        <f t="shared" si="60"/>
        <v>1.7144484632569508</v>
      </c>
      <c r="O52" s="527">
        <f t="shared" ref="O52:V52" si="61">O100</f>
        <v>48.090294551615926</v>
      </c>
      <c r="P52" s="527">
        <f t="shared" si="61"/>
        <v>1.4176321621890415</v>
      </c>
      <c r="Q52" s="527">
        <f t="shared" si="61"/>
        <v>3.0948926660428628</v>
      </c>
      <c r="R52" s="527">
        <f t="shared" si="61"/>
        <v>2.3058639226294444</v>
      </c>
      <c r="S52" s="527">
        <f t="shared" si="61"/>
        <v>1.5597974258791794</v>
      </c>
      <c r="T52" s="527">
        <f t="shared" si="61"/>
        <v>1.5220034422645352</v>
      </c>
      <c r="U52" s="527">
        <f t="shared" si="61"/>
        <v>1.2983900967163524</v>
      </c>
      <c r="V52" s="527">
        <f t="shared" si="61"/>
        <v>1.3574777790556587</v>
      </c>
      <c r="W52" s="527">
        <f t="shared" ref="W52:X52" si="62">W100</f>
        <v>1.3624706785040661</v>
      </c>
      <c r="X52" s="527">
        <f t="shared" si="62"/>
        <v>1.4683155482737851</v>
      </c>
    </row>
    <row r="53" spans="1:24">
      <c r="A53" s="528" t="s">
        <v>163</v>
      </c>
      <c r="B53" s="529"/>
      <c r="C53" s="529"/>
      <c r="D53" s="529"/>
      <c r="E53" s="529"/>
      <c r="F53" s="529"/>
      <c r="G53" s="529"/>
      <c r="H53" s="471"/>
      <c r="I53" s="471"/>
      <c r="J53" s="471"/>
      <c r="K53" s="471"/>
      <c r="L53" s="471"/>
      <c r="M53" s="471"/>
      <c r="N53" s="471"/>
      <c r="O53" s="471"/>
      <c r="P53" s="471"/>
      <c r="Q53" s="471"/>
      <c r="R53" s="471"/>
      <c r="S53" s="471"/>
      <c r="T53" s="471"/>
      <c r="U53" s="471"/>
      <c r="V53" s="471"/>
      <c r="W53" s="471"/>
      <c r="X53" s="471"/>
    </row>
    <row r="54" spans="1:24">
      <c r="A54" s="471"/>
      <c r="B54" s="470"/>
      <c r="C54" s="470"/>
      <c r="D54" s="470"/>
      <c r="E54" s="470"/>
      <c r="F54" s="470"/>
      <c r="G54" s="470"/>
      <c r="H54" s="471"/>
      <c r="I54" s="471"/>
      <c r="J54" s="471"/>
      <c r="K54" s="471"/>
      <c r="L54" s="471"/>
      <c r="M54" s="471"/>
      <c r="N54" s="471"/>
      <c r="O54" s="471"/>
      <c r="P54" s="471"/>
      <c r="Q54" s="471"/>
      <c r="R54" s="471"/>
      <c r="S54" s="471"/>
      <c r="T54" s="471"/>
      <c r="U54" s="471"/>
      <c r="V54" s="471"/>
      <c r="W54" s="471"/>
      <c r="X54" s="471"/>
    </row>
    <row r="55" spans="1:24">
      <c r="A55" s="530" t="s">
        <v>425</v>
      </c>
      <c r="B55" s="470"/>
      <c r="C55" s="470"/>
      <c r="D55" s="470"/>
      <c r="E55" s="470"/>
      <c r="F55" s="470"/>
      <c r="G55" s="470"/>
      <c r="H55" s="471"/>
      <c r="I55" s="471"/>
      <c r="J55" s="471"/>
      <c r="K55" s="471"/>
      <c r="L55" s="471"/>
      <c r="M55" s="471"/>
      <c r="N55" s="471"/>
      <c r="O55" s="471"/>
      <c r="P55" s="471"/>
      <c r="Q55" s="471"/>
      <c r="R55" s="471"/>
      <c r="S55" s="471"/>
      <c r="T55" s="471"/>
      <c r="U55" s="471"/>
      <c r="V55" s="471"/>
      <c r="W55" s="471"/>
      <c r="X55" s="471"/>
    </row>
    <row r="56" spans="1:24">
      <c r="A56" s="471" t="s">
        <v>339</v>
      </c>
      <c r="B56" s="531">
        <f t="shared" ref="B56:N56" si="63">B27</f>
        <v>2278.7069999999994</v>
      </c>
      <c r="C56" s="531">
        <f t="shared" si="63"/>
        <v>3232.2859999999996</v>
      </c>
      <c r="D56" s="531">
        <f t="shared" si="63"/>
        <v>4918.9339999999993</v>
      </c>
      <c r="E56" s="531">
        <f t="shared" si="63"/>
        <v>5202.2539999999981</v>
      </c>
      <c r="F56" s="531">
        <f>F27</f>
        <v>5505.7089999999989</v>
      </c>
      <c r="G56" s="531">
        <f t="shared" si="63"/>
        <v>5103.7190000000001</v>
      </c>
      <c r="H56" s="531">
        <f t="shared" si="63"/>
        <v>4029.7429999999986</v>
      </c>
      <c r="I56" s="531">
        <f t="shared" si="63"/>
        <v>5309.5769999999993</v>
      </c>
      <c r="J56" s="531">
        <f>J27</f>
        <v>5467.8419999999987</v>
      </c>
      <c r="K56" s="531">
        <f>K27</f>
        <v>6608.9309999999996</v>
      </c>
      <c r="L56" s="531">
        <f t="shared" si="63"/>
        <v>8135.1510000000007</v>
      </c>
      <c r="M56" s="531">
        <f>M27</f>
        <v>8730.1870000000017</v>
      </c>
      <c r="N56" s="531">
        <f t="shared" si="63"/>
        <v>8233.6670000000013</v>
      </c>
      <c r="O56" s="531">
        <f t="shared" ref="O56:V56" si="64">O27</f>
        <v>8295.0917000000009</v>
      </c>
      <c r="P56" s="531">
        <f t="shared" si="64"/>
        <v>7863.6637000000001</v>
      </c>
      <c r="Q56" s="531">
        <f t="shared" si="64"/>
        <v>8352.9056310644173</v>
      </c>
      <c r="R56" s="531">
        <f t="shared" si="64"/>
        <v>8558.4485621288313</v>
      </c>
      <c r="S56" s="531">
        <f t="shared" si="64"/>
        <v>9383.4265621288305</v>
      </c>
      <c r="T56" s="531">
        <f t="shared" si="64"/>
        <v>7476.8565621288317</v>
      </c>
      <c r="U56" s="531">
        <f t="shared" si="64"/>
        <v>8249.0042602097092</v>
      </c>
      <c r="V56" s="531">
        <f t="shared" si="64"/>
        <v>8113.4594861420719</v>
      </c>
      <c r="W56" s="531">
        <f t="shared" ref="W56:X56" si="65">W27</f>
        <v>8594.9641475415083</v>
      </c>
      <c r="X56" s="531">
        <f t="shared" si="65"/>
        <v>8871.8677179572751</v>
      </c>
    </row>
    <row r="57" spans="1:24">
      <c r="A57" s="471" t="s">
        <v>340</v>
      </c>
      <c r="B57" s="531"/>
      <c r="C57" s="531">
        <f t="shared" ref="C57:N57" si="66">C34</f>
        <v>5148.8845019375003</v>
      </c>
      <c r="D57" s="531">
        <f t="shared" si="66"/>
        <v>3867.9604799999997</v>
      </c>
      <c r="E57" s="531">
        <f t="shared" si="66"/>
        <v>3818.6874225000006</v>
      </c>
      <c r="F57" s="531">
        <f t="shared" si="66"/>
        <v>4659.8130330000004</v>
      </c>
      <c r="G57" s="531">
        <f t="shared" si="66"/>
        <v>10234.279698000002</v>
      </c>
      <c r="H57" s="531">
        <f t="shared" si="66"/>
        <v>10609.0728</v>
      </c>
      <c r="I57" s="531">
        <f t="shared" si="66"/>
        <v>9125.1820000000007</v>
      </c>
      <c r="J57" s="531">
        <f t="shared" si="66"/>
        <v>8463.0725000000002</v>
      </c>
      <c r="K57" s="531">
        <f t="shared" si="66"/>
        <v>4519.5145000000002</v>
      </c>
      <c r="L57" s="531">
        <f t="shared" si="66"/>
        <v>3423.1904999999997</v>
      </c>
      <c r="M57" s="531">
        <f t="shared" si="66"/>
        <v>6899.8955377394659</v>
      </c>
      <c r="N57" s="531">
        <f t="shared" si="66"/>
        <v>7541.4431999999988</v>
      </c>
      <c r="O57" s="531">
        <f t="shared" ref="O57:T57" si="67">O34</f>
        <v>6265.1676750000006</v>
      </c>
      <c r="P57" s="531">
        <f t="shared" si="67"/>
        <v>8245.5181200000006</v>
      </c>
      <c r="Q57" s="531">
        <f t="shared" si="67"/>
        <v>13248.813599999999</v>
      </c>
      <c r="R57" s="531">
        <f t="shared" si="67"/>
        <v>18692.3583</v>
      </c>
      <c r="S57" s="531">
        <f t="shared" si="67"/>
        <v>16418.384400000003</v>
      </c>
      <c r="T57" s="531">
        <f t="shared" si="67"/>
        <v>24675.393599999999</v>
      </c>
      <c r="U57" s="531">
        <f>U34</f>
        <v>24322.041522580639</v>
      </c>
      <c r="V57" s="531">
        <f>V34</f>
        <v>23733.896361290321</v>
      </c>
      <c r="W57" s="531">
        <f>W34</f>
        <v>22811.315716129029</v>
      </c>
      <c r="X57" s="531">
        <f>X34</f>
        <v>21888.735070967738</v>
      </c>
    </row>
    <row r="58" spans="1:24">
      <c r="A58" s="471" t="s">
        <v>341</v>
      </c>
      <c r="B58" s="531"/>
      <c r="C58" s="531">
        <f t="shared" ref="C58:N58" si="68">SUM(C56:C57)</f>
        <v>8381.1705019375004</v>
      </c>
      <c r="D58" s="531">
        <f t="shared" si="68"/>
        <v>8786.894479999999</v>
      </c>
      <c r="E58" s="531">
        <f t="shared" si="68"/>
        <v>9020.9414224999982</v>
      </c>
      <c r="F58" s="531">
        <f>SUM(F56:F57)</f>
        <v>10165.522032999999</v>
      </c>
      <c r="G58" s="531">
        <f t="shared" si="68"/>
        <v>15337.998698000003</v>
      </c>
      <c r="H58" s="531">
        <f t="shared" si="68"/>
        <v>14638.815799999998</v>
      </c>
      <c r="I58" s="531">
        <f t="shared" si="68"/>
        <v>14434.759</v>
      </c>
      <c r="J58" s="531">
        <f>SUM(J56:J57)</f>
        <v>13930.914499999999</v>
      </c>
      <c r="K58" s="531">
        <f>SUM(K56:K57)</f>
        <v>11128.4455</v>
      </c>
      <c r="L58" s="531">
        <f t="shared" si="68"/>
        <v>11558.3415</v>
      </c>
      <c r="M58" s="531">
        <f>SUM(M56:M57)</f>
        <v>15630.082537739469</v>
      </c>
      <c r="N58" s="531">
        <f t="shared" si="68"/>
        <v>15775.110199999999</v>
      </c>
      <c r="O58" s="531">
        <f t="shared" ref="O58:V58" si="69">SUM(O56:O57)</f>
        <v>14560.259375000001</v>
      </c>
      <c r="P58" s="531">
        <f t="shared" si="69"/>
        <v>16109.181820000002</v>
      </c>
      <c r="Q58" s="531">
        <f t="shared" si="69"/>
        <v>21601.719231064417</v>
      </c>
      <c r="R58" s="531">
        <f t="shared" si="69"/>
        <v>27250.806862128833</v>
      </c>
      <c r="S58" s="531">
        <f t="shared" si="69"/>
        <v>25801.810962128831</v>
      </c>
      <c r="T58" s="531">
        <f t="shared" si="69"/>
        <v>32152.250162128832</v>
      </c>
      <c r="U58" s="531">
        <f t="shared" si="69"/>
        <v>32571.045782790348</v>
      </c>
      <c r="V58" s="531">
        <f t="shared" si="69"/>
        <v>31847.355847432395</v>
      </c>
      <c r="W58" s="531">
        <f t="shared" ref="W58:X58" si="70">SUM(W56:W57)</f>
        <v>31406.279863670537</v>
      </c>
      <c r="X58" s="531">
        <f t="shared" si="70"/>
        <v>30760.602788925011</v>
      </c>
    </row>
    <row r="59" spans="1:24">
      <c r="A59" s="471" t="s">
        <v>342</v>
      </c>
      <c r="B59" s="532"/>
      <c r="C59" s="532">
        <v>0.04</v>
      </c>
      <c r="D59" s="532">
        <f>C59</f>
        <v>0.04</v>
      </c>
      <c r="E59" s="532">
        <f t="shared" ref="E59:N59" si="71">D59</f>
        <v>0.04</v>
      </c>
      <c r="F59" s="495">
        <f t="shared" si="71"/>
        <v>0.04</v>
      </c>
      <c r="G59" s="532">
        <f t="shared" si="71"/>
        <v>0.04</v>
      </c>
      <c r="H59" s="532">
        <f t="shared" si="71"/>
        <v>0.04</v>
      </c>
      <c r="I59" s="532">
        <f t="shared" si="71"/>
        <v>0.04</v>
      </c>
      <c r="J59" s="532">
        <f t="shared" si="71"/>
        <v>0.04</v>
      </c>
      <c r="K59" s="532">
        <f t="shared" si="71"/>
        <v>0.04</v>
      </c>
      <c r="L59" s="532">
        <f t="shared" si="71"/>
        <v>0.04</v>
      </c>
      <c r="M59" s="532">
        <f t="shared" si="71"/>
        <v>0.04</v>
      </c>
      <c r="N59" s="532">
        <f t="shared" si="71"/>
        <v>0.04</v>
      </c>
      <c r="O59" s="532">
        <f>N59</f>
        <v>0.04</v>
      </c>
      <c r="P59" s="532">
        <v>0.04</v>
      </c>
      <c r="Q59" s="532">
        <f t="shared" ref="Q59:X59" si="72">P59</f>
        <v>0.04</v>
      </c>
      <c r="R59" s="532">
        <f t="shared" si="72"/>
        <v>0.04</v>
      </c>
      <c r="S59" s="532">
        <f t="shared" si="72"/>
        <v>0.04</v>
      </c>
      <c r="T59" s="532">
        <f t="shared" si="72"/>
        <v>0.04</v>
      </c>
      <c r="U59" s="532">
        <f t="shared" si="72"/>
        <v>0.04</v>
      </c>
      <c r="V59" s="532">
        <f t="shared" si="72"/>
        <v>0.04</v>
      </c>
      <c r="W59" s="532">
        <f t="shared" si="72"/>
        <v>0.04</v>
      </c>
      <c r="X59" s="532">
        <f t="shared" si="72"/>
        <v>0.04</v>
      </c>
    </row>
    <row r="60" spans="1:24">
      <c r="A60" s="471" t="s">
        <v>343</v>
      </c>
      <c r="B60" s="532"/>
      <c r="C60" s="533">
        <v>0</v>
      </c>
      <c r="D60" s="533">
        <v>0</v>
      </c>
      <c r="E60" s="533">
        <v>0</v>
      </c>
      <c r="F60" s="495">
        <v>0</v>
      </c>
      <c r="G60" s="532">
        <v>0</v>
      </c>
      <c r="H60" s="532">
        <v>0</v>
      </c>
      <c r="I60" s="532">
        <v>0</v>
      </c>
      <c r="J60" s="532">
        <v>0</v>
      </c>
      <c r="K60" s="532">
        <v>0</v>
      </c>
      <c r="L60" s="532">
        <v>0</v>
      </c>
      <c r="M60" s="532">
        <v>0</v>
      </c>
      <c r="N60" s="532">
        <v>0</v>
      </c>
      <c r="O60" s="532">
        <v>0</v>
      </c>
      <c r="P60" s="532">
        <v>0</v>
      </c>
      <c r="Q60" s="532">
        <v>-1.6357247498840016E-2</v>
      </c>
      <c r="R60" s="532">
        <v>0</v>
      </c>
      <c r="S60" s="532">
        <v>0</v>
      </c>
      <c r="T60" s="532">
        <v>0</v>
      </c>
      <c r="U60" s="532">
        <v>0</v>
      </c>
      <c r="V60" s="532">
        <v>0</v>
      </c>
      <c r="W60" s="532">
        <v>0</v>
      </c>
      <c r="X60" s="532">
        <v>0</v>
      </c>
    </row>
    <row r="61" spans="1:24">
      <c r="A61" s="471" t="s">
        <v>344</v>
      </c>
      <c r="B61" s="495"/>
      <c r="C61" s="495">
        <f>C59*(1-C60)</f>
        <v>0.04</v>
      </c>
      <c r="D61" s="495">
        <f t="shared" ref="D61:N61" si="73">D59*(1-D60)</f>
        <v>0.04</v>
      </c>
      <c r="E61" s="495">
        <f t="shared" si="73"/>
        <v>0.04</v>
      </c>
      <c r="F61" s="495">
        <f t="shared" si="73"/>
        <v>0.04</v>
      </c>
      <c r="G61" s="495">
        <f t="shared" si="73"/>
        <v>0.04</v>
      </c>
      <c r="H61" s="495">
        <f t="shared" si="73"/>
        <v>0.04</v>
      </c>
      <c r="I61" s="495">
        <f t="shared" si="73"/>
        <v>0.04</v>
      </c>
      <c r="J61" s="495">
        <f t="shared" si="73"/>
        <v>0.04</v>
      </c>
      <c r="K61" s="495">
        <f t="shared" si="73"/>
        <v>0.04</v>
      </c>
      <c r="L61" s="495">
        <f t="shared" si="73"/>
        <v>0.04</v>
      </c>
      <c r="M61" s="495">
        <f t="shared" si="73"/>
        <v>0.04</v>
      </c>
      <c r="N61" s="495">
        <f t="shared" si="73"/>
        <v>0.04</v>
      </c>
      <c r="O61" s="495">
        <f t="shared" ref="O61:T61" si="74">O59*(1-O60)</f>
        <v>0.04</v>
      </c>
      <c r="P61" s="495">
        <f t="shared" si="74"/>
        <v>0.04</v>
      </c>
      <c r="Q61" s="495">
        <f t="shared" si="74"/>
        <v>4.0654289899953601E-2</v>
      </c>
      <c r="R61" s="495">
        <f t="shared" si="74"/>
        <v>0.04</v>
      </c>
      <c r="S61" s="495">
        <f t="shared" si="74"/>
        <v>0.04</v>
      </c>
      <c r="T61" s="495">
        <f t="shared" si="74"/>
        <v>0.04</v>
      </c>
      <c r="U61" s="495">
        <f>U59*(1-U60)</f>
        <v>0.04</v>
      </c>
      <c r="V61" s="495">
        <f>V59*(1-V60)</f>
        <v>0.04</v>
      </c>
      <c r="W61" s="495">
        <f>W59*(1-W60)</f>
        <v>0.04</v>
      </c>
      <c r="X61" s="495">
        <f>X59*(1-X60)</f>
        <v>0.04</v>
      </c>
    </row>
    <row r="62" spans="1:24">
      <c r="A62" s="471" t="s">
        <v>345</v>
      </c>
      <c r="B62" s="532"/>
      <c r="C62" s="532">
        <v>0.04</v>
      </c>
      <c r="D62" s="532">
        <f>C62</f>
        <v>0.04</v>
      </c>
      <c r="E62" s="532">
        <f t="shared" ref="E62:N62" si="75">D62</f>
        <v>0.04</v>
      </c>
      <c r="F62" s="495">
        <f t="shared" si="75"/>
        <v>0.04</v>
      </c>
      <c r="G62" s="532">
        <f t="shared" si="75"/>
        <v>0.04</v>
      </c>
      <c r="H62" s="532">
        <f t="shared" si="75"/>
        <v>0.04</v>
      </c>
      <c r="I62" s="534">
        <f t="shared" si="75"/>
        <v>0.04</v>
      </c>
      <c r="J62" s="534">
        <f t="shared" si="75"/>
        <v>0.04</v>
      </c>
      <c r="K62" s="532">
        <f t="shared" si="75"/>
        <v>0.04</v>
      </c>
      <c r="L62" s="532">
        <f t="shared" si="75"/>
        <v>0.04</v>
      </c>
      <c r="M62" s="532">
        <f t="shared" si="75"/>
        <v>0.04</v>
      </c>
      <c r="N62" s="532">
        <f t="shared" si="75"/>
        <v>0.04</v>
      </c>
      <c r="O62" s="532">
        <f t="shared" ref="O62:T62" si="76">N62</f>
        <v>0.04</v>
      </c>
      <c r="P62" s="532">
        <f t="shared" si="76"/>
        <v>0.04</v>
      </c>
      <c r="Q62" s="532">
        <f t="shared" si="76"/>
        <v>0.04</v>
      </c>
      <c r="R62" s="532">
        <f t="shared" si="76"/>
        <v>0.04</v>
      </c>
      <c r="S62" s="532">
        <f t="shared" si="76"/>
        <v>0.04</v>
      </c>
      <c r="T62" s="532">
        <f t="shared" si="76"/>
        <v>0.04</v>
      </c>
      <c r="U62" s="532">
        <f t="shared" ref="U62:X64" si="77">T62</f>
        <v>0.04</v>
      </c>
      <c r="V62" s="532">
        <f t="shared" si="77"/>
        <v>0.04</v>
      </c>
      <c r="W62" s="532">
        <f t="shared" si="77"/>
        <v>0.04</v>
      </c>
      <c r="X62" s="532">
        <f t="shared" si="77"/>
        <v>0.04</v>
      </c>
    </row>
    <row r="63" spans="1:24">
      <c r="A63" s="471" t="s">
        <v>346</v>
      </c>
      <c r="B63" s="535"/>
      <c r="C63" s="535">
        <v>1.5</v>
      </c>
      <c r="D63" s="535">
        <f>C63</f>
        <v>1.5</v>
      </c>
      <c r="E63" s="535">
        <f t="shared" ref="E63:P63" si="78">D63</f>
        <v>1.5</v>
      </c>
      <c r="F63" s="535">
        <f t="shared" si="78"/>
        <v>1.5</v>
      </c>
      <c r="G63" s="535">
        <f t="shared" si="78"/>
        <v>1.5</v>
      </c>
      <c r="H63" s="535">
        <f t="shared" si="78"/>
        <v>1.5</v>
      </c>
      <c r="I63" s="536">
        <f t="shared" si="78"/>
        <v>1.5</v>
      </c>
      <c r="J63" s="536">
        <f t="shared" si="78"/>
        <v>1.5</v>
      </c>
      <c r="K63" s="535">
        <f t="shared" si="78"/>
        <v>1.5</v>
      </c>
      <c r="L63" s="535">
        <f t="shared" si="78"/>
        <v>1.5</v>
      </c>
      <c r="M63" s="535">
        <f t="shared" si="78"/>
        <v>1.5</v>
      </c>
      <c r="N63" s="535">
        <f t="shared" si="78"/>
        <v>1.5</v>
      </c>
      <c r="O63" s="535">
        <f t="shared" si="78"/>
        <v>1.5</v>
      </c>
      <c r="P63" s="535">
        <f t="shared" si="78"/>
        <v>1.5</v>
      </c>
      <c r="Q63" s="535">
        <f t="shared" ref="Q63:S64" si="79">P63</f>
        <v>1.5</v>
      </c>
      <c r="R63" s="535">
        <f t="shared" si="79"/>
        <v>1.5</v>
      </c>
      <c r="S63" s="535">
        <f t="shared" si="79"/>
        <v>1.5</v>
      </c>
      <c r="T63" s="535">
        <f>S63</f>
        <v>1.5</v>
      </c>
      <c r="U63" s="535">
        <f t="shared" si="77"/>
        <v>1.5</v>
      </c>
      <c r="V63" s="535">
        <f t="shared" si="77"/>
        <v>1.5</v>
      </c>
      <c r="W63" s="535">
        <f t="shared" si="77"/>
        <v>1.5</v>
      </c>
      <c r="X63" s="535">
        <f t="shared" si="77"/>
        <v>1.5</v>
      </c>
    </row>
    <row r="64" spans="1:24">
      <c r="A64" s="471" t="s">
        <v>347</v>
      </c>
      <c r="B64" s="532"/>
      <c r="C64" s="532">
        <v>0.04</v>
      </c>
      <c r="D64" s="532">
        <f>C64</f>
        <v>0.04</v>
      </c>
      <c r="E64" s="532">
        <f t="shared" ref="E64:N64" si="80">D64</f>
        <v>0.04</v>
      </c>
      <c r="F64" s="495">
        <f t="shared" si="80"/>
        <v>0.04</v>
      </c>
      <c r="G64" s="532">
        <f t="shared" si="80"/>
        <v>0.04</v>
      </c>
      <c r="H64" s="532">
        <f t="shared" si="80"/>
        <v>0.04</v>
      </c>
      <c r="I64" s="534">
        <f t="shared" si="80"/>
        <v>0.04</v>
      </c>
      <c r="J64" s="534">
        <f t="shared" si="80"/>
        <v>0.04</v>
      </c>
      <c r="K64" s="532">
        <f t="shared" si="80"/>
        <v>0.04</v>
      </c>
      <c r="L64" s="532">
        <f t="shared" si="80"/>
        <v>0.04</v>
      </c>
      <c r="M64" s="532">
        <f t="shared" si="80"/>
        <v>0.04</v>
      </c>
      <c r="N64" s="532">
        <f t="shared" si="80"/>
        <v>0.04</v>
      </c>
      <c r="O64" s="532">
        <f>N64</f>
        <v>0.04</v>
      </c>
      <c r="P64" s="532">
        <f>O64</f>
        <v>0.04</v>
      </c>
      <c r="Q64" s="532">
        <f t="shared" si="79"/>
        <v>0.04</v>
      </c>
      <c r="R64" s="532">
        <f t="shared" si="79"/>
        <v>0.04</v>
      </c>
      <c r="S64" s="532">
        <f t="shared" si="79"/>
        <v>0.04</v>
      </c>
      <c r="T64" s="532">
        <f>S64</f>
        <v>0.04</v>
      </c>
      <c r="U64" s="532">
        <f t="shared" si="77"/>
        <v>0.04</v>
      </c>
      <c r="V64" s="532">
        <f t="shared" si="77"/>
        <v>0.04</v>
      </c>
      <c r="W64" s="532">
        <f t="shared" si="77"/>
        <v>0.04</v>
      </c>
      <c r="X64" s="532">
        <f t="shared" si="77"/>
        <v>0.04</v>
      </c>
    </row>
    <row r="65" spans="1:24">
      <c r="A65" s="471" t="s">
        <v>348</v>
      </c>
      <c r="B65" s="495"/>
      <c r="C65" s="495">
        <f t="shared" ref="C65:N65" si="81">C64+(C62*C63)</f>
        <v>0.1</v>
      </c>
      <c r="D65" s="495">
        <f t="shared" si="81"/>
        <v>0.1</v>
      </c>
      <c r="E65" s="495">
        <f t="shared" si="81"/>
        <v>0.1</v>
      </c>
      <c r="F65" s="495">
        <f t="shared" si="81"/>
        <v>0.1</v>
      </c>
      <c r="G65" s="495">
        <f t="shared" si="81"/>
        <v>0.1</v>
      </c>
      <c r="H65" s="495">
        <f t="shared" si="81"/>
        <v>0.1</v>
      </c>
      <c r="I65" s="495">
        <f t="shared" si="81"/>
        <v>0.1</v>
      </c>
      <c r="J65" s="495">
        <f t="shared" si="81"/>
        <v>0.1</v>
      </c>
      <c r="K65" s="495">
        <f t="shared" si="81"/>
        <v>0.1</v>
      </c>
      <c r="L65" s="495">
        <f t="shared" si="81"/>
        <v>0.1</v>
      </c>
      <c r="M65" s="495">
        <f t="shared" si="81"/>
        <v>0.1</v>
      </c>
      <c r="N65" s="495">
        <f t="shared" si="81"/>
        <v>0.1</v>
      </c>
      <c r="O65" s="495">
        <f t="shared" ref="O65:T65" si="82">O64+(O62*O63)</f>
        <v>0.1</v>
      </c>
      <c r="P65" s="495">
        <f t="shared" si="82"/>
        <v>0.1</v>
      </c>
      <c r="Q65" s="495">
        <f t="shared" si="82"/>
        <v>0.1</v>
      </c>
      <c r="R65" s="495">
        <f t="shared" si="82"/>
        <v>0.1</v>
      </c>
      <c r="S65" s="495">
        <f t="shared" si="82"/>
        <v>0.1</v>
      </c>
      <c r="T65" s="495">
        <f t="shared" si="82"/>
        <v>0.1</v>
      </c>
      <c r="U65" s="495">
        <f>U64+(U62*U63)</f>
        <v>0.1</v>
      </c>
      <c r="V65" s="495">
        <f>V64+(V62*V63)</f>
        <v>0.1</v>
      </c>
      <c r="W65" s="495">
        <f>W64+(W62*W63)</f>
        <v>0.1</v>
      </c>
      <c r="X65" s="495">
        <f>X64+(X62*X63)</f>
        <v>0.1</v>
      </c>
    </row>
    <row r="66" spans="1:24">
      <c r="A66" s="471" t="s">
        <v>349</v>
      </c>
      <c r="B66" s="495"/>
      <c r="C66" s="495">
        <f t="shared" ref="C66:N66" si="83">C56/C58</f>
        <v>0.38566045151483103</v>
      </c>
      <c r="D66" s="495">
        <f t="shared" si="83"/>
        <v>0.55980346767519162</v>
      </c>
      <c r="E66" s="495">
        <f t="shared" si="83"/>
        <v>0.57668637410997436</v>
      </c>
      <c r="F66" s="495">
        <f>F56/F58</f>
        <v>0.54160612530541941</v>
      </c>
      <c r="G66" s="495">
        <f t="shared" si="83"/>
        <v>0.33274999564744384</v>
      </c>
      <c r="H66" s="495">
        <f t="shared" si="83"/>
        <v>0.27527793607458323</v>
      </c>
      <c r="I66" s="495">
        <f t="shared" si="83"/>
        <v>0.36783274317222747</v>
      </c>
      <c r="J66" s="495">
        <f>J56/J58</f>
        <v>0.39249698933978805</v>
      </c>
      <c r="K66" s="495">
        <f>K56/K58</f>
        <v>0.5938772850170313</v>
      </c>
      <c r="L66" s="495">
        <f t="shared" si="83"/>
        <v>0.70383376369351958</v>
      </c>
      <c r="M66" s="495">
        <f>M56/M58</f>
        <v>0.55855028141538032</v>
      </c>
      <c r="N66" s="495">
        <f t="shared" si="83"/>
        <v>0.52194037921839698</v>
      </c>
      <c r="O66" s="495">
        <f t="shared" ref="O66:V66" si="84">O56/O58</f>
        <v>0.56970768764206858</v>
      </c>
      <c r="P66" s="495">
        <f t="shared" si="84"/>
        <v>0.48814792631100862</v>
      </c>
      <c r="Q66" s="495">
        <f t="shared" si="84"/>
        <v>0.38667781678471669</v>
      </c>
      <c r="R66" s="495">
        <f t="shared" si="84"/>
        <v>0.31406220760467585</v>
      </c>
      <c r="S66" s="495">
        <f t="shared" si="84"/>
        <v>0.36367317689062828</v>
      </c>
      <c r="T66" s="495">
        <f t="shared" si="84"/>
        <v>0.23254535917164504</v>
      </c>
      <c r="U66" s="495">
        <f t="shared" si="84"/>
        <v>0.25326187913095066</v>
      </c>
      <c r="V66" s="495">
        <f t="shared" si="84"/>
        <v>0.25476085126219977</v>
      </c>
      <c r="W66" s="495">
        <f t="shared" ref="W66:X66" si="85">W56/W58</f>
        <v>0.27367023999183682</v>
      </c>
      <c r="X66" s="495">
        <f t="shared" si="85"/>
        <v>0.28841657554095412</v>
      </c>
    </row>
    <row r="67" spans="1:24">
      <c r="A67" s="471" t="s">
        <v>350</v>
      </c>
      <c r="B67" s="495"/>
      <c r="C67" s="495">
        <f t="shared" ref="C67:N67" si="86">1-C66</f>
        <v>0.61433954848516903</v>
      </c>
      <c r="D67" s="495">
        <f t="shared" si="86"/>
        <v>0.44019653232480838</v>
      </c>
      <c r="E67" s="495">
        <f t="shared" si="86"/>
        <v>0.42331362589002564</v>
      </c>
      <c r="F67" s="495">
        <f>1-F66</f>
        <v>0.45839387469458059</v>
      </c>
      <c r="G67" s="495">
        <f t="shared" si="86"/>
        <v>0.66725000435255621</v>
      </c>
      <c r="H67" s="495">
        <f t="shared" si="86"/>
        <v>0.72472206392541683</v>
      </c>
      <c r="I67" s="495">
        <f t="shared" si="86"/>
        <v>0.63216725682777253</v>
      </c>
      <c r="J67" s="495">
        <f>1-J66</f>
        <v>0.60750301066021195</v>
      </c>
      <c r="K67" s="495">
        <f>1-K66</f>
        <v>0.4061227149829687</v>
      </c>
      <c r="L67" s="495">
        <f t="shared" si="86"/>
        <v>0.29616623630648042</v>
      </c>
      <c r="M67" s="495">
        <f>1-M66</f>
        <v>0.44144971858461968</v>
      </c>
      <c r="N67" s="495">
        <f t="shared" si="86"/>
        <v>0.47805962078160302</v>
      </c>
      <c r="O67" s="495">
        <f t="shared" ref="O67:V67" si="87">1-O66</f>
        <v>0.43029231235793142</v>
      </c>
      <c r="P67" s="495">
        <f t="shared" si="87"/>
        <v>0.51185207368899133</v>
      </c>
      <c r="Q67" s="495">
        <f t="shared" si="87"/>
        <v>0.61332218321528331</v>
      </c>
      <c r="R67" s="495">
        <f t="shared" si="87"/>
        <v>0.68593779239532415</v>
      </c>
      <c r="S67" s="495">
        <f t="shared" si="87"/>
        <v>0.63632682310937172</v>
      </c>
      <c r="T67" s="495">
        <f t="shared" si="87"/>
        <v>0.76745464082835491</v>
      </c>
      <c r="U67" s="495">
        <f t="shared" si="87"/>
        <v>0.74673812086904934</v>
      </c>
      <c r="V67" s="495">
        <f t="shared" si="87"/>
        <v>0.74523914873780028</v>
      </c>
      <c r="W67" s="495">
        <f t="shared" ref="W67:X67" si="88">1-W66</f>
        <v>0.72632976000816318</v>
      </c>
      <c r="X67" s="495">
        <f t="shared" si="88"/>
        <v>0.71158342445904588</v>
      </c>
    </row>
    <row r="68" spans="1:24">
      <c r="A68" s="469" t="s">
        <v>425</v>
      </c>
      <c r="B68" s="528"/>
      <c r="C68" s="528">
        <f t="shared" ref="C68:N68" si="89">C66*C61+C67*C65</f>
        <v>7.6860372909110145E-2</v>
      </c>
      <c r="D68" s="528">
        <f t="shared" si="89"/>
        <v>6.6411791939488513E-2</v>
      </c>
      <c r="E68" s="528">
        <f t="shared" si="89"/>
        <v>6.5398817553401545E-2</v>
      </c>
      <c r="F68" s="528">
        <f>F66*F61+F67*F65</f>
        <v>6.7503632481674847E-2</v>
      </c>
      <c r="G68" s="528">
        <f t="shared" si="89"/>
        <v>8.0035000261153386E-2</v>
      </c>
      <c r="H68" s="528">
        <f t="shared" si="89"/>
        <v>8.3483323835525022E-2</v>
      </c>
      <c r="I68" s="528">
        <f t="shared" si="89"/>
        <v>7.7930035409666351E-2</v>
      </c>
      <c r="J68" s="528">
        <f>J66*J61+J67*J65</f>
        <v>7.6450180639612716E-2</v>
      </c>
      <c r="K68" s="528">
        <f>K66*K61+K67*K65</f>
        <v>6.4367362898978125E-2</v>
      </c>
      <c r="L68" s="528">
        <f t="shared" si="89"/>
        <v>5.7769974178388826E-2</v>
      </c>
      <c r="M68" s="528">
        <f>M66*M61+M67*M65</f>
        <v>6.6486983115077183E-2</v>
      </c>
      <c r="N68" s="528">
        <f t="shared" si="89"/>
        <v>6.868357724689618E-2</v>
      </c>
      <c r="O68" s="528">
        <f t="shared" ref="O68:V68" si="90">O66*O61+O67*O65</f>
        <v>6.5817538741475889E-2</v>
      </c>
      <c r="P68" s="528">
        <f t="shared" si="90"/>
        <v>7.0711124421339477E-2</v>
      </c>
      <c r="Q68" s="528">
        <f t="shared" si="90"/>
        <v>7.7052330382975348E-2</v>
      </c>
      <c r="R68" s="528">
        <f t="shared" si="90"/>
        <v>8.1156267543719449E-2</v>
      </c>
      <c r="S68" s="528">
        <f t="shared" si="90"/>
        <v>7.8179609386562307E-2</v>
      </c>
      <c r="T68" s="528">
        <f t="shared" si="90"/>
        <v>8.6047278449701309E-2</v>
      </c>
      <c r="U68" s="528">
        <f t="shared" si="90"/>
        <v>8.4804287252142965E-2</v>
      </c>
      <c r="V68" s="528">
        <f t="shared" si="90"/>
        <v>8.4714348924268018E-2</v>
      </c>
      <c r="W68" s="528">
        <f t="shared" ref="W68:X68" si="91">W66*W61+W67*W65</f>
        <v>8.3579785600489787E-2</v>
      </c>
      <c r="X68" s="528">
        <f t="shared" si="91"/>
        <v>8.2695005467542756E-2</v>
      </c>
    </row>
    <row r="69" spans="1:24">
      <c r="A69" s="471"/>
      <c r="B69" s="470"/>
      <c r="C69" s="470"/>
      <c r="D69" s="470"/>
      <c r="E69" s="470"/>
      <c r="F69" s="470"/>
      <c r="G69" s="470"/>
      <c r="H69" s="471"/>
      <c r="I69" s="471"/>
      <c r="J69" s="471"/>
      <c r="K69" s="471"/>
      <c r="L69" s="471"/>
      <c r="M69" s="471"/>
      <c r="N69" s="471"/>
      <c r="O69" s="471"/>
      <c r="P69" s="471"/>
      <c r="Q69" s="471"/>
      <c r="R69" s="471"/>
      <c r="S69" s="471"/>
      <c r="T69" s="471"/>
      <c r="U69" s="471"/>
      <c r="V69" s="471"/>
      <c r="W69" s="471"/>
      <c r="X69" s="471"/>
    </row>
    <row r="70" spans="1:24">
      <c r="A70" s="530" t="s">
        <v>351</v>
      </c>
      <c r="B70" s="470"/>
      <c r="C70" s="470"/>
      <c r="D70" s="470"/>
      <c r="E70" s="470"/>
      <c r="F70" s="470"/>
      <c r="G70" s="470"/>
      <c r="H70" s="471"/>
      <c r="I70" s="471"/>
      <c r="J70" s="471"/>
      <c r="K70" s="471"/>
      <c r="L70" s="471"/>
      <c r="M70" s="471"/>
      <c r="N70" s="471"/>
      <c r="O70" s="471"/>
      <c r="P70" s="471"/>
      <c r="Q70" s="471"/>
      <c r="R70" s="471"/>
      <c r="S70" s="471"/>
      <c r="T70" s="471"/>
      <c r="U70" s="471"/>
      <c r="V70" s="471"/>
      <c r="W70" s="471"/>
      <c r="X70" s="471"/>
    </row>
    <row r="71" spans="1:24">
      <c r="A71" s="471" t="s">
        <v>395</v>
      </c>
      <c r="B71" s="531"/>
      <c r="C71" s="531">
        <f>C7</f>
        <v>800.58799999999974</v>
      </c>
      <c r="D71" s="531">
        <f t="shared" ref="D71:N71" si="92">D7</f>
        <v>756.779</v>
      </c>
      <c r="E71" s="531">
        <f t="shared" si="92"/>
        <v>910.07500000000027</v>
      </c>
      <c r="F71" s="531">
        <f t="shared" si="92"/>
        <v>888.88000000000056</v>
      </c>
      <c r="G71" s="531">
        <f t="shared" si="92"/>
        <v>1147.7249999999999</v>
      </c>
      <c r="H71" s="531">
        <f t="shared" si="92"/>
        <v>1273.634</v>
      </c>
      <c r="I71" s="531">
        <f t="shared" si="92"/>
        <v>1280.0909999999999</v>
      </c>
      <c r="J71" s="531">
        <f t="shared" si="92"/>
        <v>1384.4000000000005</v>
      </c>
      <c r="K71" s="531">
        <f t="shared" si="92"/>
        <v>1352.2829999999994</v>
      </c>
      <c r="L71" s="531">
        <f t="shared" si="92"/>
        <v>1056.7249999999995</v>
      </c>
      <c r="M71" s="531">
        <f t="shared" si="92"/>
        <v>1446.3489999999993</v>
      </c>
      <c r="N71" s="531">
        <f t="shared" si="92"/>
        <v>1634.0540000000003</v>
      </c>
      <c r="O71" s="531">
        <f t="shared" ref="O71:V71" si="93">O7</f>
        <v>1519.0470000000003</v>
      </c>
      <c r="P71" s="531">
        <f t="shared" si="93"/>
        <v>1616.3189999999995</v>
      </c>
      <c r="Q71" s="531">
        <f t="shared" si="93"/>
        <v>1750.8849999999993</v>
      </c>
      <c r="R71" s="531">
        <f t="shared" si="93"/>
        <v>2113.1770000000006</v>
      </c>
      <c r="S71" s="531">
        <f t="shared" si="93"/>
        <v>2376.8500000000004</v>
      </c>
      <c r="T71" s="531">
        <f t="shared" si="93"/>
        <v>2695.2499999999991</v>
      </c>
      <c r="U71" s="531">
        <f t="shared" si="93"/>
        <v>3036.1933353802615</v>
      </c>
      <c r="V71" s="531">
        <f t="shared" si="93"/>
        <v>3321.3653241459542</v>
      </c>
      <c r="W71" s="531">
        <f t="shared" ref="W71:X71" si="94">W7</f>
        <v>3437.3992182126567</v>
      </c>
      <c r="X71" s="531">
        <f t="shared" si="94"/>
        <v>3627.34330250325</v>
      </c>
    </row>
    <row r="72" spans="1:24">
      <c r="A72" s="471" t="s">
        <v>352</v>
      </c>
      <c r="B72" s="531"/>
      <c r="C72" s="531">
        <f t="shared" ref="C72:N72" si="95">C57</f>
        <v>5148.8845019375003</v>
      </c>
      <c r="D72" s="531">
        <f t="shared" si="95"/>
        <v>3867.9604799999997</v>
      </c>
      <c r="E72" s="531">
        <f t="shared" si="95"/>
        <v>3818.6874225000006</v>
      </c>
      <c r="F72" s="531">
        <f t="shared" si="95"/>
        <v>4659.8130330000004</v>
      </c>
      <c r="G72" s="531">
        <f t="shared" si="95"/>
        <v>10234.279698000002</v>
      </c>
      <c r="H72" s="531">
        <f t="shared" si="95"/>
        <v>10609.0728</v>
      </c>
      <c r="I72" s="531">
        <f t="shared" si="95"/>
        <v>9125.1820000000007</v>
      </c>
      <c r="J72" s="531">
        <f t="shared" si="95"/>
        <v>8463.0725000000002</v>
      </c>
      <c r="K72" s="531">
        <f t="shared" si="95"/>
        <v>4519.5145000000002</v>
      </c>
      <c r="L72" s="531">
        <f t="shared" si="95"/>
        <v>3423.1904999999997</v>
      </c>
      <c r="M72" s="531">
        <f t="shared" si="95"/>
        <v>6899.8955377394659</v>
      </c>
      <c r="N72" s="531">
        <f t="shared" si="95"/>
        <v>7541.4431999999988</v>
      </c>
      <c r="O72" s="531">
        <f t="shared" ref="O72:T72" si="96">O57</f>
        <v>6265.1676750000006</v>
      </c>
      <c r="P72" s="531">
        <f t="shared" si="96"/>
        <v>8245.5181200000006</v>
      </c>
      <c r="Q72" s="531">
        <f t="shared" si="96"/>
        <v>13248.813599999999</v>
      </c>
      <c r="R72" s="531">
        <f t="shared" si="96"/>
        <v>18692.3583</v>
      </c>
      <c r="S72" s="531">
        <f t="shared" si="96"/>
        <v>16418.384400000003</v>
      </c>
      <c r="T72" s="531">
        <f t="shared" si="96"/>
        <v>24675.393599999999</v>
      </c>
      <c r="U72" s="531">
        <f>U57</f>
        <v>24322.041522580639</v>
      </c>
      <c r="V72" s="531">
        <f>V57</f>
        <v>23733.896361290321</v>
      </c>
      <c r="W72" s="531">
        <f>W57</f>
        <v>22811.315716129029</v>
      </c>
      <c r="X72" s="531">
        <f>X57</f>
        <v>21888.735070967738</v>
      </c>
    </row>
    <row r="73" spans="1:24">
      <c r="A73" s="471" t="s">
        <v>353</v>
      </c>
      <c r="B73" s="531"/>
      <c r="C73" s="531">
        <f t="shared" ref="C73:N73" si="97">C56</f>
        <v>3232.2859999999996</v>
      </c>
      <c r="D73" s="531">
        <f t="shared" si="97"/>
        <v>4918.9339999999993</v>
      </c>
      <c r="E73" s="531">
        <f t="shared" si="97"/>
        <v>5202.2539999999981</v>
      </c>
      <c r="F73" s="531">
        <f>F56</f>
        <v>5505.7089999999989</v>
      </c>
      <c r="G73" s="531">
        <f t="shared" si="97"/>
        <v>5103.7190000000001</v>
      </c>
      <c r="H73" s="531">
        <f t="shared" si="97"/>
        <v>4029.7429999999986</v>
      </c>
      <c r="I73" s="531">
        <f t="shared" si="97"/>
        <v>5309.5769999999993</v>
      </c>
      <c r="J73" s="531">
        <f>J56</f>
        <v>5467.8419999999987</v>
      </c>
      <c r="K73" s="531">
        <f>K56</f>
        <v>6608.9309999999996</v>
      </c>
      <c r="L73" s="531">
        <f t="shared" si="97"/>
        <v>8135.1510000000007</v>
      </c>
      <c r="M73" s="531">
        <f>M56</f>
        <v>8730.1870000000017</v>
      </c>
      <c r="N73" s="531">
        <f t="shared" si="97"/>
        <v>8233.6670000000013</v>
      </c>
      <c r="O73" s="531">
        <f t="shared" ref="O73:V73" si="98">O56</f>
        <v>8295.0917000000009</v>
      </c>
      <c r="P73" s="531">
        <f t="shared" si="98"/>
        <v>7863.6637000000001</v>
      </c>
      <c r="Q73" s="531">
        <f t="shared" si="98"/>
        <v>8352.9056310644173</v>
      </c>
      <c r="R73" s="531">
        <f t="shared" si="98"/>
        <v>8558.4485621288313</v>
      </c>
      <c r="S73" s="531">
        <f t="shared" si="98"/>
        <v>9383.4265621288305</v>
      </c>
      <c r="T73" s="531">
        <f t="shared" si="98"/>
        <v>7476.8565621288317</v>
      </c>
      <c r="U73" s="531">
        <f t="shared" si="98"/>
        <v>8249.0042602097092</v>
      </c>
      <c r="V73" s="531">
        <f t="shared" si="98"/>
        <v>8113.4594861420719</v>
      </c>
      <c r="W73" s="531">
        <f t="shared" ref="W73:X73" si="99">W56</f>
        <v>8594.9641475415083</v>
      </c>
      <c r="X73" s="531">
        <f t="shared" si="99"/>
        <v>8871.8677179572751</v>
      </c>
    </row>
    <row r="74" spans="1:24">
      <c r="A74" s="471" t="s">
        <v>341</v>
      </c>
      <c r="B74" s="531"/>
      <c r="C74" s="531">
        <f t="shared" ref="C74:N74" si="100">C72+C73</f>
        <v>8381.1705019375004</v>
      </c>
      <c r="D74" s="531">
        <f t="shared" si="100"/>
        <v>8786.894479999999</v>
      </c>
      <c r="E74" s="531">
        <f t="shared" si="100"/>
        <v>9020.9414224999982</v>
      </c>
      <c r="F74" s="531">
        <f>F72+F73</f>
        <v>10165.522032999999</v>
      </c>
      <c r="G74" s="531">
        <f t="shared" si="100"/>
        <v>15337.998698000003</v>
      </c>
      <c r="H74" s="531">
        <f t="shared" si="100"/>
        <v>14638.815799999998</v>
      </c>
      <c r="I74" s="531">
        <f t="shared" si="100"/>
        <v>14434.759</v>
      </c>
      <c r="J74" s="531">
        <f>J72+J73</f>
        <v>13930.914499999999</v>
      </c>
      <c r="K74" s="531">
        <f>K72+K73</f>
        <v>11128.4455</v>
      </c>
      <c r="L74" s="531">
        <f t="shared" si="100"/>
        <v>11558.3415</v>
      </c>
      <c r="M74" s="531">
        <f>M72+M73</f>
        <v>15630.082537739469</v>
      </c>
      <c r="N74" s="531">
        <f t="shared" si="100"/>
        <v>15775.110199999999</v>
      </c>
      <c r="O74" s="531">
        <f t="shared" ref="O74:V74" si="101">O72+O73</f>
        <v>14560.259375000001</v>
      </c>
      <c r="P74" s="531">
        <f t="shared" si="101"/>
        <v>16109.181820000002</v>
      </c>
      <c r="Q74" s="531">
        <f t="shared" si="101"/>
        <v>21601.719231064417</v>
      </c>
      <c r="R74" s="531">
        <f t="shared" si="101"/>
        <v>27250.806862128833</v>
      </c>
      <c r="S74" s="531">
        <f t="shared" si="101"/>
        <v>25801.810962128831</v>
      </c>
      <c r="T74" s="531">
        <f t="shared" si="101"/>
        <v>32152.250162128832</v>
      </c>
      <c r="U74" s="531">
        <f t="shared" si="101"/>
        <v>32571.045782790348</v>
      </c>
      <c r="V74" s="531">
        <f t="shared" si="101"/>
        <v>31847.355847432395</v>
      </c>
      <c r="W74" s="531">
        <f t="shared" ref="W74:X74" si="102">W72+W73</f>
        <v>31406.279863670537</v>
      </c>
      <c r="X74" s="531">
        <f t="shared" si="102"/>
        <v>30760.602788925011</v>
      </c>
    </row>
    <row r="75" spans="1:24">
      <c r="A75" s="469" t="s">
        <v>354</v>
      </c>
      <c r="B75" s="522"/>
      <c r="C75" s="522">
        <f t="shared" ref="C75:N75" si="103">C74/C71</f>
        <v>10.46876858251373</v>
      </c>
      <c r="D75" s="522">
        <f t="shared" si="103"/>
        <v>11.610912142118107</v>
      </c>
      <c r="E75" s="522">
        <f t="shared" si="103"/>
        <v>9.9123054940526831</v>
      </c>
      <c r="F75" s="522">
        <f>F74/F71</f>
        <v>11.436326650391496</v>
      </c>
      <c r="G75" s="522">
        <f t="shared" si="103"/>
        <v>13.363827308806556</v>
      </c>
      <c r="H75" s="522">
        <f t="shared" si="103"/>
        <v>11.493738232490651</v>
      </c>
      <c r="I75" s="522">
        <f t="shared" si="103"/>
        <v>11.27635379047271</v>
      </c>
      <c r="J75" s="522">
        <f>J74/J71</f>
        <v>10.062781349321</v>
      </c>
      <c r="K75" s="522">
        <f>K74/K71</f>
        <v>8.2293761734784834</v>
      </c>
      <c r="L75" s="522">
        <f t="shared" si="103"/>
        <v>10.937889706404226</v>
      </c>
      <c r="M75" s="522">
        <f>M74/M71</f>
        <v>10.806577484230623</v>
      </c>
      <c r="N75" s="522">
        <f t="shared" si="103"/>
        <v>9.6539711661915675</v>
      </c>
      <c r="O75" s="522">
        <f t="shared" ref="O75:V75" si="104">O74/O71</f>
        <v>9.5851276326538937</v>
      </c>
      <c r="P75" s="522">
        <f t="shared" si="104"/>
        <v>9.966585692552032</v>
      </c>
      <c r="Q75" s="522">
        <f t="shared" si="104"/>
        <v>12.337600259905377</v>
      </c>
      <c r="R75" s="522">
        <f t="shared" si="104"/>
        <v>12.89565751573523</v>
      </c>
      <c r="S75" s="522">
        <f t="shared" si="104"/>
        <v>10.855464569547438</v>
      </c>
      <c r="T75" s="522">
        <f t="shared" si="104"/>
        <v>11.929227404555734</v>
      </c>
      <c r="U75" s="522">
        <f t="shared" si="104"/>
        <v>10.727592806177825</v>
      </c>
      <c r="V75" s="522">
        <f t="shared" si="104"/>
        <v>9.5886338114948337</v>
      </c>
      <c r="W75" s="522">
        <f t="shared" ref="W75:X75" si="105">W74/W71</f>
        <v>9.1366401950835527</v>
      </c>
      <c r="X75" s="522">
        <f t="shared" si="105"/>
        <v>8.4802016858169846</v>
      </c>
    </row>
    <row r="76" spans="1:24">
      <c r="A76" s="471"/>
      <c r="B76" s="470"/>
      <c r="C76" s="470"/>
      <c r="D76" s="498"/>
      <c r="E76" s="498"/>
      <c r="F76" s="498"/>
      <c r="G76" s="498"/>
      <c r="H76" s="498"/>
      <c r="I76" s="498"/>
      <c r="J76" s="471"/>
      <c r="K76" s="471"/>
      <c r="L76" s="471"/>
      <c r="M76" s="471"/>
      <c r="N76" s="471"/>
      <c r="O76" s="471"/>
      <c r="P76" s="471"/>
      <c r="Q76" s="471"/>
      <c r="R76" s="471"/>
      <c r="S76" s="471"/>
      <c r="T76" s="471"/>
      <c r="U76" s="471"/>
      <c r="V76" s="471"/>
      <c r="W76" s="471"/>
      <c r="X76" s="471"/>
    </row>
    <row r="77" spans="1:24">
      <c r="A77" s="530" t="s">
        <v>355</v>
      </c>
      <c r="B77" s="470"/>
      <c r="C77" s="470"/>
      <c r="D77" s="537"/>
      <c r="E77" s="537"/>
      <c r="F77" s="470"/>
      <c r="G77" s="470"/>
      <c r="H77" s="471"/>
      <c r="I77" s="482"/>
      <c r="J77" s="471"/>
      <c r="K77" s="471"/>
      <c r="L77" s="471"/>
      <c r="M77" s="471"/>
      <c r="N77" s="471"/>
      <c r="O77" s="471"/>
      <c r="P77" s="471"/>
      <c r="Q77" s="471"/>
      <c r="R77" s="471">
        <f t="shared" ref="R77:W77" si="106">+R74/R80</f>
        <v>21.187578663557293</v>
      </c>
      <c r="S77" s="471">
        <f t="shared" si="106"/>
        <v>17.410892489973463</v>
      </c>
      <c r="T77" s="471">
        <f t="shared" si="106"/>
        <v>18.435331297922112</v>
      </c>
      <c r="U77" s="471">
        <f t="shared" si="106"/>
        <v>16.364040596554887</v>
      </c>
      <c r="V77" s="471">
        <f t="shared" si="106"/>
        <v>14.745267621651475</v>
      </c>
      <c r="W77" s="471">
        <f t="shared" si="106"/>
        <v>14.335860389409239</v>
      </c>
      <c r="X77" s="471">
        <f t="shared" ref="X77" si="107">+X74/X80</f>
        <v>13.719864075316845</v>
      </c>
    </row>
    <row r="78" spans="1:24">
      <c r="A78" s="471" t="s">
        <v>356</v>
      </c>
      <c r="B78" s="531">
        <v>480.17400000000009</v>
      </c>
      <c r="C78" s="531">
        <v>569.53999999999974</v>
      </c>
      <c r="D78" s="531">
        <v>455.60500000000002</v>
      </c>
      <c r="E78" s="531">
        <v>570.97500000000036</v>
      </c>
      <c r="F78" s="531">
        <v>525.91500000000065</v>
      </c>
      <c r="G78" s="531">
        <v>753.58899999999994</v>
      </c>
      <c r="H78" s="531">
        <v>871.56500000000005</v>
      </c>
      <c r="I78" s="531">
        <v>858.44599999999991</v>
      </c>
      <c r="J78" s="531">
        <v>901.33400000000051</v>
      </c>
      <c r="K78" s="531">
        <v>831.9299999999995</v>
      </c>
      <c r="L78" s="531">
        <v>488.5109999999994</v>
      </c>
      <c r="M78" s="531">
        <v>802.63299999999936</v>
      </c>
      <c r="N78" s="531">
        <v>931.62800000000027</v>
      </c>
      <c r="O78" s="531">
        <v>788.55399999999963</v>
      </c>
      <c r="P78" s="531">
        <v>861.60799999999949</v>
      </c>
      <c r="Q78" s="531">
        <v>978.43999999999937</v>
      </c>
      <c r="R78" s="531">
        <v>1286.1690000000006</v>
      </c>
      <c r="S78" s="531">
        <v>1481.9350000000004</v>
      </c>
      <c r="T78" s="531">
        <v>1744.0559999999991</v>
      </c>
      <c r="U78" s="531">
        <v>1990.4036286519304</v>
      </c>
      <c r="V78" s="531">
        <v>2159.8357293067211</v>
      </c>
      <c r="W78" s="531">
        <v>2190.7495616288397</v>
      </c>
      <c r="X78" s="531">
        <v>2242.0486544225932</v>
      </c>
    </row>
    <row r="79" spans="1:24">
      <c r="A79" s="471" t="s">
        <v>357</v>
      </c>
      <c r="B79" s="538">
        <f>B60</f>
        <v>0</v>
      </c>
      <c r="C79" s="538">
        <f>C60</f>
        <v>0</v>
      </c>
      <c r="D79" s="538">
        <f t="shared" ref="D79:N79" si="108">D60</f>
        <v>0</v>
      </c>
      <c r="E79" s="538">
        <f t="shared" si="108"/>
        <v>0</v>
      </c>
      <c r="F79" s="472">
        <f t="shared" si="108"/>
        <v>0</v>
      </c>
      <c r="G79" s="538">
        <f t="shared" si="108"/>
        <v>0</v>
      </c>
      <c r="H79" s="538">
        <f t="shared" si="108"/>
        <v>0</v>
      </c>
      <c r="I79" s="538">
        <f t="shared" si="108"/>
        <v>0</v>
      </c>
      <c r="J79" s="538">
        <f t="shared" si="108"/>
        <v>0</v>
      </c>
      <c r="K79" s="538">
        <f t="shared" si="108"/>
        <v>0</v>
      </c>
      <c r="L79" s="538">
        <f t="shared" si="108"/>
        <v>0</v>
      </c>
      <c r="M79" s="538">
        <f t="shared" si="108"/>
        <v>0</v>
      </c>
      <c r="N79" s="538">
        <f t="shared" si="108"/>
        <v>0</v>
      </c>
      <c r="O79" s="538">
        <f t="shared" ref="O79:T79" si="109">O60</f>
        <v>0</v>
      </c>
      <c r="P79" s="538">
        <f t="shared" si="109"/>
        <v>0</v>
      </c>
      <c r="Q79" s="538">
        <f t="shared" si="109"/>
        <v>-1.6357247498840016E-2</v>
      </c>
      <c r="R79" s="538">
        <f t="shared" si="109"/>
        <v>0</v>
      </c>
      <c r="S79" s="538">
        <f t="shared" si="109"/>
        <v>0</v>
      </c>
      <c r="T79" s="538">
        <f t="shared" si="109"/>
        <v>0</v>
      </c>
      <c r="U79" s="538">
        <f>U60</f>
        <v>0</v>
      </c>
      <c r="V79" s="538">
        <f>V60</f>
        <v>0</v>
      </c>
      <c r="W79" s="538">
        <f>W60</f>
        <v>0</v>
      </c>
      <c r="X79" s="538">
        <f>X60</f>
        <v>0</v>
      </c>
    </row>
    <row r="80" spans="1:24">
      <c r="A80" s="471" t="s">
        <v>358</v>
      </c>
      <c r="B80" s="482">
        <f t="shared" ref="B80:N80" si="110">(1-B79)*B78</f>
        <v>480.17400000000009</v>
      </c>
      <c r="C80" s="482">
        <f t="shared" si="110"/>
        <v>569.53999999999974</v>
      </c>
      <c r="D80" s="482">
        <f t="shared" si="110"/>
        <v>455.60500000000002</v>
      </c>
      <c r="E80" s="482">
        <f t="shared" si="110"/>
        <v>570.97500000000036</v>
      </c>
      <c r="F80" s="482">
        <f t="shared" si="110"/>
        <v>525.91500000000065</v>
      </c>
      <c r="G80" s="482">
        <f t="shared" si="110"/>
        <v>753.58899999999994</v>
      </c>
      <c r="H80" s="482">
        <f t="shared" si="110"/>
        <v>871.56500000000005</v>
      </c>
      <c r="I80" s="482">
        <f t="shared" si="110"/>
        <v>858.44599999999991</v>
      </c>
      <c r="J80" s="482">
        <f t="shared" si="110"/>
        <v>901.33400000000051</v>
      </c>
      <c r="K80" s="482">
        <f t="shared" si="110"/>
        <v>831.9299999999995</v>
      </c>
      <c r="L80" s="482">
        <f t="shared" si="110"/>
        <v>488.5109999999994</v>
      </c>
      <c r="M80" s="482">
        <f t="shared" si="110"/>
        <v>802.63299999999936</v>
      </c>
      <c r="N80" s="482">
        <f t="shared" si="110"/>
        <v>931.62800000000027</v>
      </c>
      <c r="O80" s="482">
        <f t="shared" ref="O80:V80" si="111">(1-O79)*O78</f>
        <v>788.55399999999963</v>
      </c>
      <c r="P80" s="482">
        <f t="shared" si="111"/>
        <v>861.60799999999949</v>
      </c>
      <c r="Q80" s="482">
        <f t="shared" si="111"/>
        <v>994.44458524276445</v>
      </c>
      <c r="R80" s="482">
        <f t="shared" si="111"/>
        <v>1286.1690000000006</v>
      </c>
      <c r="S80" s="482">
        <f t="shared" si="111"/>
        <v>1481.9350000000004</v>
      </c>
      <c r="T80" s="482">
        <f t="shared" si="111"/>
        <v>1744.0559999999991</v>
      </c>
      <c r="U80" s="482">
        <f t="shared" si="111"/>
        <v>1990.4036286519304</v>
      </c>
      <c r="V80" s="482">
        <f t="shared" si="111"/>
        <v>2159.8357293067211</v>
      </c>
      <c r="W80" s="482">
        <f t="shared" ref="W80:X80" si="112">(1-W79)*W78</f>
        <v>2190.7495616288397</v>
      </c>
      <c r="X80" s="482">
        <f t="shared" si="112"/>
        <v>2242.0486544225932</v>
      </c>
    </row>
    <row r="81" spans="1:24">
      <c r="A81" s="471" t="s">
        <v>571</v>
      </c>
      <c r="B81" s="482"/>
      <c r="C81" s="482">
        <f>C28</f>
        <v>288.97399999999999</v>
      </c>
      <c r="D81" s="482">
        <f t="shared" ref="D81:N81" si="113">D28</f>
        <v>278.56099999999998</v>
      </c>
      <c r="E81" s="482">
        <f t="shared" si="113"/>
        <v>278.56099999999998</v>
      </c>
      <c r="F81" s="482">
        <f t="shared" si="113"/>
        <v>278.56099999999998</v>
      </c>
      <c r="G81" s="482">
        <f t="shared" si="113"/>
        <v>278.56099999999998</v>
      </c>
      <c r="H81" s="482">
        <f t="shared" si="113"/>
        <v>283.13299999999998</v>
      </c>
      <c r="I81" s="482">
        <f t="shared" si="113"/>
        <v>721.51400000000001</v>
      </c>
      <c r="J81" s="482">
        <f t="shared" si="113"/>
        <v>797.79100000000005</v>
      </c>
      <c r="K81" s="482">
        <f t="shared" si="113"/>
        <v>779.24599999999998</v>
      </c>
      <c r="L81" s="482">
        <f t="shared" si="113"/>
        <v>792.37300000000005</v>
      </c>
      <c r="M81" s="482">
        <f t="shared" si="113"/>
        <v>759.32799999999997</v>
      </c>
      <c r="N81" s="482">
        <f t="shared" si="113"/>
        <v>746.53700000000003</v>
      </c>
      <c r="O81" s="482">
        <f t="shared" ref="O81:T81" si="114">O28</f>
        <v>432.97500000000002</v>
      </c>
      <c r="P81" s="482">
        <f t="shared" si="114"/>
        <v>439.23099999999999</v>
      </c>
      <c r="Q81" s="482">
        <f t="shared" si="114"/>
        <v>420.54199999999997</v>
      </c>
      <c r="R81" s="482">
        <f t="shared" si="114"/>
        <v>286.76400000000001</v>
      </c>
      <c r="S81" s="482">
        <f t="shared" si="114"/>
        <v>288.38600000000002</v>
      </c>
      <c r="T81" s="482">
        <f t="shared" si="114"/>
        <v>288.512</v>
      </c>
      <c r="U81" s="482">
        <f>U28</f>
        <v>288.512</v>
      </c>
      <c r="V81" s="482">
        <f>V28</f>
        <v>288.512</v>
      </c>
      <c r="W81" s="482">
        <f>W28</f>
        <v>288.512</v>
      </c>
      <c r="X81" s="482">
        <f>X28</f>
        <v>288.512</v>
      </c>
    </row>
    <row r="82" spans="1:24">
      <c r="A82" s="471" t="s">
        <v>359</v>
      </c>
      <c r="B82" s="482">
        <f t="shared" ref="B82:N82" si="115">B26</f>
        <v>3261.1559999999999</v>
      </c>
      <c r="C82" s="482">
        <f t="shared" si="115"/>
        <v>3615.915</v>
      </c>
      <c r="D82" s="482">
        <f t="shared" si="115"/>
        <v>3756.5839999999998</v>
      </c>
      <c r="E82" s="482">
        <f t="shared" si="115"/>
        <v>4034.694</v>
      </c>
      <c r="F82" s="482">
        <f t="shared" si="115"/>
        <v>4262.8970000000008</v>
      </c>
      <c r="G82" s="482">
        <f t="shared" si="115"/>
        <v>4804.5200000000004</v>
      </c>
      <c r="H82" s="482">
        <f t="shared" si="115"/>
        <v>5554.4650000000001</v>
      </c>
      <c r="I82" s="482">
        <f>I26</f>
        <v>6091.5749999999998</v>
      </c>
      <c r="J82" s="482">
        <f>J26</f>
        <v>6757.3586500000001</v>
      </c>
      <c r="K82" s="482">
        <f>K26</f>
        <v>6805.8469999999998</v>
      </c>
      <c r="L82" s="482">
        <f t="shared" si="115"/>
        <v>7499.7169999999996</v>
      </c>
      <c r="M82" s="482">
        <f t="shared" si="115"/>
        <v>7942.5019999999995</v>
      </c>
      <c r="N82" s="482">
        <f t="shared" si="115"/>
        <v>8407.8230000000003</v>
      </c>
      <c r="O82" s="482">
        <f t="shared" ref="O82:V82" si="116">O26</f>
        <v>8308.7489999999998</v>
      </c>
      <c r="P82" s="482">
        <f t="shared" si="116"/>
        <v>8814.7183000000005</v>
      </c>
      <c r="Q82" s="482">
        <f t="shared" si="116"/>
        <v>8453.1463699999986</v>
      </c>
      <c r="R82" s="482">
        <f t="shared" si="116"/>
        <v>8701.9464399999997</v>
      </c>
      <c r="S82" s="482">
        <f t="shared" si="116"/>
        <v>9121.4120000000003</v>
      </c>
      <c r="T82" s="482">
        <f t="shared" si="116"/>
        <v>10702.303</v>
      </c>
      <c r="U82" s="482">
        <f t="shared" si="116"/>
        <v>11765.33736447644</v>
      </c>
      <c r="V82" s="482">
        <f t="shared" si="116"/>
        <v>12212.627563367963</v>
      </c>
      <c r="W82" s="482">
        <f t="shared" ref="W82:X82" si="117">W26</f>
        <v>12631.616052701946</v>
      </c>
      <c r="X82" s="482">
        <f t="shared" si="117"/>
        <v>13031.183159289634</v>
      </c>
    </row>
    <row r="83" spans="1:24">
      <c r="A83" s="471" t="s">
        <v>612</v>
      </c>
      <c r="B83" s="482">
        <f t="shared" ref="B83:N83" si="118">B56</f>
        <v>2278.7069999999994</v>
      </c>
      <c r="C83" s="482">
        <f t="shared" si="118"/>
        <v>3232.2859999999996</v>
      </c>
      <c r="D83" s="482">
        <f t="shared" si="118"/>
        <v>4918.9339999999993</v>
      </c>
      <c r="E83" s="482">
        <f t="shared" si="118"/>
        <v>5202.2539999999981</v>
      </c>
      <c r="F83" s="482">
        <f>F56</f>
        <v>5505.7089999999989</v>
      </c>
      <c r="G83" s="482">
        <f t="shared" si="118"/>
        <v>5103.7190000000001</v>
      </c>
      <c r="H83" s="482">
        <f t="shared" si="118"/>
        <v>4029.7429999999986</v>
      </c>
      <c r="I83" s="482">
        <f t="shared" si="118"/>
        <v>5309.5769999999993</v>
      </c>
      <c r="J83" s="482">
        <f>J56</f>
        <v>5467.8419999999987</v>
      </c>
      <c r="K83" s="482">
        <f>K56</f>
        <v>6608.9309999999996</v>
      </c>
      <c r="L83" s="482">
        <f t="shared" si="118"/>
        <v>8135.1510000000007</v>
      </c>
      <c r="M83" s="482">
        <f>M56</f>
        <v>8730.1870000000017</v>
      </c>
      <c r="N83" s="482">
        <f t="shared" si="118"/>
        <v>8233.6670000000013</v>
      </c>
      <c r="O83" s="482">
        <f t="shared" ref="O83:V83" si="119">O56</f>
        <v>8295.0917000000009</v>
      </c>
      <c r="P83" s="482">
        <f t="shared" si="119"/>
        <v>7863.6637000000001</v>
      </c>
      <c r="Q83" s="482">
        <f t="shared" si="119"/>
        <v>8352.9056310644173</v>
      </c>
      <c r="R83" s="482">
        <f t="shared" si="119"/>
        <v>8558.4485621288313</v>
      </c>
      <c r="S83" s="482">
        <f t="shared" si="119"/>
        <v>9383.4265621288305</v>
      </c>
      <c r="T83" s="482">
        <f t="shared" si="119"/>
        <v>7476.8565621288317</v>
      </c>
      <c r="U83" s="482">
        <f t="shared" si="119"/>
        <v>8249.0042602097092</v>
      </c>
      <c r="V83" s="482">
        <f t="shared" si="119"/>
        <v>8113.4594861420719</v>
      </c>
      <c r="W83" s="482">
        <f t="shared" ref="W83:X83" si="120">W56</f>
        <v>8594.9641475415083</v>
      </c>
      <c r="X83" s="482">
        <f t="shared" si="120"/>
        <v>8871.8677179572751</v>
      </c>
    </row>
    <row r="84" spans="1:24">
      <c r="A84" s="471" t="s">
        <v>97</v>
      </c>
      <c r="B84" s="482">
        <f>SUM(B82:B83)</f>
        <v>5539.8629999999994</v>
      </c>
      <c r="C84" s="482">
        <f>C82+C83-C81</f>
        <v>6559.226999999999</v>
      </c>
      <c r="D84" s="482">
        <f t="shared" ref="D84:N84" si="121">D82+D83-D81</f>
        <v>8396.9570000000003</v>
      </c>
      <c r="E84" s="482">
        <f t="shared" si="121"/>
        <v>8958.3869999999988</v>
      </c>
      <c r="F84" s="482">
        <f>F82+F83-F81</f>
        <v>9490.0450000000001</v>
      </c>
      <c r="G84" s="482">
        <f t="shared" si="121"/>
        <v>9629.6780000000017</v>
      </c>
      <c r="H84" s="482">
        <f t="shared" si="121"/>
        <v>9301.0749999999989</v>
      </c>
      <c r="I84" s="482">
        <f>I82+I83-I81</f>
        <v>10679.637999999999</v>
      </c>
      <c r="J84" s="482">
        <f>J82+J83-J81</f>
        <v>11427.40965</v>
      </c>
      <c r="K84" s="482">
        <f>K82+K83-K81</f>
        <v>12635.531999999999</v>
      </c>
      <c r="L84" s="482">
        <f t="shared" si="121"/>
        <v>14842.495000000001</v>
      </c>
      <c r="M84" s="482">
        <f>M82+M83-M81</f>
        <v>15913.361000000003</v>
      </c>
      <c r="N84" s="482">
        <f t="shared" si="121"/>
        <v>15894.953000000001</v>
      </c>
      <c r="O84" s="482">
        <f t="shared" ref="O84:V84" si="122">O82+O83-O81</f>
        <v>16170.8657</v>
      </c>
      <c r="P84" s="482">
        <f t="shared" si="122"/>
        <v>16239.151000000002</v>
      </c>
      <c r="Q84" s="482">
        <f t="shared" si="122"/>
        <v>16385.510001064416</v>
      </c>
      <c r="R84" s="482">
        <f t="shared" si="122"/>
        <v>16973.631002128834</v>
      </c>
      <c r="S84" s="482">
        <f t="shared" si="122"/>
        <v>18216.452562128834</v>
      </c>
      <c r="T84" s="482">
        <f t="shared" si="122"/>
        <v>17890.647562128834</v>
      </c>
      <c r="U84" s="482">
        <f t="shared" si="122"/>
        <v>19725.82962468615</v>
      </c>
      <c r="V84" s="482">
        <f t="shared" si="122"/>
        <v>20037.575049510036</v>
      </c>
      <c r="W84" s="482">
        <f t="shared" ref="W84:X84" si="123">W82+W83-W81</f>
        <v>20938.068200243455</v>
      </c>
      <c r="X84" s="482">
        <f t="shared" si="123"/>
        <v>21614.538877246912</v>
      </c>
    </row>
    <row r="85" spans="1:24">
      <c r="A85" s="471" t="s">
        <v>360</v>
      </c>
      <c r="B85" s="482"/>
      <c r="C85" s="482">
        <f t="shared" ref="C85:X85" si="124">C84*0.5+B84*0.5</f>
        <v>6049.5449999999992</v>
      </c>
      <c r="D85" s="482">
        <f t="shared" si="124"/>
        <v>7478.0919999999996</v>
      </c>
      <c r="E85" s="482">
        <f t="shared" si="124"/>
        <v>8677.6719999999987</v>
      </c>
      <c r="F85" s="482">
        <f t="shared" si="124"/>
        <v>9224.2160000000003</v>
      </c>
      <c r="G85" s="482">
        <f t="shared" si="124"/>
        <v>9559.8615000000009</v>
      </c>
      <c r="H85" s="482">
        <f t="shared" si="124"/>
        <v>9465.3765000000003</v>
      </c>
      <c r="I85" s="482">
        <f t="shared" si="124"/>
        <v>9990.3564999999981</v>
      </c>
      <c r="J85" s="482">
        <f t="shared" si="124"/>
        <v>11053.523825</v>
      </c>
      <c r="K85" s="482">
        <f t="shared" si="124"/>
        <v>12031.470825</v>
      </c>
      <c r="L85" s="482">
        <f t="shared" si="124"/>
        <v>13739.013500000001</v>
      </c>
      <c r="M85" s="482">
        <f t="shared" si="124"/>
        <v>15377.928000000002</v>
      </c>
      <c r="N85" s="482">
        <f t="shared" si="124"/>
        <v>15904.157000000003</v>
      </c>
      <c r="O85" s="482">
        <f t="shared" si="124"/>
        <v>16032.909350000002</v>
      </c>
      <c r="P85" s="482">
        <f t="shared" si="124"/>
        <v>16205.00835</v>
      </c>
      <c r="Q85" s="482">
        <f t="shared" si="124"/>
        <v>16312.330500532209</v>
      </c>
      <c r="R85" s="482">
        <f t="shared" si="124"/>
        <v>16679.570501596623</v>
      </c>
      <c r="S85" s="482">
        <f t="shared" si="124"/>
        <v>17595.041782128836</v>
      </c>
      <c r="T85" s="482">
        <f t="shared" si="124"/>
        <v>18053.550062128834</v>
      </c>
      <c r="U85" s="482">
        <f t="shared" si="124"/>
        <v>18808.238593407492</v>
      </c>
      <c r="V85" s="482">
        <f t="shared" si="124"/>
        <v>19881.702337098093</v>
      </c>
      <c r="W85" s="482">
        <f t="shared" si="124"/>
        <v>20487.821624876746</v>
      </c>
      <c r="X85" s="482">
        <f t="shared" si="124"/>
        <v>21276.303538745182</v>
      </c>
    </row>
    <row r="86" spans="1:24">
      <c r="A86" s="471" t="s">
        <v>794</v>
      </c>
      <c r="B86" s="482"/>
      <c r="C86" s="482"/>
      <c r="D86" s="482"/>
      <c r="E86" s="482"/>
      <c r="F86" s="482"/>
      <c r="G86" s="482"/>
      <c r="H86" s="597">
        <f t="shared" ref="H86:L86" si="125">H39/H40</f>
        <v>1.102966079511728</v>
      </c>
      <c r="I86" s="597">
        <f t="shared" si="125"/>
        <v>1.102623188842986</v>
      </c>
      <c r="J86" s="597">
        <f t="shared" si="125"/>
        <v>1.0666120509625729</v>
      </c>
      <c r="K86" s="597">
        <f t="shared" si="125"/>
        <v>1.0742425404561635</v>
      </c>
      <c r="L86" s="597">
        <f t="shared" si="125"/>
        <v>0.6154837960266123</v>
      </c>
      <c r="M86" s="597">
        <f>M39/M40</f>
        <v>0.78502332591663604</v>
      </c>
      <c r="N86" s="597">
        <f t="shared" ref="N86:W86" si="126">N39/N40</f>
        <v>0.85286240759778709</v>
      </c>
      <c r="O86" s="597">
        <f t="shared" si="126"/>
        <v>0.74726985699502624</v>
      </c>
      <c r="P86" s="597">
        <f t="shared" si="126"/>
        <v>0.75192187626267193</v>
      </c>
      <c r="Q86" s="597">
        <f t="shared" si="126"/>
        <v>0.79118637055109908</v>
      </c>
      <c r="R86" s="597">
        <f t="shared" si="126"/>
        <v>0.95014767326575666</v>
      </c>
      <c r="S86" s="597">
        <f t="shared" si="126"/>
        <v>1.0773215730185239</v>
      </c>
      <c r="T86" s="597">
        <f t="shared" si="126"/>
        <v>1.1226921143719588</v>
      </c>
      <c r="U86" s="597">
        <f t="shared" si="126"/>
        <v>1.2478868864517221</v>
      </c>
      <c r="V86" s="597">
        <f t="shared" si="126"/>
        <v>1.282360630831904</v>
      </c>
      <c r="W86" s="597">
        <f t="shared" si="126"/>
        <v>1.2793686262320647</v>
      </c>
      <c r="X86" s="597">
        <f t="shared" ref="X86" si="127">X39/X40</f>
        <v>1.2742938147962481</v>
      </c>
    </row>
    <row r="87" spans="1:24">
      <c r="A87" s="469" t="s">
        <v>98</v>
      </c>
      <c r="B87" s="528"/>
      <c r="C87" s="528">
        <f t="shared" ref="C87:V87" si="128">C80/C85</f>
        <v>9.4145923371096479E-2</v>
      </c>
      <c r="D87" s="528">
        <f t="shared" si="128"/>
        <v>6.0925300196895148E-2</v>
      </c>
      <c r="E87" s="528">
        <f t="shared" si="128"/>
        <v>6.5798177206974451E-2</v>
      </c>
      <c r="F87" s="528">
        <f t="shared" si="128"/>
        <v>5.7014601566138585E-2</v>
      </c>
      <c r="G87" s="528">
        <f t="shared" si="128"/>
        <v>7.8828443278179283E-2</v>
      </c>
      <c r="H87" s="528">
        <f t="shared" si="128"/>
        <v>9.2079274395477029E-2</v>
      </c>
      <c r="I87" s="528">
        <f t="shared" si="128"/>
        <v>8.5927464150053118E-2</v>
      </c>
      <c r="J87" s="528">
        <f t="shared" si="128"/>
        <v>8.1542683968476498E-2</v>
      </c>
      <c r="K87" s="528">
        <f t="shared" si="128"/>
        <v>6.9146159443062058E-2</v>
      </c>
      <c r="L87" s="528">
        <f t="shared" si="128"/>
        <v>3.5556483003674123E-2</v>
      </c>
      <c r="M87" s="528">
        <f t="shared" si="128"/>
        <v>5.2193832615161112E-2</v>
      </c>
      <c r="N87" s="528">
        <f t="shared" si="128"/>
        <v>5.8577641053216473E-2</v>
      </c>
      <c r="O87" s="528">
        <f t="shared" si="128"/>
        <v>4.9183462763107283E-2</v>
      </c>
      <c r="P87" s="528">
        <f t="shared" si="128"/>
        <v>5.3169241347536825E-2</v>
      </c>
      <c r="Q87" s="528">
        <f t="shared" si="128"/>
        <v>6.0962753618210443E-2</v>
      </c>
      <c r="R87" s="528">
        <f t="shared" si="128"/>
        <v>7.7110438777598281E-2</v>
      </c>
      <c r="S87" s="528">
        <f t="shared" si="128"/>
        <v>8.422457976230506E-2</v>
      </c>
      <c r="T87" s="528">
        <f t="shared" si="128"/>
        <v>9.6604600978647856E-2</v>
      </c>
      <c r="U87" s="528">
        <f t="shared" si="128"/>
        <v>0.10582615797683416</v>
      </c>
      <c r="V87" s="528">
        <f t="shared" si="128"/>
        <v>0.10863434592703836</v>
      </c>
      <c r="W87" s="528">
        <f t="shared" ref="W87:X87" si="129">W80/W85</f>
        <v>0.10692935548446914</v>
      </c>
      <c r="X87" s="528">
        <f t="shared" si="129"/>
        <v>0.10537773398183166</v>
      </c>
    </row>
    <row r="88" spans="1:24">
      <c r="A88" s="471"/>
      <c r="B88" s="471"/>
      <c r="C88" s="471"/>
      <c r="D88" s="471"/>
      <c r="E88" s="471"/>
      <c r="F88" s="471"/>
      <c r="G88" s="471"/>
      <c r="H88" s="471"/>
      <c r="I88" s="471"/>
      <c r="J88" s="471"/>
      <c r="K88" s="471"/>
      <c r="L88" s="471"/>
      <c r="M88" s="471"/>
      <c r="N88" s="471"/>
      <c r="O88" s="471"/>
      <c r="P88" s="471"/>
      <c r="Q88" s="471"/>
      <c r="R88" s="471"/>
      <c r="S88" s="471"/>
      <c r="T88" s="471"/>
      <c r="U88" s="471"/>
      <c r="V88" s="471"/>
      <c r="W88" s="471"/>
      <c r="X88" s="471"/>
    </row>
    <row r="89" spans="1:24">
      <c r="A89" s="530" t="s">
        <v>361</v>
      </c>
      <c r="B89" s="471"/>
      <c r="C89" s="471"/>
      <c r="D89" s="471"/>
      <c r="E89" s="471"/>
      <c r="F89" s="471"/>
      <c r="G89" s="471"/>
      <c r="H89" s="471"/>
      <c r="I89" s="471"/>
      <c r="J89" s="471"/>
      <c r="K89" s="471"/>
      <c r="L89" s="471"/>
      <c r="M89" s="471"/>
      <c r="N89" s="471"/>
      <c r="O89" s="471"/>
      <c r="P89" s="471"/>
      <c r="Q89" s="471"/>
      <c r="R89" s="471"/>
      <c r="S89" s="471"/>
      <c r="T89" s="471"/>
      <c r="U89" s="471"/>
      <c r="V89" s="471"/>
      <c r="W89" s="471"/>
      <c r="X89" s="471"/>
    </row>
    <row r="90" spans="1:24">
      <c r="A90" s="471" t="s">
        <v>356</v>
      </c>
      <c r="B90" s="483"/>
      <c r="C90" s="483">
        <f t="shared" ref="C90:N90" si="130">C78</f>
        <v>569.53999999999974</v>
      </c>
      <c r="D90" s="483">
        <f t="shared" si="130"/>
        <v>455.60500000000002</v>
      </c>
      <c r="E90" s="483">
        <f t="shared" si="130"/>
        <v>570.97500000000036</v>
      </c>
      <c r="F90" s="483">
        <f t="shared" si="130"/>
        <v>525.91500000000065</v>
      </c>
      <c r="G90" s="483">
        <f t="shared" si="130"/>
        <v>753.58899999999994</v>
      </c>
      <c r="H90" s="483">
        <f t="shared" si="130"/>
        <v>871.56500000000005</v>
      </c>
      <c r="I90" s="483">
        <f t="shared" si="130"/>
        <v>858.44599999999991</v>
      </c>
      <c r="J90" s="483">
        <f t="shared" si="130"/>
        <v>901.33400000000051</v>
      </c>
      <c r="K90" s="483">
        <f t="shared" si="130"/>
        <v>831.9299999999995</v>
      </c>
      <c r="L90" s="483">
        <f t="shared" si="130"/>
        <v>488.5109999999994</v>
      </c>
      <c r="M90" s="483">
        <f t="shared" si="130"/>
        <v>802.63299999999936</v>
      </c>
      <c r="N90" s="483">
        <f t="shared" si="130"/>
        <v>931.62800000000027</v>
      </c>
      <c r="O90" s="483">
        <f t="shared" ref="O90:V90" si="131">O78</f>
        <v>788.55399999999963</v>
      </c>
      <c r="P90" s="483">
        <f t="shared" si="131"/>
        <v>861.60799999999949</v>
      </c>
      <c r="Q90" s="483">
        <f t="shared" si="131"/>
        <v>978.43999999999937</v>
      </c>
      <c r="R90" s="483">
        <f t="shared" si="131"/>
        <v>1286.1690000000006</v>
      </c>
      <c r="S90" s="483">
        <f t="shared" si="131"/>
        <v>1481.9350000000004</v>
      </c>
      <c r="T90" s="483">
        <f t="shared" si="131"/>
        <v>1744.0559999999991</v>
      </c>
      <c r="U90" s="483">
        <f t="shared" si="131"/>
        <v>1990.4036286519304</v>
      </c>
      <c r="V90" s="483">
        <f t="shared" si="131"/>
        <v>2159.8357293067211</v>
      </c>
      <c r="W90" s="483">
        <f t="shared" ref="W90:X90" si="132">W78</f>
        <v>2190.7495616288397</v>
      </c>
      <c r="X90" s="483">
        <f t="shared" si="132"/>
        <v>2242.0486544225932</v>
      </c>
    </row>
    <row r="91" spans="1:24">
      <c r="A91" s="471" t="s">
        <v>424</v>
      </c>
      <c r="B91" s="539"/>
      <c r="C91" s="483">
        <v>445.36299999999989</v>
      </c>
      <c r="D91" s="483">
        <v>254.45699999999997</v>
      </c>
      <c r="E91" s="483">
        <v>351.28400000000011</v>
      </c>
      <c r="F91" s="483">
        <v>280.39400000000063</v>
      </c>
      <c r="G91" s="483">
        <v>474.68899999999996</v>
      </c>
      <c r="H91" s="483">
        <v>715.95600000000002</v>
      </c>
      <c r="I91" s="483">
        <v>633.92199999999991</v>
      </c>
      <c r="J91" s="483">
        <v>603.40400000000045</v>
      </c>
      <c r="K91" s="483">
        <v>573.66799999999944</v>
      </c>
      <c r="L91" s="483">
        <v>152.48499999999945</v>
      </c>
      <c r="M91" s="483">
        <v>515.65299999999934</v>
      </c>
      <c r="N91" s="483">
        <v>607.42100000000028</v>
      </c>
      <c r="O91" s="483">
        <v>18.29899999999958</v>
      </c>
      <c r="P91" s="483">
        <v>563.09599999999955</v>
      </c>
      <c r="Q91" s="483">
        <v>440.30799999999948</v>
      </c>
      <c r="R91" s="483">
        <v>665.78300000000058</v>
      </c>
      <c r="S91" s="483">
        <v>1279.9710000000005</v>
      </c>
      <c r="T91" s="483">
        <v>1625.0929999999992</v>
      </c>
      <c r="U91" s="483">
        <v>1892.8843271216008</v>
      </c>
      <c r="V91" s="483">
        <v>2042.7971134463608</v>
      </c>
      <c r="W91" s="483">
        <v>2048.4604501830145</v>
      </c>
      <c r="X91" s="483">
        <v>2063.8420538442051</v>
      </c>
    </row>
    <row r="92" spans="1:24">
      <c r="A92" s="471" t="s">
        <v>439</v>
      </c>
      <c r="B92" s="539"/>
      <c r="C92" s="483">
        <v>703.31600000000014</v>
      </c>
      <c r="D92" s="483">
        <v>633.68899999999996</v>
      </c>
      <c r="E92" s="483">
        <v>870.47</v>
      </c>
      <c r="F92" s="483">
        <v>857.80300000000011</v>
      </c>
      <c r="G92" s="483">
        <v>1076.6289999999999</v>
      </c>
      <c r="H92" s="483">
        <v>1111.3600000000001</v>
      </c>
      <c r="I92" s="483">
        <v>930.60400000000004</v>
      </c>
      <c r="J92" s="483">
        <v>1266.8830000000005</v>
      </c>
      <c r="K92" s="483">
        <v>1069.4499999999991</v>
      </c>
      <c r="L92" s="483">
        <v>834.94499999999948</v>
      </c>
      <c r="M92" s="483">
        <v>1663.0189999999993</v>
      </c>
      <c r="N92" s="483">
        <v>1455.7390000000005</v>
      </c>
      <c r="O92" s="483">
        <v>1381.7342999999996</v>
      </c>
      <c r="P92" s="483">
        <v>1418.521</v>
      </c>
      <c r="Q92" s="483">
        <v>1712.7059999999992</v>
      </c>
      <c r="R92" s="483">
        <v>1885.2050000000006</v>
      </c>
      <c r="S92" s="483">
        <v>2540.8539999999998</v>
      </c>
      <c r="T92" s="483">
        <v>3006.2469999999994</v>
      </c>
      <c r="U92" s="483">
        <v>3037.9158024826179</v>
      </c>
      <c r="V92" s="483">
        <v>3363.5379274801521</v>
      </c>
      <c r="W92" s="483">
        <v>3400.2549975795091</v>
      </c>
      <c r="X92" s="483">
        <v>3654.7171194724838</v>
      </c>
    </row>
    <row r="93" spans="1:24">
      <c r="A93" s="471" t="s">
        <v>362</v>
      </c>
      <c r="B93" s="539"/>
      <c r="C93" s="539">
        <v>-231.048</v>
      </c>
      <c r="D93" s="539">
        <v>-301.17399999999998</v>
      </c>
      <c r="E93" s="539">
        <v>-339.09999999999997</v>
      </c>
      <c r="F93" s="483">
        <v>-100</v>
      </c>
      <c r="G93" s="539">
        <v>-120</v>
      </c>
      <c r="H93" s="539">
        <v>-350</v>
      </c>
      <c r="I93" s="539">
        <f>J93</f>
        <v>-300</v>
      </c>
      <c r="J93" s="539">
        <v>-300</v>
      </c>
      <c r="K93" s="539">
        <f>J93</f>
        <v>-300</v>
      </c>
      <c r="L93" s="539">
        <v>-345</v>
      </c>
      <c r="M93" s="539">
        <v>-353.28500000000003</v>
      </c>
      <c r="N93" s="539">
        <v>-414.34699999999987</v>
      </c>
      <c r="O93" s="539">
        <v>-501.7299999999999</v>
      </c>
      <c r="P93" s="539">
        <v>-620.25800000000004</v>
      </c>
      <c r="Q93" s="539">
        <v>-350</v>
      </c>
      <c r="R93" s="539">
        <v>-350</v>
      </c>
      <c r="S93" s="539">
        <v>-544.35852899999998</v>
      </c>
      <c r="T93" s="539">
        <v>-532.84986000000004</v>
      </c>
      <c r="U93" s="539">
        <v>-580.21353791833508</v>
      </c>
      <c r="V93" s="539">
        <v>-590.48623885767574</v>
      </c>
      <c r="W93" s="539">
        <v>-609.28769812991266</v>
      </c>
      <c r="X93" s="539">
        <v>-624.34574263173499</v>
      </c>
    </row>
    <row r="94" spans="1:24">
      <c r="A94" s="469" t="s">
        <v>363</v>
      </c>
      <c r="B94" s="540"/>
      <c r="C94" s="540">
        <f t="shared" ref="C94:N94" si="133">SUM(C92:C93)</f>
        <v>472.26800000000014</v>
      </c>
      <c r="D94" s="540">
        <f t="shared" si="133"/>
        <v>332.51499999999999</v>
      </c>
      <c r="E94" s="540">
        <f t="shared" si="133"/>
        <v>531.37000000000012</v>
      </c>
      <c r="F94" s="540">
        <f t="shared" si="133"/>
        <v>757.80300000000011</v>
      </c>
      <c r="G94" s="540">
        <f t="shared" si="133"/>
        <v>956.62899999999991</v>
      </c>
      <c r="H94" s="540">
        <f t="shared" si="133"/>
        <v>761.36000000000013</v>
      </c>
      <c r="I94" s="540">
        <f t="shared" si="133"/>
        <v>630.60400000000004</v>
      </c>
      <c r="J94" s="540">
        <f t="shared" si="133"/>
        <v>966.88300000000049</v>
      </c>
      <c r="K94" s="540">
        <f t="shared" si="133"/>
        <v>769.44999999999914</v>
      </c>
      <c r="L94" s="540">
        <f>SUM(L92:L93)</f>
        <v>489.94499999999948</v>
      </c>
      <c r="M94" s="540">
        <f>SUM(M92:M93)</f>
        <v>1309.7339999999992</v>
      </c>
      <c r="N94" s="540">
        <f t="shared" si="133"/>
        <v>1041.3920000000007</v>
      </c>
      <c r="O94" s="540">
        <f t="shared" ref="O94:V94" si="134">SUM(O92:O93)</f>
        <v>880.00429999999972</v>
      </c>
      <c r="P94" s="540">
        <f t="shared" si="134"/>
        <v>798.26299999999992</v>
      </c>
      <c r="Q94" s="540">
        <f t="shared" si="134"/>
        <v>1362.7059999999992</v>
      </c>
      <c r="R94" s="540">
        <f t="shared" si="134"/>
        <v>1535.2050000000006</v>
      </c>
      <c r="S94" s="540">
        <f t="shared" si="134"/>
        <v>1996.4954709999997</v>
      </c>
      <c r="T94" s="540">
        <f t="shared" si="134"/>
        <v>2473.3971399999991</v>
      </c>
      <c r="U94" s="540">
        <f t="shared" si="134"/>
        <v>2457.7022645642828</v>
      </c>
      <c r="V94" s="540">
        <f t="shared" si="134"/>
        <v>2773.0516886224764</v>
      </c>
      <c r="W94" s="540">
        <f t="shared" ref="W94:X94" si="135">SUM(W92:W93)</f>
        <v>2790.9672994495963</v>
      </c>
      <c r="X94" s="540">
        <f t="shared" si="135"/>
        <v>3030.3713768407488</v>
      </c>
    </row>
    <row r="95" spans="1:24">
      <c r="A95" s="471" t="s">
        <v>364</v>
      </c>
      <c r="B95" s="539"/>
      <c r="C95" s="539">
        <f t="shared" ref="C95:R95" si="136">-(C45+C93)</f>
        <v>-1333.3819999999998</v>
      </c>
      <c r="D95" s="539">
        <f t="shared" si="136"/>
        <v>-1482.798</v>
      </c>
      <c r="E95" s="539">
        <f t="shared" si="136"/>
        <v>-357.16599999999988</v>
      </c>
      <c r="F95" s="539">
        <f t="shared" si="136"/>
        <v>-929.53</v>
      </c>
      <c r="G95" s="539">
        <f t="shared" si="136"/>
        <v>-510.67000000000007</v>
      </c>
      <c r="H95" s="539">
        <f t="shared" si="136"/>
        <v>-79.898000000000025</v>
      </c>
      <c r="I95" s="539">
        <f t="shared" si="136"/>
        <v>-880.57899999999995</v>
      </c>
      <c r="J95" s="539">
        <f t="shared" si="136"/>
        <v>-1017.3810000000001</v>
      </c>
      <c r="K95" s="539">
        <f t="shared" si="136"/>
        <v>-1923.5340000000001</v>
      </c>
      <c r="L95" s="539">
        <f t="shared" si="136"/>
        <v>-2132.549</v>
      </c>
      <c r="M95" s="539">
        <f t="shared" si="136"/>
        <v>-1833.9039999999998</v>
      </c>
      <c r="N95" s="539">
        <f t="shared" si="136"/>
        <v>-759.27900000000011</v>
      </c>
      <c r="O95" s="539">
        <f t="shared" si="136"/>
        <v>-789.76900000000012</v>
      </c>
      <c r="P95" s="539">
        <f t="shared" si="136"/>
        <v>-143.51900000000001</v>
      </c>
      <c r="Q95" s="539">
        <f t="shared" si="136"/>
        <v>-1461.3979999999999</v>
      </c>
      <c r="R95" s="539">
        <f t="shared" si="136"/>
        <v>-1263.3399999999999</v>
      </c>
      <c r="S95" s="539">
        <f t="shared" ref="S95:X95" si="137">-(S45+S93)</f>
        <v>-1950.0044709999997</v>
      </c>
      <c r="T95" s="539">
        <f t="shared" si="137"/>
        <v>-31.288139999999999</v>
      </c>
      <c r="U95" s="539">
        <f t="shared" si="137"/>
        <v>-2800</v>
      </c>
      <c r="V95" s="539">
        <f t="shared" si="137"/>
        <v>-1542</v>
      </c>
      <c r="W95" s="539">
        <f t="shared" si="137"/>
        <v>-1943</v>
      </c>
      <c r="X95" s="539">
        <f t="shared" si="137"/>
        <v>-1943</v>
      </c>
    </row>
    <row r="96" spans="1:24">
      <c r="A96" s="471" t="s">
        <v>365</v>
      </c>
      <c r="B96" s="539"/>
      <c r="C96" s="539"/>
      <c r="D96" s="539"/>
      <c r="E96" s="539"/>
      <c r="F96" s="483"/>
      <c r="G96" s="539"/>
      <c r="H96" s="539"/>
      <c r="I96" s="539"/>
      <c r="J96" s="539"/>
      <c r="K96" s="539"/>
      <c r="L96" s="539"/>
      <c r="M96" s="539"/>
      <c r="N96" s="539"/>
      <c r="O96" s="539"/>
      <c r="P96" s="539"/>
      <c r="Q96" s="539"/>
      <c r="R96" s="539"/>
      <c r="S96" s="539"/>
      <c r="T96" s="539"/>
      <c r="U96" s="539"/>
      <c r="V96" s="539"/>
      <c r="W96" s="539"/>
      <c r="X96" s="539"/>
    </row>
    <row r="97" spans="1:24">
      <c r="A97" s="471" t="s">
        <v>422</v>
      </c>
      <c r="B97" s="539"/>
      <c r="C97" s="539"/>
      <c r="D97" s="539"/>
      <c r="E97" s="539"/>
      <c r="F97" s="483"/>
      <c r="G97" s="539"/>
      <c r="H97" s="539"/>
      <c r="I97" s="539"/>
      <c r="J97" s="539"/>
      <c r="K97" s="539"/>
      <c r="L97" s="539"/>
      <c r="M97" s="539"/>
      <c r="N97" s="539"/>
      <c r="O97" s="539"/>
      <c r="P97" s="539"/>
      <c r="Q97" s="539"/>
      <c r="R97" s="539"/>
      <c r="S97" s="539"/>
      <c r="T97" s="539"/>
      <c r="U97" s="539"/>
      <c r="V97" s="539"/>
      <c r="W97" s="539"/>
      <c r="X97" s="539"/>
    </row>
    <row r="98" spans="1:24">
      <c r="A98" s="469" t="s">
        <v>366</v>
      </c>
      <c r="B98" s="540"/>
      <c r="C98" s="540">
        <f t="shared" ref="C98:N98" si="138">SUM(C94:C97)</f>
        <v>-861.11399999999969</v>
      </c>
      <c r="D98" s="540">
        <f t="shared" si="138"/>
        <v>-1150.2829999999999</v>
      </c>
      <c r="E98" s="540">
        <f t="shared" si="138"/>
        <v>174.20400000000024</v>
      </c>
      <c r="F98" s="540">
        <f t="shared" si="138"/>
        <v>-171.72699999999986</v>
      </c>
      <c r="G98" s="540">
        <f t="shared" si="138"/>
        <v>445.95899999999983</v>
      </c>
      <c r="H98" s="540">
        <f t="shared" si="138"/>
        <v>681.4620000000001</v>
      </c>
      <c r="I98" s="540">
        <f t="shared" si="138"/>
        <v>-249.97499999999991</v>
      </c>
      <c r="J98" s="540">
        <f t="shared" si="138"/>
        <v>-50.497999999999593</v>
      </c>
      <c r="K98" s="540">
        <f t="shared" si="138"/>
        <v>-1154.084000000001</v>
      </c>
      <c r="L98" s="540">
        <f t="shared" si="138"/>
        <v>-1642.6040000000005</v>
      </c>
      <c r="M98" s="540">
        <f t="shared" si="138"/>
        <v>-524.17000000000053</v>
      </c>
      <c r="N98" s="540">
        <f t="shared" si="138"/>
        <v>282.11300000000062</v>
      </c>
      <c r="O98" s="540">
        <f t="shared" ref="O98:V98" si="139">SUM(O94:O97)</f>
        <v>90.235299999999597</v>
      </c>
      <c r="P98" s="540">
        <f t="shared" si="139"/>
        <v>654.74399999999991</v>
      </c>
      <c r="Q98" s="540">
        <f t="shared" si="139"/>
        <v>-98.692000000000689</v>
      </c>
      <c r="R98" s="540">
        <f t="shared" si="139"/>
        <v>271.86500000000069</v>
      </c>
      <c r="S98" s="540">
        <f t="shared" si="139"/>
        <v>46.490999999999985</v>
      </c>
      <c r="T98" s="540">
        <f t="shared" si="139"/>
        <v>2442.108999999999</v>
      </c>
      <c r="U98" s="540">
        <f t="shared" si="139"/>
        <v>-342.29773543571719</v>
      </c>
      <c r="V98" s="540">
        <f t="shared" si="139"/>
        <v>1231.0516886224764</v>
      </c>
      <c r="W98" s="540">
        <f t="shared" ref="W98:X98" si="140">SUM(W94:W97)</f>
        <v>847.96729944959634</v>
      </c>
      <c r="X98" s="540">
        <f t="shared" si="140"/>
        <v>1087.3713768407488</v>
      </c>
    </row>
    <row r="99" spans="1:24">
      <c r="A99" s="471" t="s">
        <v>367</v>
      </c>
      <c r="B99" s="541"/>
      <c r="C99" s="541">
        <f t="shared" ref="C99:N99" si="141">C94/C90</f>
        <v>0.82920953752150917</v>
      </c>
      <c r="D99" s="541">
        <f t="shared" si="141"/>
        <v>0.72983176216239942</v>
      </c>
      <c r="E99" s="541">
        <f t="shared" si="141"/>
        <v>0.93063619247777885</v>
      </c>
      <c r="F99" s="541">
        <f t="shared" si="141"/>
        <v>1.4409229628361981</v>
      </c>
      <c r="G99" s="541">
        <f t="shared" si="141"/>
        <v>1.2694306843650849</v>
      </c>
      <c r="H99" s="541">
        <f t="shared" si="141"/>
        <v>0.87355504179263743</v>
      </c>
      <c r="I99" s="541">
        <f t="shared" si="141"/>
        <v>0.73458784827467316</v>
      </c>
      <c r="J99" s="541">
        <f t="shared" si="141"/>
        <v>1.0727244284582629</v>
      </c>
      <c r="K99" s="541">
        <f t="shared" si="141"/>
        <v>0.92489752743620213</v>
      </c>
      <c r="L99" s="541">
        <f t="shared" si="141"/>
        <v>1.0029354507882118</v>
      </c>
      <c r="M99" s="541">
        <f t="shared" si="141"/>
        <v>1.6317968486219734</v>
      </c>
      <c r="N99" s="541">
        <f t="shared" si="141"/>
        <v>1.1178195588797251</v>
      </c>
      <c r="O99" s="541">
        <f t="shared" ref="O99:V99" si="142">O94/O90</f>
        <v>1.1159721464858463</v>
      </c>
      <c r="P99" s="541">
        <f t="shared" si="142"/>
        <v>0.92648048764635471</v>
      </c>
      <c r="Q99" s="541">
        <f t="shared" si="142"/>
        <v>1.3927333306079066</v>
      </c>
      <c r="R99" s="541">
        <f t="shared" si="142"/>
        <v>1.1936261875383405</v>
      </c>
      <c r="S99" s="541">
        <f t="shared" si="142"/>
        <v>1.347222024582724</v>
      </c>
      <c r="T99" s="541">
        <f t="shared" si="142"/>
        <v>1.4181867669386765</v>
      </c>
      <c r="U99" s="541">
        <f t="shared" si="142"/>
        <v>1.2347758159126985</v>
      </c>
      <c r="V99" s="541">
        <f t="shared" si="142"/>
        <v>1.2839178697690077</v>
      </c>
      <c r="W99" s="541">
        <f t="shared" ref="W99:X99" si="143">W94/W90</f>
        <v>1.2739782530753949</v>
      </c>
      <c r="X99" s="541">
        <f t="shared" si="143"/>
        <v>1.35160821370363</v>
      </c>
    </row>
    <row r="100" spans="1:24">
      <c r="A100" s="471" t="s">
        <v>368</v>
      </c>
      <c r="B100" s="541"/>
      <c r="C100" s="541">
        <f t="shared" ref="C100:N100" si="144">C94/C91</f>
        <v>1.0604113947499012</v>
      </c>
      <c r="D100" s="541">
        <f t="shared" si="144"/>
        <v>1.3067630287239103</v>
      </c>
      <c r="E100" s="541">
        <f t="shared" si="144"/>
        <v>1.5126507327404606</v>
      </c>
      <c r="F100" s="541">
        <f t="shared" si="144"/>
        <v>2.7026362903628409</v>
      </c>
      <c r="G100" s="541">
        <f t="shared" si="144"/>
        <v>2.0152752644362941</v>
      </c>
      <c r="H100" s="541">
        <f t="shared" si="144"/>
        <v>1.0634173049740487</v>
      </c>
      <c r="I100" s="541">
        <f t="shared" si="144"/>
        <v>0.99476591757345556</v>
      </c>
      <c r="J100" s="541">
        <f t="shared" si="144"/>
        <v>1.6023808261131842</v>
      </c>
      <c r="K100" s="541">
        <f t="shared" si="144"/>
        <v>1.3412810196838587</v>
      </c>
      <c r="L100" s="541">
        <f t="shared" si="144"/>
        <v>3.2130701380463735</v>
      </c>
      <c r="M100" s="541">
        <f t="shared" si="144"/>
        <v>2.5399522547139277</v>
      </c>
      <c r="N100" s="541">
        <f t="shared" si="144"/>
        <v>1.7144484632569508</v>
      </c>
      <c r="O100" s="541">
        <f t="shared" ref="O100:V100" si="145">O94/O91</f>
        <v>48.090294551615926</v>
      </c>
      <c r="P100" s="541">
        <f t="shared" si="145"/>
        <v>1.4176321621890415</v>
      </c>
      <c r="Q100" s="541">
        <f t="shared" si="145"/>
        <v>3.0948926660428628</v>
      </c>
      <c r="R100" s="541">
        <f t="shared" si="145"/>
        <v>2.3058639226294444</v>
      </c>
      <c r="S100" s="541">
        <f t="shared" si="145"/>
        <v>1.5597974258791794</v>
      </c>
      <c r="T100" s="541">
        <f t="shared" si="145"/>
        <v>1.5220034422645352</v>
      </c>
      <c r="U100" s="541">
        <f t="shared" si="145"/>
        <v>1.2983900967163524</v>
      </c>
      <c r="V100" s="541">
        <f t="shared" si="145"/>
        <v>1.3574777790556587</v>
      </c>
      <c r="W100" s="541">
        <f t="shared" ref="W100:X100" si="146">W94/W91</f>
        <v>1.3624706785040661</v>
      </c>
      <c r="X100" s="541">
        <f t="shared" si="146"/>
        <v>1.4683155482737851</v>
      </c>
    </row>
    <row r="101" spans="1:24">
      <c r="A101" s="471" t="s">
        <v>369</v>
      </c>
      <c r="B101" s="541"/>
      <c r="C101" s="541">
        <f t="shared" ref="C101:M101" si="147">C94/C57</f>
        <v>9.1722391485434943E-2</v>
      </c>
      <c r="D101" s="541">
        <f t="shared" si="147"/>
        <v>8.5966493639045669E-2</v>
      </c>
      <c r="E101" s="541">
        <f t="shared" si="147"/>
        <v>0.1391499070777899</v>
      </c>
      <c r="F101" s="541">
        <f t="shared" si="147"/>
        <v>0.16262519432289851</v>
      </c>
      <c r="G101" s="495">
        <f t="shared" si="147"/>
        <v>9.3473016981052981E-2</v>
      </c>
      <c r="H101" s="495">
        <f t="shared" si="147"/>
        <v>7.1764989679399704E-2</v>
      </c>
      <c r="I101" s="495">
        <f t="shared" si="147"/>
        <v>6.9105909339671256E-2</v>
      </c>
      <c r="J101" s="495">
        <f t="shared" si="147"/>
        <v>0.11424727839682343</v>
      </c>
      <c r="K101" s="495">
        <f t="shared" si="147"/>
        <v>0.1702505877567157</v>
      </c>
      <c r="L101" s="495">
        <f>L94/L57</f>
        <v>0.14312525113633012</v>
      </c>
      <c r="M101" s="495">
        <f t="shared" si="147"/>
        <v>0.1898193955019053</v>
      </c>
      <c r="N101" s="495">
        <f t="shared" ref="N101:V101" si="148">N94/N57</f>
        <v>0.13808921878507299</v>
      </c>
      <c r="O101" s="495">
        <f t="shared" si="148"/>
        <v>0.14045981618520684</v>
      </c>
      <c r="P101" s="495">
        <f t="shared" si="148"/>
        <v>9.6811745287875228E-2</v>
      </c>
      <c r="Q101" s="495">
        <f t="shared" si="148"/>
        <v>0.10285494544205824</v>
      </c>
      <c r="R101" s="495">
        <f t="shared" si="148"/>
        <v>8.2130086282371367E-2</v>
      </c>
      <c r="S101" s="495">
        <f t="shared" si="148"/>
        <v>0.12160121375888844</v>
      </c>
      <c r="T101" s="495">
        <f t="shared" si="148"/>
        <v>0.10023739357900249</v>
      </c>
      <c r="U101" s="495">
        <f t="shared" si="148"/>
        <v>0.1010483541146226</v>
      </c>
      <c r="V101" s="495">
        <f t="shared" si="148"/>
        <v>0.11683929374298979</v>
      </c>
      <c r="W101" s="495">
        <f t="shared" ref="W101:X101" si="149">W94/W57</f>
        <v>0.12235012369217299</v>
      </c>
      <c r="X101" s="495">
        <f t="shared" si="149"/>
        <v>0.13844433527180386</v>
      </c>
    </row>
    <row r="102" spans="1:24">
      <c r="A102" s="471"/>
      <c r="B102" s="471"/>
      <c r="C102" s="471"/>
      <c r="D102" s="471"/>
      <c r="E102" s="471"/>
      <c r="F102" s="471"/>
      <c r="G102" s="471"/>
      <c r="H102" s="471"/>
      <c r="I102" s="471"/>
      <c r="J102" s="471"/>
      <c r="K102" s="471"/>
      <c r="L102" s="471"/>
      <c r="M102" s="471"/>
      <c r="N102" s="471"/>
      <c r="O102" s="471"/>
      <c r="P102" s="471"/>
      <c r="Q102" s="471"/>
      <c r="R102" s="471"/>
      <c r="S102" s="471"/>
      <c r="T102" s="471"/>
      <c r="U102" s="471"/>
      <c r="V102" s="471"/>
      <c r="W102" s="471"/>
      <c r="X102" s="471"/>
    </row>
    <row r="103" spans="1:24">
      <c r="A103" s="471" t="s">
        <v>485</v>
      </c>
      <c r="B103" s="496"/>
      <c r="C103" s="496">
        <f t="shared" ref="C103:N103" si="150">C98/C90</f>
        <v>-1.511946483126734</v>
      </c>
      <c r="D103" s="496">
        <f t="shared" si="150"/>
        <v>-2.5247374370342728</v>
      </c>
      <c r="E103" s="496">
        <f t="shared" si="150"/>
        <v>0.30509917246814683</v>
      </c>
      <c r="F103" s="496">
        <f t="shared" si="150"/>
        <v>-0.3265299525588729</v>
      </c>
      <c r="G103" s="496">
        <f t="shared" si="150"/>
        <v>0.59178013479496105</v>
      </c>
      <c r="H103" s="496">
        <f t="shared" si="150"/>
        <v>0.78188316419314685</v>
      </c>
      <c r="I103" s="496">
        <f t="shared" si="150"/>
        <v>-0.29119478685904521</v>
      </c>
      <c r="J103" s="496">
        <f t="shared" si="150"/>
        <v>-5.6025846134728705E-2</v>
      </c>
      <c r="K103" s="496">
        <f t="shared" si="150"/>
        <v>-1.387236906951308</v>
      </c>
      <c r="L103" s="496">
        <f t="shared" si="150"/>
        <v>-3.3624708553133962</v>
      </c>
      <c r="M103" s="496">
        <f t="shared" si="150"/>
        <v>-0.65306310605220685</v>
      </c>
      <c r="N103" s="496">
        <f t="shared" si="150"/>
        <v>0.30281721888994378</v>
      </c>
      <c r="O103" s="496">
        <f t="shared" ref="O103:V103" si="151">O98/O90</f>
        <v>0.11443135156247973</v>
      </c>
      <c r="P103" s="496">
        <f t="shared" si="151"/>
        <v>0.7599093787430018</v>
      </c>
      <c r="Q103" s="496">
        <f t="shared" si="151"/>
        <v>-0.10086668574465553</v>
      </c>
      <c r="R103" s="496">
        <f t="shared" si="151"/>
        <v>0.21137579898131628</v>
      </c>
      <c r="S103" s="496">
        <f t="shared" si="151"/>
        <v>3.1371821301204153E-2</v>
      </c>
      <c r="T103" s="496">
        <f t="shared" si="151"/>
        <v>1.4002468957418799</v>
      </c>
      <c r="U103" s="496">
        <f t="shared" si="151"/>
        <v>-0.17197403104994846</v>
      </c>
      <c r="V103" s="496">
        <f t="shared" si="151"/>
        <v>0.56997468461068002</v>
      </c>
      <c r="W103" s="496">
        <f t="shared" ref="W103:X103" si="152">W98/W90</f>
        <v>0.3870672003326231</v>
      </c>
      <c r="X103" s="496">
        <f t="shared" si="152"/>
        <v>0.48499008917395031</v>
      </c>
    </row>
    <row r="104" spans="1:24">
      <c r="A104" s="471" t="s">
        <v>370</v>
      </c>
      <c r="B104" s="496"/>
      <c r="C104" s="496">
        <f t="shared" ref="C104:N104" si="153">C98/C91</f>
        <v>-1.9335104173449522</v>
      </c>
      <c r="D104" s="496">
        <f t="shared" si="153"/>
        <v>-4.5205398161575436</v>
      </c>
      <c r="E104" s="496">
        <f t="shared" si="153"/>
        <v>0.49590644606643108</v>
      </c>
      <c r="F104" s="496">
        <f t="shared" si="153"/>
        <v>-0.61244891117498756</v>
      </c>
      <c r="G104" s="496">
        <f t="shared" si="153"/>
        <v>0.93947616228730779</v>
      </c>
      <c r="H104" s="496">
        <f t="shared" si="153"/>
        <v>0.95182106162948577</v>
      </c>
      <c r="I104" s="496">
        <f t="shared" si="153"/>
        <v>-0.39433084827470877</v>
      </c>
      <c r="J104" s="496">
        <f t="shared" si="153"/>
        <v>-8.3688540347759632E-2</v>
      </c>
      <c r="K104" s="496">
        <f t="shared" si="153"/>
        <v>-2.0117629011902389</v>
      </c>
      <c r="L104" s="496">
        <f t="shared" si="153"/>
        <v>-10.77223333442638</v>
      </c>
      <c r="M104" s="496">
        <f t="shared" si="153"/>
        <v>-1.0165169212629446</v>
      </c>
      <c r="N104" s="496">
        <f t="shared" si="153"/>
        <v>0.46444393591923971</v>
      </c>
      <c r="O104" s="496">
        <f t="shared" ref="O104:V104" si="154">O98/O91</f>
        <v>4.9311601726871235</v>
      </c>
      <c r="P104" s="496">
        <f t="shared" si="154"/>
        <v>1.1627573273473804</v>
      </c>
      <c r="Q104" s="496">
        <f t="shared" si="154"/>
        <v>-0.22414309983012073</v>
      </c>
      <c r="R104" s="496">
        <f t="shared" si="154"/>
        <v>0.40833875301712486</v>
      </c>
      <c r="S104" s="496">
        <f t="shared" si="154"/>
        <v>3.6321916668424492E-2</v>
      </c>
      <c r="T104" s="496">
        <f t="shared" si="154"/>
        <v>1.5027503041364403</v>
      </c>
      <c r="U104" s="496">
        <f t="shared" si="154"/>
        <v>-0.18083394242913378</v>
      </c>
      <c r="V104" s="496">
        <f t="shared" si="154"/>
        <v>0.60263042302110681</v>
      </c>
      <c r="W104" s="496">
        <f t="shared" ref="W104:X104" si="155">W98/W91</f>
        <v>0.41395346411195633</v>
      </c>
      <c r="X104" s="496">
        <f t="shared" si="155"/>
        <v>0.52686753563111188</v>
      </c>
    </row>
    <row r="105" spans="1:24">
      <c r="A105" s="471" t="s">
        <v>371</v>
      </c>
      <c r="B105" s="496"/>
      <c r="C105" s="496">
        <f t="shared" ref="C105:N105" si="156">C98/C57</f>
        <v>-0.16724282699990001</v>
      </c>
      <c r="D105" s="496">
        <f t="shared" si="156"/>
        <v>-0.29738747485858491</v>
      </c>
      <c r="E105" s="496">
        <f t="shared" si="156"/>
        <v>4.5618816291057719E-2</v>
      </c>
      <c r="F105" s="496">
        <f t="shared" si="156"/>
        <v>-3.6852766148310796E-2</v>
      </c>
      <c r="G105" s="496">
        <f t="shared" si="156"/>
        <v>4.3575025615837898E-2</v>
      </c>
      <c r="H105" s="496">
        <f t="shared" si="156"/>
        <v>6.4233888563758376E-2</v>
      </c>
      <c r="I105" s="496">
        <f t="shared" si="156"/>
        <v>-2.7393974169501484E-2</v>
      </c>
      <c r="J105" s="496">
        <f t="shared" si="156"/>
        <v>-5.9668636892806475E-3</v>
      </c>
      <c r="K105" s="496">
        <f t="shared" si="156"/>
        <v>-0.2553557467289907</v>
      </c>
      <c r="L105" s="496">
        <f t="shared" si="156"/>
        <v>-0.47984592151678401</v>
      </c>
      <c r="M105" s="496">
        <f t="shared" si="156"/>
        <v>-7.5967816778241881E-2</v>
      </c>
      <c r="N105" s="496">
        <f t="shared" si="156"/>
        <v>3.740835706353933E-2</v>
      </c>
      <c r="O105" s="496">
        <f t="shared" ref="O105:V105" si="157">O98/O57</f>
        <v>1.4402695136168018E-2</v>
      </c>
      <c r="P105" s="496">
        <f t="shared" si="157"/>
        <v>7.940604707566877E-2</v>
      </c>
      <c r="Q105" s="496">
        <f t="shared" si="157"/>
        <v>-7.4491198215665662E-3</v>
      </c>
      <c r="R105" s="496">
        <f t="shared" si="157"/>
        <v>1.4544178729978693E-2</v>
      </c>
      <c r="S105" s="496">
        <f t="shared" si="157"/>
        <v>2.8316428015901477E-3</v>
      </c>
      <c r="T105" s="496">
        <f t="shared" si="157"/>
        <v>9.8969404078725579E-2</v>
      </c>
      <c r="U105" s="496">
        <f t="shared" si="157"/>
        <v>-1.4073561017397622E-2</v>
      </c>
      <c r="V105" s="496">
        <f t="shared" si="157"/>
        <v>5.1868924928411914E-2</v>
      </c>
      <c r="W105" s="496">
        <f t="shared" ref="W105:X105" si="158">W98/W57</f>
        <v>3.7173099088275312E-2</v>
      </c>
      <c r="X105" s="496">
        <f t="shared" si="158"/>
        <v>4.9677214024258107E-2</v>
      </c>
    </row>
    <row r="106" spans="1:24">
      <c r="A106" s="471"/>
      <c r="B106" s="470"/>
      <c r="C106" s="470"/>
      <c r="D106" s="470"/>
      <c r="E106" s="470"/>
      <c r="F106" s="470"/>
      <c r="G106" s="470"/>
      <c r="H106" s="471"/>
      <c r="I106" s="471"/>
      <c r="J106" s="471"/>
      <c r="K106" s="471"/>
      <c r="L106" s="471"/>
      <c r="M106" s="471"/>
      <c r="N106" s="471"/>
      <c r="O106" s="471"/>
      <c r="P106" s="471"/>
      <c r="Q106" s="471"/>
      <c r="R106" s="471"/>
      <c r="S106" s="471"/>
      <c r="T106" s="471"/>
      <c r="U106" s="471"/>
      <c r="V106" s="471"/>
      <c r="W106" s="471"/>
      <c r="X106" s="471"/>
    </row>
    <row r="107" spans="1:24" ht="11.25" customHeight="1">
      <c r="A107" s="530" t="s">
        <v>610</v>
      </c>
      <c r="B107" s="470"/>
      <c r="C107" s="542">
        <f t="shared" ref="C107:V107" si="159">C36/C5</f>
        <v>2.7581318053857395</v>
      </c>
      <c r="D107" s="542">
        <f t="shared" si="159"/>
        <v>2.5255768158333995</v>
      </c>
      <c r="E107" s="542">
        <f t="shared" si="159"/>
        <v>2.5854351416732206</v>
      </c>
      <c r="F107" s="542">
        <f t="shared" si="159"/>
        <v>2.646177493341479</v>
      </c>
      <c r="G107" s="542">
        <f t="shared" si="159"/>
        <v>3.4111338140109217</v>
      </c>
      <c r="H107" s="542">
        <f t="shared" si="159"/>
        <v>3.0950979508375593</v>
      </c>
      <c r="I107" s="542">
        <f t="shared" si="159"/>
        <v>2.6378459021421579</v>
      </c>
      <c r="J107" s="542">
        <f t="shared" si="159"/>
        <v>2.2526380120270515</v>
      </c>
      <c r="K107" s="542">
        <f t="shared" si="159"/>
        <v>1.6162052192682002</v>
      </c>
      <c r="L107" s="542">
        <f t="shared" si="159"/>
        <v>1.8328608519165084</v>
      </c>
      <c r="M107" s="542">
        <f t="shared" si="159"/>
        <v>2.2706487160525151</v>
      </c>
      <c r="N107" s="542">
        <f t="shared" si="159"/>
        <v>2.1258871025198407</v>
      </c>
      <c r="O107" s="542">
        <f t="shared" si="159"/>
        <v>1.8898935571741196</v>
      </c>
      <c r="P107" s="542">
        <f t="shared" si="159"/>
        <v>2.1087390086525377</v>
      </c>
      <c r="Q107" s="542">
        <f t="shared" si="159"/>
        <v>2.6569506758332566</v>
      </c>
      <c r="R107" s="542">
        <f t="shared" si="159"/>
        <v>3.2712125951156263</v>
      </c>
      <c r="S107" s="542">
        <f t="shared" si="159"/>
        <v>2.9882443121656843</v>
      </c>
      <c r="T107" s="542">
        <f t="shared" si="159"/>
        <v>3.7714877811272394</v>
      </c>
      <c r="U107" s="542">
        <f t="shared" si="159"/>
        <v>3.4027531045296917</v>
      </c>
      <c r="V107" s="542">
        <f t="shared" si="159"/>
        <v>3.1282391476185039</v>
      </c>
      <c r="W107" s="542">
        <f t="shared" ref="W107:X107" si="160">W36/W5</f>
        <v>2.9025488943308475</v>
      </c>
      <c r="X107" s="542">
        <f t="shared" si="160"/>
        <v>2.6173323425676629</v>
      </c>
    </row>
    <row r="108" spans="1:24">
      <c r="A108" s="471"/>
      <c r="B108" s="470"/>
      <c r="C108" s="470"/>
      <c r="D108" s="470"/>
      <c r="E108" s="470"/>
      <c r="F108" s="470"/>
      <c r="G108" s="470"/>
      <c r="H108" s="471"/>
      <c r="I108" s="471"/>
      <c r="J108" s="471"/>
      <c r="K108" s="471"/>
      <c r="L108" s="471"/>
      <c r="M108" s="471"/>
      <c r="N108" s="471"/>
      <c r="O108" s="488"/>
      <c r="P108" s="471"/>
      <c r="Q108" s="471"/>
      <c r="R108" s="471"/>
      <c r="S108" s="471"/>
      <c r="T108" s="471"/>
      <c r="U108" s="471"/>
      <c r="V108" s="471"/>
      <c r="W108" s="471"/>
      <c r="X108" s="471"/>
    </row>
    <row r="109" spans="1:24">
      <c r="A109" s="530" t="s">
        <v>465</v>
      </c>
      <c r="B109" s="470"/>
      <c r="C109" s="470"/>
      <c r="D109" s="470"/>
      <c r="E109" s="470"/>
      <c r="F109" s="470"/>
      <c r="G109" s="470"/>
      <c r="H109" s="471"/>
      <c r="I109" s="471"/>
      <c r="J109" s="471"/>
      <c r="K109" s="471"/>
      <c r="L109" s="471"/>
      <c r="M109" s="471"/>
      <c r="N109" s="471"/>
      <c r="O109" s="471"/>
      <c r="P109" s="471"/>
      <c r="Q109" s="471"/>
      <c r="R109" s="471"/>
      <c r="S109" s="471"/>
      <c r="T109" s="471"/>
      <c r="U109" s="471"/>
      <c r="V109" s="471"/>
      <c r="W109" s="471"/>
      <c r="X109" s="471"/>
    </row>
    <row r="110" spans="1:24">
      <c r="A110" s="471" t="s">
        <v>341</v>
      </c>
      <c r="B110" s="484">
        <f t="shared" ref="B110:V110" si="161">B36</f>
        <v>10241.795265599998</v>
      </c>
      <c r="C110" s="484">
        <f t="shared" si="161"/>
        <v>7904.3810019374996</v>
      </c>
      <c r="D110" s="484">
        <f t="shared" si="161"/>
        <v>7943.5704799999994</v>
      </c>
      <c r="E110" s="484">
        <f t="shared" si="161"/>
        <v>8879.2814225000002</v>
      </c>
      <c r="F110" s="484">
        <f t="shared" si="161"/>
        <v>10013.794532999998</v>
      </c>
      <c r="G110" s="484">
        <f t="shared" si="161"/>
        <v>15538.993698000002</v>
      </c>
      <c r="H110" s="484">
        <f t="shared" si="161"/>
        <v>15175.8038</v>
      </c>
      <c r="I110" s="484">
        <f t="shared" si="161"/>
        <v>13794.842000000001</v>
      </c>
      <c r="J110" s="484">
        <f t="shared" si="161"/>
        <v>13851.781999999999</v>
      </c>
      <c r="K110" s="484">
        <f t="shared" si="161"/>
        <v>10557.900999999998</v>
      </c>
      <c r="L110" s="484">
        <f t="shared" si="161"/>
        <v>10795.2315</v>
      </c>
      <c r="M110" s="484">
        <f t="shared" si="161"/>
        <v>15332.564537739469</v>
      </c>
      <c r="N110" s="484">
        <f t="shared" si="161"/>
        <v>16023.370200000001</v>
      </c>
      <c r="O110" s="484">
        <f t="shared" si="161"/>
        <v>14529.547025000002</v>
      </c>
      <c r="P110" s="484">
        <f t="shared" si="161"/>
        <v>16324.895820000002</v>
      </c>
      <c r="Q110" s="484">
        <f t="shared" si="161"/>
        <v>21357.098265532208</v>
      </c>
      <c r="R110" s="484">
        <f t="shared" si="161"/>
        <v>27148.035396596624</v>
      </c>
      <c r="S110" s="484">
        <f t="shared" si="161"/>
        <v>25389.321962128834</v>
      </c>
      <c r="T110" s="484">
        <f t="shared" si="161"/>
        <v>33105.535162128828</v>
      </c>
      <c r="U110" s="484">
        <f t="shared" si="161"/>
        <v>32184.971933749912</v>
      </c>
      <c r="V110" s="484">
        <f t="shared" si="161"/>
        <v>31915.12823446621</v>
      </c>
      <c r="W110" s="484">
        <f t="shared" ref="W110:X110" si="162">W36</f>
        <v>31165.52753297082</v>
      </c>
      <c r="X110" s="484">
        <f t="shared" si="162"/>
        <v>30622.151003717128</v>
      </c>
    </row>
    <row r="111" spans="1:24">
      <c r="A111" s="471" t="s">
        <v>550</v>
      </c>
      <c r="B111" s="537">
        <v>30575</v>
      </c>
      <c r="C111" s="537">
        <v>34732</v>
      </c>
      <c r="D111" s="537">
        <v>42382</v>
      </c>
      <c r="E111" s="537">
        <v>48491</v>
      </c>
      <c r="F111" s="537">
        <v>55533.2</v>
      </c>
      <c r="G111" s="537">
        <v>59892.800000000003</v>
      </c>
      <c r="H111" s="543">
        <v>59839.6</v>
      </c>
      <c r="I111" s="543">
        <v>62452.4</v>
      </c>
      <c r="J111" s="543">
        <v>70619.399999999994</v>
      </c>
      <c r="K111" s="543">
        <v>72894.399999999994</v>
      </c>
      <c r="L111" s="543">
        <v>77925</v>
      </c>
      <c r="M111" s="543">
        <v>85223.875</v>
      </c>
      <c r="N111" s="543">
        <v>91121.25</v>
      </c>
      <c r="O111" s="543">
        <v>92650</v>
      </c>
      <c r="P111" s="543">
        <v>94650</v>
      </c>
      <c r="Q111" s="543">
        <v>94991.669516666676</v>
      </c>
      <c r="R111" s="543">
        <v>101825.00285</v>
      </c>
      <c r="S111" s="543">
        <v>111640.00285</v>
      </c>
      <c r="T111" s="543">
        <v>113329.00285</v>
      </c>
      <c r="U111" s="543">
        <v>116525.29451666668</v>
      </c>
      <c r="V111" s="543">
        <v>123897.00285</v>
      </c>
      <c r="W111" s="543">
        <v>129687.00284999999</v>
      </c>
      <c r="X111" s="543">
        <v>136767.00284999999</v>
      </c>
    </row>
    <row r="112" spans="1:24">
      <c r="A112" s="471" t="s">
        <v>465</v>
      </c>
      <c r="B112" s="470">
        <f t="shared" ref="B112:V112" si="163">B110/B111*1000</f>
        <v>334.97286232542922</v>
      </c>
      <c r="C112" s="470">
        <f t="shared" si="163"/>
        <v>227.58208574045545</v>
      </c>
      <c r="D112" s="470">
        <f t="shared" si="163"/>
        <v>187.42792883771412</v>
      </c>
      <c r="E112" s="470">
        <f t="shared" si="163"/>
        <v>183.11194701078551</v>
      </c>
      <c r="F112" s="470">
        <f t="shared" si="163"/>
        <v>180.32086270915414</v>
      </c>
      <c r="G112" s="470">
        <f t="shared" si="163"/>
        <v>259.44677320145325</v>
      </c>
      <c r="H112" s="470">
        <f t="shared" si="163"/>
        <v>253.60804216605726</v>
      </c>
      <c r="I112" s="470">
        <f t="shared" si="163"/>
        <v>220.88569854801418</v>
      </c>
      <c r="J112" s="470">
        <f t="shared" si="163"/>
        <v>196.14697944190974</v>
      </c>
      <c r="K112" s="470">
        <f t="shared" si="163"/>
        <v>144.83830033582825</v>
      </c>
      <c r="L112" s="470">
        <f t="shared" si="163"/>
        <v>138.53360923965352</v>
      </c>
      <c r="M112" s="470">
        <f t="shared" si="163"/>
        <v>179.90926295875971</v>
      </c>
      <c r="N112" s="470">
        <f t="shared" si="163"/>
        <v>175.84668998724229</v>
      </c>
      <c r="O112" s="470">
        <f t="shared" si="163"/>
        <v>156.82187830545064</v>
      </c>
      <c r="P112" s="470">
        <f t="shared" si="163"/>
        <v>172.47644817749605</v>
      </c>
      <c r="Q112" s="470">
        <f t="shared" si="163"/>
        <v>224.83127598662765</v>
      </c>
      <c r="R112" s="470">
        <f t="shared" si="163"/>
        <v>266.61462938124163</v>
      </c>
      <c r="S112" s="470">
        <f t="shared" si="163"/>
        <v>227.42136612305572</v>
      </c>
      <c r="T112" s="470">
        <f t="shared" si="163"/>
        <v>292.11882509852001</v>
      </c>
      <c r="U112" s="470">
        <f t="shared" si="163"/>
        <v>276.20588360020389</v>
      </c>
      <c r="V112" s="470">
        <f t="shared" si="163"/>
        <v>257.59402972084251</v>
      </c>
      <c r="W112" s="470">
        <f t="shared" ref="W112:X112" si="164">W110/W111*1000</f>
        <v>240.31342268752894</v>
      </c>
      <c r="X112" s="470">
        <f t="shared" si="164"/>
        <v>223.9001394020614</v>
      </c>
    </row>
    <row r="113" spans="1:24">
      <c r="A113" s="471"/>
      <c r="B113" s="470"/>
      <c r="C113" s="490"/>
      <c r="D113" s="490"/>
      <c r="E113" s="490"/>
      <c r="F113" s="490"/>
      <c r="G113" s="490"/>
      <c r="H113" s="490"/>
      <c r="I113" s="490"/>
      <c r="J113" s="490"/>
      <c r="K113" s="490"/>
      <c r="L113" s="490"/>
      <c r="M113" s="490"/>
      <c r="N113" s="490"/>
      <c r="O113" s="490"/>
      <c r="P113" s="490"/>
      <c r="Q113" s="490"/>
      <c r="R113" s="490"/>
      <c r="S113" s="490"/>
      <c r="T113" s="490"/>
      <c r="U113" s="490"/>
      <c r="V113" s="490"/>
      <c r="W113" s="490"/>
      <c r="X113" s="490"/>
    </row>
    <row r="114" spans="1:24">
      <c r="A114" s="471" t="s">
        <v>356</v>
      </c>
      <c r="B114" s="544">
        <f>B78</f>
        <v>480.17400000000009</v>
      </c>
      <c r="C114" s="544">
        <f t="shared" ref="C114:N114" si="165">C78</f>
        <v>569.53999999999974</v>
      </c>
      <c r="D114" s="544">
        <f t="shared" si="165"/>
        <v>455.60500000000002</v>
      </c>
      <c r="E114" s="544">
        <f t="shared" si="165"/>
        <v>570.97500000000036</v>
      </c>
      <c r="F114" s="544">
        <f t="shared" si="165"/>
        <v>525.91500000000065</v>
      </c>
      <c r="G114" s="544">
        <f t="shared" si="165"/>
        <v>753.58899999999994</v>
      </c>
      <c r="H114" s="544">
        <f t="shared" si="165"/>
        <v>871.56500000000005</v>
      </c>
      <c r="I114" s="544">
        <f t="shared" si="165"/>
        <v>858.44599999999991</v>
      </c>
      <c r="J114" s="544">
        <f t="shared" si="165"/>
        <v>901.33400000000051</v>
      </c>
      <c r="K114" s="544">
        <f t="shared" si="165"/>
        <v>831.9299999999995</v>
      </c>
      <c r="L114" s="544">
        <f t="shared" si="165"/>
        <v>488.5109999999994</v>
      </c>
      <c r="M114" s="544">
        <f t="shared" si="165"/>
        <v>802.63299999999936</v>
      </c>
      <c r="N114" s="544">
        <f t="shared" si="165"/>
        <v>931.62800000000027</v>
      </c>
      <c r="O114" s="544">
        <f t="shared" ref="O114:V114" si="166">O78</f>
        <v>788.55399999999963</v>
      </c>
      <c r="P114" s="544">
        <f t="shared" si="166"/>
        <v>861.60799999999949</v>
      </c>
      <c r="Q114" s="544">
        <f t="shared" si="166"/>
        <v>978.43999999999937</v>
      </c>
      <c r="R114" s="544">
        <f t="shared" si="166"/>
        <v>1286.1690000000006</v>
      </c>
      <c r="S114" s="544">
        <f t="shared" si="166"/>
        <v>1481.9350000000004</v>
      </c>
      <c r="T114" s="544">
        <f t="shared" si="166"/>
        <v>1744.0559999999991</v>
      </c>
      <c r="U114" s="544">
        <f t="shared" si="166"/>
        <v>1990.4036286519304</v>
      </c>
      <c r="V114" s="544">
        <f t="shared" si="166"/>
        <v>2159.8357293067211</v>
      </c>
      <c r="W114" s="544">
        <f t="shared" ref="W114:X114" si="167">W78</f>
        <v>2190.7495616288397</v>
      </c>
      <c r="X114" s="544">
        <f t="shared" si="167"/>
        <v>2242.0486544225932</v>
      </c>
    </row>
    <row r="115" spans="1:24">
      <c r="A115" s="471" t="s">
        <v>591</v>
      </c>
      <c r="B115" s="545">
        <v>10.693819548550984</v>
      </c>
      <c r="C115" s="545">
        <v>12.475811</v>
      </c>
      <c r="D115" s="545">
        <v>15.067605</v>
      </c>
      <c r="E115" s="545">
        <v>17.334204</v>
      </c>
      <c r="F115" s="545">
        <v>19.439238</v>
      </c>
      <c r="G115" s="545">
        <v>21.439288000000001</v>
      </c>
      <c r="H115" s="545">
        <v>21.733723999999999</v>
      </c>
      <c r="I115" s="545">
        <v>22.392478000000001</v>
      </c>
      <c r="J115" s="545">
        <v>25.155768999999999</v>
      </c>
      <c r="K115" s="545">
        <v>26.463636999999999</v>
      </c>
      <c r="L115" s="545">
        <v>27.821224000000001</v>
      </c>
      <c r="M115" s="545">
        <v>30.911073999999999</v>
      </c>
      <c r="N115" s="545">
        <v>33.235508000000003</v>
      </c>
      <c r="O115" s="545">
        <v>33.705584000000002</v>
      </c>
      <c r="P115" s="545">
        <v>33.974851999999998</v>
      </c>
      <c r="Q115" s="545">
        <v>34.773915000000002</v>
      </c>
      <c r="R115" s="545">
        <v>36.646639</v>
      </c>
      <c r="S115" s="545">
        <v>37.844644000000002</v>
      </c>
      <c r="T115" s="545">
        <v>36.930939000000002</v>
      </c>
      <c r="U115" s="545">
        <v>38.305377406307215</v>
      </c>
      <c r="V115" s="545">
        <v>40.908383923299013</v>
      </c>
      <c r="W115" s="545">
        <v>42.627438883108944</v>
      </c>
      <c r="X115" s="545">
        <v>45.988553566794778</v>
      </c>
    </row>
    <row r="116" spans="1:24">
      <c r="A116" s="471" t="s">
        <v>590</v>
      </c>
      <c r="B116" s="545">
        <f>B114/B115</f>
        <v>44.902010719365826</v>
      </c>
      <c r="C116" s="545">
        <f t="shared" ref="C116:N116" si="168">C114/C115</f>
        <v>45.651541210427098</v>
      </c>
      <c r="D116" s="545">
        <f t="shared" si="168"/>
        <v>30.23738676451898</v>
      </c>
      <c r="E116" s="545">
        <f t="shared" si="168"/>
        <v>32.939210822717925</v>
      </c>
      <c r="F116" s="545">
        <f t="shared" si="168"/>
        <v>27.054301202547169</v>
      </c>
      <c r="G116" s="545">
        <f t="shared" si="168"/>
        <v>35.149907963361464</v>
      </c>
      <c r="H116" s="545">
        <f t="shared" si="168"/>
        <v>40.101963197839453</v>
      </c>
      <c r="I116" s="545">
        <f t="shared" si="168"/>
        <v>38.336355627992575</v>
      </c>
      <c r="J116" s="545">
        <f t="shared" si="168"/>
        <v>35.830111176486021</v>
      </c>
      <c r="K116" s="545">
        <f t="shared" si="168"/>
        <v>31.436722019728414</v>
      </c>
      <c r="L116" s="545">
        <f t="shared" si="168"/>
        <v>17.55893270547692</v>
      </c>
      <c r="M116" s="545">
        <f t="shared" si="168"/>
        <v>25.965872295475705</v>
      </c>
      <c r="N116" s="545">
        <f t="shared" si="168"/>
        <v>28.031104564431516</v>
      </c>
      <c r="O116" s="545">
        <f t="shared" ref="O116:V116" si="169">O114/O115</f>
        <v>23.395351939310697</v>
      </c>
      <c r="P116" s="545">
        <f t="shared" si="169"/>
        <v>25.360169339368998</v>
      </c>
      <c r="Q116" s="545">
        <f t="shared" si="169"/>
        <v>28.137182712961692</v>
      </c>
      <c r="R116" s="545">
        <f t="shared" si="169"/>
        <v>35.096506394488195</v>
      </c>
      <c r="S116" s="545">
        <f t="shared" si="169"/>
        <v>39.158381302252451</v>
      </c>
      <c r="T116" s="545">
        <f t="shared" si="169"/>
        <v>47.224794365504735</v>
      </c>
      <c r="U116" s="545">
        <f t="shared" si="169"/>
        <v>51.961467643031192</v>
      </c>
      <c r="V116" s="545">
        <f t="shared" si="169"/>
        <v>52.796896923532721</v>
      </c>
      <c r="W116" s="545">
        <f t="shared" ref="W116:X116" si="170">W114/W115</f>
        <v>51.392943583502991</v>
      </c>
      <c r="X116" s="545">
        <f t="shared" si="170"/>
        <v>48.752319447625005</v>
      </c>
    </row>
    <row r="118" spans="1:24">
      <c r="A118" s="485" t="s">
        <v>472</v>
      </c>
      <c r="B118" s="484">
        <v>0</v>
      </c>
      <c r="C118" s="484">
        <v>0</v>
      </c>
      <c r="D118" s="484">
        <v>0</v>
      </c>
      <c r="E118" s="484">
        <v>0</v>
      </c>
      <c r="F118" s="484">
        <v>0</v>
      </c>
      <c r="G118" s="484">
        <v>251.89999999999998</v>
      </c>
      <c r="H118" s="484">
        <v>367.86399999999998</v>
      </c>
      <c r="I118" s="484">
        <v>480.14400000000001</v>
      </c>
      <c r="J118" s="484">
        <v>546.029</v>
      </c>
      <c r="K118" s="484">
        <v>722.00700000000006</v>
      </c>
      <c r="L118" s="484">
        <v>600.20299999999997</v>
      </c>
      <c r="M118" s="484">
        <v>646.99800000000005</v>
      </c>
      <c r="N118" s="484">
        <v>764.75799999999992</v>
      </c>
      <c r="O118" s="484">
        <v>909.69100000000003</v>
      </c>
      <c r="P118" s="484">
        <v>924.41430000000003</v>
      </c>
      <c r="Q118" s="484">
        <v>947.39100000000008</v>
      </c>
      <c r="R118" s="484">
        <v>795.80100000000004</v>
      </c>
      <c r="S118" s="484">
        <v>713.67599999999993</v>
      </c>
      <c r="T118" s="484">
        <v>681.11799999999994</v>
      </c>
      <c r="U118" s="484">
        <v>678.98722551115509</v>
      </c>
      <c r="V118" s="484">
        <v>685.9533201376978</v>
      </c>
      <c r="W118" s="484">
        <v>780.07239405567702</v>
      </c>
      <c r="X118" s="484">
        <v>968.17025593467065</v>
      </c>
    </row>
    <row r="119" spans="1:24">
      <c r="A119" s="485" t="s">
        <v>67</v>
      </c>
      <c r="E119" s="546">
        <f>E118/E5</f>
        <v>0</v>
      </c>
      <c r="F119" s="546">
        <f>F118/F5</f>
        <v>0</v>
      </c>
      <c r="G119" s="546">
        <f>G118/G5</f>
        <v>5.5297313613039537E-2</v>
      </c>
      <c r="H119" s="546">
        <f>H118/H5</f>
        <v>7.5025687442460742E-2</v>
      </c>
      <c r="I119" s="546">
        <f>I118/I5</f>
        <v>9.1813003935684395E-2</v>
      </c>
      <c r="J119" s="546">
        <f t="shared" ref="J119:R119" si="171">J118/J5</f>
        <v>8.879764936158531E-2</v>
      </c>
      <c r="K119" s="546">
        <f t="shared" si="171"/>
        <v>0.11052495015327153</v>
      </c>
      <c r="L119" s="546">
        <f t="shared" si="171"/>
        <v>0.10190504778918767</v>
      </c>
      <c r="M119" s="546">
        <f t="shared" si="171"/>
        <v>9.5816011364080661E-2</v>
      </c>
      <c r="N119" s="546">
        <f t="shared" si="171"/>
        <v>0.10146362147639004</v>
      </c>
      <c r="O119" s="546">
        <f t="shared" si="171"/>
        <v>0.11832572322875164</v>
      </c>
      <c r="P119" s="546">
        <f>P118/P5</f>
        <v>0.11940955189300739</v>
      </c>
      <c r="Q119" s="546">
        <f t="shared" si="171"/>
        <v>0.11786110296597535</v>
      </c>
      <c r="R119" s="546">
        <f t="shared" si="171"/>
        <v>9.5890336680935731E-2</v>
      </c>
      <c r="S119" s="546">
        <f t="shared" ref="S119:X119" si="172">S118/S5</f>
        <v>8.3997447860570604E-2</v>
      </c>
      <c r="T119" s="546">
        <f t="shared" si="172"/>
        <v>7.7595127277822751E-2</v>
      </c>
      <c r="U119" s="546">
        <f t="shared" si="172"/>
        <v>7.1785860006337882E-2</v>
      </c>
      <c r="V119" s="546">
        <f t="shared" si="172"/>
        <v>6.7235387986825795E-2</v>
      </c>
      <c r="W119" s="546">
        <f t="shared" si="172"/>
        <v>7.2650728034972883E-2</v>
      </c>
      <c r="X119" s="546">
        <f t="shared" si="172"/>
        <v>8.2751316968629265E-2</v>
      </c>
    </row>
    <row r="120" spans="1:24">
      <c r="A120" s="485" t="s">
        <v>68</v>
      </c>
      <c r="B120" s="546">
        <f t="shared" ref="B120:I120" si="173">B6/B5</f>
        <v>0.18858811257144117</v>
      </c>
      <c r="C120" s="546">
        <f t="shared" si="173"/>
        <v>0.19873363746691194</v>
      </c>
      <c r="D120" s="546">
        <f t="shared" si="173"/>
        <v>0.14485493998887211</v>
      </c>
      <c r="E120" s="546">
        <f t="shared" si="173"/>
        <v>0.16625431268302251</v>
      </c>
      <c r="F120" s="546">
        <f t="shared" si="173"/>
        <v>0.13897473448496667</v>
      </c>
      <c r="G120" s="546">
        <f t="shared" si="173"/>
        <v>0.16542853222841147</v>
      </c>
      <c r="H120" s="546">
        <f t="shared" si="173"/>
        <v>0.17775526628261612</v>
      </c>
      <c r="I120" s="546">
        <f t="shared" si="173"/>
        <v>0.16415180857528683</v>
      </c>
      <c r="J120" s="546">
        <f t="shared" ref="J120:R120" si="174">J6/J5</f>
        <v>0.14657891886635177</v>
      </c>
      <c r="K120" s="546">
        <f t="shared" si="174"/>
        <v>0.12735198104867559</v>
      </c>
      <c r="L120" s="546">
        <f t="shared" si="174"/>
        <v>8.2941499460255613E-2</v>
      </c>
      <c r="M120" s="546">
        <f t="shared" si="174"/>
        <v>0.11886449826612461</v>
      </c>
      <c r="N120" s="546">
        <f t="shared" si="174"/>
        <v>0.12360295773147366</v>
      </c>
      <c r="O120" s="546">
        <f t="shared" si="174"/>
        <v>0.10256913870196031</v>
      </c>
      <c r="P120" s="546">
        <f>P6/P5</f>
        <v>0.11129666123450303</v>
      </c>
      <c r="Q120" s="546">
        <f t="shared" si="174"/>
        <v>0.12172378414617496</v>
      </c>
      <c r="R120" s="546">
        <f t="shared" si="174"/>
        <v>0.15497741073281193</v>
      </c>
      <c r="S120" s="546">
        <f t="shared" ref="S120:X120" si="175">S6/S5</f>
        <v>0.17441914523572985</v>
      </c>
      <c r="T120" s="546">
        <f t="shared" si="175"/>
        <v>0.19868840244957608</v>
      </c>
      <c r="U120" s="546">
        <f t="shared" si="175"/>
        <v>0.21043523482337884</v>
      </c>
      <c r="V120" s="546">
        <f t="shared" si="175"/>
        <v>0.21170156770812831</v>
      </c>
      <c r="W120" s="546">
        <f t="shared" si="175"/>
        <v>0.20403176911202553</v>
      </c>
      <c r="X120" s="546">
        <f t="shared" si="175"/>
        <v>0.19163207888688946</v>
      </c>
    </row>
    <row r="121" spans="1:24">
      <c r="A121" s="485" t="s">
        <v>69</v>
      </c>
    </row>
    <row r="123" spans="1:24">
      <c r="A123" s="547" t="s">
        <v>705</v>
      </c>
      <c r="B123" s="548">
        <f>B6/B5</f>
        <v>0.18858811257144117</v>
      </c>
      <c r="C123" s="548">
        <f t="shared" ref="C123:R123" si="176">C6/C5</f>
        <v>0.19873363746691194</v>
      </c>
      <c r="D123" s="548">
        <f t="shared" si="176"/>
        <v>0.14485493998887211</v>
      </c>
      <c r="E123" s="548">
        <f t="shared" si="176"/>
        <v>0.16625431268302251</v>
      </c>
      <c r="F123" s="548">
        <f t="shared" si="176"/>
        <v>0.13897473448496667</v>
      </c>
      <c r="G123" s="548">
        <f t="shared" si="176"/>
        <v>0.16542853222841147</v>
      </c>
      <c r="H123" s="548">
        <f t="shared" si="176"/>
        <v>0.17775526628261612</v>
      </c>
      <c r="I123" s="548">
        <f t="shared" si="176"/>
        <v>0.16415180857528683</v>
      </c>
      <c r="J123" s="548">
        <f t="shared" si="176"/>
        <v>0.14657891886635177</v>
      </c>
      <c r="K123" s="548">
        <f t="shared" si="176"/>
        <v>0.12735198104867559</v>
      </c>
      <c r="L123" s="548">
        <f t="shared" si="176"/>
        <v>8.2941499460255613E-2</v>
      </c>
      <c r="M123" s="548">
        <f t="shared" si="176"/>
        <v>0.11886449826612461</v>
      </c>
      <c r="N123" s="548">
        <f t="shared" si="176"/>
        <v>0.12360295773147366</v>
      </c>
      <c r="O123" s="548">
        <f t="shared" si="176"/>
        <v>0.10256913870196031</v>
      </c>
      <c r="P123" s="548">
        <f>P6/P5</f>
        <v>0.11129666123450303</v>
      </c>
      <c r="Q123" s="548">
        <f t="shared" si="176"/>
        <v>0.12172378414617496</v>
      </c>
      <c r="R123" s="548">
        <f t="shared" si="176"/>
        <v>0.15497741073281193</v>
      </c>
      <c r="S123" s="548">
        <f t="shared" ref="S123:X123" si="177">S6/S5</f>
        <v>0.17441914523572985</v>
      </c>
      <c r="T123" s="548">
        <f t="shared" si="177"/>
        <v>0.19868840244957608</v>
      </c>
      <c r="U123" s="548">
        <f t="shared" si="177"/>
        <v>0.21043523482337884</v>
      </c>
      <c r="V123" s="548">
        <f t="shared" si="177"/>
        <v>0.21170156770812831</v>
      </c>
      <c r="W123" s="548">
        <f t="shared" si="177"/>
        <v>0.20403176911202553</v>
      </c>
      <c r="X123" s="548">
        <f t="shared" si="177"/>
        <v>0.19163207888688946</v>
      </c>
    </row>
    <row r="125" spans="1:24">
      <c r="A125" s="473" t="s">
        <v>834</v>
      </c>
      <c r="K125" s="473">
        <f>'Balance Sheet'!F15-'Balance Sheet'!F4-'Balance Sheet'!F21-'Balance Sheet'!F13</f>
        <v>13078.853999999999</v>
      </c>
      <c r="L125" s="473">
        <f>'Balance Sheet'!G15-'Balance Sheet'!G4-'Balance Sheet'!G21-'Balance Sheet'!G13</f>
        <v>15163.687</v>
      </c>
      <c r="M125" s="473">
        <f>'Balance Sheet'!H15-'Balance Sheet'!H4-'Balance Sheet'!H21-'Balance Sheet'!H13</f>
        <v>16270.078000000003</v>
      </c>
      <c r="N125" s="473">
        <f>'Balance Sheet'!I15-'Balance Sheet'!I4-'Balance Sheet'!I21-'Balance Sheet'!I13</f>
        <v>16366.930999999997</v>
      </c>
      <c r="O125" s="473">
        <f>'Balance Sheet'!J15-'Balance Sheet'!J4-'Balance Sheet'!J21-'Balance Sheet'!J13</f>
        <v>16653.432000000001</v>
      </c>
      <c r="P125" s="473">
        <f>'Balance Sheet'!K15-'Balance Sheet'!K4-'Balance Sheet'!K21-'Balance Sheet'!K13</f>
        <v>16725.397000000001</v>
      </c>
      <c r="Q125" s="473">
        <f>'Balance Sheet'!L15-'Balance Sheet'!L4-'Balance Sheet'!L21-'Balance Sheet'!L13</f>
        <v>17320.776000000002</v>
      </c>
      <c r="R125" s="473">
        <f>'Balance Sheet'!M15-'Balance Sheet'!M4-'Balance Sheet'!M21-'Balance Sheet'!M13</f>
        <v>17772.242000000002</v>
      </c>
      <c r="S125" s="473">
        <f>'Balance Sheet'!N15-'Balance Sheet'!N4-'Balance Sheet'!N21-'Balance Sheet'!N13</f>
        <v>18884.060999999998</v>
      </c>
      <c r="T125" s="473">
        <f>'Balance Sheet'!O15-'Balance Sheet'!O4-'Balance Sheet'!O21-'Balance Sheet'!O13</f>
        <v>18391.407000000003</v>
      </c>
      <c r="U125" s="473">
        <f>'Balance Sheet'!P15-'Balance Sheet'!P4-'Balance Sheet'!P21-'Balance Sheet'!P13</f>
        <v>20226.106624686148</v>
      </c>
      <c r="V125" s="473">
        <f>'Balance Sheet'!Q15-'Balance Sheet'!Q4-'Balance Sheet'!Q21-'Balance Sheet'!Q13</f>
        <v>20537.852049510035</v>
      </c>
      <c r="W125" s="473">
        <f>'Balance Sheet'!R15-'Balance Sheet'!R4-'Balance Sheet'!R21-'Balance Sheet'!R13</f>
        <v>21438.345200243453</v>
      </c>
      <c r="X125" s="473">
        <f>'Balance Sheet'!S15-'Balance Sheet'!S4-'Balance Sheet'!S21-'Balance Sheet'!S13</f>
        <v>22114.815877246907</v>
      </c>
    </row>
    <row r="126" spans="1:24">
      <c r="A126" s="473" t="s">
        <v>835</v>
      </c>
      <c r="K126" s="601">
        <f>K114/K125</f>
        <v>6.3608784072365934E-2</v>
      </c>
      <c r="L126" s="601">
        <f t="shared" ref="L126:X126" si="178">L114/L125</f>
        <v>3.2215845658117276E-2</v>
      </c>
      <c r="M126" s="601">
        <f t="shared" si="178"/>
        <v>4.9331847087641448E-2</v>
      </c>
      <c r="N126" s="601">
        <f t="shared" si="178"/>
        <v>5.6921361738495775E-2</v>
      </c>
      <c r="O126" s="601">
        <f t="shared" si="178"/>
        <v>4.7350840355309322E-2</v>
      </c>
      <c r="P126" s="601">
        <f t="shared" si="178"/>
        <v>5.1514950586823108E-2</v>
      </c>
      <c r="Q126" s="601">
        <f t="shared" si="178"/>
        <v>5.648938592589612E-2</v>
      </c>
      <c r="R126" s="601">
        <f t="shared" si="178"/>
        <v>7.2369541220516823E-2</v>
      </c>
      <c r="S126" s="601">
        <f t="shared" si="178"/>
        <v>7.8475440213839634E-2</v>
      </c>
      <c r="T126" s="601">
        <f t="shared" si="178"/>
        <v>9.4829938786086282E-2</v>
      </c>
      <c r="U126" s="601">
        <f t="shared" si="178"/>
        <v>9.8407650349406572E-2</v>
      </c>
      <c r="V126" s="601">
        <f t="shared" si="178"/>
        <v>0.10516366191070345</v>
      </c>
      <c r="W126" s="601">
        <f t="shared" si="178"/>
        <v>0.10218837047198781</v>
      </c>
      <c r="X126" s="601">
        <f t="shared" si="178"/>
        <v>0.10138219856170505</v>
      </c>
    </row>
  </sheetData>
  <customSheetViews>
    <customSheetView guid="{02BAE5C0-B718-491D-AA2C-366929DD884D}" scale="85" fitToPage="1" hiddenColumns="1">
      <pane xSplit="9" ySplit="3" topLeftCell="K4" activePane="bottomRight" state="frozen"/>
      <selection pane="bottomRight" activeCell="L9" sqref="L9"/>
      <pageMargins left="0.75" right="0.75" top="1" bottom="1" header="0.5" footer="0.5"/>
      <pageSetup paperSize="9" scale="62" orientation="portrait" r:id="rId1"/>
      <headerFooter alignWithMargins="0"/>
    </customSheetView>
  </customSheetViews>
  <phoneticPr fontId="10" type="noConversion"/>
  <pageMargins left="0" right="0" top="0" bottom="0" header="0" footer="0"/>
  <pageSetup paperSize="5" scale="89" orientation="landscape" r:id="rId2"/>
  <headerFooter alignWithMargins="0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A1:CL2419"/>
  <sheetViews>
    <sheetView showGridLines="0" zoomScale="115" zoomScaleNormal="115" zoomScaleSheetLayoutView="100" workbookViewId="0">
      <pane xSplit="1" ySplit="1" topLeftCell="BJ2" activePane="bottomRight" state="frozen"/>
      <selection pane="topRight"/>
      <selection pane="bottomLeft"/>
      <selection pane="bottomRight"/>
    </sheetView>
  </sheetViews>
  <sheetFormatPr defaultRowHeight="12.75" outlineLevelRow="1" outlineLevelCol="2"/>
  <cols>
    <col min="1" max="1" width="32.42578125" customWidth="1"/>
    <col min="2" max="2" width="9.140625" hidden="1" customWidth="1" outlineLevel="1"/>
    <col min="3" max="6" width="9.140625" hidden="1" customWidth="1" outlineLevel="2"/>
    <col min="7" max="7" width="9.140625" hidden="1" customWidth="1" outlineLevel="1" collapsed="1"/>
    <col min="8" max="11" width="9.140625" hidden="1" customWidth="1" outlineLevel="2"/>
    <col min="12" max="12" width="9.140625" hidden="1" customWidth="1" outlineLevel="1" collapsed="1"/>
    <col min="13" max="16" width="9.140625" hidden="1" customWidth="1" outlineLevel="2"/>
    <col min="17" max="17" width="9.140625" hidden="1" customWidth="1" outlineLevel="1" collapsed="1"/>
    <col min="18" max="21" width="9.140625" hidden="1" customWidth="1" outlineLevel="2"/>
    <col min="22" max="22" width="9.140625" hidden="1" customWidth="1" outlineLevel="1" collapsed="1"/>
    <col min="23" max="26" width="9.140625" hidden="1" customWidth="1" outlineLevel="2"/>
    <col min="27" max="27" width="9.140625" hidden="1" customWidth="1" outlineLevel="1" collapsed="1"/>
    <col min="28" max="31" width="9.140625" hidden="1" customWidth="1" outlineLevel="2"/>
    <col min="32" max="32" width="9.140625" hidden="1" customWidth="1" outlineLevel="1" collapsed="1"/>
    <col min="33" max="36" width="9.140625" hidden="1" customWidth="1" outlineLevel="2"/>
    <col min="37" max="37" width="9.140625" hidden="1" customWidth="1" outlineLevel="1" collapsed="1"/>
    <col min="38" max="41" width="9.140625" hidden="1" customWidth="1" outlineLevel="2"/>
    <col min="42" max="42" width="9.140625" hidden="1" customWidth="1" outlineLevel="1" collapsed="1"/>
    <col min="43" max="46" width="9.140625" hidden="1" customWidth="1" outlineLevel="2"/>
    <col min="47" max="47" width="9.140625" hidden="1" customWidth="1" outlineLevel="1" collapsed="1"/>
    <col min="48" max="48" width="9.140625" hidden="1" customWidth="1" outlineLevel="2"/>
    <col min="49" max="51" width="9.140625" style="149" hidden="1" customWidth="1" outlineLevel="2"/>
    <col min="52" max="52" width="9.28515625" style="171" hidden="1" customWidth="1" outlineLevel="1" collapsed="1"/>
    <col min="53" max="53" width="9.85546875" style="7" hidden="1" customWidth="1" outlineLevel="1"/>
    <col min="54" max="54" width="9.28515625" hidden="1" customWidth="1" outlineLevel="1"/>
    <col min="55" max="55" width="11.140625" hidden="1" customWidth="1" outlineLevel="1"/>
    <col min="56" max="56" width="9.28515625" style="149" hidden="1" customWidth="1" outlineLevel="1"/>
    <col min="57" max="57" width="10.7109375" style="452" customWidth="1" collapsed="1"/>
    <col min="58" max="58" width="9.85546875" style="7" hidden="1" customWidth="1" outlineLevel="1"/>
    <col min="59" max="59" width="9.28515625" hidden="1" customWidth="1" outlineLevel="1"/>
    <col min="60" max="61" width="9.85546875" hidden="1" customWidth="1" outlineLevel="1"/>
    <col min="62" max="62" width="7.85546875" style="452" customWidth="1" collapsed="1"/>
    <col min="63" max="66" width="9.42578125" style="3" customWidth="1" outlineLevel="1"/>
    <col min="67" max="67" width="11.28515625" customWidth="1"/>
    <col min="68" max="71" width="11.28515625" customWidth="1" outlineLevel="1"/>
    <col min="72" max="72" width="11.28515625" customWidth="1"/>
    <col min="76" max="77" width="11.140625" bestFit="1" customWidth="1"/>
    <col min="83" max="83" width="29.42578125" customWidth="1"/>
    <col min="84" max="84" width="17" customWidth="1"/>
  </cols>
  <sheetData>
    <row r="1" spans="1:90">
      <c r="A1" s="50"/>
      <c r="B1" s="56">
        <v>2004</v>
      </c>
      <c r="C1" s="56" t="s">
        <v>483</v>
      </c>
      <c r="D1" s="56" t="s">
        <v>484</v>
      </c>
      <c r="E1" s="56" t="s">
        <v>504</v>
      </c>
      <c r="F1" s="56" t="s">
        <v>505</v>
      </c>
      <c r="G1" s="56">
        <v>2005</v>
      </c>
      <c r="H1" s="56" t="s">
        <v>475</v>
      </c>
      <c r="I1" s="56" t="s">
        <v>639</v>
      </c>
      <c r="J1" s="56" t="s">
        <v>38</v>
      </c>
      <c r="K1" s="56" t="s">
        <v>13</v>
      </c>
      <c r="L1" s="56">
        <v>2006</v>
      </c>
      <c r="M1" s="56" t="s">
        <v>645</v>
      </c>
      <c r="N1" s="56" t="s">
        <v>410</v>
      </c>
      <c r="O1" s="56" t="s">
        <v>7</v>
      </c>
      <c r="P1" s="56" t="s">
        <v>34</v>
      </c>
      <c r="Q1" s="56">
        <v>2007</v>
      </c>
      <c r="R1" s="56" t="s">
        <v>470</v>
      </c>
      <c r="S1" s="56" t="s">
        <v>411</v>
      </c>
      <c r="T1" s="56" t="s">
        <v>577</v>
      </c>
      <c r="U1" s="56" t="s">
        <v>554</v>
      </c>
      <c r="V1" s="56">
        <v>2008</v>
      </c>
      <c r="W1" s="56" t="s">
        <v>560</v>
      </c>
      <c r="X1" s="56" t="s">
        <v>555</v>
      </c>
      <c r="Y1" s="56" t="s">
        <v>557</v>
      </c>
      <c r="Z1" s="56" t="s">
        <v>477</v>
      </c>
      <c r="AA1" s="56">
        <v>2009</v>
      </c>
      <c r="AB1" s="71" t="s">
        <v>619</v>
      </c>
      <c r="AC1" s="56" t="s">
        <v>556</v>
      </c>
      <c r="AD1" s="56" t="s">
        <v>558</v>
      </c>
      <c r="AE1" s="72" t="s">
        <v>473</v>
      </c>
      <c r="AF1" s="56">
        <v>2010</v>
      </c>
      <c r="AG1" s="71" t="s">
        <v>42</v>
      </c>
      <c r="AH1" s="56" t="s">
        <v>396</v>
      </c>
      <c r="AI1" s="56" t="s">
        <v>559</v>
      </c>
      <c r="AJ1" s="72" t="s">
        <v>52</v>
      </c>
      <c r="AK1" s="56">
        <v>2011</v>
      </c>
      <c r="AL1" s="71" t="s">
        <v>78</v>
      </c>
      <c r="AM1" s="56" t="s">
        <v>84</v>
      </c>
      <c r="AN1" s="56" t="s">
        <v>96</v>
      </c>
      <c r="AO1" s="72" t="s">
        <v>119</v>
      </c>
      <c r="AP1" s="361">
        <v>2012</v>
      </c>
      <c r="AQ1" s="71" t="s">
        <v>113</v>
      </c>
      <c r="AR1" s="56" t="s">
        <v>114</v>
      </c>
      <c r="AS1" s="56" t="s">
        <v>115</v>
      </c>
      <c r="AT1" s="72" t="s">
        <v>116</v>
      </c>
      <c r="AU1" s="56">
        <v>2013</v>
      </c>
      <c r="AV1" s="71" t="s">
        <v>663</v>
      </c>
      <c r="AW1" s="248" t="s">
        <v>257</v>
      </c>
      <c r="AX1" s="248" t="s">
        <v>298</v>
      </c>
      <c r="AY1" s="249" t="s">
        <v>124</v>
      </c>
      <c r="AZ1" s="72">
        <v>2014</v>
      </c>
      <c r="BA1" s="305" t="s">
        <v>678</v>
      </c>
      <c r="BB1" s="305" t="s">
        <v>125</v>
      </c>
      <c r="BC1" s="305" t="s">
        <v>698</v>
      </c>
      <c r="BD1" s="356" t="s">
        <v>706</v>
      </c>
      <c r="BE1" s="436">
        <v>2015</v>
      </c>
      <c r="BF1" s="305" t="s">
        <v>716</v>
      </c>
      <c r="BG1" s="305" t="s">
        <v>126</v>
      </c>
      <c r="BH1" s="305" t="s">
        <v>730</v>
      </c>
      <c r="BI1" s="305" t="s">
        <v>733</v>
      </c>
      <c r="BJ1" s="436">
        <v>2016</v>
      </c>
      <c r="BK1" s="584" t="s">
        <v>795</v>
      </c>
      <c r="BL1" s="584" t="s">
        <v>807</v>
      </c>
      <c r="BM1" s="584" t="s">
        <v>813</v>
      </c>
      <c r="BN1" s="589" t="s">
        <v>822</v>
      </c>
      <c r="BO1" s="584">
        <v>2017</v>
      </c>
      <c r="BP1" s="735" t="s">
        <v>839</v>
      </c>
      <c r="BQ1" s="718" t="s">
        <v>823</v>
      </c>
      <c r="BR1" s="718" t="s">
        <v>824</v>
      </c>
      <c r="BS1" s="718" t="s">
        <v>821</v>
      </c>
      <c r="BT1" s="746" t="s">
        <v>316</v>
      </c>
      <c r="BU1" s="56" t="s">
        <v>317</v>
      </c>
      <c r="BV1" s="56" t="s">
        <v>734</v>
      </c>
      <c r="BW1" s="56" t="s">
        <v>825</v>
      </c>
    </row>
    <row r="2" spans="1:90">
      <c r="A2" s="45" t="s">
        <v>447</v>
      </c>
      <c r="B2" s="403">
        <v>1.24</v>
      </c>
      <c r="C2" s="358">
        <f>$G$2</f>
        <v>1.2428381451883521</v>
      </c>
      <c r="D2" s="358">
        <f>$G$2</f>
        <v>1.2428381451883521</v>
      </c>
      <c r="E2" s="358">
        <f>$G$2</f>
        <v>1.2428381451883521</v>
      </c>
      <c r="F2" s="358">
        <f>$G$2</f>
        <v>1.2428381451883521</v>
      </c>
      <c r="G2" s="51">
        <v>1.2428381451883521</v>
      </c>
      <c r="H2" s="358">
        <f>L2</f>
        <v>1.2552091178390319</v>
      </c>
      <c r="I2" s="358">
        <f>L2</f>
        <v>1.2552091178390319</v>
      </c>
      <c r="J2" s="358">
        <f>L2</f>
        <v>1.2552091178390319</v>
      </c>
      <c r="K2" s="358">
        <f>L2</f>
        <v>1.2552091178390319</v>
      </c>
      <c r="L2" s="51">
        <v>1.2552091178390319</v>
      </c>
      <c r="M2" s="358">
        <f>Q2</f>
        <v>1.3683447134001996</v>
      </c>
      <c r="N2" s="358">
        <f>Q2</f>
        <v>1.3683447134001996</v>
      </c>
      <c r="O2" s="358">
        <f>Q2</f>
        <v>1.3683447134001996</v>
      </c>
      <c r="P2" s="358">
        <f>Q2</f>
        <v>1.3683447134001996</v>
      </c>
      <c r="Q2" s="51">
        <v>1.3683447134001996</v>
      </c>
      <c r="R2" s="358">
        <f>V2</f>
        <v>1.4639359381633459</v>
      </c>
      <c r="S2" s="358">
        <f>V2</f>
        <v>1.4639359381633459</v>
      </c>
      <c r="T2" s="358">
        <f>V2</f>
        <v>1.4639359381633459</v>
      </c>
      <c r="U2" s="358">
        <f>V2</f>
        <v>1.4639359381633459</v>
      </c>
      <c r="V2" s="51">
        <v>1.4639359381633459</v>
      </c>
      <c r="W2" s="51">
        <v>1.31</v>
      </c>
      <c r="X2" s="51">
        <v>1.36</v>
      </c>
      <c r="Y2" s="51">
        <v>1.4292405015974514</v>
      </c>
      <c r="Z2" s="51">
        <v>1.48</v>
      </c>
      <c r="AA2" s="51">
        <v>1.3987118807683752</v>
      </c>
      <c r="AB2" s="73">
        <v>1.38</v>
      </c>
      <c r="AC2" s="117">
        <v>1.27</v>
      </c>
      <c r="AD2" s="117">
        <v>1.2916045702930952</v>
      </c>
      <c r="AE2" s="126">
        <v>1.3571045967805782</v>
      </c>
      <c r="AF2" s="117">
        <f>AVERAGE(AB2:AE2)</f>
        <v>1.3246772917684184</v>
      </c>
      <c r="AG2" s="173">
        <v>1.37</v>
      </c>
      <c r="AH2" s="139">
        <v>1.44</v>
      </c>
      <c r="AI2" s="139">
        <v>1.41</v>
      </c>
      <c r="AJ2" s="174">
        <v>1.35</v>
      </c>
      <c r="AK2" s="51">
        <f>AVERAGE(AG2:AJ2)</f>
        <v>1.3925000000000001</v>
      </c>
      <c r="AL2" s="147">
        <v>1.31</v>
      </c>
      <c r="AM2" s="139">
        <v>1.31</v>
      </c>
      <c r="AN2" s="139">
        <v>1.29</v>
      </c>
      <c r="AO2" s="174">
        <v>1.3</v>
      </c>
      <c r="AP2" s="362">
        <f>AVERAGE(AL2:AO2)</f>
        <v>1.3025</v>
      </c>
      <c r="AQ2" s="147">
        <v>1.32</v>
      </c>
      <c r="AR2" s="139">
        <v>1.31</v>
      </c>
      <c r="AS2" s="139">
        <v>1.33</v>
      </c>
      <c r="AT2" s="174">
        <v>1.36</v>
      </c>
      <c r="AU2" s="165">
        <f>AVERAGE(AQ2:AT2)</f>
        <v>1.33</v>
      </c>
      <c r="AV2" s="208">
        <v>1.37</v>
      </c>
      <c r="AW2" s="250">
        <v>1.37</v>
      </c>
      <c r="AX2" s="385">
        <v>1.26</v>
      </c>
      <c r="AY2" s="386">
        <f>1/0.823</f>
        <v>1.2150668286755772</v>
      </c>
      <c r="AZ2" s="254">
        <f>AVERAGE(AV2:AY2)</f>
        <v>1.3037667071688943</v>
      </c>
      <c r="BA2" s="396">
        <v>1.07</v>
      </c>
      <c r="BB2" s="407">
        <v>1.1100000000000001</v>
      </c>
      <c r="BC2" s="385">
        <v>1.1000000000000001</v>
      </c>
      <c r="BD2" s="385">
        <v>1.0900000000000001</v>
      </c>
      <c r="BE2" s="386">
        <f>AVERAGE(BA2:BD2)</f>
        <v>1.0925</v>
      </c>
      <c r="BF2" s="396">
        <v>1.1399999999999999</v>
      </c>
      <c r="BG2" s="407">
        <v>1.1000000000000001</v>
      </c>
      <c r="BH2" s="571">
        <v>1.0900000000000001</v>
      </c>
      <c r="BI2" s="571">
        <v>1.0900000000000001</v>
      </c>
      <c r="BJ2" s="386">
        <f>AVERAGE(BF2:BI2)</f>
        <v>1.105</v>
      </c>
      <c r="BK2" s="612">
        <v>1.08</v>
      </c>
      <c r="BL2" s="613">
        <v>1.0900000000000001</v>
      </c>
      <c r="BM2" s="613">
        <v>1.18</v>
      </c>
      <c r="BN2" s="614">
        <v>1.1599999999999999</v>
      </c>
      <c r="BO2" s="738">
        <f>AVERAGE(BK2:BN2)</f>
        <v>1.1274999999999999</v>
      </c>
      <c r="BP2" s="612">
        <v>1.23</v>
      </c>
      <c r="BQ2" s="57">
        <f>BR2</f>
        <v>1.22</v>
      </c>
      <c r="BR2" s="57">
        <f>BS2</f>
        <v>1.22</v>
      </c>
      <c r="BS2" s="57">
        <v>1.22</v>
      </c>
      <c r="BT2" s="738">
        <f t="shared" ref="BT2:BT4" si="0">AVERAGE(BP2:BS2)</f>
        <v>1.2224999999999999</v>
      </c>
      <c r="BU2" s="57">
        <f>BT2</f>
        <v>1.2224999999999999</v>
      </c>
      <c r="BV2" s="57">
        <f>BU2</f>
        <v>1.2224999999999999</v>
      </c>
      <c r="BW2" s="57">
        <f>BV2</f>
        <v>1.2224999999999999</v>
      </c>
    </row>
    <row r="3" spans="1:90">
      <c r="A3" s="47" t="s">
        <v>572</v>
      </c>
      <c r="B3" s="45"/>
      <c r="C3" s="45"/>
      <c r="D3" s="45"/>
      <c r="E3" s="45"/>
      <c r="F3" s="45"/>
      <c r="G3" s="45" t="s">
        <v>74</v>
      </c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  <c r="AA3" s="45"/>
      <c r="AB3" s="93"/>
      <c r="AC3" s="59"/>
      <c r="AD3" s="59"/>
      <c r="AE3" s="97"/>
      <c r="AF3" s="59"/>
      <c r="AG3" s="74"/>
      <c r="AH3" s="75">
        <v>1.47</v>
      </c>
      <c r="AI3" s="75">
        <v>1.45</v>
      </c>
      <c r="AJ3" s="76">
        <v>1.39</v>
      </c>
      <c r="AK3" s="58"/>
      <c r="AL3" s="74">
        <v>1.31</v>
      </c>
      <c r="AM3" s="75">
        <v>1.31</v>
      </c>
      <c r="AN3" s="75">
        <v>1.21</v>
      </c>
      <c r="AO3" s="76">
        <v>1.3</v>
      </c>
      <c r="AP3" s="363"/>
      <c r="AQ3" s="74">
        <v>1.36</v>
      </c>
      <c r="AR3" s="75">
        <v>1.31</v>
      </c>
      <c r="AS3" s="75">
        <v>1.32</v>
      </c>
      <c r="AT3" s="76">
        <v>1.36</v>
      </c>
      <c r="AU3" s="75">
        <v>1.36</v>
      </c>
      <c r="AV3" s="74">
        <v>1.36</v>
      </c>
      <c r="AW3" s="228"/>
      <c r="AX3" s="251"/>
      <c r="AY3" s="252">
        <v>1.26</v>
      </c>
      <c r="AZ3" s="75"/>
      <c r="BA3" s="325">
        <v>1.1399999999999999</v>
      </c>
      <c r="BB3" s="251">
        <v>1.06</v>
      </c>
      <c r="BC3" s="251"/>
      <c r="BD3" s="251">
        <v>1.1399999999999999</v>
      </c>
      <c r="BE3" s="252"/>
      <c r="BF3" s="461"/>
      <c r="BG3" s="251"/>
      <c r="BH3" s="251"/>
      <c r="BI3" s="251"/>
      <c r="BJ3" s="252"/>
      <c r="BK3" s="612"/>
      <c r="BL3" s="613"/>
      <c r="BM3" s="613"/>
      <c r="BN3" s="614"/>
      <c r="BO3" s="738"/>
      <c r="BP3" s="612"/>
      <c r="BQ3" s="236"/>
      <c r="BR3" s="236"/>
      <c r="BS3" s="236"/>
      <c r="BT3" s="738"/>
      <c r="BU3" s="236"/>
      <c r="BV3" s="236"/>
      <c r="BW3" s="236"/>
      <c r="BX3" s="205"/>
      <c r="BY3" s="226">
        <v>2.5</v>
      </c>
      <c r="BZ3" s="226">
        <f>(2.75+4.75)/2</f>
        <v>3.75</v>
      </c>
      <c r="CA3" s="226">
        <f>BZ3-BY3</f>
        <v>1.25</v>
      </c>
    </row>
    <row r="4" spans="1:90">
      <c r="A4" s="45" t="s">
        <v>446</v>
      </c>
      <c r="B4" s="51">
        <v>1.8311562889563393</v>
      </c>
      <c r="C4" s="359">
        <f>$G$4</f>
        <v>1.8172805164327417</v>
      </c>
      <c r="D4" s="359">
        <f>$G$4</f>
        <v>1.8172805164327417</v>
      </c>
      <c r="E4" s="359">
        <f>$G$4</f>
        <v>1.8172805164327417</v>
      </c>
      <c r="F4" s="359">
        <f>$G$4</f>
        <v>1.8172805164327417</v>
      </c>
      <c r="G4" s="51">
        <v>1.8172805164327417</v>
      </c>
      <c r="H4" s="358">
        <f>L4</f>
        <v>1.8409414631785515</v>
      </c>
      <c r="I4" s="358">
        <f>L4</f>
        <v>1.8409414631785515</v>
      </c>
      <c r="J4" s="358">
        <f>L4</f>
        <v>1.8409414631785515</v>
      </c>
      <c r="K4" s="358">
        <f>L4</f>
        <v>1.8409414631785515</v>
      </c>
      <c r="L4" s="51">
        <v>1.8409414631785515</v>
      </c>
      <c r="M4" s="358">
        <f>Q4</f>
        <v>1.9993055528122026</v>
      </c>
      <c r="N4" s="358">
        <f>Q4</f>
        <v>1.9993055528122026</v>
      </c>
      <c r="O4" s="358">
        <f>Q4</f>
        <v>1.9993055528122026</v>
      </c>
      <c r="P4" s="358">
        <f>Q4</f>
        <v>1.9993055528122026</v>
      </c>
      <c r="Q4" s="51">
        <v>1.9993055528122026</v>
      </c>
      <c r="R4" s="358">
        <f>V4</f>
        <v>1.8373151160462682</v>
      </c>
      <c r="S4" s="358">
        <f>V4</f>
        <v>1.8373151160462682</v>
      </c>
      <c r="T4" s="358">
        <f>V4</f>
        <v>1.8373151160462682</v>
      </c>
      <c r="U4" s="358">
        <f>V4</f>
        <v>1.8373151160462682</v>
      </c>
      <c r="V4" s="51">
        <v>1.8373151160462682</v>
      </c>
      <c r="W4" s="51">
        <v>1.44</v>
      </c>
      <c r="X4" s="51">
        <v>1.55</v>
      </c>
      <c r="Y4" s="51">
        <v>1.6406799786984025</v>
      </c>
      <c r="Z4" s="51">
        <v>1.63</v>
      </c>
      <c r="AA4" s="51">
        <v>1.561260419782821</v>
      </c>
      <c r="AB4" s="73">
        <v>1.56</v>
      </c>
      <c r="AC4" s="117">
        <v>1.49</v>
      </c>
      <c r="AD4" s="117">
        <v>1.5501005264727039</v>
      </c>
      <c r="AE4" s="126">
        <v>1.579160944996115</v>
      </c>
      <c r="AF4" s="117">
        <f>AVERAGE(AB4:AE4)</f>
        <v>1.5448153678672047</v>
      </c>
      <c r="AG4" s="73">
        <v>1.6</v>
      </c>
      <c r="AH4" s="115">
        <v>1.63</v>
      </c>
      <c r="AI4" s="115">
        <v>1.61</v>
      </c>
      <c r="AJ4" s="140">
        <v>1.57</v>
      </c>
      <c r="AK4" s="51">
        <f>AVERAGE(AG4:AJ4)</f>
        <v>1.6025</v>
      </c>
      <c r="AL4" s="147">
        <v>1.57</v>
      </c>
      <c r="AM4" s="115">
        <v>1.57</v>
      </c>
      <c r="AN4" s="115">
        <v>1.58</v>
      </c>
      <c r="AO4" s="140">
        <v>1.61</v>
      </c>
      <c r="AP4" s="362">
        <f>AVERAGE(AL4:AO4)</f>
        <v>1.5825000000000002</v>
      </c>
      <c r="AQ4" s="147">
        <v>1.55</v>
      </c>
      <c r="AR4" s="115">
        <v>1.54</v>
      </c>
      <c r="AS4" s="115">
        <v>1.55</v>
      </c>
      <c r="AT4" s="140">
        <v>1.62</v>
      </c>
      <c r="AU4" s="165">
        <f>AVERAGE(AQ4:AT4)</f>
        <v>1.5649999999999999</v>
      </c>
      <c r="AV4" s="147">
        <v>1.66</v>
      </c>
      <c r="AW4" s="253">
        <v>1.68</v>
      </c>
      <c r="AX4" s="254">
        <v>1.61</v>
      </c>
      <c r="AY4" s="317">
        <v>1.51</v>
      </c>
      <c r="AZ4" s="254">
        <f>AVERAGE(AV4:AY4)</f>
        <v>1.615</v>
      </c>
      <c r="BA4" s="396">
        <v>1.49</v>
      </c>
      <c r="BB4" s="407">
        <v>1.53</v>
      </c>
      <c r="BC4" s="407">
        <v>1.53</v>
      </c>
      <c r="BD4" s="407">
        <v>1.44</v>
      </c>
      <c r="BE4" s="317">
        <f>AVERAGE(BA4:BD4)</f>
        <v>1.4975000000000001</v>
      </c>
      <c r="BF4" s="396">
        <v>1.46</v>
      </c>
      <c r="BG4" s="407">
        <v>1.32</v>
      </c>
      <c r="BH4" s="572">
        <v>1.22</v>
      </c>
      <c r="BI4" s="572">
        <v>1.22</v>
      </c>
      <c r="BJ4" s="317">
        <f>AVERAGE(BF4:BI4)</f>
        <v>1.3049999999999999</v>
      </c>
      <c r="BK4" s="612">
        <v>1.25</v>
      </c>
      <c r="BL4" s="613">
        <v>1.28</v>
      </c>
      <c r="BM4" s="613">
        <v>1.32</v>
      </c>
      <c r="BN4" s="614">
        <v>1.33</v>
      </c>
      <c r="BO4" s="738">
        <f>AVERAGE(BK4:BN4)</f>
        <v>1.2950000000000002</v>
      </c>
      <c r="BP4" s="612">
        <v>1.38</v>
      </c>
      <c r="BQ4" s="57">
        <f>BR4</f>
        <v>1.39</v>
      </c>
      <c r="BR4" s="57">
        <f>BS4</f>
        <v>1.39</v>
      </c>
      <c r="BS4" s="57">
        <v>1.39</v>
      </c>
      <c r="BT4" s="738">
        <f t="shared" si="0"/>
        <v>1.3874999999999997</v>
      </c>
      <c r="BU4" s="57">
        <f>BT4</f>
        <v>1.3874999999999997</v>
      </c>
      <c r="BV4" s="57">
        <f>BU4</f>
        <v>1.3874999999999997</v>
      </c>
      <c r="BW4" s="57">
        <f>BV4</f>
        <v>1.3874999999999997</v>
      </c>
      <c r="BX4" s="41"/>
      <c r="BY4" s="41"/>
    </row>
    <row r="5" spans="1:90">
      <c r="A5" s="47" t="s">
        <v>572</v>
      </c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93"/>
      <c r="AC5" s="59"/>
      <c r="AD5" s="59"/>
      <c r="AE5" s="97"/>
      <c r="AF5" s="59"/>
      <c r="AG5" s="74"/>
      <c r="AH5" s="75">
        <v>1.66</v>
      </c>
      <c r="AI5" s="75">
        <v>1.64</v>
      </c>
      <c r="AJ5" s="76">
        <v>1.6</v>
      </c>
      <c r="AK5" s="58"/>
      <c r="AL5" s="74">
        <v>1.58</v>
      </c>
      <c r="AM5" s="75">
        <v>1.59</v>
      </c>
      <c r="AN5" s="75">
        <v>1.55</v>
      </c>
      <c r="AO5" s="76">
        <v>1.61</v>
      </c>
      <c r="AP5" s="363"/>
      <c r="AQ5" s="74">
        <v>1.58</v>
      </c>
      <c r="AR5" s="75">
        <v>1.53</v>
      </c>
      <c r="AS5" s="75">
        <v>1.54</v>
      </c>
      <c r="AT5" s="76">
        <v>1.62</v>
      </c>
      <c r="AU5" s="58"/>
      <c r="AV5" s="74">
        <v>1.63</v>
      </c>
      <c r="AW5" s="251"/>
      <c r="AX5" s="255"/>
      <c r="AY5" s="252">
        <v>1.61</v>
      </c>
      <c r="AZ5" s="75"/>
      <c r="BA5" s="347">
        <v>1.5</v>
      </c>
      <c r="BB5" s="348">
        <v>1.46</v>
      </c>
      <c r="BC5" s="348"/>
      <c r="BD5" s="348">
        <v>1.53</v>
      </c>
      <c r="BE5" s="252"/>
      <c r="BF5" s="347"/>
      <c r="BG5" s="348"/>
      <c r="BH5" s="348"/>
      <c r="BI5" s="348"/>
      <c r="BJ5" s="252"/>
      <c r="BK5" s="615"/>
      <c r="BL5" s="616"/>
      <c r="BM5" s="616"/>
      <c r="BN5" s="617"/>
      <c r="BO5" s="57"/>
      <c r="BP5" s="719"/>
      <c r="BQ5" s="57"/>
      <c r="BR5" s="57"/>
      <c r="BS5" s="57"/>
      <c r="BT5" s="719"/>
      <c r="BU5" s="57"/>
      <c r="BV5" s="57"/>
      <c r="BW5" s="57"/>
      <c r="BX5" s="4"/>
      <c r="BY5" s="4"/>
    </row>
    <row r="6" spans="1:90">
      <c r="A6" s="55"/>
      <c r="B6" s="121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2"/>
      <c r="AC6" s="121"/>
      <c r="AD6" s="121"/>
      <c r="AE6" s="123"/>
      <c r="AF6" s="121"/>
      <c r="AG6" s="122"/>
      <c r="AH6" s="121"/>
      <c r="AI6" s="121"/>
      <c r="AJ6" s="123"/>
      <c r="AK6" s="121"/>
      <c r="AL6" s="122"/>
      <c r="AM6" s="121"/>
      <c r="AN6" s="121"/>
      <c r="AO6" s="123"/>
      <c r="AP6" s="364"/>
      <c r="AQ6" s="122"/>
      <c r="AR6" s="121"/>
      <c r="AS6" s="121"/>
      <c r="AT6" s="123"/>
      <c r="AU6" s="121"/>
      <c r="AV6" s="122"/>
      <c r="AW6" s="256"/>
      <c r="AX6" s="256"/>
      <c r="AY6" s="257"/>
      <c r="AZ6" s="121"/>
      <c r="BA6" s="349"/>
      <c r="BB6" s="256"/>
      <c r="BC6" s="256"/>
      <c r="BD6" s="256"/>
      <c r="BE6" s="257"/>
      <c r="BF6" s="349"/>
      <c r="BG6" s="256"/>
      <c r="BH6" s="256"/>
      <c r="BI6" s="256"/>
      <c r="BJ6" s="257"/>
      <c r="BK6" s="122"/>
      <c r="BL6" s="121"/>
      <c r="BM6" s="121"/>
      <c r="BN6" s="123"/>
      <c r="BO6" s="121"/>
      <c r="BP6" s="122"/>
      <c r="BQ6" s="121"/>
      <c r="BR6" s="121"/>
      <c r="BS6" s="121"/>
      <c r="BT6" s="122"/>
      <c r="BU6" s="121"/>
      <c r="BV6" s="121"/>
      <c r="BW6" s="121"/>
    </row>
    <row r="7" spans="1:90">
      <c r="A7" s="45" t="s">
        <v>437</v>
      </c>
      <c r="B7" s="52">
        <v>2.8907441491787589E-2</v>
      </c>
      <c r="C7" s="52">
        <v>-5.2644060114247493E-3</v>
      </c>
      <c r="D7" s="52">
        <v>-3.277793831647613E-3</v>
      </c>
      <c r="E7" s="52">
        <v>2.2077828564726287E-2</v>
      </c>
      <c r="F7" s="52">
        <v>7.5338347346365353E-3</v>
      </c>
      <c r="G7" s="52">
        <v>5.2868842793829529E-3</v>
      </c>
      <c r="H7" s="52">
        <v>-1.4150695421112469E-2</v>
      </c>
      <c r="I7" s="52">
        <v>-1.9611454983559873E-2</v>
      </c>
      <c r="J7" s="52">
        <v>-8.9815793006198241E-4</v>
      </c>
      <c r="K7" s="52">
        <v>3.4912158333077148E-2</v>
      </c>
      <c r="L7" s="52">
        <v>2.4637791740556025E-5</v>
      </c>
      <c r="M7" s="52">
        <v>-2.3216008022507451E-3</v>
      </c>
      <c r="N7" s="52">
        <v>-7.7858944265667418E-3</v>
      </c>
      <c r="O7" s="52">
        <v>6.7734200785998233E-3</v>
      </c>
      <c r="P7" s="52">
        <v>3.5978658974749056E-3</v>
      </c>
      <c r="Q7" s="52">
        <v>2.0218186888198986E-4</v>
      </c>
      <c r="R7" s="52">
        <v>-1.3777006782864643E-3</v>
      </c>
      <c r="S7" s="52">
        <v>1.1525007983599345E-2</v>
      </c>
      <c r="T7" s="52">
        <v>2.0194885092923442E-3</v>
      </c>
      <c r="U7" s="52">
        <v>-9.2087534928435577E-3</v>
      </c>
      <c r="V7" s="52">
        <v>5.8617862815446564E-4</v>
      </c>
      <c r="W7" s="52">
        <v>3.1509255819877513E-2</v>
      </c>
      <c r="X7" s="52">
        <v>-1.469804647166828E-2</v>
      </c>
      <c r="Y7" s="52">
        <v>-3.6822150936636211E-2</v>
      </c>
      <c r="Z7" s="52">
        <v>-3.6059405508575559E-2</v>
      </c>
      <c r="AA7" s="52">
        <v>-1.4525914417418129E-2</v>
      </c>
      <c r="AB7" s="77">
        <v>-3.2292768050631304E-2</v>
      </c>
      <c r="AC7" s="90">
        <v>3.8868407448154008E-2</v>
      </c>
      <c r="AD7" s="90">
        <v>4.9158178034960809E-2</v>
      </c>
      <c r="AE7" s="91">
        <v>8.3562368170468915E-3</v>
      </c>
      <c r="AF7" s="90">
        <v>1.5643187679365234E-2</v>
      </c>
      <c r="AG7" s="77">
        <v>4.9031682930167353E-3</v>
      </c>
      <c r="AH7" s="116">
        <v>-3.8629328967197951E-3</v>
      </c>
      <c r="AI7" s="116">
        <v>-6.0647353284331018E-3</v>
      </c>
      <c r="AJ7" s="136">
        <v>2.7907809389908556E-2</v>
      </c>
      <c r="AK7" s="52">
        <v>5.541604532289357E-3</v>
      </c>
      <c r="AL7" s="77">
        <v>6.2710527741336453E-3</v>
      </c>
      <c r="AM7" s="116">
        <v>-4.1008770779666914E-3</v>
      </c>
      <c r="AN7" s="116">
        <v>-4.6775965634283656E-3</v>
      </c>
      <c r="AO7" s="136">
        <v>-7.0708663552393469E-3</v>
      </c>
      <c r="AP7" s="365">
        <v>-2.474145215413559E-3</v>
      </c>
      <c r="AQ7" s="77">
        <v>-5.9977367946046911E-3</v>
      </c>
      <c r="AR7" s="116">
        <v>-2.4915494467594335E-2</v>
      </c>
      <c r="AS7" s="116">
        <v>-2.1909567439650446E-2</v>
      </c>
      <c r="AT7" s="136">
        <v>-3.5309100400005011E-4</v>
      </c>
      <c r="AU7" s="134">
        <v>-1.3310463782432058E-2</v>
      </c>
      <c r="AV7" s="77">
        <v>5.355856160221828E-3</v>
      </c>
      <c r="AW7" s="232">
        <v>4.4850276531291033E-2</v>
      </c>
      <c r="AX7" s="232">
        <v>2.3007375332091851E-2</v>
      </c>
      <c r="AY7" s="275">
        <v>6.8733558765374791E-3</v>
      </c>
      <c r="AZ7" s="116">
        <v>1.9837817356340715E-2</v>
      </c>
      <c r="BA7" s="77">
        <v>-6.9392376962289504E-3</v>
      </c>
      <c r="BB7" s="90">
        <v>-1.3802144722245058E-2</v>
      </c>
      <c r="BC7" s="90">
        <v>-1.7666959684065398E-2</v>
      </c>
      <c r="BD7" s="90">
        <v>-2.9067019553467799E-2</v>
      </c>
      <c r="BE7" s="275">
        <v>-1.6868408948125579E-2</v>
      </c>
      <c r="BF7" s="77">
        <v>-3.316891956103929E-2</v>
      </c>
      <c r="BG7" s="90">
        <v>-3.8664428323839761E-2</v>
      </c>
      <c r="BH7" s="90">
        <v>-7.2798826485102719E-2</v>
      </c>
      <c r="BI7" s="90">
        <v>-8.5000000000000006E-2</v>
      </c>
      <c r="BJ7" s="275">
        <f>AVERAGE(BF7:BI7)</f>
        <v>-5.7408043592495447E-2</v>
      </c>
      <c r="BK7" s="618">
        <v>-5.6735340391162903E-2</v>
      </c>
      <c r="BL7" s="619">
        <v>-6.5127618376269569E-2</v>
      </c>
      <c r="BM7" s="619">
        <v>-4.1446042209101641E-2</v>
      </c>
      <c r="BN7" s="739">
        <v>9.7998986278071687E-3</v>
      </c>
      <c r="BO7" s="590">
        <v>-3.8687261595017564E-2</v>
      </c>
      <c r="BP7" s="618">
        <v>-2.3842864410059894E-2</v>
      </c>
      <c r="BQ7" s="748">
        <v>1.0999999999999999E-2</v>
      </c>
      <c r="BR7" s="748">
        <v>1.7999999999999999E-2</v>
      </c>
      <c r="BS7" s="748">
        <v>2.7E-2</v>
      </c>
      <c r="BT7" s="720">
        <v>8.1755902971880623E-3</v>
      </c>
      <c r="BU7" s="60">
        <v>5.0000000000000001E-3</v>
      </c>
      <c r="BV7" s="60">
        <v>-4.4999999999999997E-3</v>
      </c>
      <c r="BW7" s="60">
        <v>2.3E-2</v>
      </c>
      <c r="BX7" s="41"/>
      <c r="CL7" s="205"/>
    </row>
    <row r="8" spans="1:90">
      <c r="A8" s="43" t="s">
        <v>600</v>
      </c>
      <c r="B8" s="46">
        <v>0.10288726337935672</v>
      </c>
      <c r="C8" s="46">
        <v>3.2607018838703539E-2</v>
      </c>
      <c r="D8" s="46">
        <v>-2.9414610473830205E-3</v>
      </c>
      <c r="E8" s="46">
        <v>1.9253223126628916E-2</v>
      </c>
      <c r="F8" s="46">
        <v>5.9801329599080688E-3</v>
      </c>
      <c r="G8" s="46">
        <v>1.3733478462530924E-2</v>
      </c>
      <c r="H8" s="46">
        <v>-2.9007991926784493E-2</v>
      </c>
      <c r="I8" s="46">
        <v>1.460871863613189E-2</v>
      </c>
      <c r="J8" s="46">
        <v>4.959850381025932E-2</v>
      </c>
      <c r="K8" s="46">
        <v>8.5888650263923116E-2</v>
      </c>
      <c r="L8" s="46">
        <v>3.0310222030978107E-2</v>
      </c>
      <c r="M8" s="46">
        <v>9.6628497408349556E-2</v>
      </c>
      <c r="N8" s="46">
        <v>0.12427862044428828</v>
      </c>
      <c r="O8" s="46">
        <v>0.13691252078580485</v>
      </c>
      <c r="P8" s="46">
        <v>0.13332648321573015</v>
      </c>
      <c r="Q8" s="46">
        <v>0.12340264440585802</v>
      </c>
      <c r="R8" s="46">
        <v>8.8729181302898974E-2</v>
      </c>
      <c r="S8" s="46">
        <v>5.3110240201815317E-2</v>
      </c>
      <c r="T8" s="46">
        <v>4.1436636821079897E-2</v>
      </c>
      <c r="U8" s="46">
        <v>2.935472819620677E-2</v>
      </c>
      <c r="V8" s="46">
        <v>5.1990777940439825E-2</v>
      </c>
      <c r="W8" s="46">
        <v>6.4963766359306785E-2</v>
      </c>
      <c r="X8" s="46">
        <v>3.4933554156776569E-2</v>
      </c>
      <c r="Y8" s="46">
        <v>3.0580901935821414E-2</v>
      </c>
      <c r="Z8" s="46">
        <v>7.4970945867718353E-2</v>
      </c>
      <c r="AA8" s="46">
        <v>5.1300091518032831E-2</v>
      </c>
      <c r="AB8" s="78">
        <v>9.0552529741426246E-2</v>
      </c>
      <c r="AC8" s="79">
        <v>0.14554128636527652</v>
      </c>
      <c r="AD8" s="79">
        <v>0.1274245530070941</v>
      </c>
      <c r="AE8" s="80">
        <v>8.2992139638927265E-2</v>
      </c>
      <c r="AF8" s="79">
        <v>0.11106089365442728</v>
      </c>
      <c r="AG8" s="78">
        <v>0.10146771328564919</v>
      </c>
      <c r="AH8" s="79">
        <v>6.55498959639087E-2</v>
      </c>
      <c r="AI8" s="79">
        <v>6.2736572766421528E-2</v>
      </c>
      <c r="AJ8" s="80">
        <v>7.2697110771670292E-2</v>
      </c>
      <c r="AK8" s="46">
        <v>7.5197451890542499E-2</v>
      </c>
      <c r="AL8" s="78">
        <v>2.4629223425909341E-2</v>
      </c>
      <c r="AM8" s="79">
        <v>1.777603273644468E-2</v>
      </c>
      <c r="AN8" s="79">
        <v>6.1754264204227916E-4</v>
      </c>
      <c r="AO8" s="80">
        <v>1.4363113863751886E-2</v>
      </c>
      <c r="AP8" s="366">
        <v>1.4143788625105458E-2</v>
      </c>
      <c r="AQ8" s="78">
        <v>1.5459408660449592E-2</v>
      </c>
      <c r="AR8" s="79">
        <v>7.0021652879672658E-3</v>
      </c>
      <c r="AS8" s="79">
        <v>1.0106485999313408E-2</v>
      </c>
      <c r="AT8" s="80">
        <v>-3.5309100400016113E-4</v>
      </c>
      <c r="AU8" s="46">
        <v>7.9888246410446673E-3</v>
      </c>
      <c r="AV8" s="78">
        <v>5.355886432426793E-3</v>
      </c>
      <c r="AW8" s="229">
        <v>4.4850307992710059E-2</v>
      </c>
      <c r="AX8" s="229">
        <v>2.3007406135800545E-2</v>
      </c>
      <c r="AY8" s="258">
        <v>2.1411793516477706E-2</v>
      </c>
      <c r="AZ8" s="79">
        <v>2.351924888443957E-2</v>
      </c>
      <c r="BA8" s="78">
        <v>3.607765615318792E-2</v>
      </c>
      <c r="BB8" s="229">
        <v>5.0277270252206518E-2</v>
      </c>
      <c r="BC8" s="229">
        <v>6.7437432160024846E-2</v>
      </c>
      <c r="BD8" s="229">
        <v>6.0762396037084221E-2</v>
      </c>
      <c r="BE8" s="258">
        <v>5.3854275539581886E-2</v>
      </c>
      <c r="BF8" s="78">
        <v>4.7114772902666635E-2</v>
      </c>
      <c r="BG8" s="229">
        <v>5.5771529628490413E-2</v>
      </c>
      <c r="BH8" s="229">
        <v>3.1812180994970296E-2</v>
      </c>
      <c r="BI8" s="229">
        <v>-2.2352326544354817E-3</v>
      </c>
      <c r="BJ8" s="258">
        <v>3.2690719604600016E-2</v>
      </c>
      <c r="BK8" s="620">
        <v>9.4475283987718317E-3</v>
      </c>
      <c r="BL8" s="621">
        <v>-4.1042633789282301E-2</v>
      </c>
      <c r="BM8" s="621">
        <v>-5.6521068691879006E-2</v>
      </c>
      <c r="BN8" s="622">
        <v>-6.0810646611061392E-3</v>
      </c>
      <c r="BO8" s="46">
        <v>-2.4143574979857085E-2</v>
      </c>
      <c r="BP8" s="78">
        <v>-3.9194733285844663E-2</v>
      </c>
      <c r="BQ8" s="46">
        <v>2.7025855137875254E-2</v>
      </c>
      <c r="BR8" s="46">
        <v>6.9847025868908119E-2</v>
      </c>
      <c r="BS8" s="46">
        <v>9.1249413989346273E-2</v>
      </c>
      <c r="BT8" s="78">
        <v>3.7216448959156212E-2</v>
      </c>
      <c r="BU8" s="46">
        <v>6.7954075726276431E-2</v>
      </c>
      <c r="BV8" s="46">
        <v>4.2022069682172258E-2</v>
      </c>
      <c r="BW8" s="46">
        <v>7.8848618911929735E-2</v>
      </c>
    </row>
    <row r="9" spans="1:90">
      <c r="A9" s="47" t="s">
        <v>572</v>
      </c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93"/>
      <c r="AC9" s="59"/>
      <c r="AD9" s="59"/>
      <c r="AE9" s="97"/>
      <c r="AF9" s="59"/>
      <c r="AG9" s="81">
        <v>0.10199999999999999</v>
      </c>
      <c r="AH9" s="82">
        <v>6.6000000000000003E-2</v>
      </c>
      <c r="AI9" s="82">
        <v>6.3E-2</v>
      </c>
      <c r="AJ9" s="83">
        <v>7.2999999999999995E-2</v>
      </c>
      <c r="AK9" s="61">
        <v>7.4999999999999997E-2</v>
      </c>
      <c r="AL9" s="81">
        <v>2.5000000000000001E-2</v>
      </c>
      <c r="AM9" s="82">
        <v>1.7999999999999999E-2</v>
      </c>
      <c r="AN9" s="82">
        <v>2E-3</v>
      </c>
      <c r="AO9" s="83">
        <v>1.4E-2</v>
      </c>
      <c r="AP9" s="367">
        <v>1.4E-2</v>
      </c>
      <c r="AQ9" s="81">
        <v>1.4999999999999999E-2</v>
      </c>
      <c r="AR9" s="82">
        <v>1.2999999999999999E-2</v>
      </c>
      <c r="AS9" s="82">
        <v>1.7999999999999999E-2</v>
      </c>
      <c r="AT9" s="83">
        <v>0</v>
      </c>
      <c r="AU9" s="61">
        <v>8.0000000000000002E-3</v>
      </c>
      <c r="AV9" s="81">
        <v>7.0000000000000001E-3</v>
      </c>
      <c r="AW9" s="259">
        <v>4.4999999999999998E-2</v>
      </c>
      <c r="AX9" s="259">
        <v>3.0000000000000001E-3</v>
      </c>
      <c r="AY9" s="260">
        <v>2.1000000000000001E-2</v>
      </c>
      <c r="AZ9" s="296">
        <v>2.4E-2</v>
      </c>
      <c r="BA9" s="350">
        <v>3.7999999999999999E-2</v>
      </c>
      <c r="BB9" s="351">
        <f>BE9</f>
        <v>3.5000000000000003E-2</v>
      </c>
      <c r="BC9" s="351">
        <v>6.7000000000000004E-2</v>
      </c>
      <c r="BD9" s="351">
        <v>4.9000000000000002E-2</v>
      </c>
      <c r="BE9" s="437">
        <v>3.5000000000000003E-2</v>
      </c>
      <c r="BF9" s="350">
        <v>0.05</v>
      </c>
      <c r="BG9" s="351">
        <v>5.7000000000000002E-2</v>
      </c>
      <c r="BH9" s="351">
        <v>3.2000000000000001E-2</v>
      </c>
      <c r="BI9" s="351">
        <v>-2E-3</v>
      </c>
      <c r="BJ9" s="437">
        <v>3.3000000000000002E-2</v>
      </c>
      <c r="BK9" s="623">
        <v>0.01</v>
      </c>
      <c r="BL9" s="624">
        <v>-0.04</v>
      </c>
      <c r="BM9" s="624">
        <v>-0.04</v>
      </c>
      <c r="BN9" s="439">
        <v>-6.0000000000000001E-3</v>
      </c>
      <c r="BO9" s="247">
        <v>-2.4E-2</v>
      </c>
      <c r="BP9" s="721">
        <v>-3.9E-2</v>
      </c>
      <c r="BQ9" s="247">
        <v>2.7E-2</v>
      </c>
      <c r="BR9" s="247"/>
      <c r="BS9" s="247"/>
      <c r="BT9" s="721">
        <v>3.6999999999999998E-2</v>
      </c>
      <c r="BU9" s="247">
        <v>6.8000000000000005E-2</v>
      </c>
      <c r="BV9" s="247">
        <v>4.2000000000000003E-2</v>
      </c>
      <c r="BW9" s="247">
        <v>7.9000000000000001E-2</v>
      </c>
      <c r="BX9" s="245"/>
    </row>
    <row r="10" spans="1:90">
      <c r="A10" s="62"/>
      <c r="B10" s="62"/>
      <c r="C10" s="62"/>
      <c r="D10" s="62"/>
      <c r="E10" s="62"/>
      <c r="F10" s="62"/>
      <c r="G10" s="62"/>
      <c r="H10" s="62"/>
      <c r="I10" s="62"/>
      <c r="J10" s="62"/>
      <c r="K10" s="62"/>
      <c r="L10" s="62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84"/>
      <c r="AC10" s="62"/>
      <c r="AD10" s="62"/>
      <c r="AE10" s="85"/>
      <c r="AF10" s="62"/>
      <c r="AG10" s="84"/>
      <c r="AH10" s="62"/>
      <c r="AI10" s="133"/>
      <c r="AJ10" s="85"/>
      <c r="AK10" s="62"/>
      <c r="AL10" s="166"/>
      <c r="AM10" s="133"/>
      <c r="AN10" s="133"/>
      <c r="AO10" s="167"/>
      <c r="AP10" s="368"/>
      <c r="AQ10" s="84"/>
      <c r="AR10" s="62"/>
      <c r="AS10" s="133"/>
      <c r="AT10" s="167"/>
      <c r="AU10" s="62"/>
      <c r="AV10" s="166"/>
      <c r="AW10" s="261"/>
      <c r="AX10" s="393">
        <f>AX14-AS14</f>
        <v>1.6000000000000004E-2</v>
      </c>
      <c r="AY10" s="393">
        <f>AY14-AT14</f>
        <v>-1.0999999999999999E-2</v>
      </c>
      <c r="AZ10" s="62"/>
      <c r="BA10" s="327"/>
      <c r="BB10" s="306"/>
      <c r="BC10" s="306"/>
      <c r="BD10" s="306">
        <f>BD14-AY14</f>
        <v>2.2000000000000002E-2</v>
      </c>
      <c r="BE10" s="273"/>
      <c r="BF10" s="327"/>
      <c r="BG10" s="306"/>
      <c r="BH10" s="306"/>
      <c r="BI10" s="306"/>
      <c r="BJ10" s="273"/>
      <c r="BK10" s="625"/>
      <c r="BL10" s="626"/>
      <c r="BM10" s="626"/>
      <c r="BN10" s="627"/>
      <c r="BO10" s="62"/>
      <c r="BP10" s="84"/>
      <c r="BQ10" s="62"/>
      <c r="BR10" s="62"/>
      <c r="BS10" s="62"/>
      <c r="BT10" s="84"/>
      <c r="BU10" s="62"/>
      <c r="BV10" s="62"/>
      <c r="BW10" s="62"/>
    </row>
    <row r="11" spans="1:90">
      <c r="A11" s="45" t="s">
        <v>444</v>
      </c>
      <c r="B11" s="52">
        <v>2.4079633498590658E-2</v>
      </c>
      <c r="C11" s="52">
        <v>1.4262059934103455E-2</v>
      </c>
      <c r="D11" s="52">
        <v>7.4854654150453559E-3</v>
      </c>
      <c r="E11" s="52">
        <v>3.0837484490919831E-3</v>
      </c>
      <c r="F11" s="52">
        <v>1.1359870698480989E-2</v>
      </c>
      <c r="G11" s="52">
        <v>8.9394362923747028E-3</v>
      </c>
      <c r="H11" s="52">
        <v>-5.5563530677312789E-3</v>
      </c>
      <c r="I11" s="52">
        <v>-6.538066333405812E-5</v>
      </c>
      <c r="J11" s="52">
        <v>2.5441583765268838E-3</v>
      </c>
      <c r="K11" s="52">
        <v>-2.5753994921994261E-3</v>
      </c>
      <c r="L11" s="52">
        <v>-1.3190887492225967E-3</v>
      </c>
      <c r="M11" s="52">
        <v>-1.3578129251904159E-2</v>
      </c>
      <c r="N11" s="52">
        <v>-8.8567229348646137E-3</v>
      </c>
      <c r="O11" s="52">
        <v>-4.2326538494454891E-3</v>
      </c>
      <c r="P11" s="52">
        <v>-4.3685024175881271E-3</v>
      </c>
      <c r="Q11" s="52">
        <v>-7.3973646234575252E-3</v>
      </c>
      <c r="R11" s="52">
        <v>7.2965763578971554E-3</v>
      </c>
      <c r="S11" s="52">
        <v>-1.8530045096350367E-2</v>
      </c>
      <c r="T11" s="52">
        <v>-1.2168207692819899E-2</v>
      </c>
      <c r="U11" s="52">
        <v>-2.0664612461270049E-2</v>
      </c>
      <c r="V11" s="52">
        <v>-1.1423827280648058E-2</v>
      </c>
      <c r="W11" s="52">
        <v>-3.1261159678241945E-2</v>
      </c>
      <c r="X11" s="52">
        <v>-1.6373007036564746E-2</v>
      </c>
      <c r="Y11" s="52">
        <v>-2.2128416514324067E-2</v>
      </c>
      <c r="Z11" s="52">
        <v>-8.2376649984101658E-3</v>
      </c>
      <c r="AA11" s="52">
        <v>-1.9719360062595337E-2</v>
      </c>
      <c r="AB11" s="77">
        <v>1.9431638547030339E-2</v>
      </c>
      <c r="AC11" s="90">
        <v>1.2752827090474872E-2</v>
      </c>
      <c r="AD11" s="90">
        <v>1.7544931452775359E-2</v>
      </c>
      <c r="AE11" s="91">
        <v>2.2727790498902056E-2</v>
      </c>
      <c r="AF11" s="90">
        <v>1.8396672913764567E-2</v>
      </c>
      <c r="AG11" s="77">
        <v>1.0936759933170226E-2</v>
      </c>
      <c r="AH11" s="116">
        <v>9.4615419092947128E-4</v>
      </c>
      <c r="AI11" s="116">
        <v>6.1667939826621776E-3</v>
      </c>
      <c r="AJ11" s="136">
        <v>-1.0875133062870912E-3</v>
      </c>
      <c r="AK11" s="52">
        <v>4.0923669539845164E-3</v>
      </c>
      <c r="AL11" s="77">
        <v>3.4081327332342592E-3</v>
      </c>
      <c r="AM11" s="116">
        <v>3.3311584435984365E-3</v>
      </c>
      <c r="AN11" s="116">
        <v>-6.2317925591766077E-3</v>
      </c>
      <c r="AO11" s="136">
        <v>-1.2198541118673467E-2</v>
      </c>
      <c r="AP11" s="365">
        <v>-3.2006121745633553E-3</v>
      </c>
      <c r="AQ11" s="77">
        <v>3.0791041136493114E-3</v>
      </c>
      <c r="AR11" s="116">
        <v>-1.0237456487532048E-2</v>
      </c>
      <c r="AS11" s="116">
        <v>6.1697597855836506E-4</v>
      </c>
      <c r="AT11" s="136">
        <v>1.5364676429885149E-2</v>
      </c>
      <c r="AU11" s="134">
        <v>2.3337794115458887E-3</v>
      </c>
      <c r="AV11" s="77">
        <v>-4.3099178258824145E-3</v>
      </c>
      <c r="AW11" s="232">
        <v>1.8727849808999331E-2</v>
      </c>
      <c r="AX11" s="232">
        <v>9.1152824605840177E-3</v>
      </c>
      <c r="AY11" s="275">
        <v>1.1134675234315106E-2</v>
      </c>
      <c r="AZ11" s="116">
        <v>8.5941124945221326E-3</v>
      </c>
      <c r="BA11" s="394">
        <v>4.5336615197151264E-3</v>
      </c>
      <c r="BB11" s="404">
        <v>-2.2562382958626337E-3</v>
      </c>
      <c r="BC11" s="404">
        <v>-7.2386293302241222E-3</v>
      </c>
      <c r="BD11" s="404">
        <v>-1.1795431182080041E-2</v>
      </c>
      <c r="BE11" s="275">
        <v>-4.2636086512917171E-3</v>
      </c>
      <c r="BF11" s="394">
        <v>1.0572505911647934E-3</v>
      </c>
      <c r="BG11" s="404">
        <v>-9.5631951869912246E-4</v>
      </c>
      <c r="BH11" s="404">
        <v>2.1246868007959385E-2</v>
      </c>
      <c r="BI11" s="404">
        <v>2.4679674999278367E-2</v>
      </c>
      <c r="BJ11" s="275">
        <v>1.1748443258003283E-2</v>
      </c>
      <c r="BK11" s="628">
        <v>2.1185455104519191E-2</v>
      </c>
      <c r="BL11" s="629">
        <v>3.9196940726577312E-2</v>
      </c>
      <c r="BM11" s="629">
        <v>7.2859744990891873E-3</v>
      </c>
      <c r="BN11" s="739">
        <v>1.1342155009451904E-2</v>
      </c>
      <c r="BO11" s="590">
        <v>1.9249270342925007E-2</v>
      </c>
      <c r="BP11" s="628">
        <v>6.5237651444549627E-3</v>
      </c>
      <c r="BQ11" s="737">
        <v>0</v>
      </c>
      <c r="BR11" s="737">
        <v>0.01</v>
      </c>
      <c r="BS11" s="737">
        <v>0.01</v>
      </c>
      <c r="BT11" s="720">
        <v>6.7634930600657395E-3</v>
      </c>
      <c r="BU11" s="60">
        <v>0</v>
      </c>
      <c r="BV11" s="60">
        <v>0</v>
      </c>
      <c r="BW11" s="60">
        <v>0</v>
      </c>
    </row>
    <row r="12" spans="1:90">
      <c r="A12" s="53" t="s">
        <v>450</v>
      </c>
      <c r="B12" s="53"/>
      <c r="C12" s="53"/>
      <c r="D12" s="53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49"/>
      <c r="AA12" s="198">
        <f>(AA14-0.25*AA13)/0.75</f>
        <v>-0.12226455568770035</v>
      </c>
      <c r="AB12" s="92"/>
      <c r="AC12" s="118"/>
      <c r="AD12" s="118">
        <v>9.6926746557463472E-2</v>
      </c>
      <c r="AE12" s="127">
        <v>3.8019298509431865E-2</v>
      </c>
      <c r="AF12" s="118">
        <v>5.9297155318637662E-2</v>
      </c>
      <c r="AG12" s="86">
        <v>4.1661287502176458E-2</v>
      </c>
      <c r="AH12" s="116">
        <v>1.7626453296251343E-2</v>
      </c>
      <c r="AI12" s="116">
        <v>3.5184571329179626E-2</v>
      </c>
      <c r="AJ12" s="136">
        <v>3.5930072528371326E-2</v>
      </c>
      <c r="AK12" s="52">
        <v>3.1649401760716733E-2</v>
      </c>
      <c r="AL12" s="135">
        <v>7.0309739524115678E-2</v>
      </c>
      <c r="AM12" s="90">
        <v>4.045050301844566E-2</v>
      </c>
      <c r="AN12" s="90">
        <v>-1.6676890375224462E-2</v>
      </c>
      <c r="AO12" s="136">
        <v>1.3169944267654943E-2</v>
      </c>
      <c r="AP12" s="369">
        <v>2.199538546719796E-2</v>
      </c>
      <c r="AQ12" s="209">
        <v>3.3631907693096208E-2</v>
      </c>
      <c r="AR12" s="210">
        <v>2.3104183578123827E-2</v>
      </c>
      <c r="AS12" s="210">
        <v>1.0730225412631356E-2</v>
      </c>
      <c r="AT12" s="211">
        <v>2.4237691167061204E-2</v>
      </c>
      <c r="AU12" s="134">
        <v>2.2530039873506214E-2</v>
      </c>
      <c r="AV12" s="233">
        <v>1.8894359369561187E-3</v>
      </c>
      <c r="AW12" s="232">
        <v>4.146244705382629E-2</v>
      </c>
      <c r="AX12" s="232">
        <v>8.4688050949056848E-2</v>
      </c>
      <c r="AY12" s="275">
        <v>7.1266374905003982E-2</v>
      </c>
      <c r="AZ12" s="116">
        <v>5.1134736088486399E-2</v>
      </c>
      <c r="BA12" s="394">
        <v>-1.869916512849068E-2</v>
      </c>
      <c r="BB12" s="404">
        <v>5.3152349750311023E-2</v>
      </c>
      <c r="BC12" s="404">
        <v>4.218338220528195E-2</v>
      </c>
      <c r="BD12" s="404">
        <v>5.8415223212205492E-2</v>
      </c>
      <c r="BE12" s="275">
        <v>3.2858883392150595E-2</v>
      </c>
      <c r="BF12" s="394">
        <v>7.0522196331608722E-2</v>
      </c>
      <c r="BG12" s="404">
        <v>-9.0292648296537159E-3</v>
      </c>
      <c r="BH12" s="404">
        <v>2.3036692642606882E-2</v>
      </c>
      <c r="BI12" s="404">
        <v>2.7898030645634009E-2</v>
      </c>
      <c r="BJ12" s="275">
        <v>2.6654002564522772E-2</v>
      </c>
      <c r="BK12" s="630">
        <v>4.2499013753305004E-2</v>
      </c>
      <c r="BL12" s="631">
        <v>0.11431443837241129</v>
      </c>
      <c r="BM12" s="631">
        <v>4.2115197896737788E-2</v>
      </c>
      <c r="BN12" s="740">
        <v>3.5318236576766804E-2</v>
      </c>
      <c r="BO12" s="590">
        <v>5.5048362114311189E-2</v>
      </c>
      <c r="BP12" s="630">
        <v>3.9614724822049086E-2</v>
      </c>
      <c r="BQ12" s="737">
        <v>0.02</v>
      </c>
      <c r="BR12" s="737">
        <v>0.01</v>
      </c>
      <c r="BS12" s="737">
        <v>0.02</v>
      </c>
      <c r="BT12" s="720">
        <v>2.8675609818881169E-2</v>
      </c>
      <c r="BU12" s="60">
        <v>0.01</v>
      </c>
      <c r="BV12" s="60">
        <v>0.01</v>
      </c>
      <c r="BW12" s="60">
        <v>0.01</v>
      </c>
      <c r="BX12" s="5"/>
    </row>
    <row r="13" spans="1:90">
      <c r="A13" s="45" t="s">
        <v>491</v>
      </c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196">
        <v>-0.13196978294105621</v>
      </c>
      <c r="AB13" s="93"/>
      <c r="AC13" s="90"/>
      <c r="AD13" s="90">
        <v>-4.9600681350547848E-4</v>
      </c>
      <c r="AE13" s="91">
        <v>5.2198768455447464E-2</v>
      </c>
      <c r="AF13" s="90">
        <v>4.4204286223235023E-3</v>
      </c>
      <c r="AG13" s="77">
        <v>-5.9109598315636447E-3</v>
      </c>
      <c r="AH13" s="116">
        <v>-1.7938517084314265E-2</v>
      </c>
      <c r="AI13" s="116">
        <v>-3.0337383034273468E-3</v>
      </c>
      <c r="AJ13" s="136">
        <v>3.3196587754372953E-2</v>
      </c>
      <c r="AK13" s="52">
        <v>1.8874275146256725E-3</v>
      </c>
      <c r="AL13" s="135">
        <v>7.0751161816577701E-2</v>
      </c>
      <c r="AM13" s="90">
        <v>5.7162928124528944E-2</v>
      </c>
      <c r="AN13" s="90">
        <v>5.8379262725199998E-2</v>
      </c>
      <c r="AO13" s="136">
        <v>3.0281834728850265E-2</v>
      </c>
      <c r="AP13" s="369">
        <v>5.315691009688088E-2</v>
      </c>
      <c r="AQ13" s="209">
        <v>4.1192375896993205E-2</v>
      </c>
      <c r="AR13" s="210">
        <v>4.1755803574182071E-2</v>
      </c>
      <c r="AS13" s="210">
        <v>7.0204974244378215E-2</v>
      </c>
      <c r="AT13" s="211">
        <v>6.9563802843350286E-2</v>
      </c>
      <c r="AU13" s="134">
        <v>5.6504501415395092E-2</v>
      </c>
      <c r="AV13" s="233">
        <v>3.4000000000000002E-2</v>
      </c>
      <c r="AW13" s="263">
        <v>0.03</v>
      </c>
      <c r="AX13" s="232">
        <v>4.3999999999999997E-2</v>
      </c>
      <c r="AY13" s="275">
        <v>3.7999999999999999E-2</v>
      </c>
      <c r="AZ13" s="116">
        <f>AVERAGE(AV13:AY13)</f>
        <v>3.6499999999999998E-2</v>
      </c>
      <c r="BA13" s="233">
        <v>1.4631035114021973E-2</v>
      </c>
      <c r="BB13" s="232">
        <v>4.4056782988409982E-2</v>
      </c>
      <c r="BC13" s="232">
        <v>7.8202788764585973E-2</v>
      </c>
      <c r="BD13" s="232">
        <v>2.5428252216315617E-2</v>
      </c>
      <c r="BE13" s="275">
        <f>AVERAGE(BA13:BD13)</f>
        <v>4.0579714770833386E-2</v>
      </c>
      <c r="BF13" s="233">
        <v>6.9419135647710073E-2</v>
      </c>
      <c r="BG13" s="232">
        <v>6.7564040846358031E-2</v>
      </c>
      <c r="BH13" s="232">
        <v>4.3224727318448508E-2</v>
      </c>
      <c r="BI13" s="232">
        <v>0.11447431778344108</v>
      </c>
      <c r="BJ13" s="275">
        <f>AVERAGE(BF13:BI13)</f>
        <v>7.3670555398989424E-2</v>
      </c>
      <c r="BK13" s="630">
        <v>0.10252409352197223</v>
      </c>
      <c r="BL13" s="631">
        <v>0.1152043819835773</v>
      </c>
      <c r="BM13" s="631">
        <v>9.075577897595255E-2</v>
      </c>
      <c r="BN13" s="740">
        <v>4.952994091889984E-2</v>
      </c>
      <c r="BO13" s="590">
        <v>8.9495508369216228E-2</v>
      </c>
      <c r="BP13" s="630">
        <v>6.9027726185521221E-2</v>
      </c>
      <c r="BQ13" s="737">
        <v>0.02</v>
      </c>
      <c r="BR13" s="737">
        <v>0.03</v>
      </c>
      <c r="BS13" s="737">
        <v>0.03</v>
      </c>
      <c r="BT13" s="720">
        <v>3.6862652922705977E-2</v>
      </c>
      <c r="BU13" s="60">
        <v>0.01</v>
      </c>
      <c r="BV13" s="60">
        <v>0.01</v>
      </c>
      <c r="BW13" s="60">
        <v>0.01</v>
      </c>
    </row>
    <row r="14" spans="1:90">
      <c r="A14" s="43" t="s">
        <v>448</v>
      </c>
      <c r="B14" s="46">
        <f>B17-B16</f>
        <v>7.0567281858796668E-2</v>
      </c>
      <c r="C14" s="46">
        <f t="shared" ref="C14:Z14" si="1">C17-C16</f>
        <v>8.1825621195286136E-2</v>
      </c>
      <c r="D14" s="46">
        <f t="shared" si="1"/>
        <v>6.3364180718460394E-2</v>
      </c>
      <c r="E14" s="46">
        <f t="shared" si="1"/>
        <v>6.8922007655418893E-2</v>
      </c>
      <c r="F14" s="46">
        <f t="shared" si="1"/>
        <v>8.2110101486157605E-2</v>
      </c>
      <c r="G14" s="46">
        <f t="shared" si="1"/>
        <v>7.3998120505768539E-2</v>
      </c>
      <c r="H14" s="46">
        <f t="shared" si="1"/>
        <v>1.7113325702672277E-2</v>
      </c>
      <c r="I14" s="46">
        <f t="shared" si="1"/>
        <v>5.7339192102197026E-2</v>
      </c>
      <c r="J14" s="46">
        <f t="shared" si="1"/>
        <v>2.4961661921151634E-2</v>
      </c>
      <c r="K14" s="46">
        <f t="shared" si="1"/>
        <v>3.0327785034293519E-2</v>
      </c>
      <c r="L14" s="46">
        <f t="shared" si="1"/>
        <v>3.1860509234988579E-2</v>
      </c>
      <c r="M14" s="46">
        <f t="shared" si="1"/>
        <v>-5.1558821605654087E-2</v>
      </c>
      <c r="N14" s="46">
        <f t="shared" si="1"/>
        <v>-9.0769773005598096E-3</v>
      </c>
      <c r="O14" s="46">
        <f t="shared" si="1"/>
        <v>2.3305425160599611E-2</v>
      </c>
      <c r="P14" s="46">
        <f t="shared" si="1"/>
        <v>9.2587661560068785E-2</v>
      </c>
      <c r="Q14" s="46">
        <f t="shared" si="1"/>
        <v>1.5364871300633218E-2</v>
      </c>
      <c r="R14" s="46">
        <f>R17-R16</f>
        <v>6.9110118438069773E-2</v>
      </c>
      <c r="S14" s="46">
        <f t="shared" si="1"/>
        <v>8.5456699781236468E-3</v>
      </c>
      <c r="T14" s="46">
        <f t="shared" si="1"/>
        <v>5.1668781275828494E-3</v>
      </c>
      <c r="U14" s="46">
        <f t="shared" si="1"/>
        <v>-6.0820759545302999E-2</v>
      </c>
      <c r="V14" s="46">
        <f t="shared" si="1"/>
        <v>2.6615912287261982E-3</v>
      </c>
      <c r="W14" s="46">
        <f t="shared" si="1"/>
        <v>-0.10506493578113166</v>
      </c>
      <c r="X14" s="46">
        <f t="shared" si="1"/>
        <v>-0.15809090337437351</v>
      </c>
      <c r="Y14" s="46">
        <f t="shared" si="1"/>
        <v>-0.15402849308745881</v>
      </c>
      <c r="Z14" s="46">
        <f t="shared" si="1"/>
        <v>-6.3874993136889907E-2</v>
      </c>
      <c r="AA14" s="46">
        <f>AA17-AA16</f>
        <v>-0.12469086250103932</v>
      </c>
      <c r="AB14" s="78"/>
      <c r="AC14" s="79">
        <v>5.3999999999999999E-2</v>
      </c>
      <c r="AD14" s="79">
        <v>7.2432513825109707E-2</v>
      </c>
      <c r="AE14" s="80">
        <v>4.1950828114389924E-2</v>
      </c>
      <c r="AF14" s="79">
        <v>4.3839491766246311E-2</v>
      </c>
      <c r="AG14" s="78">
        <v>2.7595669906041297E-2</v>
      </c>
      <c r="AH14" s="79">
        <v>8.0000000000000002E-3</v>
      </c>
      <c r="AI14" s="79">
        <v>2.5999999999999999E-2</v>
      </c>
      <c r="AJ14" s="80">
        <v>3.5000000000000003E-2</v>
      </c>
      <c r="AK14" s="46">
        <v>2.4E-2</v>
      </c>
      <c r="AL14" s="78">
        <v>7.0000000000000007E-2</v>
      </c>
      <c r="AM14" s="79">
        <v>4.4999999999999998E-2</v>
      </c>
      <c r="AN14" s="79">
        <v>1E-3</v>
      </c>
      <c r="AO14" s="80">
        <v>1.7999999999999999E-2</v>
      </c>
      <c r="AP14" s="366">
        <v>2.9990299537907102E-2</v>
      </c>
      <c r="AQ14" s="78">
        <v>3.5999999999999997E-2</v>
      </c>
      <c r="AR14" s="79">
        <v>2.8000000000000001E-2</v>
      </c>
      <c r="AS14" s="79">
        <v>2.5999999999999999E-2</v>
      </c>
      <c r="AT14" s="80">
        <v>3.7999999999999999E-2</v>
      </c>
      <c r="AU14" s="46">
        <v>3.2000000000000001E-2</v>
      </c>
      <c r="AV14" s="78">
        <v>-3.0000000000000001E-3</v>
      </c>
      <c r="AW14" s="229">
        <v>2.5999999999999999E-2</v>
      </c>
      <c r="AX14" s="229">
        <v>4.2000000000000003E-2</v>
      </c>
      <c r="AY14" s="258">
        <v>2.7E-2</v>
      </c>
      <c r="AZ14" s="79">
        <v>2.4E-2</v>
      </c>
      <c r="BA14" s="326">
        <v>-0.01</v>
      </c>
      <c r="BB14" s="229">
        <v>4.2000000000000003E-2</v>
      </c>
      <c r="BC14" s="229">
        <v>5.0999999999999997E-2</v>
      </c>
      <c r="BD14" s="229">
        <v>4.9000000000000002E-2</v>
      </c>
      <c r="BE14" s="258">
        <v>3.5000000000000003E-2</v>
      </c>
      <c r="BF14" s="326">
        <v>7.0000000000000007E-2</v>
      </c>
      <c r="BG14" s="229">
        <v>1.0999999999999999E-2</v>
      </c>
      <c r="BH14" s="229">
        <v>2.9000000000000001E-2</v>
      </c>
      <c r="BI14" s="229">
        <v>5.2999999999999999E-2</v>
      </c>
      <c r="BJ14" s="258">
        <v>3.9E-2</v>
      </c>
      <c r="BK14" s="632">
        <v>0.06</v>
      </c>
      <c r="BL14" s="633">
        <v>0.115</v>
      </c>
      <c r="BM14" s="633">
        <v>5.2999999999999999E-2</v>
      </c>
      <c r="BN14" s="741">
        <v>3.9E-2</v>
      </c>
      <c r="BO14" s="46">
        <v>6.4000000000000001E-2</v>
      </c>
      <c r="BP14" s="632">
        <v>4.9000000000000002E-2</v>
      </c>
      <c r="BQ14" s="46">
        <v>2.0000000000000122E-2</v>
      </c>
      <c r="BR14" s="46">
        <v>2.2592987389323183E-2</v>
      </c>
      <c r="BS14" s="46">
        <v>3.0000000000000117E-2</v>
      </c>
      <c r="BT14" s="78">
        <v>3.1023680764507171E-2</v>
      </c>
      <c r="BU14" s="46">
        <v>9.9999999999997868E-3</v>
      </c>
      <c r="BV14" s="46">
        <v>1.0000000000000231E-2</v>
      </c>
      <c r="BW14" s="46">
        <v>1.0000000000000009E-2</v>
      </c>
      <c r="BX14" s="5"/>
      <c r="BY14" s="5"/>
      <c r="BZ14" s="5"/>
      <c r="CA14" s="5"/>
      <c r="CB14" s="5"/>
    </row>
    <row r="15" spans="1:90">
      <c r="A15" s="47" t="s">
        <v>572</v>
      </c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93"/>
      <c r="AC15" s="59"/>
      <c r="AD15" s="128" t="s">
        <v>568</v>
      </c>
      <c r="AE15" s="129" t="s">
        <v>618</v>
      </c>
      <c r="AF15" s="88" t="s">
        <v>654</v>
      </c>
      <c r="AG15" s="87" t="s">
        <v>22</v>
      </c>
      <c r="AH15" s="88" t="s">
        <v>22</v>
      </c>
      <c r="AI15" s="88" t="s">
        <v>22</v>
      </c>
      <c r="AJ15" s="120" t="s">
        <v>32</v>
      </c>
      <c r="AK15" s="48" t="s">
        <v>468</v>
      </c>
      <c r="AL15" s="87" t="s">
        <v>53</v>
      </c>
      <c r="AM15" s="88" t="s">
        <v>654</v>
      </c>
      <c r="AN15" s="88" t="s">
        <v>85</v>
      </c>
      <c r="AO15" s="120" t="s">
        <v>580</v>
      </c>
      <c r="AP15" s="370" t="s">
        <v>581</v>
      </c>
      <c r="AQ15" s="87" t="s">
        <v>468</v>
      </c>
      <c r="AR15" s="88" t="s">
        <v>581</v>
      </c>
      <c r="AS15" s="88" t="s">
        <v>22</v>
      </c>
      <c r="AT15" s="120" t="s">
        <v>468</v>
      </c>
      <c r="AU15" s="88" t="s">
        <v>581</v>
      </c>
      <c r="AV15" s="87" t="s">
        <v>478</v>
      </c>
      <c r="AW15" s="264" t="s">
        <v>664</v>
      </c>
      <c r="AX15" s="264" t="s">
        <v>393</v>
      </c>
      <c r="AY15" s="265" t="s">
        <v>537</v>
      </c>
      <c r="AZ15" s="88" t="s">
        <v>538</v>
      </c>
      <c r="BA15" s="328" t="s">
        <v>70</v>
      </c>
      <c r="BB15" s="307" t="s">
        <v>670</v>
      </c>
      <c r="BC15" s="307" t="s">
        <v>683</v>
      </c>
      <c r="BD15" s="307" t="s">
        <v>707</v>
      </c>
      <c r="BE15" s="307" t="s">
        <v>538</v>
      </c>
      <c r="BF15" s="328">
        <v>0.04</v>
      </c>
      <c r="BG15" s="307" t="s">
        <v>717</v>
      </c>
      <c r="BH15" s="307">
        <v>0.02</v>
      </c>
      <c r="BI15" s="307">
        <v>0.06</v>
      </c>
      <c r="BJ15" s="307" t="s">
        <v>731</v>
      </c>
      <c r="BK15" s="307" t="s">
        <v>697</v>
      </c>
      <c r="BL15" s="606" t="s">
        <v>796</v>
      </c>
      <c r="BM15" s="606" t="s">
        <v>808</v>
      </c>
      <c r="BN15" s="607" t="s">
        <v>816</v>
      </c>
      <c r="BO15" s="307" t="s">
        <v>732</v>
      </c>
      <c r="BP15" s="328" t="s">
        <v>826</v>
      </c>
      <c r="BQ15" s="307" t="s">
        <v>541</v>
      </c>
      <c r="BR15" s="307"/>
      <c r="BS15" s="307"/>
      <c r="BT15" s="328" t="s">
        <v>837</v>
      </c>
      <c r="BU15" s="49"/>
      <c r="BV15" s="49"/>
      <c r="BW15" s="49"/>
      <c r="BX15" s="5"/>
      <c r="BY15" s="5"/>
      <c r="BZ15" s="5"/>
      <c r="CA15" s="5"/>
      <c r="CB15" s="5"/>
    </row>
    <row r="16" spans="1:90">
      <c r="A16" s="53" t="s">
        <v>445</v>
      </c>
      <c r="B16" s="198">
        <f>0.2*(0.6*(B2/1.13-1)+0.4*(B4/1.63-1))</f>
        <v>2.155411722767421E-2</v>
      </c>
      <c r="C16" s="53"/>
      <c r="D16" s="53"/>
      <c r="E16" s="53"/>
      <c r="F16" s="53"/>
      <c r="G16" s="198">
        <f t="shared" ref="G16:U16" si="2">0.2*(0.6*(G2/B2-1)+0.4*(G4/B4-1))</f>
        <v>-3.3154890305426405E-4</v>
      </c>
      <c r="H16" s="198">
        <f t="shared" si="2"/>
        <v>2.236054990102643E-3</v>
      </c>
      <c r="I16" s="198">
        <f t="shared" si="2"/>
        <v>2.236054990102643E-3</v>
      </c>
      <c r="J16" s="198">
        <f t="shared" si="2"/>
        <v>2.236054990102643E-3</v>
      </c>
      <c r="K16" s="198">
        <f t="shared" si="2"/>
        <v>2.236054990102643E-3</v>
      </c>
      <c r="L16" s="198">
        <f t="shared" si="2"/>
        <v>2.236054990102643E-3</v>
      </c>
      <c r="M16" s="198">
        <f t="shared" si="2"/>
        <v>1.7697817941585339E-2</v>
      </c>
      <c r="N16" s="198">
        <f t="shared" si="2"/>
        <v>1.7697817941585339E-2</v>
      </c>
      <c r="O16" s="198">
        <f t="shared" si="2"/>
        <v>1.7697817941585339E-2</v>
      </c>
      <c r="P16" s="198">
        <f t="shared" si="2"/>
        <v>1.7697817941585339E-2</v>
      </c>
      <c r="Q16" s="198">
        <f t="shared" si="2"/>
        <v>1.7697817941585339E-2</v>
      </c>
      <c r="R16" s="198">
        <f>0.2*(0.6*(R2/M2-1)+0.4*(R4/M4-1))</f>
        <v>1.9012146281145699E-3</v>
      </c>
      <c r="S16" s="198">
        <f t="shared" si="2"/>
        <v>1.9012146281145699E-3</v>
      </c>
      <c r="T16" s="198">
        <f t="shared" si="2"/>
        <v>1.9012146281145699E-3</v>
      </c>
      <c r="U16" s="198">
        <f t="shared" si="2"/>
        <v>1.9012146281145699E-3</v>
      </c>
      <c r="V16" s="198">
        <f t="shared" ref="V16:AA16" si="3">0.2*(0.6*(V2/Q2-1)+0.4*(V4/Q4-1))</f>
        <v>1.9012146281145699E-3</v>
      </c>
      <c r="W16" s="198">
        <f t="shared" si="3"/>
        <v>-2.9918065736959966E-2</v>
      </c>
      <c r="X16" s="198">
        <f t="shared" si="3"/>
        <v>-2.1029928175199965E-2</v>
      </c>
      <c r="Y16" s="198">
        <f t="shared" si="3"/>
        <v>-1.1405859731634535E-2</v>
      </c>
      <c r="Z16" s="198">
        <f t="shared" si="3"/>
        <v>-7.7100884939199886E-3</v>
      </c>
      <c r="AA16" s="198">
        <f t="shared" si="3"/>
        <v>-1.7366385437873517E-2</v>
      </c>
      <c r="AB16" s="130"/>
      <c r="AC16" s="131"/>
      <c r="AD16" s="131"/>
      <c r="AE16" s="100"/>
      <c r="AF16" s="52">
        <f t="shared" ref="AF16:AK16" si="4">AF17-AF14</f>
        <v>-2.0977914975001816E-3</v>
      </c>
      <c r="AG16" s="86">
        <f t="shared" si="4"/>
        <v>1.2419479210569229E-2</v>
      </c>
      <c r="AH16" s="118">
        <f t="shared" si="4"/>
        <v>2.9587603940762548E-2</v>
      </c>
      <c r="AI16" s="116">
        <f t="shared" si="4"/>
        <v>2.6649171075664915E-2</v>
      </c>
      <c r="AJ16" s="136">
        <f t="shared" si="4"/>
        <v>-2.657579908909774E-3</v>
      </c>
      <c r="AK16" s="52">
        <f t="shared" si="4"/>
        <v>1.6585278882931286E-2</v>
      </c>
      <c r="AL16" s="86">
        <f t="shared" ref="AL16:AS16" si="5">AL17-AL14</f>
        <v>-6.1287088130569933E-3</v>
      </c>
      <c r="AM16" s="116">
        <f t="shared" si="5"/>
        <v>-2.6689450829637432E-2</v>
      </c>
      <c r="AN16" s="116">
        <f t="shared" si="5"/>
        <v>-2.5111976184953866E-2</v>
      </c>
      <c r="AO16" s="136">
        <f t="shared" si="5"/>
        <v>-3.9472084721301967E-4</v>
      </c>
      <c r="AP16" s="369">
        <f t="shared" si="5"/>
        <v>-1.5011403775364581E-2</v>
      </c>
      <c r="AQ16" s="86">
        <f t="shared" si="5"/>
        <v>-3.1940290657939539E-2</v>
      </c>
      <c r="AR16" s="52">
        <f t="shared" si="5"/>
        <v>-3.2227911516562874E-2</v>
      </c>
      <c r="AS16" s="52">
        <f t="shared" si="5"/>
        <v>-4.1173527252490544E-2</v>
      </c>
      <c r="AT16" s="136">
        <f t="shared" ref="AT16:AZ16" si="6">AT17-AT14</f>
        <v>-6.1786667590272258E-2</v>
      </c>
      <c r="AU16" s="134">
        <f t="shared" si="6"/>
        <v>-4.1781766674769266E-2</v>
      </c>
      <c r="AV16" s="86">
        <f t="shared" si="6"/>
        <v>-2.38424410608612E-2</v>
      </c>
      <c r="AW16" s="232">
        <f t="shared" si="6"/>
        <v>-1.8548760437104607E-3</v>
      </c>
      <c r="AX16" s="232">
        <f t="shared" si="6"/>
        <v>7.4978702587829363E-3</v>
      </c>
      <c r="AY16" s="275">
        <f t="shared" si="6"/>
        <v>-2.3290997997190119E-2</v>
      </c>
      <c r="AZ16" s="320">
        <f t="shared" si="6"/>
        <v>-9.5662630126482698E-3</v>
      </c>
      <c r="BA16" s="263">
        <f t="shared" ref="BA16:BK16" si="7">BA17-BA14</f>
        <v>-4.3901721085514274E-2</v>
      </c>
      <c r="BB16" s="263">
        <f t="shared" si="7"/>
        <v>-4.3572130009455111E-2</v>
      </c>
      <c r="BC16" s="263">
        <f t="shared" si="7"/>
        <v>-4.9169523534363054E-2</v>
      </c>
      <c r="BD16" s="263">
        <f t="shared" si="7"/>
        <v>-4.3374963661683655E-2</v>
      </c>
      <c r="BE16" s="423">
        <f t="shared" si="7"/>
        <v>-4.5147739901132272E-2</v>
      </c>
      <c r="BF16" s="263">
        <f t="shared" si="7"/>
        <v>-3.5598277194748007E-2</v>
      </c>
      <c r="BG16" s="263">
        <f t="shared" si="7"/>
        <v>-1.5647648138190185E-2</v>
      </c>
      <c r="BH16" s="263">
        <f t="shared" si="7"/>
        <v>-2.5672297582281043E-2</v>
      </c>
      <c r="BI16" s="263">
        <f t="shared" si="7"/>
        <v>-1.9368188607462651E-2</v>
      </c>
      <c r="BJ16" s="423">
        <f t="shared" si="7"/>
        <v>-2.3655741703966747E-2</v>
      </c>
      <c r="BK16" s="634">
        <f t="shared" si="7"/>
        <v>-7.995536477680143E-4</v>
      </c>
      <c r="BL16" s="634">
        <f>BL17-BL14</f>
        <v>-1.605088973924064E-2</v>
      </c>
      <c r="BM16" s="634">
        <f>BM17-BM14</f>
        <v>6.8991432180673315E-3</v>
      </c>
      <c r="BN16" s="423">
        <f>BN17-BN14</f>
        <v>1.6481733460198246E-2</v>
      </c>
      <c r="BO16" s="423">
        <f t="shared" ref="BO16" si="8">BO17-BO14</f>
        <v>1.7044168595521936E-3</v>
      </c>
      <c r="BP16" s="720">
        <f>0.18*(0.6*(BP2/BK2-1)+0.4*(BP4/BK4-1))</f>
        <v>2.2487999999999987E-2</v>
      </c>
      <c r="BQ16" s="590">
        <f>0.14*(0.6*(BQ2/BL2-1)+0.4*(BQ4/BL4-1))</f>
        <v>1.4830848623853208E-2</v>
      </c>
      <c r="BR16" s="590">
        <f>0.15*(0.6*(BR2/BM2-1)+0.4*(BR4/BM4-1))</f>
        <v>6.2326656394453102E-3</v>
      </c>
      <c r="BS16" s="590">
        <f>0.15*(0.6*(BS2/BN2-1)+0.4*(BS4/BN4-1))</f>
        <v>7.3619393310863281E-3</v>
      </c>
      <c r="BT16" s="590">
        <v>1.2038102812652223E-2</v>
      </c>
      <c r="BU16" s="237">
        <f>0.3*(0.6*(BU2/BT2-1)+0.4*(BU4/BT4-1))</f>
        <v>0</v>
      </c>
      <c r="BV16" s="237">
        <f>0.3*(0.6*(BV2/BU2-1)+0.4*(BV4/BU4-1))</f>
        <v>0</v>
      </c>
      <c r="BW16" s="237">
        <f>0.3*(0.6*(BW2/BV2-1)+0.4*(BW4/BV4-1))</f>
        <v>0</v>
      </c>
      <c r="BX16" s="226"/>
    </row>
    <row r="17" spans="1:90">
      <c r="A17" s="45" t="s">
        <v>449</v>
      </c>
      <c r="B17" s="52">
        <v>9.2121399086470879E-2</v>
      </c>
      <c r="C17" s="52">
        <v>8.1825621195286136E-2</v>
      </c>
      <c r="D17" s="52">
        <v>6.3364180718460394E-2</v>
      </c>
      <c r="E17" s="52">
        <v>6.8922007655418893E-2</v>
      </c>
      <c r="F17" s="52">
        <v>8.2110101486157605E-2</v>
      </c>
      <c r="G17" s="52">
        <v>7.3666571602714281E-2</v>
      </c>
      <c r="H17" s="52">
        <v>1.934938069277492E-2</v>
      </c>
      <c r="I17" s="52">
        <v>5.9575247092299666E-2</v>
      </c>
      <c r="J17" s="52">
        <v>2.7197716911254277E-2</v>
      </c>
      <c r="K17" s="52">
        <v>3.2563840024396162E-2</v>
      </c>
      <c r="L17" s="52">
        <v>3.4096564225091219E-2</v>
      </c>
      <c r="M17" s="52">
        <v>-3.3861003664068745E-2</v>
      </c>
      <c r="N17" s="52">
        <v>8.6208406410255289E-3</v>
      </c>
      <c r="O17" s="52">
        <v>4.100324310218495E-2</v>
      </c>
      <c r="P17" s="52">
        <v>0.11028547950165413</v>
      </c>
      <c r="Q17" s="52">
        <v>3.3062689242218557E-2</v>
      </c>
      <c r="R17" s="52">
        <v>7.1011333066184346E-2</v>
      </c>
      <c r="S17" s="52">
        <v>1.0446884606238216E-2</v>
      </c>
      <c r="T17" s="52">
        <v>7.0680927556974193E-3</v>
      </c>
      <c r="U17" s="52">
        <v>-5.8919544917188427E-2</v>
      </c>
      <c r="V17" s="52">
        <v>4.5628058568407681E-3</v>
      </c>
      <c r="W17" s="357">
        <v>-0.13498300151809162</v>
      </c>
      <c r="X17" s="357">
        <v>-0.17912083154957348</v>
      </c>
      <c r="Y17" s="357">
        <v>-0.16543435281909336</v>
      </c>
      <c r="Z17" s="357">
        <v>-7.1585081630809899E-2</v>
      </c>
      <c r="AA17" s="52">
        <v>-0.14205724793891283</v>
      </c>
      <c r="AB17" s="77">
        <v>2.5855670890170046E-2</v>
      </c>
      <c r="AC17" s="90">
        <v>4.8964871005239052E-2</v>
      </c>
      <c r="AD17" s="90">
        <v>5.2344710149401674E-2</v>
      </c>
      <c r="AE17" s="91">
        <v>3.1890324013495563E-2</v>
      </c>
      <c r="AF17" s="90">
        <v>4.1741700268746129E-2</v>
      </c>
      <c r="AG17" s="77">
        <v>4.0015149116610527E-2</v>
      </c>
      <c r="AH17" s="90">
        <v>3.7587603940762548E-2</v>
      </c>
      <c r="AI17" s="116">
        <v>5.2649171075664913E-2</v>
      </c>
      <c r="AJ17" s="91">
        <v>3.2342420091090229E-2</v>
      </c>
      <c r="AK17" s="52">
        <v>4.0585278882931286E-2</v>
      </c>
      <c r="AL17" s="77">
        <v>6.3871291186943013E-2</v>
      </c>
      <c r="AM17" s="90">
        <v>1.8310549170362567E-2</v>
      </c>
      <c r="AN17" s="116">
        <v>-2.4111976184953865E-2</v>
      </c>
      <c r="AO17" s="91">
        <v>1.7605279152786979E-2</v>
      </c>
      <c r="AP17" s="365">
        <v>1.4978895762542521E-2</v>
      </c>
      <c r="AQ17" s="77">
        <v>4.059709342060458E-3</v>
      </c>
      <c r="AR17" s="90">
        <v>-4.2279115165628767E-3</v>
      </c>
      <c r="AS17" s="116">
        <v>-1.5173527252490548E-2</v>
      </c>
      <c r="AT17" s="91">
        <v>-2.3786667590272259E-2</v>
      </c>
      <c r="AU17" s="52">
        <v>-9.7817666747692655E-3</v>
      </c>
      <c r="AV17" s="77">
        <v>-2.68424410608612E-2</v>
      </c>
      <c r="AW17" s="232">
        <v>2.4145123956289538E-2</v>
      </c>
      <c r="AX17" s="232">
        <v>4.9497870258782939E-2</v>
      </c>
      <c r="AY17" s="266">
        <v>3.7090020028098802E-3</v>
      </c>
      <c r="AZ17" s="90">
        <v>1.4433736987351731E-2</v>
      </c>
      <c r="BA17" s="329">
        <v>-5.3901721085514276E-2</v>
      </c>
      <c r="BB17" s="308">
        <v>-1.5721300094551083E-3</v>
      </c>
      <c r="BC17" s="308">
        <v>1.8304764656369432E-3</v>
      </c>
      <c r="BD17" s="308">
        <v>5.6250363383163471E-3</v>
      </c>
      <c r="BE17" s="266">
        <v>-1.0147739901132269E-2</v>
      </c>
      <c r="BF17" s="329">
        <v>3.4401722805252E-2</v>
      </c>
      <c r="BG17" s="308">
        <v>-4.6476481381901857E-3</v>
      </c>
      <c r="BH17" s="424">
        <v>3.3277024177189585E-3</v>
      </c>
      <c r="BI17" s="424">
        <v>3.3631811392537347E-2</v>
      </c>
      <c r="BJ17" s="266">
        <v>1.5344258296033253E-2</v>
      </c>
      <c r="BK17" s="635">
        <v>5.9200446352231983E-2</v>
      </c>
      <c r="BL17" s="636">
        <v>9.8949110260759365E-2</v>
      </c>
      <c r="BM17" s="636">
        <v>5.989914321806733E-2</v>
      </c>
      <c r="BN17" s="637">
        <v>5.5481733460198246E-2</v>
      </c>
      <c r="BO17" s="52">
        <v>6.5704416859552195E-2</v>
      </c>
      <c r="BP17" s="77">
        <v>7.0398032469384253E-2</v>
      </c>
      <c r="BQ17" s="90">
        <v>3.4830848623853328E-2</v>
      </c>
      <c r="BR17" s="90">
        <v>2.8825653028768494E-2</v>
      </c>
      <c r="BS17" s="91">
        <v>3.7361939331086447E-2</v>
      </c>
      <c r="BT17" s="77">
        <v>4.3061783577159396E-2</v>
      </c>
      <c r="BU17" s="52">
        <v>9.9999999999997868E-3</v>
      </c>
      <c r="BV17" s="52">
        <v>1.0000000000000231E-2</v>
      </c>
      <c r="BW17" s="52">
        <v>1.0000000000000009E-2</v>
      </c>
      <c r="CI17" s="226"/>
    </row>
    <row r="18" spans="1:90">
      <c r="A18" s="47" t="s">
        <v>572</v>
      </c>
      <c r="B18" s="48" t="s">
        <v>597</v>
      </c>
      <c r="C18" s="48">
        <v>7.0000000000000007E-2</v>
      </c>
      <c r="D18" s="48"/>
      <c r="E18" s="48">
        <v>0.06</v>
      </c>
      <c r="F18" s="48">
        <v>0.05</v>
      </c>
      <c r="G18" s="48"/>
      <c r="H18" s="48" t="s">
        <v>22</v>
      </c>
      <c r="I18" s="48">
        <v>0.05</v>
      </c>
      <c r="J18" s="48" t="s">
        <v>468</v>
      </c>
      <c r="K18" s="48" t="s">
        <v>468</v>
      </c>
      <c r="L18" s="48" t="s">
        <v>32</v>
      </c>
      <c r="M18" s="48">
        <v>-0.03</v>
      </c>
      <c r="N18" s="48">
        <v>0</v>
      </c>
      <c r="O18" s="48" t="s">
        <v>656</v>
      </c>
      <c r="P18" s="48">
        <v>0.09</v>
      </c>
      <c r="Q18" s="48"/>
      <c r="R18" s="48">
        <v>7.0000000000000007E-2</v>
      </c>
      <c r="S18" s="48">
        <v>0.02</v>
      </c>
      <c r="T18" s="48">
        <v>0.02</v>
      </c>
      <c r="U18" s="48" t="s">
        <v>578</v>
      </c>
      <c r="V18" s="48" t="s">
        <v>580</v>
      </c>
      <c r="W18" s="48" t="s">
        <v>620</v>
      </c>
      <c r="X18" s="48" t="s">
        <v>562</v>
      </c>
      <c r="Y18" s="48" t="s">
        <v>39</v>
      </c>
      <c r="Z18" s="48" t="s">
        <v>549</v>
      </c>
      <c r="AA18" s="48" t="s">
        <v>40</v>
      </c>
      <c r="AB18" s="87" t="s">
        <v>586</v>
      </c>
      <c r="AC18" s="88"/>
      <c r="AD18" s="88"/>
      <c r="AE18" s="89"/>
      <c r="AF18" s="88" t="s">
        <v>654</v>
      </c>
      <c r="AG18" s="87" t="s">
        <v>468</v>
      </c>
      <c r="AH18" s="88" t="s">
        <v>618</v>
      </c>
      <c r="AI18" s="88" t="s">
        <v>618</v>
      </c>
      <c r="AJ18" s="120" t="s">
        <v>32</v>
      </c>
      <c r="AK18" s="48" t="s">
        <v>618</v>
      </c>
      <c r="AL18" s="87" t="s">
        <v>54</v>
      </c>
      <c r="AM18" s="88" t="s">
        <v>468</v>
      </c>
      <c r="AN18" s="88" t="s">
        <v>86</v>
      </c>
      <c r="AO18" s="120" t="s">
        <v>580</v>
      </c>
      <c r="AP18" s="370" t="s">
        <v>22</v>
      </c>
      <c r="AQ18" s="87" t="s">
        <v>586</v>
      </c>
      <c r="AR18" s="88" t="s">
        <v>468</v>
      </c>
      <c r="AS18" s="88" t="s">
        <v>580</v>
      </c>
      <c r="AT18" s="120" t="s">
        <v>586</v>
      </c>
      <c r="AU18" s="88" t="s">
        <v>468</v>
      </c>
      <c r="AV18" s="87" t="s">
        <v>27</v>
      </c>
      <c r="AW18" s="264" t="s">
        <v>664</v>
      </c>
      <c r="AX18" s="264" t="s">
        <v>438</v>
      </c>
      <c r="AY18" s="265" t="s">
        <v>539</v>
      </c>
      <c r="AZ18" s="88" t="s">
        <v>540</v>
      </c>
      <c r="BA18" s="352" t="s">
        <v>672</v>
      </c>
      <c r="BB18" s="353" t="s">
        <v>671</v>
      </c>
      <c r="BC18" s="409" t="s">
        <v>684</v>
      </c>
      <c r="BD18" s="409" t="s">
        <v>539</v>
      </c>
      <c r="BE18" s="438" t="s">
        <v>540</v>
      </c>
      <c r="BF18" s="352">
        <v>5.0000000000000001E-3</v>
      </c>
      <c r="BG18" s="353" t="s">
        <v>719</v>
      </c>
      <c r="BH18" s="409" t="s">
        <v>719</v>
      </c>
      <c r="BI18" s="409">
        <v>4.4999999999999998E-2</v>
      </c>
      <c r="BJ18" s="438" t="s">
        <v>727</v>
      </c>
      <c r="BK18" s="596">
        <v>0.05</v>
      </c>
      <c r="BL18" s="578" t="s">
        <v>797</v>
      </c>
      <c r="BM18" s="578" t="s">
        <v>809</v>
      </c>
      <c r="BN18" s="578" t="s">
        <v>537</v>
      </c>
      <c r="BO18" s="600" t="s">
        <v>732</v>
      </c>
      <c r="BP18" s="600" t="s">
        <v>827</v>
      </c>
      <c r="BQ18" s="734" t="s">
        <v>826</v>
      </c>
      <c r="BR18" s="734"/>
      <c r="BS18" s="438"/>
      <c r="BT18" s="600" t="s">
        <v>844</v>
      </c>
      <c r="BU18" s="53"/>
      <c r="BV18" s="53"/>
      <c r="BW18" s="53"/>
    </row>
    <row r="19" spans="1:90">
      <c r="A19" s="62"/>
      <c r="B19" s="62"/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84"/>
      <c r="AC19" s="62"/>
      <c r="AD19" s="62"/>
      <c r="AE19" s="85"/>
      <c r="AF19" s="62"/>
      <c r="AG19" s="84"/>
      <c r="AH19" s="62"/>
      <c r="AI19" s="62"/>
      <c r="AJ19" s="85"/>
      <c r="AK19" s="62"/>
      <c r="AL19" s="84"/>
      <c r="AM19" s="62"/>
      <c r="AN19" s="146"/>
      <c r="AO19" s="85"/>
      <c r="AP19" s="371"/>
      <c r="AQ19" s="84"/>
      <c r="AR19" s="62"/>
      <c r="AS19" s="62"/>
      <c r="AT19" s="85"/>
      <c r="AU19" s="146"/>
      <c r="AV19" s="84"/>
      <c r="AW19" s="267"/>
      <c r="AX19" s="267"/>
      <c r="AY19" s="262"/>
      <c r="AZ19" s="62"/>
      <c r="BA19" s="327"/>
      <c r="BB19" s="306"/>
      <c r="BC19" s="306"/>
      <c r="BD19" s="306"/>
      <c r="BE19" s="262"/>
      <c r="BF19" s="327"/>
      <c r="BG19" s="306"/>
      <c r="BH19" s="306"/>
      <c r="BI19" s="306"/>
      <c r="BJ19" s="262"/>
      <c r="BK19" s="638"/>
      <c r="BL19" s="639"/>
      <c r="BM19" s="639"/>
      <c r="BN19" s="640"/>
      <c r="BO19" s="95"/>
      <c r="BP19" s="92"/>
      <c r="BQ19" s="95"/>
      <c r="BR19" s="95"/>
      <c r="BS19" s="95"/>
      <c r="BT19" s="92"/>
      <c r="BU19" s="62"/>
      <c r="BV19" s="62"/>
      <c r="BW19" s="62"/>
      <c r="BY19" s="4"/>
    </row>
    <row r="20" spans="1:90" outlineLevel="1">
      <c r="A20" t="s">
        <v>93</v>
      </c>
      <c r="AB20" s="170"/>
      <c r="AC20" s="7"/>
      <c r="AD20" s="7"/>
      <c r="AE20" s="171"/>
      <c r="AG20" s="170"/>
      <c r="AH20" s="7"/>
      <c r="AI20" s="7"/>
      <c r="AJ20" s="171"/>
      <c r="AL20" s="169">
        <v>0.53</v>
      </c>
      <c r="AM20" s="168">
        <v>0.51</v>
      </c>
      <c r="AN20" s="168">
        <v>0.57999999999999996</v>
      </c>
      <c r="AO20" s="221">
        <v>0.57999999999999996</v>
      </c>
      <c r="AP20" s="372">
        <v>0.55000000000000004</v>
      </c>
      <c r="AQ20" s="169">
        <v>0.53</v>
      </c>
      <c r="AR20" s="168">
        <v>0.56999999999999995</v>
      </c>
      <c r="AS20" s="168">
        <v>0.56000000000000005</v>
      </c>
      <c r="AT20" s="221">
        <v>0.63</v>
      </c>
      <c r="AU20" s="168">
        <v>0.6</v>
      </c>
      <c r="AV20" s="223">
        <v>0.55000000000000004</v>
      </c>
      <c r="AW20" s="268">
        <v>0.56999999999999995</v>
      </c>
      <c r="AX20" s="268">
        <v>0.55000000000000004</v>
      </c>
      <c r="AY20" s="268">
        <v>0.52</v>
      </c>
      <c r="AZ20" s="384">
        <f>AVERAGE(AV20:AY20)</f>
        <v>0.5475000000000001</v>
      </c>
      <c r="BA20" s="223">
        <v>0.52</v>
      </c>
      <c r="BB20" s="405">
        <v>0.52</v>
      </c>
      <c r="BC20" s="405">
        <v>0.56999999999999995</v>
      </c>
      <c r="BD20" s="405">
        <v>0.52</v>
      </c>
      <c r="BE20" s="405">
        <f>AVERAGE(BA20:BD20)</f>
        <v>0.53249999999999997</v>
      </c>
      <c r="BF20" s="460">
        <v>0.7</v>
      </c>
      <c r="BG20" s="405">
        <v>0.65</v>
      </c>
      <c r="BH20" s="405">
        <v>0.59</v>
      </c>
      <c r="BI20" s="405">
        <v>0.68</v>
      </c>
      <c r="BJ20" s="405">
        <f>AVERAGE(BF20:BI20)</f>
        <v>0.65500000000000003</v>
      </c>
      <c r="BK20" s="641">
        <v>0.6</v>
      </c>
      <c r="BL20" s="642">
        <v>0.61</v>
      </c>
      <c r="BM20" s="642">
        <v>0.65</v>
      </c>
      <c r="BN20" s="643">
        <v>0.7</v>
      </c>
      <c r="BO20" s="744">
        <v>0.65</v>
      </c>
      <c r="BP20" s="460">
        <f>$BT20</f>
        <v>0.5</v>
      </c>
      <c r="BQ20" s="744">
        <f t="shared" ref="BQ20:BS21" si="9">$BT20</f>
        <v>0.5</v>
      </c>
      <c r="BR20" s="744">
        <f t="shared" si="9"/>
        <v>0.5</v>
      </c>
      <c r="BS20" s="744">
        <f t="shared" si="9"/>
        <v>0.5</v>
      </c>
      <c r="BT20" s="722">
        <v>0.5</v>
      </c>
      <c r="BU20" s="124">
        <v>0.47</v>
      </c>
      <c r="BV20" s="124">
        <v>0.36</v>
      </c>
      <c r="BW20" s="124">
        <v>0.14000000000000001</v>
      </c>
      <c r="CE20" s="114">
        <f>10*CF28/4.75</f>
        <v>0.17823988544350078</v>
      </c>
      <c r="CF20" s="43"/>
      <c r="CG20" s="591" t="s">
        <v>836</v>
      </c>
      <c r="CH20" s="43"/>
    </row>
    <row r="21" spans="1:90" outlineLevel="1">
      <c r="A21" t="s">
        <v>92</v>
      </c>
      <c r="AB21" s="170"/>
      <c r="AC21" s="7"/>
      <c r="AD21" s="7"/>
      <c r="AE21" s="171"/>
      <c r="AG21" s="170"/>
      <c r="AH21" s="7"/>
      <c r="AI21" s="7"/>
      <c r="AJ21" s="171"/>
      <c r="AL21" s="170"/>
      <c r="AM21" s="7"/>
      <c r="AN21" s="7">
        <f>526+35</f>
        <v>561</v>
      </c>
      <c r="AO21" s="171">
        <f>522+35</f>
        <v>557</v>
      </c>
      <c r="AP21" s="360">
        <f>521+35</f>
        <v>556</v>
      </c>
      <c r="AQ21" s="170"/>
      <c r="AR21" s="190">
        <f>568+35</f>
        <v>603</v>
      </c>
      <c r="AS21" s="190">
        <f>576+35</f>
        <v>611</v>
      </c>
      <c r="AT21" s="191">
        <f>563+35</f>
        <v>598</v>
      </c>
      <c r="AU21" s="190">
        <f>568+35</f>
        <v>603</v>
      </c>
      <c r="AV21" s="224">
        <v>643</v>
      </c>
      <c r="AW21" s="230">
        <f>616+35</f>
        <v>651</v>
      </c>
      <c r="AX21" s="230">
        <v>660</v>
      </c>
      <c r="AY21" s="230">
        <f>614</f>
        <v>614</v>
      </c>
      <c r="AZ21" s="164">
        <f>AVERAGE(AV21:AY21)</f>
        <v>642</v>
      </c>
      <c r="BA21" s="397">
        <v>630</v>
      </c>
      <c r="BB21" s="406">
        <v>630</v>
      </c>
      <c r="BC21" s="414">
        <v>610</v>
      </c>
      <c r="BD21" s="414">
        <f>614</f>
        <v>614</v>
      </c>
      <c r="BE21" s="414">
        <f>AVERAGE(BA21:BD21)</f>
        <v>621</v>
      </c>
      <c r="BF21" s="397">
        <v>530</v>
      </c>
      <c r="BG21" s="406">
        <v>535</v>
      </c>
      <c r="BH21" s="573">
        <v>535</v>
      </c>
      <c r="BI21" s="593">
        <v>535</v>
      </c>
      <c r="BJ21" s="414">
        <f>AVERAGE(BF21:BI21)</f>
        <v>533.75</v>
      </c>
      <c r="BK21" s="644">
        <v>503</v>
      </c>
      <c r="BL21" s="645">
        <v>487</v>
      </c>
      <c r="BM21" s="645">
        <v>498</v>
      </c>
      <c r="BN21" s="646">
        <v>504</v>
      </c>
      <c r="BO21" s="414">
        <f>AVERAGE(BK21:BN21)</f>
        <v>498</v>
      </c>
      <c r="BP21" s="723">
        <f>$BT21</f>
        <v>440</v>
      </c>
      <c r="BQ21" s="70">
        <f t="shared" si="9"/>
        <v>440</v>
      </c>
      <c r="BR21" s="70">
        <f t="shared" si="9"/>
        <v>440</v>
      </c>
      <c r="BS21" s="70">
        <f t="shared" si="9"/>
        <v>440</v>
      </c>
      <c r="BT21" s="723">
        <v>440</v>
      </c>
      <c r="BU21" s="70">
        <v>331</v>
      </c>
      <c r="BV21" s="70">
        <v>340</v>
      </c>
      <c r="BW21" s="70">
        <v>351</v>
      </c>
      <c r="CE21" s="43"/>
      <c r="CF21" s="195" t="s">
        <v>682</v>
      </c>
      <c r="CG21" s="195" t="s">
        <v>318</v>
      </c>
      <c r="CH21" s="195" t="s">
        <v>31</v>
      </c>
    </row>
    <row r="22" spans="1:90" outlineLevel="1">
      <c r="A22" t="s">
        <v>91</v>
      </c>
      <c r="AB22" s="170"/>
      <c r="AC22" s="7"/>
      <c r="AD22" s="7"/>
      <c r="AE22" s="171"/>
      <c r="AG22" s="170"/>
      <c r="AH22" s="7"/>
      <c r="AI22" s="7"/>
      <c r="AJ22" s="171"/>
      <c r="AL22" s="170"/>
      <c r="AM22" s="7"/>
      <c r="AN22" s="119">
        <f>(AN23-AN20*AN21)/(1-AN20)</f>
        <v>746.71428571428567</v>
      </c>
      <c r="AO22" s="141">
        <f>(AO23-AO20*AO21)/(1-AO20)</f>
        <v>828.42857142857133</v>
      </c>
      <c r="AP22" s="373">
        <f>(AP23-AP20*AP21)/(1-AP20)</f>
        <v>804.88888888888891</v>
      </c>
      <c r="AQ22" s="222"/>
      <c r="AR22" s="119">
        <f t="shared" ref="AR22:AY22" si="10">(AR23-AR20*AR21)/(1-AR20)</f>
        <v>812.30232558139528</v>
      </c>
      <c r="AS22" s="119">
        <f t="shared" si="10"/>
        <v>733.72727272727275</v>
      </c>
      <c r="AT22" s="141">
        <f t="shared" si="10"/>
        <v>819.62162162162156</v>
      </c>
      <c r="AU22" s="119">
        <f t="shared" si="10"/>
        <v>814.1255298579606</v>
      </c>
      <c r="AV22" s="225">
        <f t="shared" si="10"/>
        <v>798.55555555555554</v>
      </c>
      <c r="AW22" s="231">
        <f t="shared" si="10"/>
        <v>790.53488372093011</v>
      </c>
      <c r="AX22" s="231">
        <f t="shared" si="10"/>
        <v>722.22222222222217</v>
      </c>
      <c r="AY22" s="269">
        <f t="shared" si="10"/>
        <v>709.83333333333326</v>
      </c>
      <c r="AZ22" s="231">
        <f t="shared" ref="AZ22:BE22" si="11">(AZ23-AZ20*AZ21)/(1-AZ20)</f>
        <v>755.9254022309766</v>
      </c>
      <c r="BA22" s="397">
        <f t="shared" si="11"/>
        <v>561.25</v>
      </c>
      <c r="BB22" s="406">
        <f t="shared" si="11"/>
        <v>565.41666666666663</v>
      </c>
      <c r="BC22" s="406">
        <f t="shared" si="11"/>
        <v>563.48837209302326</v>
      </c>
      <c r="BD22" s="406">
        <f t="shared" si="11"/>
        <v>467.49229287090554</v>
      </c>
      <c r="BE22" s="406">
        <f t="shared" si="11"/>
        <v>537.90144701892189</v>
      </c>
      <c r="BF22" s="397">
        <f>(BF23-BF20*BF21)/(1-BF20)</f>
        <v>466.66666666666657</v>
      </c>
      <c r="BG22" s="406">
        <f>(BG23-BG20*BG21)/(1-BG20)</f>
        <v>466.42857142857144</v>
      </c>
      <c r="BH22" s="406">
        <f>(BH23-BH20*BH21)/(1-BH20)</f>
        <v>508.17073170731709</v>
      </c>
      <c r="BI22" s="406">
        <f t="shared" ref="BI22" si="12">(BI23-BI20*BI21)/(1-BI20)</f>
        <v>559.48846726190482</v>
      </c>
      <c r="BJ22" s="406">
        <f t="shared" ref="BJ22" si="13">(BJ23-BJ20*BJ21)/(1-BJ20)</f>
        <v>499.9083070937096</v>
      </c>
      <c r="BK22" s="647">
        <f>(BK23-BK20*BK21)/(1-BK20)</f>
        <v>572.99999999999989</v>
      </c>
      <c r="BL22" s="648">
        <f>(BL23-BL20*BL21)/(1-BL20)</f>
        <v>589.56410256410254</v>
      </c>
      <c r="BM22" s="648">
        <f>(BM23-BM20*BM21)/(1-BM20)</f>
        <v>499.57142857142867</v>
      </c>
      <c r="BN22" s="745">
        <f t="shared" ref="BN22:BO22" si="14">(BN23-BN20*BN21)/(1-BN20)</f>
        <v>535.42913933611612</v>
      </c>
      <c r="BO22" s="455">
        <f t="shared" si="14"/>
        <v>554.13011095911236</v>
      </c>
      <c r="BP22" s="647">
        <f>(BP23-BP20*BP21)/(1-BP20)</f>
        <v>560.4</v>
      </c>
      <c r="BQ22" s="752">
        <f>BP22*1.05</f>
        <v>588.41999999999996</v>
      </c>
      <c r="BR22" s="752">
        <f>BQ22*0.95</f>
        <v>558.99899999999991</v>
      </c>
      <c r="BS22" s="753">
        <f>BT22*4-BP22-BQ22-BR22</f>
        <v>553.03185271317841</v>
      </c>
      <c r="BT22" s="397">
        <f>BO22*1.02</f>
        <v>565.21271317829462</v>
      </c>
      <c r="BU22" s="63">
        <f>BT22*1.1</f>
        <v>621.73398449612409</v>
      </c>
      <c r="BV22" s="63">
        <f>BU22*1.05</f>
        <v>652.82068372093033</v>
      </c>
      <c r="BW22" s="63">
        <f>BV22*1.042</f>
        <v>680.23915243720944</v>
      </c>
      <c r="BX22" s="4"/>
      <c r="CE22" t="s">
        <v>235</v>
      </c>
      <c r="CF22" s="243">
        <v>1.38</v>
      </c>
      <c r="CG22" s="467">
        <v>1.4240999999999999</v>
      </c>
      <c r="CH22" s="145">
        <f>CG22/CF22-1</f>
        <v>3.1956521739130439E-2</v>
      </c>
    </row>
    <row r="23" spans="1:90">
      <c r="A23" s="53" t="s">
        <v>94</v>
      </c>
      <c r="B23" s="53">
        <v>254.95495495495493</v>
      </c>
      <c r="C23" s="53">
        <v>283</v>
      </c>
      <c r="D23" s="53">
        <v>350.92</v>
      </c>
      <c r="E23" s="53">
        <v>377.64710181991012</v>
      </c>
      <c r="F23" s="53">
        <v>424</v>
      </c>
      <c r="G23" s="53">
        <v>360.13114205823075</v>
      </c>
      <c r="H23" s="53">
        <v>418</v>
      </c>
      <c r="I23" s="53">
        <v>460</v>
      </c>
      <c r="J23" s="53">
        <v>442</v>
      </c>
      <c r="K23" s="53">
        <v>395</v>
      </c>
      <c r="L23" s="53">
        <v>432.96724778527567</v>
      </c>
      <c r="M23" s="53">
        <v>372</v>
      </c>
      <c r="N23" s="53">
        <v>460</v>
      </c>
      <c r="O23" s="53">
        <v>473</v>
      </c>
      <c r="P23" s="53">
        <v>509</v>
      </c>
      <c r="Q23" s="53">
        <v>453.11295759564683</v>
      </c>
      <c r="R23" s="53">
        <v>592</v>
      </c>
      <c r="S23" s="53">
        <v>580.99666666666667</v>
      </c>
      <c r="T23" s="53">
        <v>669</v>
      </c>
      <c r="U23" s="53">
        <v>565</v>
      </c>
      <c r="V23" s="53">
        <v>601.87731627053358</v>
      </c>
      <c r="W23" s="53">
        <v>516.25</v>
      </c>
      <c r="X23" s="53">
        <v>459</v>
      </c>
      <c r="Y23" s="53">
        <v>460</v>
      </c>
      <c r="Z23" s="53">
        <v>499.95694956949575</v>
      </c>
      <c r="AA23" s="53">
        <v>483.83842811055348</v>
      </c>
      <c r="AB23" s="92">
        <v>504.68729641693812</v>
      </c>
      <c r="AC23" s="95">
        <v>516.09433962264154</v>
      </c>
      <c r="AD23" s="95">
        <v>481.26752336448601</v>
      </c>
      <c r="AE23" s="96">
        <v>474.28779069767438</v>
      </c>
      <c r="AF23" s="95">
        <v>493.36434344974839</v>
      </c>
      <c r="AG23" s="92">
        <v>511</v>
      </c>
      <c r="AH23" s="119">
        <v>599</v>
      </c>
      <c r="AI23" s="119">
        <v>608</v>
      </c>
      <c r="AJ23" s="141">
        <v>609</v>
      </c>
      <c r="AK23" s="45">
        <f>SUMPRODUCT(AG23:AJ23,AG24:AJ24)/SUM(AG24:AJ24)</f>
        <v>582.11451512187091</v>
      </c>
      <c r="AL23" s="92">
        <v>664</v>
      </c>
      <c r="AM23" s="119">
        <v>699</v>
      </c>
      <c r="AN23" s="119">
        <v>639</v>
      </c>
      <c r="AO23" s="141">
        <v>671</v>
      </c>
      <c r="AP23" s="373">
        <v>668</v>
      </c>
      <c r="AQ23" s="92">
        <v>699</v>
      </c>
      <c r="AR23" s="119">
        <v>693</v>
      </c>
      <c r="AS23" s="119">
        <v>665</v>
      </c>
      <c r="AT23" s="141">
        <v>680</v>
      </c>
      <c r="AU23" s="119">
        <f>AU26/AU24*1000</f>
        <v>687.45021194318429</v>
      </c>
      <c r="AV23" s="92">
        <v>713</v>
      </c>
      <c r="AW23" s="231">
        <v>711</v>
      </c>
      <c r="AX23" s="231">
        <v>688</v>
      </c>
      <c r="AY23" s="269">
        <v>660</v>
      </c>
      <c r="AZ23" s="119">
        <f>AZ26/AZ24*1000</f>
        <v>693.55124450951689</v>
      </c>
      <c r="BA23" s="330">
        <v>597</v>
      </c>
      <c r="BB23" s="231">
        <v>599</v>
      </c>
      <c r="BC23" s="231">
        <v>590</v>
      </c>
      <c r="BD23" s="231">
        <v>543.67630057803467</v>
      </c>
      <c r="BE23" s="231">
        <f>BE26/BE24*1000</f>
        <v>582.15142648134599</v>
      </c>
      <c r="BF23" s="330">
        <v>511</v>
      </c>
      <c r="BG23" s="231">
        <v>511</v>
      </c>
      <c r="BH23" s="231">
        <v>524</v>
      </c>
      <c r="BI23" s="231">
        <v>542.83630952380952</v>
      </c>
      <c r="BJ23" s="231">
        <f>BJ26/BJ24*1000</f>
        <v>522.07461594732979</v>
      </c>
      <c r="BK23" s="649">
        <v>531</v>
      </c>
      <c r="BL23" s="650">
        <v>527</v>
      </c>
      <c r="BM23" s="650">
        <v>498.55</v>
      </c>
      <c r="BN23" s="651">
        <v>513.42874180083481</v>
      </c>
      <c r="BO23" s="231">
        <f>BO26/BO24*1000</f>
        <v>517.64553883568931</v>
      </c>
      <c r="BP23" s="649">
        <v>500.2</v>
      </c>
      <c r="BQ23" s="231">
        <f t="shared" ref="BQ23:BT23" si="15">BQ20*BQ21+(1-BQ20)*BQ22</f>
        <v>514.21</v>
      </c>
      <c r="BR23" s="231">
        <f t="shared" si="15"/>
        <v>499.49949999999995</v>
      </c>
      <c r="BS23" s="231">
        <f t="shared" si="15"/>
        <v>496.5159263565892</v>
      </c>
      <c r="BT23" s="330">
        <f t="shared" si="15"/>
        <v>502.60635658914731</v>
      </c>
      <c r="BU23" s="238">
        <f t="shared" ref="BU23" si="16">BU20*BU21+(1-BU20)*BU22</f>
        <v>485.08901178294576</v>
      </c>
      <c r="BV23" s="238">
        <f t="shared" ref="BV23:BW23" si="17">BV20*BV21+(1-BV20)*BV22</f>
        <v>540.20523758139541</v>
      </c>
      <c r="BW23" s="238">
        <f t="shared" si="17"/>
        <v>634.14567109600011</v>
      </c>
      <c r="BX23" s="41"/>
      <c r="CE23" t="s">
        <v>714</v>
      </c>
      <c r="CF23" s="243">
        <v>0.16</v>
      </c>
      <c r="CG23" s="467">
        <v>0.16</v>
      </c>
      <c r="CH23" s="145">
        <f>CG23/CF23-1</f>
        <v>0</v>
      </c>
    </row>
    <row r="24" spans="1:90">
      <c r="A24" s="45" t="s">
        <v>596</v>
      </c>
      <c r="B24" s="45">
        <v>922.83870472743274</v>
      </c>
      <c r="C24" s="45">
        <v>251.23674911660777</v>
      </c>
      <c r="D24" s="45">
        <v>247.53077624529806</v>
      </c>
      <c r="E24" s="45">
        <v>261.61990790840252</v>
      </c>
      <c r="F24" s="45">
        <v>261.08490566037733</v>
      </c>
      <c r="G24" s="45">
        <v>1021.4723389306856</v>
      </c>
      <c r="H24" s="45">
        <v>269.61722488038276</v>
      </c>
      <c r="I24" s="45">
        <v>264.10217391304349</v>
      </c>
      <c r="J24" s="45">
        <v>285.24208144796381</v>
      </c>
      <c r="K24" s="45">
        <v>290</v>
      </c>
      <c r="L24" s="45">
        <v>1108.9614802413901</v>
      </c>
      <c r="M24" s="45">
        <v>315.41397849462368</v>
      </c>
      <c r="N24" s="45">
        <v>274.08913043478259</v>
      </c>
      <c r="O24" s="45">
        <v>297.36786469344611</v>
      </c>
      <c r="P24" s="45">
        <v>318.19056974459727</v>
      </c>
      <c r="Q24" s="45">
        <v>1205.0615433674498</v>
      </c>
      <c r="R24" s="45">
        <v>267.28716216216219</v>
      </c>
      <c r="S24" s="45">
        <v>300</v>
      </c>
      <c r="T24" s="45">
        <v>309.8266068759342</v>
      </c>
      <c r="U24" s="45">
        <v>322.47787610619469</v>
      </c>
      <c r="V24" s="45">
        <v>1199.5916451442911</v>
      </c>
      <c r="W24" s="45">
        <v>300</v>
      </c>
      <c r="X24" s="45">
        <v>297.359477124183</v>
      </c>
      <c r="Y24" s="45">
        <v>317.94347826086954</v>
      </c>
      <c r="Z24" s="45">
        <v>325.2</v>
      </c>
      <c r="AA24" s="45">
        <v>1240.5029553850527</v>
      </c>
      <c r="AB24" s="93">
        <v>307</v>
      </c>
      <c r="AC24" s="59">
        <v>318</v>
      </c>
      <c r="AD24" s="59">
        <v>342.4</v>
      </c>
      <c r="AE24" s="97">
        <v>344</v>
      </c>
      <c r="AF24" s="59">
        <v>1311.4</v>
      </c>
      <c r="AG24" s="93">
        <v>324.97260273972609</v>
      </c>
      <c r="AH24" s="119">
        <v>314.07011686143574</v>
      </c>
      <c r="AI24" s="119">
        <v>333.02302631578948</v>
      </c>
      <c r="AJ24" s="141">
        <v>341.69293924466336</v>
      </c>
      <c r="AK24" s="42">
        <f>SUM(AG24:AJ24)</f>
        <v>1313.7586851616147</v>
      </c>
      <c r="AL24" s="93">
        <v>342</v>
      </c>
      <c r="AM24" s="119">
        <v>340</v>
      </c>
      <c r="AN24" s="119">
        <v>334.2</v>
      </c>
      <c r="AO24" s="141">
        <v>341.8</v>
      </c>
      <c r="AP24" s="373">
        <f>SUM(AL24:AO24)</f>
        <v>1358</v>
      </c>
      <c r="AQ24" s="93">
        <v>345.9</v>
      </c>
      <c r="AR24" s="119">
        <v>333.6</v>
      </c>
      <c r="AS24" s="119">
        <v>323</v>
      </c>
      <c r="AT24" s="141">
        <v>342.2</v>
      </c>
      <c r="AU24" s="42">
        <f>SUM(AQ24:AT24)</f>
        <v>1344.7</v>
      </c>
      <c r="AV24" s="93">
        <v>343</v>
      </c>
      <c r="AW24" s="231">
        <v>341</v>
      </c>
      <c r="AX24" s="231">
        <v>335</v>
      </c>
      <c r="AY24" s="269">
        <v>347</v>
      </c>
      <c r="AZ24" s="119">
        <f>SUM(AV24:AY24)</f>
        <v>1366</v>
      </c>
      <c r="BA24" s="330">
        <v>344</v>
      </c>
      <c r="BB24" s="231">
        <v>338</v>
      </c>
      <c r="BC24" s="231">
        <v>339</v>
      </c>
      <c r="BD24" s="231">
        <v>346</v>
      </c>
      <c r="BE24" s="231">
        <f>SUM(BA24:BD24)</f>
        <v>1367</v>
      </c>
      <c r="BF24" s="330">
        <v>344</v>
      </c>
      <c r="BG24" s="231">
        <v>346</v>
      </c>
      <c r="BH24" s="231">
        <v>341</v>
      </c>
      <c r="BI24" s="231">
        <v>336</v>
      </c>
      <c r="BJ24" s="231">
        <f>SUM(BF24:BI24)</f>
        <v>1367</v>
      </c>
      <c r="BK24" s="649">
        <v>334</v>
      </c>
      <c r="BL24" s="652">
        <v>324</v>
      </c>
      <c r="BM24" s="653">
        <v>322.39999999999998</v>
      </c>
      <c r="BN24" s="231">
        <v>335.4</v>
      </c>
      <c r="BO24" s="231">
        <f>SUM(BK24:BN24)</f>
        <v>1315.8</v>
      </c>
      <c r="BP24" s="649">
        <v>320.60000000000002</v>
      </c>
      <c r="BQ24" s="63">
        <f>BL24*(1+BQ8)*1.01</f>
        <v>336.08394083531829</v>
      </c>
      <c r="BR24" s="63">
        <f>BM24*(1+BR8)</f>
        <v>344.91868114013596</v>
      </c>
      <c r="BS24" s="63">
        <f>BT24-BP24-BQ24-BR24</f>
        <v>349.51908752959912</v>
      </c>
      <c r="BT24" s="222">
        <v>1351.1217095050533</v>
      </c>
      <c r="BU24" s="63">
        <v>1414.0772177388124</v>
      </c>
      <c r="BV24" s="63">
        <v>1444.0296757362328</v>
      </c>
      <c r="BW24" s="63">
        <v>1526.7316329091589</v>
      </c>
      <c r="BX24" s="4"/>
      <c r="CE24" t="s">
        <v>232</v>
      </c>
      <c r="CF24" s="243">
        <v>0.8</v>
      </c>
      <c r="CG24" s="467">
        <v>0.77900000000000003</v>
      </c>
      <c r="CH24" s="145">
        <f>CG24/CF24-1</f>
        <v>-2.6249999999999996E-2</v>
      </c>
    </row>
    <row r="25" spans="1:90">
      <c r="A25" s="47" t="s">
        <v>572</v>
      </c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93"/>
      <c r="AC25" s="59"/>
      <c r="AD25" s="59"/>
      <c r="AE25" s="97"/>
      <c r="AF25" s="59"/>
      <c r="AG25" s="93"/>
      <c r="AH25" s="94">
        <v>317</v>
      </c>
      <c r="AI25" s="94">
        <v>335</v>
      </c>
      <c r="AJ25" s="137">
        <v>344</v>
      </c>
      <c r="AK25" s="64">
        <v>1317</v>
      </c>
      <c r="AL25" s="142">
        <v>341</v>
      </c>
      <c r="AM25" s="94">
        <v>342</v>
      </c>
      <c r="AN25" s="94">
        <v>335</v>
      </c>
      <c r="AO25" s="137">
        <v>344</v>
      </c>
      <c r="AP25" s="374">
        <v>1363</v>
      </c>
      <c r="AQ25" s="142">
        <v>350.6</v>
      </c>
      <c r="AR25" s="94">
        <v>340</v>
      </c>
      <c r="AS25" s="94">
        <v>329</v>
      </c>
      <c r="AT25" s="137">
        <v>337.9</v>
      </c>
      <c r="AU25" s="64">
        <v>1346</v>
      </c>
      <c r="AV25" s="142">
        <v>342</v>
      </c>
      <c r="AW25" s="270">
        <v>338</v>
      </c>
      <c r="AX25" s="387">
        <v>335</v>
      </c>
      <c r="AY25" s="180">
        <v>339</v>
      </c>
      <c r="AZ25" s="321">
        <v>1359</v>
      </c>
      <c r="BA25" s="202">
        <v>353</v>
      </c>
      <c r="BB25" s="132">
        <v>344</v>
      </c>
      <c r="BC25" s="132">
        <v>340</v>
      </c>
      <c r="BD25" s="132">
        <v>353</v>
      </c>
      <c r="BE25" s="132">
        <v>1400</v>
      </c>
      <c r="BF25" s="202">
        <v>341</v>
      </c>
      <c r="BG25" s="132">
        <v>353</v>
      </c>
      <c r="BH25" s="132">
        <v>341</v>
      </c>
      <c r="BI25" s="132">
        <v>340</v>
      </c>
      <c r="BJ25" s="132">
        <v>1371</v>
      </c>
      <c r="BK25" s="333">
        <v>336</v>
      </c>
      <c r="BL25" s="264">
        <v>331</v>
      </c>
      <c r="BM25" s="264">
        <v>329</v>
      </c>
      <c r="BN25" s="276">
        <v>334.8</v>
      </c>
      <c r="BO25" s="132">
        <v>1315.8</v>
      </c>
      <c r="BP25" s="333">
        <v>324</v>
      </c>
      <c r="BQ25" s="264">
        <v>337</v>
      </c>
      <c r="BR25" s="53"/>
      <c r="BS25" s="53"/>
      <c r="BT25" s="333">
        <v>1350.1</v>
      </c>
      <c r="BU25" s="53"/>
      <c r="BV25" s="53"/>
      <c r="BW25" s="53"/>
      <c r="CE25" t="s">
        <v>233</v>
      </c>
      <c r="CF25" s="243">
        <v>0.8</v>
      </c>
      <c r="CG25" s="467">
        <v>0.79379999999999995</v>
      </c>
      <c r="CH25" s="145">
        <f>CG25/CF25-1</f>
        <v>-7.7500000000001457E-3</v>
      </c>
    </row>
    <row r="26" spans="1:90">
      <c r="A26" s="43" t="s">
        <v>595</v>
      </c>
      <c r="B26" s="43">
        <f t="shared" ref="B26:AM26" si="18">B24*B23/1000</f>
        <v>235.28230039447155</v>
      </c>
      <c r="C26" s="43">
        <f t="shared" si="18"/>
        <v>71.099999999999994</v>
      </c>
      <c r="D26" s="43">
        <f t="shared" si="18"/>
        <v>86.863500000000002</v>
      </c>
      <c r="E26" s="43">
        <f t="shared" si="18"/>
        <v>98.8</v>
      </c>
      <c r="F26" s="43">
        <f t="shared" si="18"/>
        <v>110.69999999999999</v>
      </c>
      <c r="G26" s="43">
        <f t="shared" si="18"/>
        <v>367.86399999999998</v>
      </c>
      <c r="H26" s="43">
        <f t="shared" si="18"/>
        <v>112.7</v>
      </c>
      <c r="I26" s="43">
        <f t="shared" si="18"/>
        <v>121.48699999999999</v>
      </c>
      <c r="J26" s="43">
        <f t="shared" si="18"/>
        <v>126.077</v>
      </c>
      <c r="K26" s="43">
        <f t="shared" si="18"/>
        <v>114.55</v>
      </c>
      <c r="L26" s="43">
        <f t="shared" si="18"/>
        <v>480.14400000000001</v>
      </c>
      <c r="M26" s="43">
        <f t="shared" si="18"/>
        <v>117.33400000000002</v>
      </c>
      <c r="N26" s="43">
        <f t="shared" si="18"/>
        <v>126.08099999999999</v>
      </c>
      <c r="O26" s="43">
        <f t="shared" si="18"/>
        <v>140.655</v>
      </c>
      <c r="P26" s="43">
        <f t="shared" si="18"/>
        <v>161.959</v>
      </c>
      <c r="Q26" s="43">
        <f t="shared" si="18"/>
        <v>546.029</v>
      </c>
      <c r="R26" s="43">
        <f t="shared" si="18"/>
        <v>158.23400000000004</v>
      </c>
      <c r="S26" s="43">
        <f t="shared" si="18"/>
        <v>174.29900000000001</v>
      </c>
      <c r="T26" s="43">
        <f t="shared" si="18"/>
        <v>207.27399999999997</v>
      </c>
      <c r="U26" s="43">
        <f>U24*U23/1000</f>
        <v>182.2</v>
      </c>
      <c r="V26" s="43">
        <f>V24*V23/1000</f>
        <v>722.00700000000006</v>
      </c>
      <c r="W26" s="43">
        <f t="shared" si="18"/>
        <v>154.875</v>
      </c>
      <c r="X26" s="43">
        <f t="shared" si="18"/>
        <v>136.488</v>
      </c>
      <c r="Y26" s="43">
        <f t="shared" si="18"/>
        <v>146.25399999999999</v>
      </c>
      <c r="Z26" s="43">
        <f t="shared" si="18"/>
        <v>162.58600000000001</v>
      </c>
      <c r="AA26" s="43">
        <f t="shared" si="18"/>
        <v>600.20299999999997</v>
      </c>
      <c r="AB26" s="107">
        <f t="shared" si="18"/>
        <v>154.93899999999999</v>
      </c>
      <c r="AC26" s="108">
        <f t="shared" si="18"/>
        <v>164.11799999999999</v>
      </c>
      <c r="AD26" s="108">
        <f t="shared" si="18"/>
        <v>164.786</v>
      </c>
      <c r="AE26" s="109">
        <f t="shared" si="18"/>
        <v>163.155</v>
      </c>
      <c r="AF26" s="108">
        <f t="shared" si="18"/>
        <v>646.99800000000016</v>
      </c>
      <c r="AG26" s="107">
        <f t="shared" si="18"/>
        <v>166.06100000000004</v>
      </c>
      <c r="AH26" s="108">
        <f t="shared" si="18"/>
        <v>188.12799999999999</v>
      </c>
      <c r="AI26" s="108">
        <f t="shared" si="18"/>
        <v>202.47800000000001</v>
      </c>
      <c r="AJ26" s="109">
        <f t="shared" si="18"/>
        <v>208.09100000000001</v>
      </c>
      <c r="AK26" s="43">
        <f t="shared" si="18"/>
        <v>764.75800000000004</v>
      </c>
      <c r="AL26" s="107">
        <f t="shared" si="18"/>
        <v>227.08799999999999</v>
      </c>
      <c r="AM26" s="108">
        <f t="shared" si="18"/>
        <v>237.66</v>
      </c>
      <c r="AN26" s="108">
        <f>AN24*AN23/1000</f>
        <v>213.5538</v>
      </c>
      <c r="AO26" s="109">
        <f>AO24*AO23/1000</f>
        <v>229.34780000000001</v>
      </c>
      <c r="AP26" s="375">
        <v>909.69100000000003</v>
      </c>
      <c r="AQ26" s="107">
        <f>AQ24*AQ23/1000</f>
        <v>241.78409999999997</v>
      </c>
      <c r="AR26" s="108">
        <f>AR24*AR23/1000</f>
        <v>231.18480000000002</v>
      </c>
      <c r="AS26" s="108">
        <f>AS24*AS23/1000</f>
        <v>214.79499999999999</v>
      </c>
      <c r="AT26" s="109">
        <f>AT24*AT23/1000</f>
        <v>232.696</v>
      </c>
      <c r="AU26" s="43">
        <v>924.41430000000003</v>
      </c>
      <c r="AV26" s="107">
        <f>AV24*AV23/1000</f>
        <v>244.559</v>
      </c>
      <c r="AW26" s="235">
        <f>AW24*AW23/1000</f>
        <v>242.45099999999999</v>
      </c>
      <c r="AX26" s="235">
        <f>AX24*AX23/1000</f>
        <v>230.48</v>
      </c>
      <c r="AY26" s="271">
        <f>AY24*AY23/1000</f>
        <v>229.02</v>
      </c>
      <c r="AZ26" s="108">
        <v>947.39100000000008</v>
      </c>
      <c r="BA26" s="331">
        <f>BA24*BA23/1000</f>
        <v>205.36799999999999</v>
      </c>
      <c r="BB26" s="235">
        <f>BB24*BB23/1000</f>
        <v>202.46199999999999</v>
      </c>
      <c r="BC26" s="235">
        <f>BC24*BC23/1000</f>
        <v>200.01</v>
      </c>
      <c r="BD26" s="235">
        <f>BD24*BD23/1000</f>
        <v>188.11199999999999</v>
      </c>
      <c r="BE26" s="235">
        <v>795.80100000000004</v>
      </c>
      <c r="BF26" s="331">
        <f>BF24*BF23/1000</f>
        <v>175.78399999999999</v>
      </c>
      <c r="BG26" s="235">
        <f>BG24*BG23/1000</f>
        <v>176.80600000000001</v>
      </c>
      <c r="BH26" s="235">
        <f>BH24*BH23/1000</f>
        <v>178.684</v>
      </c>
      <c r="BI26" s="235">
        <f>BI24*BI23/1000</f>
        <v>182.393</v>
      </c>
      <c r="BJ26" s="235">
        <v>713.67599999999993</v>
      </c>
      <c r="BK26" s="654">
        <f>BK24*BK23/1000</f>
        <v>177.35400000000001</v>
      </c>
      <c r="BL26" s="161">
        <f>BL24*BL23/1000</f>
        <v>170.74799999999999</v>
      </c>
      <c r="BM26" s="161">
        <f>BM24*BM23/1000</f>
        <v>160.73251999999999</v>
      </c>
      <c r="BN26" s="655">
        <f>BN24*BN23/1000</f>
        <v>172.20399999999998</v>
      </c>
      <c r="BO26" s="331">
        <v>681.11799999999994</v>
      </c>
      <c r="BP26" s="654">
        <f>BP24*BP23/1000</f>
        <v>160.36411999999999</v>
      </c>
      <c r="BQ26" s="235">
        <f>BQ24*BQ23/1000</f>
        <v>172.81772321692904</v>
      </c>
      <c r="BR26" s="235">
        <f>BR24*BR23/1000</f>
        <v>172.28670877015733</v>
      </c>
      <c r="BS26" s="235">
        <f>BS24*BS23/1000</f>
        <v>173.54179352406868</v>
      </c>
      <c r="BT26" s="331">
        <v>678.98722551115509</v>
      </c>
      <c r="BU26" s="43">
        <v>685.9533201376978</v>
      </c>
      <c r="BV26" s="43">
        <v>780.07239405567702</v>
      </c>
      <c r="BW26" s="43">
        <v>968.17025593467065</v>
      </c>
      <c r="BX26" s="144"/>
      <c r="CE26" t="s">
        <v>234</v>
      </c>
      <c r="CF26" s="243">
        <v>1.23</v>
      </c>
      <c r="CG26" s="467">
        <v>1.238</v>
      </c>
      <c r="CH26" s="145">
        <f>CG26/CF26-1</f>
        <v>6.5040650406504863E-3</v>
      </c>
      <c r="CL26">
        <f>1/CF26</f>
        <v>0.81300813008130079</v>
      </c>
    </row>
    <row r="27" spans="1:90">
      <c r="A27" s="47" t="s">
        <v>572</v>
      </c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93"/>
      <c r="AC27" s="59"/>
      <c r="AD27" s="59"/>
      <c r="AE27" s="97"/>
      <c r="AF27" s="59"/>
      <c r="AG27" s="93"/>
      <c r="AH27" s="94">
        <v>189</v>
      </c>
      <c r="AI27" s="94">
        <v>202</v>
      </c>
      <c r="AJ27" s="137">
        <v>204</v>
      </c>
      <c r="AK27" s="64">
        <v>761</v>
      </c>
      <c r="AL27" s="142">
        <v>224</v>
      </c>
      <c r="AM27" s="94">
        <v>232</v>
      </c>
      <c r="AN27" s="94">
        <v>213</v>
      </c>
      <c r="AO27" s="180">
        <v>229</v>
      </c>
      <c r="AP27" s="374">
        <v>910</v>
      </c>
      <c r="AQ27" s="142">
        <v>245</v>
      </c>
      <c r="AR27" s="94">
        <v>236</v>
      </c>
      <c r="AS27" s="94">
        <v>219</v>
      </c>
      <c r="AT27" s="137">
        <v>230</v>
      </c>
      <c r="AU27" s="132">
        <v>920</v>
      </c>
      <c r="AV27" s="142">
        <v>242</v>
      </c>
      <c r="AW27" s="270">
        <v>245</v>
      </c>
      <c r="AX27" s="387">
        <v>231</v>
      </c>
      <c r="AY27" s="180">
        <v>225</v>
      </c>
      <c r="AZ27" s="321">
        <v>943</v>
      </c>
      <c r="BA27" s="202">
        <v>207</v>
      </c>
      <c r="BB27" s="132">
        <v>213</v>
      </c>
      <c r="BC27" s="132">
        <v>210</v>
      </c>
      <c r="BD27" s="132">
        <v>207</v>
      </c>
      <c r="BE27" s="132">
        <v>806</v>
      </c>
      <c r="BF27" s="202">
        <v>185</v>
      </c>
      <c r="BG27" s="132">
        <v>191</v>
      </c>
      <c r="BH27" s="132">
        <v>187</v>
      </c>
      <c r="BI27" s="132">
        <v>189</v>
      </c>
      <c r="BJ27" s="132">
        <v>720</v>
      </c>
      <c r="BK27" s="333"/>
      <c r="BL27" s="264">
        <v>177</v>
      </c>
      <c r="BM27" s="264">
        <v>176</v>
      </c>
      <c r="BN27" s="276">
        <v>177</v>
      </c>
      <c r="BO27" s="132">
        <v>686</v>
      </c>
      <c r="BP27" s="202">
        <v>162</v>
      </c>
      <c r="BQ27" s="132">
        <v>173</v>
      </c>
      <c r="BR27" s="132"/>
      <c r="BS27" s="132"/>
      <c r="BT27" s="202">
        <v>678</v>
      </c>
      <c r="BU27" s="53"/>
      <c r="BV27" s="53"/>
      <c r="BW27" s="53"/>
      <c r="CE27" s="43" t="s">
        <v>668</v>
      </c>
      <c r="CF27" s="43"/>
      <c r="CG27" s="43"/>
      <c r="CH27" s="389">
        <f>CH22*0.5+CH24*0.125+CH25*0.125+CH23*0.125+CH26*0.125</f>
        <v>1.2541268999646513E-2</v>
      </c>
    </row>
    <row r="28" spans="1:90">
      <c r="A28" s="47" t="s">
        <v>397</v>
      </c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93"/>
      <c r="AC28" s="59"/>
      <c r="AD28" s="59"/>
      <c r="AE28" s="97"/>
      <c r="AF28" s="59"/>
      <c r="AG28" s="93"/>
      <c r="AH28" s="94">
        <v>9</v>
      </c>
      <c r="AI28" s="94">
        <v>10</v>
      </c>
      <c r="AJ28" s="137">
        <v>9</v>
      </c>
      <c r="AK28" s="64"/>
      <c r="AL28" s="142">
        <v>11</v>
      </c>
      <c r="AM28" s="94">
        <v>12</v>
      </c>
      <c r="AN28" s="94">
        <v>13</v>
      </c>
      <c r="AO28" s="137">
        <v>9</v>
      </c>
      <c r="AP28" s="374">
        <f>AO28+AN28+AM28+AL28</f>
        <v>45</v>
      </c>
      <c r="AQ28" s="142">
        <v>12</v>
      </c>
      <c r="AR28" s="94">
        <v>9</v>
      </c>
      <c r="AS28" s="94">
        <v>9</v>
      </c>
      <c r="AT28" s="137">
        <v>8</v>
      </c>
      <c r="AU28" s="94">
        <f>SUM(AQ28:AT28)</f>
        <v>38</v>
      </c>
      <c r="AV28" s="142">
        <v>11.5</v>
      </c>
      <c r="AW28" s="270">
        <v>10.7</v>
      </c>
      <c r="AX28" s="246">
        <v>10</v>
      </c>
      <c r="AY28" s="272">
        <v>10</v>
      </c>
      <c r="AZ28" s="321">
        <v>10</v>
      </c>
      <c r="BA28" s="332">
        <f>BA68</f>
        <v>7</v>
      </c>
      <c r="BB28" s="246">
        <v>7</v>
      </c>
      <c r="BC28" s="246">
        <v>7.8</v>
      </c>
      <c r="BD28" s="246">
        <v>7</v>
      </c>
      <c r="BE28" s="246">
        <v>25</v>
      </c>
      <c r="BF28" s="332">
        <v>2.8</v>
      </c>
      <c r="BG28" s="246"/>
      <c r="BH28" s="246">
        <v>3.8</v>
      </c>
      <c r="BI28" s="246"/>
      <c r="BJ28" s="246">
        <v>8.4</v>
      </c>
      <c r="BK28" s="656"/>
      <c r="BL28" s="657">
        <v>7</v>
      </c>
      <c r="BM28" s="657">
        <v>8</v>
      </c>
      <c r="BN28" s="658">
        <v>7</v>
      </c>
      <c r="BO28" s="579">
        <v>7</v>
      </c>
      <c r="BP28" s="724">
        <v>9</v>
      </c>
      <c r="BQ28" s="579">
        <v>10</v>
      </c>
      <c r="BR28" s="579"/>
      <c r="BS28" s="579"/>
      <c r="BT28" s="724">
        <v>29</v>
      </c>
      <c r="BU28" s="49"/>
      <c r="BV28" s="49"/>
      <c r="BW28" s="49"/>
      <c r="BX28" s="41"/>
      <c r="CE28" t="s">
        <v>679</v>
      </c>
      <c r="CF28" s="243">
        <v>8.466394558566287E-2</v>
      </c>
      <c r="CH28" s="227">
        <f>CH27*100*CF28*8.5/12</f>
        <v>7.5210359894754011E-2</v>
      </c>
    </row>
    <row r="29" spans="1:90">
      <c r="A29" s="53"/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92"/>
      <c r="AC29" s="95"/>
      <c r="AD29" s="95"/>
      <c r="AE29" s="96"/>
      <c r="AF29" s="95"/>
      <c r="AG29" s="92"/>
      <c r="AH29" s="95"/>
      <c r="AI29" s="132"/>
      <c r="AJ29" s="96"/>
      <c r="AK29" s="52"/>
      <c r="AL29" s="92"/>
      <c r="AM29" s="95"/>
      <c r="AN29" s="132"/>
      <c r="AO29" s="96"/>
      <c r="AP29" s="341"/>
      <c r="AQ29" s="189"/>
      <c r="AR29" s="95"/>
      <c r="AS29" s="132"/>
      <c r="AT29" s="96"/>
      <c r="AU29" s="200"/>
      <c r="AV29" s="202"/>
      <c r="AW29" s="132"/>
      <c r="AX29" s="132"/>
      <c r="AY29" s="273"/>
      <c r="AZ29" s="95"/>
      <c r="BA29" s="395"/>
      <c r="BB29" s="306"/>
      <c r="BC29" s="306"/>
      <c r="BD29" s="306"/>
      <c r="BE29" s="382"/>
      <c r="BF29" s="425"/>
      <c r="BG29" s="306"/>
      <c r="BH29" s="426"/>
      <c r="BI29" s="426"/>
      <c r="BJ29" s="382"/>
      <c r="BK29" s="659"/>
      <c r="BL29" s="660"/>
      <c r="BM29" s="660"/>
      <c r="BN29" s="661"/>
      <c r="BO29" s="54"/>
      <c r="BP29" s="130"/>
      <c r="BQ29" s="54"/>
      <c r="BR29" s="54"/>
      <c r="BS29" s="54"/>
      <c r="BT29" s="130"/>
      <c r="BU29" s="54"/>
      <c r="BV29" s="54"/>
      <c r="BW29" s="54"/>
      <c r="CE29" t="s">
        <v>669</v>
      </c>
      <c r="CF29" s="569">
        <v>398</v>
      </c>
      <c r="CG29" s="402">
        <v>407</v>
      </c>
      <c r="CH29" s="145">
        <f>CG29/CF29-1</f>
        <v>2.2613065326633208E-2</v>
      </c>
    </row>
    <row r="30" spans="1:90">
      <c r="A30" s="43" t="s">
        <v>599</v>
      </c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114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107"/>
      <c r="AC30" s="108"/>
      <c r="AD30" s="108"/>
      <c r="AE30" s="109"/>
      <c r="AF30" s="108"/>
      <c r="AG30" s="78">
        <v>4.9276947384637726E-3</v>
      </c>
      <c r="AH30" s="79">
        <v>-7.4454679134616786E-4</v>
      </c>
      <c r="AI30" s="79">
        <v>7.4776944389829403E-3</v>
      </c>
      <c r="AJ30" s="80">
        <v>3.6999999999999998E-2</v>
      </c>
      <c r="AK30" s="46">
        <v>1.2999999999999999E-2</v>
      </c>
      <c r="AL30" s="78">
        <v>5.7243083974840125E-2</v>
      </c>
      <c r="AM30" s="79">
        <v>8.3354858683897026E-2</v>
      </c>
      <c r="AN30" s="79">
        <v>1.9327759732327809E-2</v>
      </c>
      <c r="AO30" s="80">
        <v>9.6959452809530777E-3</v>
      </c>
      <c r="AP30" s="366">
        <v>4.1885286033083668E-2</v>
      </c>
      <c r="AQ30" s="78">
        <v>-4.6622788403337667E-3</v>
      </c>
      <c r="AR30" s="79">
        <v>2.2723128360936151E-2</v>
      </c>
      <c r="AS30" s="79">
        <v>3.9405168802994606E-2</v>
      </c>
      <c r="AT30" s="80">
        <v>1.7999999999999999E-2</v>
      </c>
      <c r="AU30" s="46">
        <v>1.889390644714814E-2</v>
      </c>
      <c r="AV30" s="78">
        <v>1.3220304773438274E-2</v>
      </c>
      <c r="AW30" s="229">
        <v>-4.7E-2</v>
      </c>
      <c r="AX30" s="229">
        <v>-1.2E-2</v>
      </c>
      <c r="AY30" s="258">
        <v>2.3E-2</v>
      </c>
      <c r="AZ30" s="79">
        <v>-5.9848086052892912E-3</v>
      </c>
      <c r="BA30" s="78">
        <v>8.7947231661003045E-3</v>
      </c>
      <c r="BB30" s="79">
        <v>3.4000000000000002E-2</v>
      </c>
      <c r="BC30" s="79">
        <v>-1.7999999999999999E-2</v>
      </c>
      <c r="BD30" s="79">
        <v>-4.7E-2</v>
      </c>
      <c r="BE30" s="258">
        <v>-6.0132842711064435E-3</v>
      </c>
      <c r="BF30" s="78">
        <v>4.6665311102074059E-2</v>
      </c>
      <c r="BG30" s="79">
        <v>1.9E-2</v>
      </c>
      <c r="BH30" s="79">
        <v>-1.6E-2</v>
      </c>
      <c r="BI30" s="79">
        <v>-1.9E-2</v>
      </c>
      <c r="BJ30" s="258">
        <v>9.2838706939360506E-3</v>
      </c>
      <c r="BK30" s="632">
        <v>-4.3653129291740256E-2</v>
      </c>
      <c r="BL30" s="662">
        <v>-8.5513078470825787E-3</v>
      </c>
      <c r="BM30" s="662">
        <v>5.7420594551825355E-2</v>
      </c>
      <c r="BN30" s="741">
        <v>8.6999999999999994E-2</v>
      </c>
      <c r="BO30" s="743">
        <v>1.9761291138081762E-2</v>
      </c>
      <c r="BP30" s="750">
        <v>0.11160391954615778</v>
      </c>
      <c r="BQ30" s="749">
        <v>0.05</v>
      </c>
      <c r="BR30" s="749">
        <v>-2.5000000000000001E-2</v>
      </c>
      <c r="BS30" s="749">
        <v>-0.04</v>
      </c>
      <c r="BT30" s="725">
        <v>2.4748520508609189E-2</v>
      </c>
      <c r="BU30" s="239">
        <v>0.01</v>
      </c>
      <c r="BV30" s="239">
        <v>0.01</v>
      </c>
      <c r="BW30" s="239">
        <v>0.01</v>
      </c>
      <c r="CE30" t="s">
        <v>254</v>
      </c>
      <c r="CF30">
        <f>((CF35-BT24/1000*BT20*BT21)/(BT24/1000*(1-BT20)))</f>
        <v>565.07189061433041</v>
      </c>
      <c r="CG30">
        <f>CF30+CG29-CF29</f>
        <v>574.07189061433041</v>
      </c>
      <c r="CH30" s="145">
        <f>CG30/CF30-1</f>
        <v>1.5927176965421896E-2</v>
      </c>
    </row>
    <row r="31" spans="1:90">
      <c r="A31" s="47" t="s">
        <v>572</v>
      </c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93"/>
      <c r="AC31" s="59"/>
      <c r="AD31" s="59"/>
      <c r="AE31" s="97"/>
      <c r="AF31" s="59"/>
      <c r="AG31" s="93"/>
      <c r="AH31" s="88" t="s">
        <v>586</v>
      </c>
      <c r="AI31" s="88" t="s">
        <v>586</v>
      </c>
      <c r="AJ31" s="120" t="s">
        <v>32</v>
      </c>
      <c r="AK31" s="48" t="s">
        <v>22</v>
      </c>
      <c r="AL31" s="87" t="s">
        <v>605</v>
      </c>
      <c r="AM31" s="88" t="s">
        <v>76</v>
      </c>
      <c r="AN31" s="88" t="s">
        <v>581</v>
      </c>
      <c r="AO31" s="120" t="s">
        <v>580</v>
      </c>
      <c r="AP31" s="370" t="s">
        <v>393</v>
      </c>
      <c r="AQ31" s="87" t="s">
        <v>586</v>
      </c>
      <c r="AR31" s="88" t="s">
        <v>581</v>
      </c>
      <c r="AS31" s="88" t="s">
        <v>393</v>
      </c>
      <c r="AT31" s="120" t="s">
        <v>22</v>
      </c>
      <c r="AU31" s="188" t="s">
        <v>22</v>
      </c>
      <c r="AV31" s="87" t="s">
        <v>586</v>
      </c>
      <c r="AW31" s="274" t="s">
        <v>665</v>
      </c>
      <c r="AX31" s="264" t="s">
        <v>87</v>
      </c>
      <c r="AY31" s="265" t="s">
        <v>468</v>
      </c>
      <c r="AZ31" s="128" t="s">
        <v>667</v>
      </c>
      <c r="BA31" s="328" t="s">
        <v>468</v>
      </c>
      <c r="BB31" s="307" t="s">
        <v>673</v>
      </c>
      <c r="BC31" s="408" t="s">
        <v>685</v>
      </c>
      <c r="BD31" s="408" t="s">
        <v>468</v>
      </c>
      <c r="BE31" s="439">
        <v>0.01</v>
      </c>
      <c r="BF31" s="459" t="s">
        <v>697</v>
      </c>
      <c r="BG31" s="307" t="s">
        <v>718</v>
      </c>
      <c r="BH31" s="307" t="s">
        <v>721</v>
      </c>
      <c r="BI31" s="307">
        <v>-1.4999999999999999E-2</v>
      </c>
      <c r="BJ31" s="439" t="s">
        <v>717</v>
      </c>
      <c r="BK31" s="459">
        <v>-4.4999999999999998E-2</v>
      </c>
      <c r="BL31" s="580">
        <v>-0.02</v>
      </c>
      <c r="BM31" s="580" t="s">
        <v>805</v>
      </c>
      <c r="BN31" s="585">
        <v>8.5000000000000006E-2</v>
      </c>
      <c r="BO31" s="594" t="s">
        <v>539</v>
      </c>
      <c r="BP31" s="594">
        <v>0.1</v>
      </c>
      <c r="BQ31" s="716">
        <v>0.05</v>
      </c>
      <c r="BR31" s="716"/>
      <c r="BS31" s="716"/>
      <c r="BT31" s="594">
        <v>2.5000000000000001E-2</v>
      </c>
      <c r="BU31" s="53"/>
      <c r="BV31" s="53"/>
      <c r="BW31" s="53"/>
      <c r="CE31" s="43" t="s">
        <v>680</v>
      </c>
      <c r="CF31" s="468">
        <v>0.14110657597610476</v>
      </c>
      <c r="CG31" s="160"/>
      <c r="CH31" s="468">
        <f>-((BO22*CH29)*(BO24*(1-BO20))/1000)/'Sum&amp;Val'!T33*8.5/12</f>
        <v>-1.8950851523885561E-2</v>
      </c>
    </row>
    <row r="32" spans="1:90">
      <c r="A32" s="45" t="s">
        <v>51</v>
      </c>
      <c r="B32" s="52"/>
      <c r="C32" s="45"/>
      <c r="D32" s="45"/>
      <c r="E32" s="45"/>
      <c r="F32" s="45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77"/>
      <c r="AC32" s="90"/>
      <c r="AD32" s="90"/>
      <c r="AE32" s="91"/>
      <c r="AF32" s="90"/>
      <c r="AG32" s="77">
        <v>2.7080456580483858E-3</v>
      </c>
      <c r="AH32" s="116">
        <v>2.418732512139099E-2</v>
      </c>
      <c r="AI32" s="116">
        <v>1.7115292666549209E-2</v>
      </c>
      <c r="AJ32" s="136">
        <v>-1.3275141035276813E-3</v>
      </c>
      <c r="AK32" s="52">
        <v>1.0024201582524163E-2</v>
      </c>
      <c r="AL32" s="135">
        <v>-6.6286852955417253E-3</v>
      </c>
      <c r="AM32" s="116">
        <v>-2.5729204006305739E-2</v>
      </c>
      <c r="AN32" s="116">
        <v>-2.1116149036101595E-2</v>
      </c>
      <c r="AO32" s="136">
        <v>-5.8618884029679741E-3</v>
      </c>
      <c r="AP32" s="365">
        <v>-1.4833981685229258E-2</v>
      </c>
      <c r="AQ32" s="135">
        <v>-4.1632280177735126E-2</v>
      </c>
      <c r="AR32" s="116">
        <v>-5.7467602510008153E-2</v>
      </c>
      <c r="AS32" s="116">
        <v>-7.2295195266796064E-2</v>
      </c>
      <c r="AT32" s="136">
        <v>-7.7722289559121846E-2</v>
      </c>
      <c r="AU32" s="134">
        <v>-6.2279341878415301E-2</v>
      </c>
      <c r="AV32" s="135">
        <v>-3.4628037517778765E-3</v>
      </c>
      <c r="AW32" s="232">
        <v>4.3770045450132883E-3</v>
      </c>
      <c r="AX32" s="232">
        <v>2.2872880828228571E-2</v>
      </c>
      <c r="AY32" s="275">
        <v>-1.3088609707901801E-2</v>
      </c>
      <c r="AZ32" s="275">
        <v>2.6746179783905455E-3</v>
      </c>
      <c r="BA32" s="232">
        <v>-2.5774070468204457E-2</v>
      </c>
      <c r="BB32" s="232">
        <v>-3.4315390388619943E-2</v>
      </c>
      <c r="BC32" s="232">
        <v>-4.5284324276070334E-2</v>
      </c>
      <c r="BD32" s="232">
        <v>-1.6859031691204326E-2</v>
      </c>
      <c r="BE32" s="162">
        <v>-3.0558204206024765E-2</v>
      </c>
      <c r="BF32" s="232">
        <v>-7.9652161884009587E-3</v>
      </c>
      <c r="BG32" s="232">
        <v>-2.8226769637099518E-3</v>
      </c>
      <c r="BH32" s="232">
        <v>-9.1741770334944489E-3</v>
      </c>
      <c r="BI32" s="232">
        <v>-1.2866912120526215E-3</v>
      </c>
      <c r="BJ32" s="162">
        <v>-5.3121903494144952E-3</v>
      </c>
      <c r="BK32" s="663">
        <v>-7.4330291143098748E-3</v>
      </c>
      <c r="BL32" s="631">
        <v>-6.2020977611420003E-3</v>
      </c>
      <c r="BM32" s="631">
        <v>8.2281869628892945E-3</v>
      </c>
      <c r="BN32" s="740">
        <v>2.446902075649654E-3</v>
      </c>
      <c r="BO32" s="742">
        <v>-7.4000945922823164E-4</v>
      </c>
      <c r="BP32" s="663">
        <v>2.3757805118591602E-3</v>
      </c>
      <c r="BQ32" s="747">
        <f>$BP32/$BP16*BQ16</f>
        <v>1.5668285812381589E-3</v>
      </c>
      <c r="BR32" s="747">
        <f t="shared" ref="BR32:BS32" si="19">$BP32/$BP16*BR16</f>
        <v>6.5845987029208419E-4</v>
      </c>
      <c r="BS32" s="747">
        <f t="shared" si="19"/>
        <v>7.777637847867472E-4</v>
      </c>
      <c r="BT32" s="742">
        <v>1.3447081870440378E-3</v>
      </c>
      <c r="BU32" s="237">
        <f>0.6*(BU2/BT2-1)</f>
        <v>0</v>
      </c>
      <c r="BV32" s="237">
        <f>0.6*(BV2/BU2-1)</f>
        <v>0</v>
      </c>
      <c r="BW32" s="237">
        <f>0.6*(BW2/BV2-1)</f>
        <v>0</v>
      </c>
      <c r="CE32" s="420" t="s">
        <v>681</v>
      </c>
      <c r="CF32" s="421"/>
      <c r="CG32" s="420"/>
      <c r="CH32" s="422">
        <f>CH31+CH28</f>
        <v>5.6259508370868447E-2</v>
      </c>
    </row>
    <row r="33" spans="1:87">
      <c r="A33" s="53" t="s">
        <v>601</v>
      </c>
      <c r="B33" s="134"/>
      <c r="C33" s="65">
        <v>3.8367996399157667E-2</v>
      </c>
      <c r="D33" s="65">
        <v>1.7583042339471389E-2</v>
      </c>
      <c r="E33" s="65">
        <v>1.0318762004162485E-2</v>
      </c>
      <c r="F33" s="65">
        <v>7.2457824782090618E-4</v>
      </c>
      <c r="G33" s="134">
        <v>1.6326240415144744E-2</v>
      </c>
      <c r="H33" s="134">
        <v>4.0153934465020136E-2</v>
      </c>
      <c r="I33" s="134">
        <v>0.10396305115460747</v>
      </c>
      <c r="J33" s="134">
        <v>1.3255219957613917E-2</v>
      </c>
      <c r="K33" s="134">
        <v>-3.4796234931177006E-2</v>
      </c>
      <c r="L33" s="134">
        <v>2.8869927795754036E-2</v>
      </c>
      <c r="M33" s="134">
        <v>7.6823080098417096E-2</v>
      </c>
      <c r="N33" s="134">
        <v>2.9938987366168845E-2</v>
      </c>
      <c r="O33" s="134">
        <v>8.6431110957539969E-2</v>
      </c>
      <c r="P33" s="134">
        <v>0.12118419328662777</v>
      </c>
      <c r="Q33" s="134">
        <v>7.8128971204427522E-2</v>
      </c>
      <c r="R33" s="134">
        <v>-1.0369925636346311E-2</v>
      </c>
      <c r="S33" s="134">
        <v>2.0377925843459321E-2</v>
      </c>
      <c r="T33" s="134">
        <v>-2.2437549977053717E-2</v>
      </c>
      <c r="U33" s="134">
        <v>-1.7283663425215812E-2</v>
      </c>
      <c r="V33" s="134">
        <v>-7.537621914591619E-3</v>
      </c>
      <c r="W33" s="134">
        <v>-6.7812655198015492E-2</v>
      </c>
      <c r="X33" s="134">
        <v>-8.3660467031301589E-2</v>
      </c>
      <c r="Y33" s="134">
        <v>-3.7664925842610164E-2</v>
      </c>
      <c r="Z33" s="134">
        <v>-8.7830388427218242E-2</v>
      </c>
      <c r="AA33" s="134">
        <v>-6.9557013542985491E-2</v>
      </c>
      <c r="AB33" s="135">
        <v>-8.5230242517252419E-3</v>
      </c>
      <c r="AC33" s="116">
        <v>-4.4126702123233441E-2</v>
      </c>
      <c r="AD33" s="116">
        <v>-2.771953956263884E-2</v>
      </c>
      <c r="AE33" s="136">
        <v>1.6757585522609864E-2</v>
      </c>
      <c r="AF33" s="116">
        <v>-1.5793463450743728E-2</v>
      </c>
      <c r="AG33" s="135">
        <v>7.6357403965121584E-3</v>
      </c>
      <c r="AH33" s="116">
        <v>2.3442778330044822E-2</v>
      </c>
      <c r="AI33" s="116">
        <v>2.4592987105532149E-2</v>
      </c>
      <c r="AJ33" s="136">
        <v>3.5672485896472317E-2</v>
      </c>
      <c r="AK33" s="134">
        <v>2.3024201582524162E-2</v>
      </c>
      <c r="AL33" s="135">
        <v>5.06143986792984E-2</v>
      </c>
      <c r="AM33" s="116">
        <v>5.7625654677591287E-2</v>
      </c>
      <c r="AN33" s="116">
        <v>-1.7883893037737852E-3</v>
      </c>
      <c r="AO33" s="136">
        <v>3.8340568779851036E-3</v>
      </c>
      <c r="AP33" s="369">
        <v>2.705130434785441E-2</v>
      </c>
      <c r="AQ33" s="135">
        <v>-4.6294559018068893E-2</v>
      </c>
      <c r="AR33" s="116">
        <v>-3.4744474149072002E-2</v>
      </c>
      <c r="AS33" s="116">
        <v>-3.2890026463801458E-2</v>
      </c>
      <c r="AT33" s="136">
        <v>-5.9722289559121844E-2</v>
      </c>
      <c r="AU33" s="116">
        <v>-4.3385435431267161E-2</v>
      </c>
      <c r="AV33" s="135">
        <v>9.7575010216603975E-3</v>
      </c>
      <c r="AW33" s="232">
        <v>-4.2622995454986712E-2</v>
      </c>
      <c r="AX33" s="232">
        <v>1.087288082822857E-2</v>
      </c>
      <c r="AY33" s="275">
        <v>9.9113902920981989E-3</v>
      </c>
      <c r="AZ33" s="116">
        <v>-3.3101906268987458E-3</v>
      </c>
      <c r="BA33" s="233">
        <v>-1.6979347302104153E-2</v>
      </c>
      <c r="BB33" s="232">
        <v>-3.1539038861994051E-4</v>
      </c>
      <c r="BC33" s="232">
        <v>-6.3284324276070336E-2</v>
      </c>
      <c r="BD33" s="232">
        <v>-6.3859031691204327E-2</v>
      </c>
      <c r="BE33" s="275">
        <v>-3.6571488477131209E-2</v>
      </c>
      <c r="BF33" s="233">
        <v>3.87000949136731E-2</v>
      </c>
      <c r="BG33" s="232">
        <v>1.6177323036290048E-2</v>
      </c>
      <c r="BH33" s="424">
        <v>-2.5174177033494449E-2</v>
      </c>
      <c r="BI33" s="424">
        <v>-2.0286691212052621E-2</v>
      </c>
      <c r="BJ33" s="275">
        <v>3.9716803445215554E-3</v>
      </c>
      <c r="BK33" s="664">
        <v>-5.1086158406050131E-2</v>
      </c>
      <c r="BL33" s="665">
        <v>-1.4753405608224579E-2</v>
      </c>
      <c r="BM33" s="665">
        <v>6.5648781514714649E-2</v>
      </c>
      <c r="BN33" s="666">
        <v>8.9446902075649648E-2</v>
      </c>
      <c r="BO33" s="134">
        <v>1.902128167885353E-2</v>
      </c>
      <c r="BP33" s="664">
        <v>0.11397970005801694</v>
      </c>
      <c r="BQ33" s="134">
        <v>5.1566828581238164E-2</v>
      </c>
      <c r="BR33" s="134">
        <v>-2.4341540129707916E-2</v>
      </c>
      <c r="BS33" s="134">
        <v>-3.9222236215213251E-2</v>
      </c>
      <c r="BT33" s="135">
        <v>2.6093228695653226E-2</v>
      </c>
      <c r="BU33" s="134">
        <v>0.01</v>
      </c>
      <c r="BV33" s="134">
        <v>0.01</v>
      </c>
      <c r="BW33" s="134">
        <v>0.01</v>
      </c>
      <c r="CE33" s="138" t="s">
        <v>695</v>
      </c>
      <c r="CF33" s="138"/>
      <c r="CG33" s="138"/>
      <c r="CH33" s="570">
        <f>CH32/7.1</f>
        <v>7.9238744184321752E-3</v>
      </c>
    </row>
    <row r="34" spans="1:87">
      <c r="A34" s="47" t="s">
        <v>572</v>
      </c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93"/>
      <c r="AC34" s="59"/>
      <c r="AD34" s="59"/>
      <c r="AE34" s="97"/>
      <c r="AF34" s="59"/>
      <c r="AG34" s="93"/>
      <c r="AH34" s="88" t="s">
        <v>654</v>
      </c>
      <c r="AI34" s="88" t="s">
        <v>654</v>
      </c>
      <c r="AJ34" s="120" t="s">
        <v>393</v>
      </c>
      <c r="AK34" s="48" t="s">
        <v>581</v>
      </c>
      <c r="AL34" s="87" t="s">
        <v>438</v>
      </c>
      <c r="AM34" s="88" t="s">
        <v>573</v>
      </c>
      <c r="AN34" s="88" t="s">
        <v>87</v>
      </c>
      <c r="AO34" s="120" t="s">
        <v>87</v>
      </c>
      <c r="AP34" s="370" t="s">
        <v>468</v>
      </c>
      <c r="AQ34" s="87" t="s">
        <v>586</v>
      </c>
      <c r="AR34" s="88" t="s">
        <v>581</v>
      </c>
      <c r="AS34" s="88" t="s">
        <v>654</v>
      </c>
      <c r="AT34" s="120" t="s">
        <v>586</v>
      </c>
      <c r="AU34" s="188" t="s">
        <v>22</v>
      </c>
      <c r="AV34" s="87" t="s">
        <v>586</v>
      </c>
      <c r="AW34" s="274" t="s">
        <v>665</v>
      </c>
      <c r="AX34" s="264" t="s">
        <v>478</v>
      </c>
      <c r="AY34" s="265" t="s">
        <v>541</v>
      </c>
      <c r="AZ34" s="322" t="s">
        <v>478</v>
      </c>
      <c r="BA34" s="328" t="s">
        <v>71</v>
      </c>
      <c r="BB34" s="307" t="s">
        <v>674</v>
      </c>
      <c r="BC34" s="307" t="s">
        <v>686</v>
      </c>
      <c r="BD34" s="307">
        <v>0.02</v>
      </c>
      <c r="BE34" s="440" t="s">
        <v>708</v>
      </c>
      <c r="BF34" s="430" t="s">
        <v>710</v>
      </c>
      <c r="BG34" s="307" t="s">
        <v>715</v>
      </c>
      <c r="BH34" s="307">
        <v>-0.02</v>
      </c>
      <c r="BI34" s="307">
        <v>-0.02</v>
      </c>
      <c r="BJ34" s="440" t="s">
        <v>728</v>
      </c>
      <c r="BK34" s="667"/>
      <c r="BL34" s="608">
        <v>-0.02</v>
      </c>
      <c r="BM34" s="609" t="s">
        <v>804</v>
      </c>
      <c r="BN34" s="610" t="s">
        <v>797</v>
      </c>
      <c r="BO34" s="611" t="s">
        <v>542</v>
      </c>
      <c r="BP34" s="726" t="s">
        <v>828</v>
      </c>
      <c r="BQ34" s="611" t="s">
        <v>803</v>
      </c>
      <c r="BR34" s="611"/>
      <c r="BS34" s="611"/>
      <c r="BT34" s="726" t="s">
        <v>826</v>
      </c>
      <c r="BU34" s="238"/>
      <c r="BV34" s="238"/>
      <c r="BW34" s="238"/>
      <c r="CH34" s="4"/>
    </row>
    <row r="35" spans="1:87">
      <c r="A35" s="53" t="s">
        <v>598</v>
      </c>
      <c r="B35" s="134">
        <v>5.6479038866792619E-2</v>
      </c>
      <c r="C35" s="134">
        <v>6.0386175797700892E-2</v>
      </c>
      <c r="D35" s="134">
        <v>5.7149411987192478E-2</v>
      </c>
      <c r="E35" s="134">
        <v>6.4147512484894698E-2</v>
      </c>
      <c r="F35" s="134">
        <v>7.1338156982000855E-2</v>
      </c>
      <c r="G35" s="134">
        <v>6.3115978642291903E-2</v>
      </c>
      <c r="H35" s="134">
        <v>0.11100338581935865</v>
      </c>
      <c r="I35" s="134">
        <v>0.14305642626433812</v>
      </c>
      <c r="J35" s="134">
        <v>4.4815532576251593E-2</v>
      </c>
      <c r="K35" s="134">
        <v>-2.9217399177299597E-2</v>
      </c>
      <c r="L35" s="134">
        <v>6.4404509693853917E-2</v>
      </c>
      <c r="M35" s="134">
        <v>5.4423600647966808E-2</v>
      </c>
      <c r="N35" s="134">
        <v>1.1209980360854965E-2</v>
      </c>
      <c r="O35" s="134">
        <v>6.7363549050956983E-2</v>
      </c>
      <c r="P35" s="134">
        <v>0.13385311894614849</v>
      </c>
      <c r="Q35" s="134">
        <v>6.6423843528420567E-2</v>
      </c>
      <c r="R35" s="134">
        <v>2.9041380281476847E-2</v>
      </c>
      <c r="S35" s="134">
        <v>6.7157148763949515E-2</v>
      </c>
      <c r="T35" s="134">
        <v>5.0486705412242872E-2</v>
      </c>
      <c r="U35" s="134">
        <v>3.4175686090949231E-3</v>
      </c>
      <c r="V35" s="134">
        <v>3.7101526944075536E-2</v>
      </c>
      <c r="W35" s="134">
        <v>-7.0312151799582057E-2</v>
      </c>
      <c r="X35" s="134">
        <v>-0.11509607198587846</v>
      </c>
      <c r="Y35" s="134">
        <v>-0.10001592474989107</v>
      </c>
      <c r="Z35" s="134">
        <v>-0.10462239225322445</v>
      </c>
      <c r="AA35" s="134">
        <v>-9.8136180486933622E-2</v>
      </c>
      <c r="AB35" s="135">
        <v>-2.24830493419379E-2</v>
      </c>
      <c r="AC35" s="116">
        <v>-2.8340910196825941E-2</v>
      </c>
      <c r="AD35" s="116">
        <v>-2.3092289388382481E-2</v>
      </c>
      <c r="AE35" s="136">
        <v>-3.4788989813727689E-4</v>
      </c>
      <c r="AF35" s="116">
        <v>-1.8303337247551954E-2</v>
      </c>
      <c r="AG35" s="135">
        <v>1.5236637904934014E-3</v>
      </c>
      <c r="AH35" s="116">
        <v>3.2958589719906728E-2</v>
      </c>
      <c r="AI35" s="116">
        <v>4.7591950706179054E-2</v>
      </c>
      <c r="AJ35" s="136">
        <v>6.2634067484661493E-2</v>
      </c>
      <c r="AK35" s="134">
        <v>3.6552037514735014E-2</v>
      </c>
      <c r="AL35" s="135">
        <v>0.10130201973374864</v>
      </c>
      <c r="AM35" s="116">
        <v>9.2688705878217537E-2</v>
      </c>
      <c r="AN35" s="116">
        <v>8.8675140952263476E-3</v>
      </c>
      <c r="AO35" s="136">
        <v>2.0066653199217965E-2</v>
      </c>
      <c r="AP35" s="369">
        <v>5.4474706811575624E-2</v>
      </c>
      <c r="AQ35" s="135">
        <v>-2.835373803822705E-2</v>
      </c>
      <c r="AR35" s="116">
        <v>-3.3693391734942346E-2</v>
      </c>
      <c r="AS35" s="116">
        <v>-2.6176975089487797E-2</v>
      </c>
      <c r="AT35" s="136">
        <v>-4.228518584951968E-2</v>
      </c>
      <c r="AU35" s="134">
        <v>-3.261272547686267E-2</v>
      </c>
      <c r="AV35" s="135">
        <v>8.9651382578621597E-3</v>
      </c>
      <c r="AW35" s="232">
        <v>-3.3490150927574236E-2</v>
      </c>
      <c r="AX35" s="232">
        <v>1.8159165929206411E-2</v>
      </c>
      <c r="AY35" s="275">
        <v>-1.951267975279225E-3</v>
      </c>
      <c r="AZ35" s="116">
        <v>-2.3043538189411183E-3</v>
      </c>
      <c r="BA35" s="233">
        <v>-5.5595261042128308E-2</v>
      </c>
      <c r="BB35" s="232">
        <v>-4.6236754178449968E-2</v>
      </c>
      <c r="BC35" s="232">
        <v>-8.998265859987653E-2</v>
      </c>
      <c r="BD35" s="232">
        <v>-9.8814101551733202E-2</v>
      </c>
      <c r="BE35" s="275">
        <v>-7.2956005213977604E-2</v>
      </c>
      <c r="BF35" s="233">
        <v>-3.6571505769045221E-3</v>
      </c>
      <c r="BG35" s="232">
        <v>-1.9243702521919537E-2</v>
      </c>
      <c r="BH35" s="424">
        <v>-4.5612642342818144E-2</v>
      </c>
      <c r="BI35" s="424">
        <v>-2.1750341387798633E-2</v>
      </c>
      <c r="BJ35" s="275">
        <v>-2.151917906972256E-2</v>
      </c>
      <c r="BK35" s="664">
        <v>-4.3126302425945395E-2</v>
      </c>
      <c r="BL35" s="665">
        <v>-1.1189975385290207E-2</v>
      </c>
      <c r="BM35" s="665">
        <v>4.6271350768840813E-2</v>
      </c>
      <c r="BN35" s="666">
        <v>6.3906411757744142E-2</v>
      </c>
      <c r="BO35" s="134">
        <v>1.217390328418877E-2</v>
      </c>
      <c r="BP35" s="664">
        <v>8.5425975578373725E-2</v>
      </c>
      <c r="BQ35" s="134">
        <v>4.09180213224698E-2</v>
      </c>
      <c r="BR35" s="134">
        <v>-1.4549902639696022E-2</v>
      </c>
      <c r="BS35" s="134">
        <v>-4.0113308941032044E-2</v>
      </c>
      <c r="BT35" s="135">
        <v>1.5613240571978659E-2</v>
      </c>
      <c r="BU35" s="134">
        <v>2.3005955149257851E-4</v>
      </c>
      <c r="BV35" s="134">
        <v>2.1740394022661702E-2</v>
      </c>
      <c r="BW35" s="134">
        <v>3.1646338584796929E-2</v>
      </c>
      <c r="CE35" t="s">
        <v>256</v>
      </c>
      <c r="CF35" s="390">
        <f>BT26</f>
        <v>678.98722551115509</v>
      </c>
      <c r="CG35" s="391">
        <f>((CG29-CF29)*BJ24*(1-BJ20)/1000)+CF35</f>
        <v>683.23176051115513</v>
      </c>
      <c r="CH35" s="392">
        <v>-1.314514667967402E-2</v>
      </c>
      <c r="CI35" s="138" t="s">
        <v>255</v>
      </c>
    </row>
    <row r="36" spans="1:87">
      <c r="A36" s="47" t="s">
        <v>572</v>
      </c>
      <c r="B36" s="45"/>
      <c r="C36" s="45"/>
      <c r="D36" s="45"/>
      <c r="E36" s="45"/>
      <c r="F36" s="45"/>
      <c r="G36" s="48" t="s">
        <v>605</v>
      </c>
      <c r="H36" s="48" t="s">
        <v>621</v>
      </c>
      <c r="I36" s="48">
        <v>0.13</v>
      </c>
      <c r="J36" s="48">
        <v>0.04</v>
      </c>
      <c r="K36" s="48">
        <v>-0.04</v>
      </c>
      <c r="L36" s="48">
        <v>0.06</v>
      </c>
      <c r="M36" s="48" t="s">
        <v>654</v>
      </c>
      <c r="N36" s="48">
        <v>0</v>
      </c>
      <c r="O36" s="48" t="s">
        <v>438</v>
      </c>
      <c r="P36" s="48" t="s">
        <v>573</v>
      </c>
      <c r="Q36" s="48" t="s">
        <v>438</v>
      </c>
      <c r="R36" s="48">
        <v>0.01</v>
      </c>
      <c r="S36" s="48" t="s">
        <v>471</v>
      </c>
      <c r="T36" s="48" t="s">
        <v>496</v>
      </c>
      <c r="U36" s="48" t="s">
        <v>579</v>
      </c>
      <c r="V36" s="48" t="s">
        <v>581</v>
      </c>
      <c r="W36" s="48" t="s">
        <v>561</v>
      </c>
      <c r="X36" s="48" t="s">
        <v>427</v>
      </c>
      <c r="Y36" s="48" t="s">
        <v>41</v>
      </c>
      <c r="Z36" s="48" t="s">
        <v>308</v>
      </c>
      <c r="AA36" s="48" t="s">
        <v>308</v>
      </c>
      <c r="AB36" s="87" t="s">
        <v>478</v>
      </c>
      <c r="AC36" s="88" t="s">
        <v>580</v>
      </c>
      <c r="AD36" s="88" t="s">
        <v>23</v>
      </c>
      <c r="AE36" s="89" t="s">
        <v>586</v>
      </c>
      <c r="AF36" s="88" t="s">
        <v>23</v>
      </c>
      <c r="AG36" s="87" t="s">
        <v>478</v>
      </c>
      <c r="AH36" s="88" t="s">
        <v>618</v>
      </c>
      <c r="AI36" s="88" t="s">
        <v>606</v>
      </c>
      <c r="AJ36" s="89" t="s">
        <v>606</v>
      </c>
      <c r="AK36" s="48" t="s">
        <v>393</v>
      </c>
      <c r="AL36" s="87" t="s">
        <v>55</v>
      </c>
      <c r="AM36" s="88" t="s">
        <v>79</v>
      </c>
      <c r="AN36" s="88" t="s">
        <v>22</v>
      </c>
      <c r="AO36" s="89" t="s">
        <v>586</v>
      </c>
      <c r="AP36" s="370" t="s">
        <v>438</v>
      </c>
      <c r="AQ36" s="87" t="s">
        <v>468</v>
      </c>
      <c r="AR36" s="88" t="s">
        <v>586</v>
      </c>
      <c r="AS36" s="88" t="s">
        <v>393</v>
      </c>
      <c r="AT36" s="89" t="s">
        <v>586</v>
      </c>
      <c r="AU36" s="188" t="s">
        <v>22</v>
      </c>
      <c r="AV36" s="87" t="s">
        <v>22</v>
      </c>
      <c r="AW36" s="264" t="s">
        <v>27</v>
      </c>
      <c r="AX36" s="264" t="s">
        <v>87</v>
      </c>
      <c r="AY36" s="276" t="s">
        <v>542</v>
      </c>
      <c r="AZ36" s="128" t="s">
        <v>667</v>
      </c>
      <c r="BA36" s="354" t="s">
        <v>72</v>
      </c>
      <c r="BB36" s="355" t="s">
        <v>675</v>
      </c>
      <c r="BC36" s="355" t="s">
        <v>687</v>
      </c>
      <c r="BD36" s="355" t="s">
        <v>542</v>
      </c>
      <c r="BE36" s="441" t="s">
        <v>667</v>
      </c>
      <c r="BF36" s="355" t="s">
        <v>709</v>
      </c>
      <c r="BG36" s="355" t="s">
        <v>720</v>
      </c>
      <c r="BH36" s="567" t="s">
        <v>722</v>
      </c>
      <c r="BI36" s="567">
        <v>-0.02</v>
      </c>
      <c r="BJ36" s="441" t="s">
        <v>729</v>
      </c>
      <c r="BK36" s="431" t="s">
        <v>736</v>
      </c>
      <c r="BL36" s="581" t="s">
        <v>798</v>
      </c>
      <c r="BM36" s="581" t="s">
        <v>805</v>
      </c>
      <c r="BN36" s="586" t="s">
        <v>814</v>
      </c>
      <c r="BO36" s="595" t="s">
        <v>815</v>
      </c>
      <c r="BP36" s="736">
        <v>0.1</v>
      </c>
      <c r="BQ36" s="717" t="s">
        <v>842</v>
      </c>
      <c r="BR36" s="717"/>
      <c r="BS36" s="717"/>
      <c r="BT36" s="727" t="s">
        <v>541</v>
      </c>
      <c r="BU36" s="49"/>
      <c r="BV36" s="49"/>
      <c r="BW36" s="49"/>
      <c r="BX36" s="151"/>
      <c r="BY36" s="43"/>
    </row>
    <row r="37" spans="1:87">
      <c r="A37" s="66"/>
      <c r="B37" s="55"/>
      <c r="C37" s="55"/>
      <c r="D37" s="55"/>
      <c r="E37" s="55"/>
      <c r="F37" s="55"/>
      <c r="G37" s="67"/>
      <c r="H37" s="67"/>
      <c r="I37" s="67"/>
      <c r="J37" s="67"/>
      <c r="K37" s="67"/>
      <c r="L37" s="67"/>
      <c r="M37" s="67"/>
      <c r="N37" s="67"/>
      <c r="O37" s="67"/>
      <c r="P37" s="67"/>
      <c r="Q37" s="67"/>
      <c r="R37" s="67"/>
      <c r="S37" s="67"/>
      <c r="T37" s="67"/>
      <c r="U37" s="67"/>
      <c r="V37" s="67"/>
      <c r="W37" s="67"/>
      <c r="X37" s="67"/>
      <c r="Y37" s="67"/>
      <c r="Z37" s="67"/>
      <c r="AA37" s="67"/>
      <c r="AB37" s="98"/>
      <c r="AC37" s="67"/>
      <c r="AD37" s="67"/>
      <c r="AE37" s="99"/>
      <c r="AF37" s="67"/>
      <c r="AG37" s="98"/>
      <c r="AH37" s="67"/>
      <c r="AI37" s="67"/>
      <c r="AJ37" s="99"/>
      <c r="AK37" s="67"/>
      <c r="AL37" s="98"/>
      <c r="AM37" s="67"/>
      <c r="AN37" s="67"/>
      <c r="AO37" s="99"/>
      <c r="AP37" s="368"/>
      <c r="AQ37" s="98"/>
      <c r="AR37" s="67"/>
      <c r="AS37" s="67"/>
      <c r="AT37" s="99"/>
      <c r="AU37" s="62"/>
      <c r="AV37" s="98"/>
      <c r="AW37" s="277"/>
      <c r="AX37" s="277"/>
      <c r="AY37" s="278"/>
      <c r="AZ37" s="62"/>
      <c r="BA37" s="333"/>
      <c r="BB37" s="264"/>
      <c r="BC37" s="264"/>
      <c r="BD37" s="264"/>
      <c r="BE37" s="273"/>
      <c r="BF37" s="333"/>
      <c r="BG37" s="264"/>
      <c r="BH37" s="264"/>
      <c r="BI37" s="264"/>
      <c r="BJ37" s="273"/>
      <c r="BK37" s="625"/>
      <c r="BL37" s="626"/>
      <c r="BM37" s="626"/>
      <c r="BN37" s="627"/>
      <c r="BO37" s="62"/>
      <c r="BP37" s="84"/>
      <c r="BQ37" s="62"/>
      <c r="BR37" s="62"/>
      <c r="BS37" s="62"/>
      <c r="BT37" s="84"/>
      <c r="BU37" s="62"/>
      <c r="BV37" s="62"/>
      <c r="BW37" s="62"/>
      <c r="BX37" s="41"/>
    </row>
    <row r="38" spans="1:87">
      <c r="A38" s="43" t="s">
        <v>657</v>
      </c>
      <c r="B38" s="43">
        <v>394.13600000000002</v>
      </c>
      <c r="C38" s="43">
        <v>99.762</v>
      </c>
      <c r="D38" s="43">
        <v>99.974999999999994</v>
      </c>
      <c r="E38" s="43">
        <v>101.02</v>
      </c>
      <c r="F38" s="43">
        <v>101.312</v>
      </c>
      <c r="G38" s="43">
        <v>402.06900000000002</v>
      </c>
      <c r="H38" s="43">
        <v>102.15900000000001</v>
      </c>
      <c r="I38" s="43">
        <v>102.023</v>
      </c>
      <c r="J38" s="43">
        <v>109.331</v>
      </c>
      <c r="K38" s="43">
        <v>108.13200000000001</v>
      </c>
      <c r="L38" s="43">
        <v>421.64500000000004</v>
      </c>
      <c r="M38" s="43">
        <v>115.958</v>
      </c>
      <c r="N38" s="43">
        <v>121.718</v>
      </c>
      <c r="O38" s="43">
        <v>122.345</v>
      </c>
      <c r="P38" s="43">
        <v>123.045</v>
      </c>
      <c r="Q38" s="43">
        <v>483.06599999999997</v>
      </c>
      <c r="R38" s="43">
        <v>124.39</v>
      </c>
      <c r="S38" s="43">
        <v>127.277</v>
      </c>
      <c r="T38" s="43">
        <v>134.70599999999999</v>
      </c>
      <c r="U38" s="43">
        <v>133.97999999999999</v>
      </c>
      <c r="V38" s="43">
        <v>520.35299999999995</v>
      </c>
      <c r="W38" s="43">
        <v>139.85599999999999</v>
      </c>
      <c r="X38" s="43">
        <v>137.92500000000001</v>
      </c>
      <c r="Y38" s="43">
        <v>144.02099999999999</v>
      </c>
      <c r="Z38" s="43">
        <v>146.41200000000001</v>
      </c>
      <c r="AA38" s="43">
        <v>568.21400000000006</v>
      </c>
      <c r="AB38" s="107">
        <v>157.57499999999999</v>
      </c>
      <c r="AC38" s="108">
        <v>160.03100000000001</v>
      </c>
      <c r="AD38" s="108">
        <v>162.232</v>
      </c>
      <c r="AE38" s="109">
        <v>163.87799999999999</v>
      </c>
      <c r="AF38" s="108">
        <v>643.71599999999989</v>
      </c>
      <c r="AG38" s="107">
        <v>173.25200000000001</v>
      </c>
      <c r="AH38" s="108">
        <v>172.05</v>
      </c>
      <c r="AI38" s="108">
        <v>177.191</v>
      </c>
      <c r="AJ38" s="109">
        <v>179.93299999999999</v>
      </c>
      <c r="AK38" s="43">
        <v>702.42600000000004</v>
      </c>
      <c r="AL38" s="107">
        <v>179.392</v>
      </c>
      <c r="AM38" s="108">
        <v>180.51400000000001</v>
      </c>
      <c r="AN38" s="108">
        <v>182.05099999999999</v>
      </c>
      <c r="AO38" s="109">
        <v>188.536</v>
      </c>
      <c r="AP38" s="375">
        <v>730.49299999999994</v>
      </c>
      <c r="AQ38" s="107">
        <v>189.364</v>
      </c>
      <c r="AR38" s="108">
        <v>186.184</v>
      </c>
      <c r="AS38" s="108">
        <v>188.541</v>
      </c>
      <c r="AT38" s="109">
        <v>190.62200000000001</v>
      </c>
      <c r="AU38" s="43">
        <v>754.71100000000001</v>
      </c>
      <c r="AV38" s="107">
        <v>193.73500000000001</v>
      </c>
      <c r="AW38" s="235">
        <v>192.88</v>
      </c>
      <c r="AX38" s="235">
        <v>192.44800000000001</v>
      </c>
      <c r="AY38" s="271">
        <v>193.38200000000001</v>
      </c>
      <c r="AZ38" s="108">
        <v>772.44499999999994</v>
      </c>
      <c r="BA38" s="331">
        <v>200.46799999999999</v>
      </c>
      <c r="BB38" s="235">
        <v>206.46799999999999</v>
      </c>
      <c r="BC38" s="235">
        <v>210.74199999999999</v>
      </c>
      <c r="BD38" s="235">
        <v>209.33</v>
      </c>
      <c r="BE38" s="271">
        <v>827.00800000000004</v>
      </c>
      <c r="BF38" s="331">
        <v>210.76400000000001</v>
      </c>
      <c r="BG38" s="235">
        <v>221.62</v>
      </c>
      <c r="BH38" s="235">
        <v>229.328</v>
      </c>
      <c r="BI38" s="235">
        <v>233.203</v>
      </c>
      <c r="BJ38" s="271">
        <v>894.91499999999996</v>
      </c>
      <c r="BK38" s="654">
        <v>235.749</v>
      </c>
      <c r="BL38" s="655">
        <v>234.93700000000001</v>
      </c>
      <c r="BM38" s="655">
        <v>240.15</v>
      </c>
      <c r="BN38" s="668">
        <v>240.358</v>
      </c>
      <c r="BO38" s="43">
        <v>951.19399999999996</v>
      </c>
      <c r="BP38" s="107">
        <v>240.23</v>
      </c>
      <c r="BQ38" s="43">
        <v>258.43070000000006</v>
      </c>
      <c r="BR38" s="43">
        <v>256.96050000000002</v>
      </c>
      <c r="BS38" s="43">
        <v>290.16850672833107</v>
      </c>
      <c r="BT38" s="107">
        <v>1045.7897067283311</v>
      </c>
      <c r="BU38" s="43">
        <v>1161.5295948392329</v>
      </c>
      <c r="BV38" s="43">
        <v>1246.6496565838167</v>
      </c>
      <c r="BW38" s="43">
        <v>1385.2946480806568</v>
      </c>
      <c r="BX38" s="41"/>
    </row>
    <row r="39" spans="1:87">
      <c r="A39" s="47" t="s">
        <v>572</v>
      </c>
      <c r="B39" s="45"/>
      <c r="C39" s="48" t="s">
        <v>18</v>
      </c>
      <c r="D39" s="48" t="s">
        <v>19</v>
      </c>
      <c r="E39" s="48" t="s">
        <v>20</v>
      </c>
      <c r="F39" s="48" t="s">
        <v>21</v>
      </c>
      <c r="G39" s="48" t="s">
        <v>467</v>
      </c>
      <c r="H39" s="48"/>
      <c r="I39" s="48"/>
      <c r="J39" s="48"/>
      <c r="K39" s="48"/>
      <c r="L39" s="48"/>
      <c r="M39" s="48"/>
      <c r="N39" s="48"/>
      <c r="O39" s="48"/>
      <c r="P39" s="48" t="s">
        <v>594</v>
      </c>
      <c r="Q39" s="48" t="s">
        <v>503</v>
      </c>
      <c r="R39" s="48" t="s">
        <v>614</v>
      </c>
      <c r="S39" s="48" t="s">
        <v>588</v>
      </c>
      <c r="T39" s="48" t="s">
        <v>311</v>
      </c>
      <c r="U39" s="48" t="s">
        <v>584</v>
      </c>
      <c r="V39" s="48" t="s">
        <v>585</v>
      </c>
      <c r="W39" s="48" t="s">
        <v>431</v>
      </c>
      <c r="X39" s="48" t="s">
        <v>431</v>
      </c>
      <c r="Y39" s="48"/>
      <c r="Z39" s="48"/>
      <c r="AA39" s="48" t="s">
        <v>432</v>
      </c>
      <c r="AB39" s="87" t="s">
        <v>479</v>
      </c>
      <c r="AC39" s="88" t="s">
        <v>608</v>
      </c>
      <c r="AD39" s="88" t="s">
        <v>392</v>
      </c>
      <c r="AE39" s="89" t="s">
        <v>643</v>
      </c>
      <c r="AF39" s="88" t="s">
        <v>644</v>
      </c>
      <c r="AG39" s="87" t="s">
        <v>641</v>
      </c>
      <c r="AH39" s="88" t="s">
        <v>641</v>
      </c>
      <c r="AI39" s="88" t="s">
        <v>398</v>
      </c>
      <c r="AJ39" s="89" t="s">
        <v>49</v>
      </c>
      <c r="AK39" s="48" t="s">
        <v>399</v>
      </c>
      <c r="AL39" s="87" t="s">
        <v>56</v>
      </c>
      <c r="AM39" s="88" t="s">
        <v>80</v>
      </c>
      <c r="AN39" s="88" t="s">
        <v>88</v>
      </c>
      <c r="AO39" s="89" t="s">
        <v>102</v>
      </c>
      <c r="AP39" s="370" t="s">
        <v>105</v>
      </c>
      <c r="AQ39" s="87" t="s">
        <v>120</v>
      </c>
      <c r="AR39" s="88" t="s">
        <v>120</v>
      </c>
      <c r="AS39" s="88" t="s">
        <v>120</v>
      </c>
      <c r="AT39" s="89" t="s">
        <v>102</v>
      </c>
      <c r="AU39" s="188" t="s">
        <v>121</v>
      </c>
      <c r="AV39" s="87" t="s">
        <v>28</v>
      </c>
      <c r="AW39" s="264" t="s">
        <v>28</v>
      </c>
      <c r="AX39" s="264" t="s">
        <v>28</v>
      </c>
      <c r="AY39" s="276" t="s">
        <v>543</v>
      </c>
      <c r="AZ39" s="88" t="s">
        <v>544</v>
      </c>
      <c r="BA39" s="333" t="s">
        <v>73</v>
      </c>
      <c r="BB39" s="264" t="s">
        <v>676</v>
      </c>
      <c r="BC39" s="264" t="s">
        <v>688</v>
      </c>
      <c r="BD39" s="264" t="s">
        <v>543</v>
      </c>
      <c r="BE39" s="265" t="s">
        <v>544</v>
      </c>
      <c r="BF39" s="432" t="s">
        <v>711</v>
      </c>
      <c r="BG39" s="264"/>
      <c r="BH39" s="264"/>
      <c r="BI39" s="264" t="s">
        <v>724</v>
      </c>
      <c r="BJ39" s="265" t="s">
        <v>725</v>
      </c>
      <c r="BK39" s="433" t="s">
        <v>737</v>
      </c>
      <c r="BL39" s="582" t="s">
        <v>737</v>
      </c>
      <c r="BM39" s="582" t="s">
        <v>810</v>
      </c>
      <c r="BN39" s="587" t="s">
        <v>817</v>
      </c>
      <c r="BO39" s="433" t="s">
        <v>818</v>
      </c>
      <c r="BP39" s="433" t="s">
        <v>829</v>
      </c>
      <c r="BQ39" s="582" t="s">
        <v>840</v>
      </c>
      <c r="BR39" s="582"/>
      <c r="BS39" s="582"/>
      <c r="BT39" s="433" t="s">
        <v>841</v>
      </c>
      <c r="BU39" s="53"/>
      <c r="BV39" s="53"/>
      <c r="BW39" s="53"/>
      <c r="BX39" s="41"/>
      <c r="CH39" s="41"/>
    </row>
    <row r="40" spans="1:87">
      <c r="A40" s="43" t="s">
        <v>59</v>
      </c>
      <c r="B40" s="43">
        <v>300.76900000000001</v>
      </c>
      <c r="C40" s="43">
        <v>72.837000000000003</v>
      </c>
      <c r="D40" s="43">
        <v>67.344000000000008</v>
      </c>
      <c r="E40" s="43">
        <v>61.900000000000006</v>
      </c>
      <c r="F40" s="43">
        <v>58.54</v>
      </c>
      <c r="G40" s="43">
        <v>260.62099999999998</v>
      </c>
      <c r="H40" s="43">
        <v>56.086999999999996</v>
      </c>
      <c r="I40" s="43">
        <v>60.908000000000001</v>
      </c>
      <c r="J40" s="43">
        <v>67.352000000000004</v>
      </c>
      <c r="K40" s="43">
        <v>68.27600000000001</v>
      </c>
      <c r="L40" s="43">
        <v>252.62299999999999</v>
      </c>
      <c r="M40" s="43">
        <v>75.98</v>
      </c>
      <c r="N40" s="43">
        <v>79.065000000000012</v>
      </c>
      <c r="O40" s="43">
        <v>79.566000000000003</v>
      </c>
      <c r="P40" s="43">
        <v>79.147999999999996</v>
      </c>
      <c r="Q40" s="43">
        <v>313.75900000000001</v>
      </c>
      <c r="R40" s="43">
        <v>75.44</v>
      </c>
      <c r="S40" s="43">
        <v>78.070999999999998</v>
      </c>
      <c r="T40" s="43">
        <v>74.94</v>
      </c>
      <c r="U40" s="43">
        <v>84.745000000000005</v>
      </c>
      <c r="V40" s="43">
        <v>313.19600000000003</v>
      </c>
      <c r="W40" s="43">
        <v>77.732000000000014</v>
      </c>
      <c r="X40" s="43">
        <v>68.35799999999999</v>
      </c>
      <c r="Y40" s="43">
        <v>72.371000000000009</v>
      </c>
      <c r="Z40" s="43">
        <v>84.470999999999961</v>
      </c>
      <c r="AA40" s="43">
        <v>302.93199999999996</v>
      </c>
      <c r="AB40" s="107">
        <v>90.159000000000006</v>
      </c>
      <c r="AC40" s="108">
        <v>89.298000000000002</v>
      </c>
      <c r="AD40" s="108">
        <v>87.266999999999996</v>
      </c>
      <c r="AE40" s="109">
        <v>95.24</v>
      </c>
      <c r="AF40" s="108">
        <v>361.964</v>
      </c>
      <c r="AG40" s="107">
        <v>96.84399999999998</v>
      </c>
      <c r="AH40" s="108">
        <v>86.490000000000009</v>
      </c>
      <c r="AI40" s="108">
        <v>91.127999999999986</v>
      </c>
      <c r="AJ40" s="109">
        <v>82.635999999999996</v>
      </c>
      <c r="AK40" s="43">
        <v>357.09800000000001</v>
      </c>
      <c r="AL40" s="107">
        <v>86.32</v>
      </c>
      <c r="AM40" s="108">
        <v>84.134</v>
      </c>
      <c r="AN40" s="108">
        <v>80.233000000000004</v>
      </c>
      <c r="AO40" s="109">
        <v>83.766999999999996</v>
      </c>
      <c r="AP40" s="375">
        <v>334.45400000000001</v>
      </c>
      <c r="AQ40" s="107">
        <v>86.435000000000002</v>
      </c>
      <c r="AR40" s="108">
        <v>83.471999999999994</v>
      </c>
      <c r="AS40" s="206">
        <v>80.560999999999993</v>
      </c>
      <c r="AT40" s="109">
        <v>72.262</v>
      </c>
      <c r="AU40" s="160">
        <v>322.72999999999996</v>
      </c>
      <c r="AV40" s="107">
        <v>65.295000000000002</v>
      </c>
      <c r="AW40" s="235">
        <v>62.63</v>
      </c>
      <c r="AX40" s="235">
        <v>57.983000000000004</v>
      </c>
      <c r="AY40" s="271">
        <v>62.046999999999997</v>
      </c>
      <c r="AZ40" s="235">
        <v>247.95499999999998</v>
      </c>
      <c r="BA40" s="331">
        <v>66.422000000000011</v>
      </c>
      <c r="BB40" s="235">
        <v>73.847999999999999</v>
      </c>
      <c r="BC40" s="235">
        <v>65.084000000000003</v>
      </c>
      <c r="BD40" s="235">
        <v>60.345999999999997</v>
      </c>
      <c r="BE40" s="271">
        <v>265.70000000000005</v>
      </c>
      <c r="BF40" s="331">
        <v>62.725999999999999</v>
      </c>
      <c r="BG40" s="235">
        <v>73.063999999999993</v>
      </c>
      <c r="BH40" s="235">
        <v>76.138000000000005</v>
      </c>
      <c r="BI40" s="235">
        <v>74.585999999999999</v>
      </c>
      <c r="BJ40" s="271">
        <v>286.51400000000001</v>
      </c>
      <c r="BK40" s="654">
        <v>74.064999999999998</v>
      </c>
      <c r="BL40" s="161">
        <v>70.820999999999998</v>
      </c>
      <c r="BM40" s="161">
        <v>68.540000000000006</v>
      </c>
      <c r="BN40" s="668">
        <v>56.454999999999998</v>
      </c>
      <c r="BO40" s="160">
        <v>269.88100000000003</v>
      </c>
      <c r="BP40" s="331">
        <v>60.145000000000003</v>
      </c>
      <c r="BQ40" s="160">
        <v>74.880187807234634</v>
      </c>
      <c r="BR40" s="160">
        <v>76.388542019477171</v>
      </c>
      <c r="BS40" s="160">
        <v>76.632042291853054</v>
      </c>
      <c r="BT40" s="331">
        <v>288.04577211856486</v>
      </c>
      <c r="BU40" s="160">
        <v>321.53702762506617</v>
      </c>
      <c r="BV40" s="160">
        <v>354.40858203406083</v>
      </c>
      <c r="BW40" s="160">
        <v>398.23114460469435</v>
      </c>
      <c r="BX40" s="151"/>
      <c r="BY40" s="43"/>
      <c r="CH40" s="41"/>
    </row>
    <row r="41" spans="1:87">
      <c r="A41" s="47" t="s">
        <v>629</v>
      </c>
      <c r="B41" s="45"/>
      <c r="C41" s="48" t="s">
        <v>14</v>
      </c>
      <c r="D41" s="48" t="s">
        <v>15</v>
      </c>
      <c r="E41" s="48" t="s">
        <v>16</v>
      </c>
      <c r="F41" s="48" t="s">
        <v>17</v>
      </c>
      <c r="G41" s="48" t="s">
        <v>466</v>
      </c>
      <c r="H41" s="48"/>
      <c r="I41" s="48"/>
      <c r="J41" s="48"/>
      <c r="K41" s="48"/>
      <c r="L41" s="48" t="s">
        <v>443</v>
      </c>
      <c r="M41" s="48"/>
      <c r="N41" s="48"/>
      <c r="O41" s="48"/>
      <c r="P41" s="48" t="s">
        <v>312</v>
      </c>
      <c r="Q41" s="48" t="s">
        <v>593</v>
      </c>
      <c r="R41" s="48" t="s">
        <v>613</v>
      </c>
      <c r="S41" s="48" t="s">
        <v>587</v>
      </c>
      <c r="T41" s="48" t="s">
        <v>312</v>
      </c>
      <c r="U41" s="48" t="s">
        <v>582</v>
      </c>
      <c r="V41" s="48" t="s">
        <v>583</v>
      </c>
      <c r="W41" s="48" t="s">
        <v>428</v>
      </c>
      <c r="X41" s="48" t="s">
        <v>429</v>
      </c>
      <c r="Y41" s="48"/>
      <c r="Z41" s="48"/>
      <c r="AA41" s="48" t="s">
        <v>430</v>
      </c>
      <c r="AB41" s="87" t="s">
        <v>613</v>
      </c>
      <c r="AC41" s="88" t="s">
        <v>607</v>
      </c>
      <c r="AD41" s="88" t="s">
        <v>391</v>
      </c>
      <c r="AE41" s="89" t="s">
        <v>587</v>
      </c>
      <c r="AF41" s="88" t="s">
        <v>642</v>
      </c>
      <c r="AG41" s="87" t="s">
        <v>640</v>
      </c>
      <c r="AH41" s="88" t="s">
        <v>386</v>
      </c>
      <c r="AI41" s="88" t="s">
        <v>582</v>
      </c>
      <c r="AJ41" s="89" t="s">
        <v>613</v>
      </c>
      <c r="AK41" s="48"/>
      <c r="AL41" s="87" t="s">
        <v>57</v>
      </c>
      <c r="AM41" s="88" t="s">
        <v>81</v>
      </c>
      <c r="AN41" s="88" t="s">
        <v>89</v>
      </c>
      <c r="AO41" s="89" t="s">
        <v>103</v>
      </c>
      <c r="AP41" s="370" t="s">
        <v>104</v>
      </c>
      <c r="AQ41" s="87" t="s">
        <v>57</v>
      </c>
      <c r="AR41" s="88" t="s">
        <v>123</v>
      </c>
      <c r="AS41" s="88" t="s">
        <v>128</v>
      </c>
      <c r="AT41" s="89" t="s">
        <v>36</v>
      </c>
      <c r="AU41" s="188" t="s">
        <v>37</v>
      </c>
      <c r="AV41" s="87" t="s">
        <v>29</v>
      </c>
      <c r="AW41" s="264" t="s">
        <v>29</v>
      </c>
      <c r="AX41" s="264" t="s">
        <v>252</v>
      </c>
      <c r="AY41" s="276" t="s">
        <v>545</v>
      </c>
      <c r="AZ41" s="88" t="s">
        <v>546</v>
      </c>
      <c r="BA41" s="333" t="s">
        <v>29</v>
      </c>
      <c r="BB41" s="264" t="s">
        <v>677</v>
      </c>
      <c r="BC41" s="264" t="s">
        <v>29</v>
      </c>
      <c r="BD41" s="264" t="s">
        <v>545</v>
      </c>
      <c r="BE41" s="265" t="s">
        <v>546</v>
      </c>
      <c r="BF41" s="432" t="s">
        <v>712</v>
      </c>
      <c r="BG41" s="264"/>
      <c r="BH41" s="264"/>
      <c r="BI41" s="264" t="s">
        <v>386</v>
      </c>
      <c r="BJ41" s="265" t="s">
        <v>726</v>
      </c>
      <c r="BK41" s="433" t="s">
        <v>735</v>
      </c>
      <c r="BL41" s="582" t="s">
        <v>800</v>
      </c>
      <c r="BM41" s="582" t="s">
        <v>800</v>
      </c>
      <c r="BN41" s="587" t="s">
        <v>819</v>
      </c>
      <c r="BO41" s="433" t="s">
        <v>820</v>
      </c>
      <c r="BP41" s="433" t="s">
        <v>830</v>
      </c>
      <c r="BQ41" s="582" t="s">
        <v>843</v>
      </c>
      <c r="BR41" s="582"/>
      <c r="BS41" s="582"/>
      <c r="BT41" s="433" t="s">
        <v>831</v>
      </c>
      <c r="BU41" s="53"/>
      <c r="BV41" s="53"/>
      <c r="BW41" s="53"/>
      <c r="BX41" s="65"/>
      <c r="BY41" s="138"/>
    </row>
    <row r="42" spans="1:87">
      <c r="A42" s="47"/>
      <c r="B42" s="45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  <c r="AA42" s="48"/>
      <c r="AB42" s="87"/>
      <c r="AC42" s="88"/>
      <c r="AD42" s="88"/>
      <c r="AE42" s="89"/>
      <c r="AF42" s="88"/>
      <c r="AG42" s="87"/>
      <c r="AH42" s="88"/>
      <c r="AI42" s="88"/>
      <c r="AJ42" s="89"/>
      <c r="AK42" s="118">
        <v>4.3370469075322084E-2</v>
      </c>
      <c r="AL42" s="87"/>
      <c r="AM42" s="88"/>
      <c r="AN42" s="88"/>
      <c r="AO42" s="89"/>
      <c r="AP42" s="376"/>
      <c r="AQ42" s="87"/>
      <c r="AR42" s="88"/>
      <c r="AS42" s="88"/>
      <c r="AT42" s="89"/>
      <c r="AU42" s="118"/>
      <c r="AV42" s="87"/>
      <c r="AW42" s="264"/>
      <c r="AX42" s="264"/>
      <c r="AY42" s="276"/>
      <c r="AZ42" s="118"/>
      <c r="BA42" s="333"/>
      <c r="BB42" s="264"/>
      <c r="BC42" s="264"/>
      <c r="BD42" s="264"/>
      <c r="BE42" s="442"/>
      <c r="BF42" s="333"/>
      <c r="BG42" s="264"/>
      <c r="BH42" s="264"/>
      <c r="BI42" s="264"/>
      <c r="BJ42" s="442"/>
      <c r="BK42" s="669"/>
      <c r="BL42" s="670"/>
      <c r="BM42" s="670"/>
      <c r="BN42" s="671"/>
      <c r="BO42" s="118"/>
      <c r="BP42" s="86"/>
      <c r="BQ42" s="118"/>
      <c r="BR42" s="118"/>
      <c r="BS42" s="118"/>
      <c r="BT42" s="86"/>
      <c r="BU42" s="118"/>
      <c r="BV42" s="118"/>
      <c r="BW42" s="118"/>
    </row>
    <row r="43" spans="1:87">
      <c r="A43" s="42" t="s">
        <v>395</v>
      </c>
      <c r="B43" s="53">
        <v>1147.7249999999999</v>
      </c>
      <c r="C43" s="53">
        <v>299.16500000000008</v>
      </c>
      <c r="D43" s="53">
        <v>313.36399999999992</v>
      </c>
      <c r="E43" s="53">
        <v>501.476</v>
      </c>
      <c r="F43" s="53">
        <v>159.62899999999991</v>
      </c>
      <c r="G43" s="53">
        <v>1273.634</v>
      </c>
      <c r="H43" s="53">
        <v>243.21000000000004</v>
      </c>
      <c r="I43" s="53">
        <v>286.26699999999994</v>
      </c>
      <c r="J43" s="53">
        <v>528.94000000000005</v>
      </c>
      <c r="K43" s="53">
        <v>221.67399999999998</v>
      </c>
      <c r="L43" s="53">
        <v>1280.0909999999999</v>
      </c>
      <c r="M43" s="53">
        <v>195.60099999999989</v>
      </c>
      <c r="N43" s="53">
        <v>322.60100000000011</v>
      </c>
      <c r="O43" s="53">
        <v>605.17900000000009</v>
      </c>
      <c r="P43" s="53">
        <v>261.01900000000001</v>
      </c>
      <c r="Q43" s="53">
        <v>1384.4000000000005</v>
      </c>
      <c r="R43" s="53">
        <v>261.95800000000008</v>
      </c>
      <c r="S43" s="53">
        <v>296.22699999999986</v>
      </c>
      <c r="T43" s="53">
        <v>596.55899999999997</v>
      </c>
      <c r="U43" s="53">
        <v>197.53900000000021</v>
      </c>
      <c r="V43" s="53">
        <v>1352.2829999999994</v>
      </c>
      <c r="W43" s="53">
        <v>184.10900000000015</v>
      </c>
      <c r="X43" s="53">
        <v>192.98700000000008</v>
      </c>
      <c r="Y43" s="53">
        <v>450.86199999999985</v>
      </c>
      <c r="Z43" s="53">
        <v>228.76700000000005</v>
      </c>
      <c r="AA43" s="53">
        <v>1056.7249999999995</v>
      </c>
      <c r="AB43" s="92">
        <v>249.327</v>
      </c>
      <c r="AC43" s="95">
        <v>303.71499999999992</v>
      </c>
      <c r="AD43" s="95">
        <v>607.73400000000015</v>
      </c>
      <c r="AE43" s="96">
        <v>285.57300000000009</v>
      </c>
      <c r="AF43" s="95">
        <v>1446.3489999999993</v>
      </c>
      <c r="AG43" s="102">
        <v>322.78600000000029</v>
      </c>
      <c r="AH43" s="103">
        <v>340.24</v>
      </c>
      <c r="AI43" s="103">
        <v>684.93300000000022</v>
      </c>
      <c r="AJ43" s="104">
        <v>286.0949999999998</v>
      </c>
      <c r="AK43" s="69">
        <v>1634.0540000000003</v>
      </c>
      <c r="AL43" s="102">
        <v>314.76699999999983</v>
      </c>
      <c r="AM43" s="103">
        <v>277.41900000000032</v>
      </c>
      <c r="AN43" s="103">
        <v>634.18799999999987</v>
      </c>
      <c r="AO43" s="104">
        <v>292.67300000000023</v>
      </c>
      <c r="AP43" s="342">
        <v>1519.0470000000003</v>
      </c>
      <c r="AQ43" s="102">
        <v>356.85300000000007</v>
      </c>
      <c r="AR43" s="103">
        <v>310.96499999999992</v>
      </c>
      <c r="AS43" s="103">
        <v>642.65599999999995</v>
      </c>
      <c r="AT43" s="104">
        <v>305.84499999999957</v>
      </c>
      <c r="AU43" s="69">
        <v>1616.3189999999995</v>
      </c>
      <c r="AV43" s="102">
        <v>310.36899999999991</v>
      </c>
      <c r="AW43" s="279">
        <v>397.50299999999993</v>
      </c>
      <c r="AX43" s="279">
        <v>723.404</v>
      </c>
      <c r="AY43" s="280">
        <v>319.60900000000015</v>
      </c>
      <c r="AZ43" s="103">
        <v>1750.8849999999993</v>
      </c>
      <c r="BA43" s="102">
        <v>306.14999999999986</v>
      </c>
      <c r="BB43" s="279">
        <v>467.76499999999987</v>
      </c>
      <c r="BC43" s="279">
        <v>880.0139999999999</v>
      </c>
      <c r="BD43" s="279">
        <v>459.24800000000027</v>
      </c>
      <c r="BE43" s="280">
        <v>2113.1770000000006</v>
      </c>
      <c r="BF43" s="102">
        <v>374.19600000000014</v>
      </c>
      <c r="BG43" s="279">
        <v>508.31799999999976</v>
      </c>
      <c r="BH43" s="427">
        <v>964.29099999999994</v>
      </c>
      <c r="BI43" s="427">
        <v>530.04500000000007</v>
      </c>
      <c r="BJ43" s="280">
        <v>2376.8500000000004</v>
      </c>
      <c r="BK43" s="672">
        <v>515.27099999999996</v>
      </c>
      <c r="BL43" s="673">
        <v>654.63399999999979</v>
      </c>
      <c r="BM43" s="673">
        <v>977.63799999999992</v>
      </c>
      <c r="BN43" s="674">
        <v>547.70700000000011</v>
      </c>
      <c r="BO43" s="69">
        <v>2695.2499999999991</v>
      </c>
      <c r="BP43" s="672">
        <v>514.37599999999975</v>
      </c>
      <c r="BQ43" s="673">
        <v>689.06773227926783</v>
      </c>
      <c r="BR43" s="673">
        <v>1123.6502992983278</v>
      </c>
      <c r="BS43" s="674">
        <v>709.09930380266701</v>
      </c>
      <c r="BT43" s="102">
        <v>3036.1933353802615</v>
      </c>
      <c r="BU43" s="69">
        <v>3321.3653241459542</v>
      </c>
      <c r="BV43" s="69">
        <v>3437.3992182126567</v>
      </c>
      <c r="BW43" s="69">
        <v>3627.34330250325</v>
      </c>
    </row>
    <row r="44" spans="1:87">
      <c r="A44" s="44" t="s">
        <v>576</v>
      </c>
      <c r="B44" s="110">
        <v>2.2498504778295527</v>
      </c>
      <c r="C44" s="110">
        <v>0.6280370349986667</v>
      </c>
      <c r="D44" s="110">
        <v>0.70981056914014462</v>
      </c>
      <c r="E44" s="110">
        <v>1.4555114007066661</v>
      </c>
      <c r="F44" s="110">
        <v>-5.1732417872413661E-3</v>
      </c>
      <c r="G44" s="110">
        <v>2.8047325681467661</v>
      </c>
      <c r="H44" s="110">
        <v>0.40356314614534367</v>
      </c>
      <c r="I44" s="110">
        <v>0.57331732349370901</v>
      </c>
      <c r="J44" s="110">
        <v>1.6244953776120941</v>
      </c>
      <c r="K44" s="110">
        <v>0.21813112008346458</v>
      </c>
      <c r="L44" s="110">
        <v>2.787651533963925</v>
      </c>
      <c r="M44" s="110">
        <v>4.1237354267423143E-2</v>
      </c>
      <c r="N44" s="110">
        <v>0.60117110344280167</v>
      </c>
      <c r="O44" s="110">
        <v>1.8432534590167764</v>
      </c>
      <c r="P44" s="110">
        <v>0.33026385113555295</v>
      </c>
      <c r="Q44" s="110">
        <v>2.8162890014235393</v>
      </c>
      <c r="R44" s="110">
        <v>0.35253935392420221</v>
      </c>
      <c r="S44" s="110">
        <v>0.39698428907355132</v>
      </c>
      <c r="T44" s="110">
        <v>1.9229077563827204</v>
      </c>
      <c r="U44" s="110">
        <v>6.9180360074663312E-3</v>
      </c>
      <c r="V44" s="110">
        <v>2.6782511263101356</v>
      </c>
      <c r="W44" s="110">
        <v>-0.16958448571976703</v>
      </c>
      <c r="X44" s="110">
        <v>-0.16968846477687308</v>
      </c>
      <c r="Y44" s="110">
        <v>1.0650951226184564</v>
      </c>
      <c r="Z44" s="110">
        <v>-2.1762036360947187E-2</v>
      </c>
      <c r="AA44" s="110">
        <v>0.70406013576086912</v>
      </c>
      <c r="AB44" s="111">
        <v>-2.8376541076160833E-2</v>
      </c>
      <c r="AC44" s="112">
        <v>0.24696981536212789</v>
      </c>
      <c r="AD44" s="112">
        <v>1.6099295671043445</v>
      </c>
      <c r="AE44" s="113">
        <v>0.14583390478280403</v>
      </c>
      <c r="AF44" s="112">
        <v>1.9735015685932236</v>
      </c>
      <c r="AG44" s="111">
        <v>0.24408312312749991</v>
      </c>
      <c r="AH44" s="112">
        <v>0.42617951406299853</v>
      </c>
      <c r="AI44" s="112">
        <v>1.9029205148583601</v>
      </c>
      <c r="AJ44" s="113">
        <v>0.16696349471645985</v>
      </c>
      <c r="AK44" s="110">
        <v>2.738126516685826</v>
      </c>
      <c r="AL44" s="111">
        <v>0.21422250604388016</v>
      </c>
      <c r="AM44" s="112">
        <v>3.3232812829906075E-2</v>
      </c>
      <c r="AN44" s="112">
        <v>1.7112213629067559</v>
      </c>
      <c r="AO44" s="113">
        <v>9.6832260014841326E-2</v>
      </c>
      <c r="AP44" s="377">
        <v>2.0605923280417211</v>
      </c>
      <c r="AQ44" s="111">
        <v>0.35414361132780636</v>
      </c>
      <c r="AR44" s="112">
        <v>0.16401689568906097</v>
      </c>
      <c r="AS44" s="112">
        <v>1.6995484244629055</v>
      </c>
      <c r="AT44" s="113">
        <v>0.21335884925595913</v>
      </c>
      <c r="AU44" s="110">
        <v>2.4312010898837229</v>
      </c>
      <c r="AV44" s="111">
        <v>0.2048987070610897</v>
      </c>
      <c r="AW44" s="112">
        <v>0.65676579476320707</v>
      </c>
      <c r="AX44" s="112">
        <v>2.1966595044201931</v>
      </c>
      <c r="AY44" s="113">
        <v>0.31804036191514251</v>
      </c>
      <c r="AZ44" s="112">
        <v>3.3836104087085932</v>
      </c>
      <c r="BA44" s="111">
        <v>0.20480705662872034</v>
      </c>
      <c r="BB44" s="112">
        <v>0.83732605408733252</v>
      </c>
      <c r="BC44" s="112">
        <v>2.8401126903231932</v>
      </c>
      <c r="BD44" s="112">
        <v>0.94045285661662836</v>
      </c>
      <c r="BE44" s="112">
        <v>4.8260221397532304</v>
      </c>
      <c r="BF44" s="111">
        <v>0.57034731880166589</v>
      </c>
      <c r="BG44" s="112">
        <v>1.0880623325668217</v>
      </c>
      <c r="BH44" s="112">
        <v>3.2145384233735035</v>
      </c>
      <c r="BI44" s="112">
        <v>1.2110245789481013</v>
      </c>
      <c r="BJ44" s="112">
        <v>6.0695186671351191</v>
      </c>
      <c r="BK44" s="675">
        <v>0.9949632320573828</v>
      </c>
      <c r="BL44" s="676">
        <v>1.7102776055021234</v>
      </c>
      <c r="BM44" s="676">
        <v>3.4880365482986129</v>
      </c>
      <c r="BN44" s="677">
        <v>1.3391868331124908</v>
      </c>
      <c r="BO44" s="110">
        <v>7.5342522276929316</v>
      </c>
      <c r="BP44" s="675">
        <v>1.0896808082321314</v>
      </c>
      <c r="BQ44" s="676">
        <v>1.8473524504876038</v>
      </c>
      <c r="BR44" s="676">
        <v>4.1404598589978594</v>
      </c>
      <c r="BS44" s="677">
        <v>1.8206790807784066</v>
      </c>
      <c r="BT44" s="111">
        <v>8.9032808706320701</v>
      </c>
      <c r="BU44" s="110">
        <v>9.8465075527766626</v>
      </c>
      <c r="BV44" s="110">
        <v>10.273141559092142</v>
      </c>
      <c r="BW44" s="110">
        <v>10.786531528399486</v>
      </c>
      <c r="BX44" s="41"/>
      <c r="BY44" s="243"/>
      <c r="CH44" s="41"/>
    </row>
    <row r="45" spans="1:87">
      <c r="A45" s="47" t="s">
        <v>43</v>
      </c>
      <c r="B45" s="176"/>
      <c r="C45" s="51"/>
      <c r="D45" s="51"/>
      <c r="E45" s="51"/>
      <c r="F45" s="51"/>
      <c r="G45" s="176">
        <f>G44/B44-1</f>
        <v>0.24663065203004608</v>
      </c>
      <c r="H45" s="51"/>
      <c r="I45" s="51"/>
      <c r="J45" s="51"/>
      <c r="K45" s="51"/>
      <c r="L45" s="176">
        <f>L44/G44-1</f>
        <v>-6.0900758870310323E-3</v>
      </c>
      <c r="M45" s="51"/>
      <c r="N45" s="51"/>
      <c r="O45" s="51"/>
      <c r="P45" s="51"/>
      <c r="Q45" s="176">
        <f>Q44/L44-1</f>
        <v>1.0272972468295949E-2</v>
      </c>
      <c r="R45" s="51"/>
      <c r="S45" s="51"/>
      <c r="T45" s="51"/>
      <c r="U45" s="51"/>
      <c r="V45" s="176">
        <f>V44/Q44-1</f>
        <v>-4.9014101551236422E-2</v>
      </c>
      <c r="W45" s="51"/>
      <c r="X45" s="51"/>
      <c r="Y45" s="51"/>
      <c r="Z45" s="51"/>
      <c r="AA45" s="176">
        <f>AA44/V44-1</f>
        <v>-0.73711944752138958</v>
      </c>
      <c r="AB45" s="73"/>
      <c r="AC45" s="117"/>
      <c r="AD45" s="117"/>
      <c r="AE45" s="126"/>
      <c r="AF45" s="176">
        <f>AF44/AA44-1</f>
        <v>1.8030298384391337</v>
      </c>
      <c r="AG45" s="73"/>
      <c r="AH45" s="101"/>
      <c r="AI45" s="125"/>
      <c r="AJ45" s="100"/>
      <c r="AK45" s="176">
        <f t="shared" ref="AK45:AR45" si="20">AK44/AF44-1</f>
        <v>0.38744582738672562</v>
      </c>
      <c r="AL45" s="178">
        <f t="shared" si="20"/>
        <v>-0.12233790153537849</v>
      </c>
      <c r="AM45" s="177">
        <f t="shared" si="20"/>
        <v>-0.92202156196322105</v>
      </c>
      <c r="AN45" s="177">
        <f t="shared" si="20"/>
        <v>-0.10073944258563683</v>
      </c>
      <c r="AO45" s="179">
        <f t="shared" si="20"/>
        <v>-0.42003933147612027</v>
      </c>
      <c r="AP45" s="346">
        <f t="shared" si="20"/>
        <v>-0.24744444221816997</v>
      </c>
      <c r="AQ45" s="178">
        <f t="shared" si="20"/>
        <v>0.65315782112671927</v>
      </c>
      <c r="AR45" s="177">
        <f t="shared" si="20"/>
        <v>3.9353901076186615</v>
      </c>
      <c r="AS45" s="177">
        <f t="shared" ref="AS45:BA45" si="21">AS44/AN44-1</f>
        <v>-6.8214076196559947E-3</v>
      </c>
      <c r="AT45" s="179">
        <f t="shared" si="21"/>
        <v>1.2033860329528401</v>
      </c>
      <c r="AU45" s="176">
        <f t="shared" si="21"/>
        <v>0.17985545068694342</v>
      </c>
      <c r="AV45" s="203">
        <f t="shared" si="21"/>
        <v>-0.42142481042407098</v>
      </c>
      <c r="AW45" s="281">
        <f t="shared" si="21"/>
        <v>3.0042569517245763</v>
      </c>
      <c r="AX45" s="281">
        <f t="shared" si="21"/>
        <v>0.2924959788153052</v>
      </c>
      <c r="AY45" s="380">
        <f t="shared" si="21"/>
        <v>0.49063590764684251</v>
      </c>
      <c r="AZ45" s="297">
        <f t="shared" si="21"/>
        <v>0.39174436157826054</v>
      </c>
      <c r="BA45" s="203">
        <f t="shared" si="21"/>
        <v>-4.4729629427109341E-4</v>
      </c>
      <c r="BB45" s="309">
        <f t="shared" ref="BB45:BK45" si="22">BB44/AW44-1</f>
        <v>0.27492336044879639</v>
      </c>
      <c r="BC45" s="309">
        <f t="shared" si="22"/>
        <v>0.29292349797873629</v>
      </c>
      <c r="BD45" s="380">
        <f>BD44/AY44-1</f>
        <v>1.9570236021412715</v>
      </c>
      <c r="BE45" s="443">
        <f>BE44/AZ44-1</f>
        <v>0.42629367947687435</v>
      </c>
      <c r="BF45" s="428">
        <f t="shared" si="22"/>
        <v>1.7848030638690671</v>
      </c>
      <c r="BG45" s="309">
        <f t="shared" si="22"/>
        <v>0.29944879566990945</v>
      </c>
      <c r="BH45" s="309">
        <f t="shared" si="22"/>
        <v>0.13183481568391642</v>
      </c>
      <c r="BI45" s="309">
        <f t="shared" si="22"/>
        <v>0.28770365300912726</v>
      </c>
      <c r="BJ45" s="443">
        <f t="shared" si="22"/>
        <v>0.25766490317955171</v>
      </c>
      <c r="BK45" s="678">
        <f t="shared" si="22"/>
        <v>0.74448655978231049</v>
      </c>
      <c r="BL45" s="603">
        <f t="shared" ref="BL45" si="23">BL44/BG44-1</f>
        <v>0.571856275428126</v>
      </c>
      <c r="BM45" s="603">
        <f t="shared" ref="BM45" si="24">BM44/BH44-1</f>
        <v>8.5081616364095725E-2</v>
      </c>
      <c r="BN45" s="679">
        <f t="shared" ref="BN45" si="25">BN44/BI44-1</f>
        <v>0.10582960609743486</v>
      </c>
      <c r="BO45" s="176">
        <f>BO44/BJ44-1</f>
        <v>0.24132614806656205</v>
      </c>
      <c r="BP45" s="678">
        <f>BP44/BK44-1</f>
        <v>9.5197061683266249E-2</v>
      </c>
      <c r="BQ45" s="603">
        <f t="shared" ref="BQ45" si="26">BQ44/BL44-1</f>
        <v>8.0147716689090487E-2</v>
      </c>
      <c r="BR45" s="603">
        <f t="shared" ref="BR45" si="27">BR44/BM44-1</f>
        <v>0.18704600759343659</v>
      </c>
      <c r="BS45" s="679">
        <f t="shared" ref="BS45" si="28">BS44/BN44-1</f>
        <v>0.35954075694341214</v>
      </c>
      <c r="BT45" s="728">
        <f>BT44/BO44-1</f>
        <v>0.18170730174218619</v>
      </c>
      <c r="BU45" s="176">
        <f>BU44/BT44-1</f>
        <v>0.10594147212134741</v>
      </c>
      <c r="BV45" s="176">
        <f>BV44/BU44-1</f>
        <v>4.3328459763905869E-2</v>
      </c>
      <c r="BW45" s="176">
        <f>BW44/BV44-1</f>
        <v>4.9973999321850426E-2</v>
      </c>
      <c r="CH45" s="4"/>
      <c r="CI45" s="4"/>
    </row>
    <row r="46" spans="1:87">
      <c r="A46" s="47" t="s">
        <v>572</v>
      </c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73"/>
      <c r="AC46" s="117"/>
      <c r="AD46" s="117"/>
      <c r="AE46" s="126"/>
      <c r="AF46" s="117"/>
      <c r="AG46" s="73"/>
      <c r="AH46" s="101" t="s">
        <v>589</v>
      </c>
      <c r="AI46" s="101" t="s">
        <v>400</v>
      </c>
      <c r="AJ46" s="89" t="s">
        <v>50</v>
      </c>
      <c r="AK46" s="68" t="s">
        <v>48</v>
      </c>
      <c r="AL46" s="143" t="s">
        <v>58</v>
      </c>
      <c r="AM46" s="101" t="s">
        <v>77</v>
      </c>
      <c r="AN46" s="101" t="s">
        <v>90</v>
      </c>
      <c r="AO46" s="89" t="s">
        <v>100</v>
      </c>
      <c r="AP46" s="378" t="s">
        <v>101</v>
      </c>
      <c r="AQ46" s="143" t="s">
        <v>58</v>
      </c>
      <c r="AR46" s="101" t="s">
        <v>122</v>
      </c>
      <c r="AS46" s="101" t="s">
        <v>127</v>
      </c>
      <c r="AT46" s="89" t="s">
        <v>566</v>
      </c>
      <c r="AU46" s="192" t="s">
        <v>151</v>
      </c>
      <c r="AV46" s="143" t="s">
        <v>30</v>
      </c>
      <c r="AW46" s="244" t="s">
        <v>666</v>
      </c>
      <c r="AX46" s="244" t="s">
        <v>258</v>
      </c>
      <c r="AY46" s="276" t="s">
        <v>547</v>
      </c>
      <c r="AZ46" s="379" t="s">
        <v>253</v>
      </c>
      <c r="BA46" s="333" t="s">
        <v>122</v>
      </c>
      <c r="BB46" s="244">
        <v>0.7</v>
      </c>
      <c r="BC46" s="244">
        <v>2.7</v>
      </c>
      <c r="BD46" s="379" t="s">
        <v>547</v>
      </c>
      <c r="BE46" s="379" t="s">
        <v>253</v>
      </c>
      <c r="BF46" s="333" t="s">
        <v>713</v>
      </c>
      <c r="BG46" s="244">
        <v>1</v>
      </c>
      <c r="BH46" s="568">
        <v>3.1</v>
      </c>
      <c r="BI46" s="568">
        <v>1.2</v>
      </c>
      <c r="BJ46" s="379" t="s">
        <v>723</v>
      </c>
      <c r="BK46" s="434" t="s">
        <v>738</v>
      </c>
      <c r="BL46" s="583" t="s">
        <v>799</v>
      </c>
      <c r="BM46" s="583" t="s">
        <v>806</v>
      </c>
      <c r="BN46" s="588" t="s">
        <v>812</v>
      </c>
      <c r="BO46" s="333" t="s">
        <v>811</v>
      </c>
      <c r="BP46" s="434" t="s">
        <v>832</v>
      </c>
      <c r="BQ46" s="583" t="s">
        <v>838</v>
      </c>
      <c r="BR46" s="583"/>
      <c r="BS46" s="588"/>
      <c r="BT46" s="333" t="s">
        <v>845</v>
      </c>
      <c r="BU46" s="605"/>
      <c r="BV46" s="605"/>
      <c r="BW46" s="605"/>
    </row>
    <row r="47" spans="1:87">
      <c r="A47" s="47" t="s">
        <v>99</v>
      </c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73"/>
      <c r="AC47" s="117"/>
      <c r="AD47" s="117"/>
      <c r="AE47" s="126"/>
      <c r="AF47" s="117"/>
      <c r="AG47" s="73"/>
      <c r="AH47" s="101"/>
      <c r="AI47" s="101"/>
      <c r="AJ47" s="89"/>
      <c r="AK47" s="68"/>
      <c r="AL47" s="143"/>
      <c r="AM47" s="101"/>
      <c r="AN47" s="175">
        <v>1.45</v>
      </c>
      <c r="AO47" s="175">
        <v>0.06</v>
      </c>
      <c r="AP47" s="338">
        <v>1.94</v>
      </c>
      <c r="AQ47" s="175">
        <v>0.21</v>
      </c>
      <c r="AR47" s="175">
        <v>0.19</v>
      </c>
      <c r="AS47" s="175">
        <v>1.9</v>
      </c>
      <c r="AT47" s="175">
        <v>0.15</v>
      </c>
      <c r="AU47" s="345">
        <v>2.3199999999999998</v>
      </c>
      <c r="AV47" s="175"/>
      <c r="AW47" s="282"/>
      <c r="AX47" s="282"/>
      <c r="AY47" s="381">
        <f>3*AY44</f>
        <v>0.95412108574542753</v>
      </c>
      <c r="AZ47" s="298"/>
      <c r="BA47" s="335"/>
      <c r="BB47" s="282"/>
      <c r="BC47" s="282"/>
      <c r="BD47" s="381">
        <f>3*BD44</f>
        <v>2.8213585698498851</v>
      </c>
      <c r="BE47" s="444"/>
      <c r="BF47" s="335"/>
      <c r="BG47" s="282"/>
      <c r="BH47" s="282"/>
      <c r="BI47" s="282"/>
      <c r="BJ47" s="444"/>
      <c r="BK47" s="680">
        <v>0.7</v>
      </c>
      <c r="BL47" s="681"/>
      <c r="BM47" s="681"/>
      <c r="BN47" s="682"/>
      <c r="BO47" s="54">
        <v>7.39</v>
      </c>
      <c r="BP47" s="680"/>
      <c r="BQ47" s="681"/>
      <c r="BR47" s="681"/>
      <c r="BS47" s="682"/>
      <c r="BT47" s="130">
        <v>8.57</v>
      </c>
      <c r="BU47" s="604">
        <v>9.99</v>
      </c>
      <c r="BV47" s="604">
        <v>11.81</v>
      </c>
      <c r="BW47" s="604">
        <v>11.81</v>
      </c>
      <c r="BX47" s="463"/>
      <c r="BY47" s="463"/>
      <c r="BZ47" s="463"/>
    </row>
    <row r="48" spans="1:87">
      <c r="A48" s="150" t="s">
        <v>35</v>
      </c>
      <c r="B48" s="51"/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1"/>
      <c r="X48" s="51"/>
      <c r="Y48" s="51"/>
      <c r="Z48" s="51"/>
      <c r="AA48" s="51"/>
      <c r="AB48" s="73"/>
      <c r="AC48" s="117"/>
      <c r="AD48" s="117"/>
      <c r="AE48" s="126"/>
      <c r="AF48" s="117"/>
      <c r="AG48" s="73"/>
      <c r="AH48" s="101"/>
      <c r="AI48" s="125"/>
      <c r="AJ48" s="100"/>
      <c r="AK48" s="68"/>
      <c r="AL48" s="73">
        <v>0</v>
      </c>
      <c r="AM48" s="158">
        <v>-0.05</v>
      </c>
      <c r="AN48" s="158">
        <v>-3.4131949511162996E-2</v>
      </c>
      <c r="AO48" s="319">
        <v>-1.8959354359993772</v>
      </c>
      <c r="AP48" s="339">
        <v>-1.9769127878927837</v>
      </c>
      <c r="AQ48" s="117">
        <v>-8.4223798552275873E-3</v>
      </c>
      <c r="AR48" s="158">
        <v>-4.4256009571806684E-2</v>
      </c>
      <c r="AS48" s="158">
        <v>-4.4822718140848157E-2</v>
      </c>
      <c r="AT48" s="131">
        <v>0.21426153519798155</v>
      </c>
      <c r="AU48" s="339">
        <v>0.1174250139177427</v>
      </c>
      <c r="AV48" s="158">
        <v>-8.8408459116813609E-2</v>
      </c>
      <c r="AW48" s="283">
        <v>-4.0451067906402065E-2</v>
      </c>
      <c r="AX48" s="283">
        <v>-1.4535980237560251</v>
      </c>
      <c r="AY48" s="382">
        <v>0.17896244387297838</v>
      </c>
      <c r="AZ48" s="415">
        <v>-1.4095245781101484</v>
      </c>
      <c r="BA48" s="158">
        <v>0</v>
      </c>
      <c r="BB48" s="310">
        <v>0</v>
      </c>
      <c r="BC48" s="310">
        <v>-1.8055187508196275</v>
      </c>
      <c r="BD48" s="382">
        <v>0</v>
      </c>
      <c r="BE48" s="445">
        <v>-1.8091839647648955</v>
      </c>
      <c r="BF48" s="158">
        <v>-0.11390330886909106</v>
      </c>
      <c r="BG48" s="310">
        <v>-2.0473694194724494E-2</v>
      </c>
      <c r="BH48" s="429">
        <v>-8.7961310006816184E-3</v>
      </c>
      <c r="BI48" s="429">
        <v>-8.4651029031824147E-3</v>
      </c>
      <c r="BJ48" s="445">
        <v>-0.15238354999167883</v>
      </c>
      <c r="BK48" s="683">
        <v>0</v>
      </c>
      <c r="BL48" s="684">
        <v>0</v>
      </c>
      <c r="BM48" s="684">
        <v>0</v>
      </c>
      <c r="BN48" s="685">
        <v>0</v>
      </c>
      <c r="BO48" s="416">
        <v>0</v>
      </c>
      <c r="BP48" s="683">
        <v>-6.6034025898633913E-2</v>
      </c>
      <c r="BQ48" s="684">
        <v>0</v>
      </c>
      <c r="BR48" s="684">
        <v>0</v>
      </c>
      <c r="BS48" s="685">
        <v>0</v>
      </c>
      <c r="BT48" s="729">
        <v>0</v>
      </c>
      <c r="BU48" s="416">
        <v>0</v>
      </c>
      <c r="BV48" s="416">
        <v>0</v>
      </c>
      <c r="BW48" s="416">
        <v>0</v>
      </c>
    </row>
    <row r="49" spans="1:77">
      <c r="A49" s="148" t="s">
        <v>548</v>
      </c>
      <c r="B49" s="151"/>
      <c r="C49" s="151"/>
      <c r="D49" s="151"/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2"/>
      <c r="AC49" s="153"/>
      <c r="AD49" s="153"/>
      <c r="AE49" s="154"/>
      <c r="AF49" s="153"/>
      <c r="AG49" s="152"/>
      <c r="AH49" s="155"/>
      <c r="AI49" s="156"/>
      <c r="AJ49" s="154"/>
      <c r="AK49" s="157"/>
      <c r="AL49" s="152">
        <f>AL44+AL48</f>
        <v>0.21422250604388016</v>
      </c>
      <c r="AM49" s="159">
        <f>AM44+AM48</f>
        <v>-1.6767187170093928E-2</v>
      </c>
      <c r="AN49" s="159">
        <f>AN44+AN48</f>
        <v>1.6770894133955929</v>
      </c>
      <c r="AO49" s="153">
        <f>AO44+AO48</f>
        <v>-1.799103175984536</v>
      </c>
      <c r="AP49" s="340">
        <v>0.44</v>
      </c>
      <c r="AQ49" s="153">
        <v>0.12</v>
      </c>
      <c r="AR49" s="159">
        <v>0.12</v>
      </c>
      <c r="AS49" s="159">
        <v>0.25</v>
      </c>
      <c r="AT49" s="153">
        <v>0.25</v>
      </c>
      <c r="AU49" s="340">
        <v>0.74</v>
      </c>
      <c r="AV49" s="159">
        <v>0.25</v>
      </c>
      <c r="AW49" s="284">
        <v>0.25</v>
      </c>
      <c r="AX49" s="284">
        <v>0.3</v>
      </c>
      <c r="AY49" s="383">
        <v>0.3</v>
      </c>
      <c r="AZ49" s="299">
        <v>1.1000000000000001</v>
      </c>
      <c r="BA49" s="159">
        <v>0.3</v>
      </c>
      <c r="BB49" s="311">
        <v>0.375</v>
      </c>
      <c r="BC49" s="311">
        <v>0.375</v>
      </c>
      <c r="BD49" s="383">
        <v>0.375</v>
      </c>
      <c r="BE49" s="446">
        <v>1.425</v>
      </c>
      <c r="BF49" s="159">
        <v>0.375</v>
      </c>
      <c r="BG49" s="311">
        <v>0.48</v>
      </c>
      <c r="BH49" s="311">
        <v>0.48</v>
      </c>
      <c r="BI49" s="311">
        <v>0.48</v>
      </c>
      <c r="BJ49" s="446">
        <v>1.8149999999999999</v>
      </c>
      <c r="BK49" s="159">
        <v>0.48</v>
      </c>
      <c r="BL49" s="284">
        <v>0.6</v>
      </c>
      <c r="BM49" s="284">
        <v>0.6</v>
      </c>
      <c r="BN49" s="686">
        <v>0.6</v>
      </c>
      <c r="BO49" s="388">
        <v>2.2800000000000002</v>
      </c>
      <c r="BP49" s="159">
        <v>0.65549999999999997</v>
      </c>
      <c r="BQ49" s="284">
        <v>0.65549999999999997</v>
      </c>
      <c r="BR49" s="284">
        <v>0.65549999999999997</v>
      </c>
      <c r="BS49" s="686">
        <v>0.65549999999999997</v>
      </c>
      <c r="BT49" s="730">
        <v>2.6219999999999999</v>
      </c>
      <c r="BU49" s="388">
        <v>2.8842000000000003</v>
      </c>
      <c r="BV49" s="388">
        <v>3.1726200000000007</v>
      </c>
      <c r="BW49" s="388">
        <v>3.489882000000001</v>
      </c>
    </row>
    <row r="50" spans="1:77">
      <c r="A50" s="53"/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92"/>
      <c r="AC50" s="95"/>
      <c r="AD50" s="95"/>
      <c r="AE50" s="96"/>
      <c r="AF50" s="95"/>
      <c r="AG50" s="92"/>
      <c r="AH50" s="95"/>
      <c r="AI50" s="95"/>
      <c r="AJ50" s="96"/>
      <c r="AK50" s="54"/>
      <c r="AL50" s="54"/>
      <c r="AM50" s="54"/>
      <c r="AN50" s="54"/>
      <c r="AO50" s="54"/>
      <c r="AP50" s="341"/>
      <c r="AQ50" s="54"/>
      <c r="AR50" s="54"/>
      <c r="AS50" s="54"/>
      <c r="AT50" s="54"/>
      <c r="AU50" s="341"/>
      <c r="AV50" s="54"/>
      <c r="AW50" s="285"/>
      <c r="AX50" s="285"/>
      <c r="AY50" s="382"/>
      <c r="AZ50" s="100"/>
      <c r="BA50" s="336"/>
      <c r="BB50" s="310"/>
      <c r="BC50" s="310"/>
      <c r="BD50" s="382"/>
      <c r="BE50" s="382"/>
      <c r="BF50" s="336"/>
      <c r="BG50" s="310"/>
      <c r="BH50" s="310"/>
      <c r="BI50" s="310"/>
      <c r="BJ50" s="382"/>
      <c r="BK50" s="687"/>
      <c r="BL50" s="688"/>
      <c r="BM50" s="688"/>
      <c r="BN50" s="689"/>
      <c r="BO50" s="53"/>
      <c r="BP50" s="92"/>
      <c r="BQ50" s="53"/>
      <c r="BR50" s="53"/>
      <c r="BS50" s="53"/>
      <c r="BT50" s="92"/>
      <c r="BU50" s="53"/>
      <c r="BV50" s="53"/>
      <c r="BW50" s="53"/>
    </row>
    <row r="51" spans="1:77">
      <c r="A51" s="53" t="s">
        <v>486</v>
      </c>
      <c r="B51" s="69">
        <v>630.67000000000007</v>
      </c>
      <c r="C51" s="69">
        <v>74.927999999999997</v>
      </c>
      <c r="D51" s="69">
        <v>77.522999999999996</v>
      </c>
      <c r="E51" s="69">
        <v>168.19500000000002</v>
      </c>
      <c r="F51" s="69">
        <v>109.25200000000001</v>
      </c>
      <c r="G51" s="69">
        <v>429.89800000000002</v>
      </c>
      <c r="H51" s="69">
        <v>135.898</v>
      </c>
      <c r="I51" s="69">
        <v>695.05799999999999</v>
      </c>
      <c r="J51" s="69">
        <v>188.506</v>
      </c>
      <c r="K51" s="69">
        <v>161.11699999999996</v>
      </c>
      <c r="L51" s="69">
        <v>1180.579</v>
      </c>
      <c r="M51" s="69">
        <v>154.161</v>
      </c>
      <c r="N51" s="69">
        <v>876.42899999999986</v>
      </c>
      <c r="O51" s="69">
        <v>194.47500000000019</v>
      </c>
      <c r="P51" s="69">
        <v>92.316000000000088</v>
      </c>
      <c r="Q51" s="69">
        <v>1317.3810000000001</v>
      </c>
      <c r="R51" s="69">
        <v>260.78800000000001</v>
      </c>
      <c r="S51" s="69">
        <v>1052.3799999999999</v>
      </c>
      <c r="T51" s="69">
        <v>100.17900000000009</v>
      </c>
      <c r="U51" s="69">
        <v>810.18700000000013</v>
      </c>
      <c r="V51" s="69">
        <v>2223.5340000000001</v>
      </c>
      <c r="W51" s="69">
        <v>219.339</v>
      </c>
      <c r="X51" s="69">
        <v>104.25</v>
      </c>
      <c r="Y51" s="69">
        <v>829.50099999999998</v>
      </c>
      <c r="Z51" s="69">
        <v>1324.4590000000001</v>
      </c>
      <c r="AA51" s="69">
        <v>2477.549</v>
      </c>
      <c r="AB51" s="102">
        <v>166.39699999999999</v>
      </c>
      <c r="AC51" s="103">
        <v>681.14400000000001</v>
      </c>
      <c r="AD51" s="103">
        <v>78.285000000000025</v>
      </c>
      <c r="AE51" s="104">
        <v>1261.3630000000001</v>
      </c>
      <c r="AF51" s="103">
        <v>2187.1889999999999</v>
      </c>
      <c r="AG51" s="102">
        <v>66.304000000000002</v>
      </c>
      <c r="AH51" s="103">
        <v>185.261</v>
      </c>
      <c r="AI51" s="103">
        <v>778.53700000000015</v>
      </c>
      <c r="AJ51" s="104">
        <f>AK51-SUM(AG51:AI51)</f>
        <v>143.52399999999989</v>
      </c>
      <c r="AK51" s="69">
        <v>1173.626</v>
      </c>
      <c r="AL51" s="102"/>
      <c r="AM51" s="103"/>
      <c r="AN51" s="181"/>
      <c r="AO51" s="103"/>
      <c r="AP51" s="342">
        <v>1291.499</v>
      </c>
      <c r="AQ51" s="103"/>
      <c r="AR51" s="103"/>
      <c r="AS51" s="103"/>
      <c r="AT51" s="103"/>
      <c r="AU51" s="342">
        <v>763.77700000000004</v>
      </c>
      <c r="AV51" s="103"/>
      <c r="AW51" s="279"/>
      <c r="AX51" s="279"/>
      <c r="AY51" s="280"/>
      <c r="AZ51" s="104">
        <v>1811.3979999999999</v>
      </c>
      <c r="BA51" s="334"/>
      <c r="BB51" s="279"/>
      <c r="BC51" s="279"/>
      <c r="BD51" s="280"/>
      <c r="BE51" s="280">
        <v>1613.34</v>
      </c>
      <c r="BF51" s="334"/>
      <c r="BG51" s="279"/>
      <c r="BH51" s="279"/>
      <c r="BI51" s="279"/>
      <c r="BJ51" s="280">
        <v>2494.3629999999998</v>
      </c>
      <c r="BK51" s="672"/>
      <c r="BL51" s="690"/>
      <c r="BM51" s="690"/>
      <c r="BN51" s="691"/>
      <c r="BO51" s="69">
        <v>564.13800000000003</v>
      </c>
      <c r="BP51" s="102"/>
      <c r="BQ51" s="69"/>
      <c r="BR51" s="69"/>
      <c r="BS51" s="69"/>
      <c r="BT51" s="102">
        <v>3380.2135379183351</v>
      </c>
      <c r="BU51" s="69">
        <v>2132.4862388576757</v>
      </c>
      <c r="BV51" s="69">
        <v>2552.2876981299128</v>
      </c>
      <c r="BW51" s="69">
        <v>2567.345742631735</v>
      </c>
      <c r="BX51" s="69"/>
    </row>
    <row r="52" spans="1:77">
      <c r="A52" s="47" t="s">
        <v>572</v>
      </c>
      <c r="B52" s="45"/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93"/>
      <c r="AC52" s="59"/>
      <c r="AD52" s="59"/>
      <c r="AE52" s="97"/>
      <c r="AF52" s="59"/>
      <c r="AG52" s="102"/>
      <c r="AH52" s="105"/>
      <c r="AI52" s="105"/>
      <c r="AJ52" s="106"/>
      <c r="AK52" s="70">
        <v>1100</v>
      </c>
      <c r="AL52" s="102"/>
      <c r="AM52" s="105"/>
      <c r="AN52" s="105"/>
      <c r="AO52" s="105"/>
      <c r="AP52" s="343">
        <v>1300</v>
      </c>
      <c r="AQ52" s="103"/>
      <c r="AR52" s="105"/>
      <c r="AS52" s="105"/>
      <c r="AT52" s="105"/>
      <c r="AU52" s="343">
        <v>700</v>
      </c>
      <c r="AV52" s="103"/>
      <c r="AW52" s="286"/>
      <c r="AX52" s="286"/>
      <c r="AY52" s="287"/>
      <c r="AZ52" s="240">
        <v>1400</v>
      </c>
      <c r="BA52" s="337"/>
      <c r="BB52" s="286"/>
      <c r="BC52" s="286"/>
      <c r="BD52" s="287"/>
      <c r="BE52" s="447">
        <v>1400</v>
      </c>
      <c r="BF52" s="240"/>
      <c r="BG52" s="286"/>
      <c r="BH52" s="286"/>
      <c r="BI52" s="286"/>
      <c r="BJ52" s="447">
        <v>2400</v>
      </c>
      <c r="BK52" s="692"/>
      <c r="BL52" s="693"/>
      <c r="BM52" s="693"/>
      <c r="BN52" s="694"/>
      <c r="BO52" s="240">
        <v>600</v>
      </c>
      <c r="BP52" s="731"/>
      <c r="BQ52" s="240"/>
      <c r="BR52" s="240"/>
      <c r="BS52" s="240"/>
      <c r="BT52" s="731">
        <v>3400</v>
      </c>
      <c r="BU52" s="240">
        <v>2100</v>
      </c>
      <c r="BV52" s="240">
        <v>2500</v>
      </c>
      <c r="BW52" s="240">
        <v>2500</v>
      </c>
      <c r="BX52" s="240"/>
    </row>
    <row r="53" spans="1:77">
      <c r="A53" s="53" t="s">
        <v>95</v>
      </c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59"/>
      <c r="AC53" s="59"/>
      <c r="AD53" s="59"/>
      <c r="AE53" s="59"/>
      <c r="AF53" s="59"/>
      <c r="AG53" s="102"/>
      <c r="AH53" s="105"/>
      <c r="AI53" s="105"/>
      <c r="AJ53" s="106"/>
      <c r="AK53" s="70"/>
      <c r="AL53" s="102"/>
      <c r="AM53" s="103"/>
      <c r="AN53" s="103"/>
      <c r="AO53" s="103"/>
      <c r="AP53" s="344">
        <v>0</v>
      </c>
      <c r="AQ53" s="103"/>
      <c r="AR53" s="103"/>
      <c r="AS53" s="103"/>
      <c r="AT53" s="181"/>
      <c r="AU53" s="344">
        <v>0</v>
      </c>
      <c r="AV53" s="103"/>
      <c r="AW53" s="279"/>
      <c r="AX53" s="279"/>
      <c r="AY53" s="280"/>
      <c r="AZ53" s="323">
        <v>0</v>
      </c>
      <c r="BA53" s="334"/>
      <c r="BB53" s="279"/>
      <c r="BC53" s="279"/>
      <c r="BD53" s="280">
        <v>200</v>
      </c>
      <c r="BE53" s="447">
        <v>200</v>
      </c>
      <c r="BF53" s="462">
        <v>250</v>
      </c>
      <c r="BG53" s="279"/>
      <c r="BH53" s="279"/>
      <c r="BI53" s="279"/>
      <c r="BJ53" s="447">
        <f>500-BE53</f>
        <v>300</v>
      </c>
      <c r="BK53" s="695"/>
      <c r="BL53" s="696"/>
      <c r="BM53" s="696"/>
      <c r="BN53" s="697"/>
      <c r="BO53" s="751">
        <v>224.99799999999999</v>
      </c>
      <c r="BP53" s="731"/>
      <c r="BQ53" s="713"/>
      <c r="BR53" s="713"/>
      <c r="BS53" s="713"/>
      <c r="BT53" s="731">
        <v>275</v>
      </c>
      <c r="BU53" s="172">
        <v>1000</v>
      </c>
      <c r="BV53" s="172">
        <v>1000</v>
      </c>
      <c r="BW53" s="172">
        <v>1000</v>
      </c>
      <c r="BY53" s="226"/>
    </row>
    <row r="54" spans="1:77">
      <c r="A54" s="53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59"/>
      <c r="AC54" s="59"/>
      <c r="AD54" s="59"/>
      <c r="AE54" s="59"/>
      <c r="AF54" s="59"/>
      <c r="AG54" s="103"/>
      <c r="AH54" s="105"/>
      <c r="AI54" s="105"/>
      <c r="AJ54" s="105"/>
      <c r="AK54" s="70"/>
      <c r="AL54" s="103"/>
      <c r="AM54" s="103"/>
      <c r="AN54" s="103"/>
      <c r="AO54" s="103"/>
      <c r="AP54" s="172"/>
      <c r="AQ54" s="103"/>
      <c r="AR54" s="103"/>
      <c r="AS54" s="103"/>
      <c r="AT54" s="181"/>
      <c r="AU54" s="172"/>
      <c r="AV54" s="103"/>
      <c r="AW54" s="279"/>
      <c r="AX54" s="279"/>
      <c r="AY54" s="279"/>
      <c r="AZ54" s="324"/>
      <c r="BA54" s="279"/>
      <c r="BB54" s="279"/>
      <c r="BC54" s="279"/>
      <c r="BD54" s="280"/>
      <c r="BE54" s="447"/>
      <c r="BF54" s="279"/>
      <c r="BG54" s="279"/>
      <c r="BH54" s="279"/>
      <c r="BI54" s="279"/>
      <c r="BJ54" s="447"/>
      <c r="BK54" s="695"/>
      <c r="BL54" s="696"/>
      <c r="BM54" s="696"/>
      <c r="BN54" s="697"/>
      <c r="BO54" s="172"/>
      <c r="BP54" s="732"/>
      <c r="BQ54" s="172"/>
      <c r="BR54" s="172"/>
      <c r="BS54" s="172"/>
      <c r="BT54" s="732"/>
      <c r="BU54" s="172"/>
      <c r="BV54" s="172"/>
      <c r="BW54" s="172"/>
    </row>
    <row r="55" spans="1:77">
      <c r="A55" s="53" t="s">
        <v>567</v>
      </c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59"/>
      <c r="AC55" s="59"/>
      <c r="AD55" s="59"/>
      <c r="AE55" s="59"/>
      <c r="AF55" s="59"/>
      <c r="AG55" s="103"/>
      <c r="AH55" s="105"/>
      <c r="AI55" s="105"/>
      <c r="AJ55" s="105"/>
      <c r="AK55" s="70"/>
      <c r="AL55" s="103">
        <v>1406.1469999999999</v>
      </c>
      <c r="AM55" s="103">
        <v>1382.326</v>
      </c>
      <c r="AN55" s="103">
        <v>1693.9339999999997</v>
      </c>
      <c r="AO55" s="103">
        <v>1386.9090000000001</v>
      </c>
      <c r="AP55" s="103">
        <v>5869.3159999999989</v>
      </c>
      <c r="AQ55" s="103">
        <v>1433.6820000000002</v>
      </c>
      <c r="AR55" s="103">
        <v>1386.12</v>
      </c>
      <c r="AS55" s="103">
        <v>1685.0909999999999</v>
      </c>
      <c r="AT55" s="103">
        <v>1353.4409999999998</v>
      </c>
      <c r="AU55" s="103">
        <v>5858.3339999999998</v>
      </c>
      <c r="AV55" s="103">
        <v>1402.671</v>
      </c>
      <c r="AW55" s="279">
        <v>1483.2569999999998</v>
      </c>
      <c r="AX55" s="279">
        <v>1809.1880000000001</v>
      </c>
      <c r="AY55" s="279">
        <v>1387.548</v>
      </c>
      <c r="AZ55" s="103">
        <v>6082.6639999999998</v>
      </c>
      <c r="BA55" s="103">
        <v>1374.942</v>
      </c>
      <c r="BB55" s="279">
        <v>1555.3820000000001</v>
      </c>
      <c r="BC55" s="279">
        <v>1934.73</v>
      </c>
      <c r="BD55" s="279">
        <v>1480.1380000000001</v>
      </c>
      <c r="BE55" s="279">
        <v>6345.1920000000009</v>
      </c>
      <c r="BF55" s="279"/>
      <c r="BG55" s="279"/>
      <c r="BH55" s="279"/>
      <c r="BI55" s="279"/>
      <c r="BJ55" s="279">
        <v>6653.1660000000002</v>
      </c>
      <c r="BK55" s="672"/>
      <c r="BL55" s="698"/>
      <c r="BM55" s="698"/>
      <c r="BN55" s="691"/>
      <c r="BO55" s="103">
        <v>6919.1229999999996</v>
      </c>
      <c r="BP55" s="102"/>
      <c r="BQ55" s="103"/>
      <c r="BR55" s="103"/>
      <c r="BS55" s="103"/>
      <c r="BT55" s="102">
        <v>7485.666597815798</v>
      </c>
      <c r="BU55" s="103">
        <v>8074.2916341920854</v>
      </c>
      <c r="BV55" s="103">
        <v>8497.7259806770708</v>
      </c>
      <c r="BW55" s="103">
        <v>9259.4375375269356</v>
      </c>
    </row>
    <row r="56" spans="1:77">
      <c r="A56" s="413" t="s">
        <v>696</v>
      </c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114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114">
        <f>AL55/$AP$55</f>
        <v>0.23957595740287288</v>
      </c>
      <c r="AM56" s="114">
        <f>AM55/$AP$55</f>
        <v>0.23551739248662029</v>
      </c>
      <c r="AN56" s="114">
        <f>AN55/$AP$55</f>
        <v>0.28860841706256746</v>
      </c>
      <c r="AO56" s="114">
        <f>AO55/$AP$55</f>
        <v>0.23629823304793954</v>
      </c>
      <c r="AP56" s="43"/>
      <c r="AQ56" s="114">
        <f>AQ55/$AU$55</f>
        <v>0.24472520685915147</v>
      </c>
      <c r="AR56" s="114">
        <f>AR55/$AU$55</f>
        <v>0.23660651646014036</v>
      </c>
      <c r="AS56" s="114">
        <f>AS55/$AU$55</f>
        <v>0.28763996726714453</v>
      </c>
      <c r="AT56" s="114">
        <f>AT55/$AU$55</f>
        <v>0.23102830941356362</v>
      </c>
      <c r="AU56" s="410"/>
      <c r="AV56" s="410"/>
      <c r="AW56" s="411"/>
      <c r="AX56" s="411"/>
      <c r="AY56" s="411"/>
      <c r="AZ56" s="412"/>
      <c r="BA56" s="412"/>
      <c r="BB56" s="412"/>
      <c r="BC56" s="412"/>
      <c r="BD56" s="448"/>
      <c r="BE56" s="449"/>
      <c r="BF56" s="412"/>
      <c r="BG56" s="412"/>
      <c r="BH56" s="412"/>
      <c r="BI56" s="412"/>
      <c r="BJ56" s="449">
        <f>1%*BJ55/'Sum&amp;Val'!S33</f>
        <v>0.30756698533626731</v>
      </c>
      <c r="BK56" s="699"/>
      <c r="BL56" s="700"/>
      <c r="BM56" s="700"/>
      <c r="BN56" s="701"/>
      <c r="BO56" s="413">
        <f>1%*BO55/'Sum&amp;Val'!T33</f>
        <v>0.32078421282001357</v>
      </c>
      <c r="BP56" s="733"/>
      <c r="BQ56" s="413"/>
      <c r="BR56" s="413"/>
      <c r="BS56" s="413"/>
      <c r="BT56" s="733">
        <f>1%*BT55/'Sum&amp;Val'!U33</f>
        <v>0.35209226083882822</v>
      </c>
      <c r="BU56" s="413">
        <f>1%*BU55/'Sum&amp;Val'!V33</f>
        <v>0.38918976846048586</v>
      </c>
      <c r="BV56" s="413">
        <f>1%*BV55/'Sum&amp;Val'!W33</f>
        <v>0.42616562073273712</v>
      </c>
      <c r="BW56" s="413">
        <f>1%*BW55/'Sum&amp;Val'!X33</f>
        <v>0.48393826818163815</v>
      </c>
    </row>
    <row r="57" spans="1:77">
      <c r="AL57" s="4"/>
      <c r="AM57" s="4"/>
      <c r="AN57" s="4"/>
      <c r="AO57" s="4"/>
      <c r="AQ57" s="4"/>
      <c r="AR57" s="4"/>
      <c r="AS57" s="4"/>
      <c r="AT57" s="4"/>
      <c r="AU57" s="187"/>
      <c r="AV57" s="187"/>
      <c r="AW57" s="288"/>
      <c r="AX57" s="288"/>
      <c r="AY57" s="288"/>
      <c r="AZ57" s="312"/>
      <c r="BA57" s="312"/>
      <c r="BB57" s="312"/>
      <c r="BC57" s="312"/>
      <c r="BD57" s="450"/>
      <c r="BE57" s="450"/>
      <c r="BF57" s="312"/>
      <c r="BG57" s="312"/>
      <c r="BH57" s="312"/>
      <c r="BI57" s="312"/>
      <c r="BJ57" s="450"/>
      <c r="BK57" s="702"/>
      <c r="BL57" s="702"/>
      <c r="BM57" s="702"/>
      <c r="BN57" s="702"/>
      <c r="BO57" s="312"/>
      <c r="BP57" s="312"/>
      <c r="BQ57" s="312"/>
      <c r="BR57" s="312"/>
      <c r="BS57" s="312"/>
      <c r="BT57" s="312"/>
      <c r="BU57" s="164"/>
      <c r="BV57" s="164"/>
      <c r="BW57" s="164"/>
    </row>
    <row r="58" spans="1:77">
      <c r="A58" s="197" t="s">
        <v>617</v>
      </c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5"/>
      <c r="AZ58" s="313"/>
      <c r="BA58" s="313"/>
      <c r="BB58" s="313"/>
      <c r="BC58" s="313"/>
      <c r="BD58" s="435"/>
      <c r="BE58" s="435"/>
      <c r="BF58" s="313"/>
      <c r="BG58" s="592">
        <f>1.23/BD44-1</f>
        <v>0.30788055067964382</v>
      </c>
      <c r="BH58" s="313"/>
      <c r="BI58" s="313"/>
      <c r="BJ58" s="435"/>
      <c r="BK58" s="703"/>
      <c r="BL58" s="703"/>
      <c r="BM58" s="703"/>
      <c r="BN58" s="703"/>
      <c r="BO58" s="313"/>
      <c r="BP58" s="313"/>
      <c r="BQ58" s="313"/>
      <c r="BR58" s="313"/>
      <c r="BS58" s="313"/>
      <c r="BT58" s="313"/>
    </row>
    <row r="59" spans="1:77">
      <c r="A59" s="64" t="s">
        <v>572</v>
      </c>
      <c r="AK59" s="41"/>
      <c r="AL59" s="41"/>
      <c r="AM59" s="41"/>
      <c r="AN59" s="41"/>
      <c r="AO59" s="41"/>
      <c r="AP59" s="41"/>
      <c r="AQ59" s="41"/>
      <c r="AR59" s="41"/>
      <c r="AS59" s="41"/>
      <c r="AT59" s="41"/>
      <c r="AU59" s="5"/>
      <c r="AV59" s="5"/>
      <c r="AZ59" s="313"/>
      <c r="BA59" s="313"/>
      <c r="BB59" s="313"/>
      <c r="BC59" s="313"/>
      <c r="BD59" s="435"/>
      <c r="BE59" s="435"/>
      <c r="BF59" s="313"/>
      <c r="BG59" s="313"/>
      <c r="BH59" s="313"/>
      <c r="BI59" s="313"/>
      <c r="BJ59" s="435"/>
      <c r="BK59" s="703"/>
      <c r="BL59" s="703"/>
      <c r="BM59" s="703"/>
      <c r="BN59" s="703"/>
      <c r="BO59" s="313"/>
      <c r="BP59" s="313"/>
      <c r="BQ59" s="313"/>
      <c r="BR59" s="313"/>
      <c r="BS59" s="313"/>
      <c r="BT59" s="313"/>
      <c r="BU59" s="41"/>
      <c r="BV59" s="41"/>
      <c r="BW59" s="41"/>
    </row>
    <row r="60" spans="1:77">
      <c r="AZ60" s="7"/>
      <c r="BB60" s="7"/>
      <c r="BC60" s="7"/>
      <c r="BD60" s="204"/>
      <c r="BE60" s="204"/>
      <c r="BG60" s="7"/>
      <c r="BH60" s="7"/>
      <c r="BI60" s="7"/>
      <c r="BJ60" s="204"/>
      <c r="BK60" s="234"/>
      <c r="BL60" s="234"/>
      <c r="BM60" s="234"/>
      <c r="BN60" s="234"/>
      <c r="BO60" s="7"/>
      <c r="BP60" s="7"/>
      <c r="BQ60" s="7"/>
      <c r="BR60" s="7"/>
      <c r="BS60" s="7"/>
      <c r="BT60" s="7"/>
    </row>
    <row r="61" spans="1:77">
      <c r="A61" s="138" t="s">
        <v>117</v>
      </c>
      <c r="AL61" s="5">
        <v>3.5000000000000003E-2</v>
      </c>
      <c r="AM61" s="5">
        <v>1.6999999999999998E-2</v>
      </c>
      <c r="AN61" s="5">
        <v>-1.9E-2</v>
      </c>
      <c r="AO61" s="5">
        <f>AO14-0.011</f>
        <v>6.9999999999999993E-3</v>
      </c>
      <c r="AP61" s="5">
        <f>AP14-0.024</f>
        <v>5.9902995379071018E-3</v>
      </c>
      <c r="AQ61" s="5">
        <f>AQ14</f>
        <v>3.5999999999999997E-2</v>
      </c>
      <c r="AR61" s="201">
        <v>3.9E-2</v>
      </c>
      <c r="AS61" s="5">
        <f>AS14</f>
        <v>2.5999999999999999E-2</v>
      </c>
      <c r="AT61" s="5">
        <f>AT14</f>
        <v>3.7999999999999999E-2</v>
      </c>
      <c r="AU61" s="5">
        <v>3.4635037881756578E-2</v>
      </c>
      <c r="AV61" s="5">
        <f>AV14</f>
        <v>-3.0000000000000001E-3</v>
      </c>
      <c r="AW61" s="289">
        <f>AW14-AR61+AR14</f>
        <v>1.4999999999999999E-2</v>
      </c>
      <c r="AX61" s="163">
        <f>AX14</f>
        <v>4.2000000000000003E-2</v>
      </c>
      <c r="AY61" s="163">
        <f>AY14</f>
        <v>2.7E-2</v>
      </c>
      <c r="AZ61" s="7"/>
      <c r="BA61" s="5">
        <f>BA14</f>
        <v>-0.01</v>
      </c>
      <c r="BB61" s="7"/>
      <c r="BC61" s="7"/>
      <c r="BD61" s="204">
        <f>BD14</f>
        <v>4.9000000000000002E-2</v>
      </c>
      <c r="BE61" s="204">
        <f>BE14</f>
        <v>3.5000000000000003E-2</v>
      </c>
      <c r="BF61" s="5">
        <f>BF14</f>
        <v>7.0000000000000007E-2</v>
      </c>
      <c r="BG61" s="7"/>
      <c r="BH61" s="7"/>
      <c r="BI61" s="7"/>
      <c r="BJ61" s="204">
        <f>BJ14</f>
        <v>3.9E-2</v>
      </c>
      <c r="BK61" s="704"/>
      <c r="BL61" s="704"/>
      <c r="BM61" s="704"/>
      <c r="BN61" s="704"/>
      <c r="BO61" s="7"/>
      <c r="BP61" s="7"/>
      <c r="BQ61" s="7"/>
      <c r="BR61" s="7"/>
      <c r="BS61" s="7"/>
      <c r="BT61" s="7"/>
    </row>
    <row r="62" spans="1:77">
      <c r="A62" s="138" t="s">
        <v>106</v>
      </c>
      <c r="AL62" s="5">
        <f>(AL61+1)*(1+AG14)-1</f>
        <v>6.3561518352752699E-2</v>
      </c>
      <c r="AM62" s="5">
        <f>(AM61+1)*(1+AH14)-1</f>
        <v>2.5135999999999825E-2</v>
      </c>
      <c r="AN62" s="5">
        <f>(AN61+1)*(1+AI14)-1</f>
        <v>6.5059999999999008E-3</v>
      </c>
      <c r="AO62" s="5">
        <f>(AO61+1)*(1+AJ14)-1</f>
        <v>4.2244999999999866E-2</v>
      </c>
      <c r="AP62" s="5">
        <f>(AP61+1)*(1+AK14)-1</f>
        <v>3.0134066726816844E-2</v>
      </c>
      <c r="AQ62" s="5">
        <f>(AL61+1)*(AQ61+1)-1</f>
        <v>7.2259999999999991E-2</v>
      </c>
      <c r="AR62" s="5">
        <f>(AM61+1)*(AR61+1)-1</f>
        <v>5.6662999999999908E-2</v>
      </c>
      <c r="AS62" s="163">
        <f>(AN61+1)*(AS61+1)-1</f>
        <v>6.5059999999999008E-3</v>
      </c>
      <c r="AT62" s="5">
        <f>(AO61+1)*(AT61+1)-1</f>
        <v>4.5266000000000028E-2</v>
      </c>
      <c r="AU62" s="5">
        <f>(AP61+1)*(AU61+1)-1</f>
        <v>4.0832811671082103E-2</v>
      </c>
      <c r="AV62" s="5">
        <f>AV61+AQ61</f>
        <v>3.2999999999999995E-2</v>
      </c>
      <c r="AW62" s="163">
        <f>AW61+AR61</f>
        <v>5.3999999999999999E-2</v>
      </c>
      <c r="AX62" s="163">
        <f>AX61+AS61</f>
        <v>6.8000000000000005E-2</v>
      </c>
      <c r="AY62" s="163">
        <f>AY61+AT61</f>
        <v>6.5000000000000002E-2</v>
      </c>
      <c r="AZ62" s="7"/>
      <c r="BA62" s="5">
        <f>BA61+AV61</f>
        <v>-1.3000000000000001E-2</v>
      </c>
      <c r="BB62" s="7"/>
      <c r="BC62" s="7"/>
      <c r="BD62" s="204">
        <f>BD61+AY61</f>
        <v>7.5999999999999998E-2</v>
      </c>
      <c r="BE62" s="204">
        <f>BE61+AZ61</f>
        <v>3.5000000000000003E-2</v>
      </c>
      <c r="BF62" s="5">
        <f>BF61+BA61</f>
        <v>6.0000000000000005E-2</v>
      </c>
      <c r="BG62" s="7"/>
      <c r="BH62" s="7"/>
      <c r="BI62" s="7"/>
      <c r="BJ62" s="204">
        <f>BJ61+BE61</f>
        <v>7.400000000000001E-2</v>
      </c>
      <c r="BK62" s="704"/>
      <c r="BL62" s="704"/>
      <c r="BM62" s="704"/>
      <c r="BN62" s="704"/>
      <c r="BO62" s="7"/>
      <c r="BP62" s="7"/>
      <c r="BQ62" s="7"/>
      <c r="BR62" s="7"/>
      <c r="BS62" s="7"/>
      <c r="BT62" s="7"/>
    </row>
    <row r="63" spans="1:77">
      <c r="AS63" s="5"/>
      <c r="AT63" s="5"/>
      <c r="AU63" s="5"/>
      <c r="AV63" s="5">
        <f>AQ14+AL14</f>
        <v>0.10600000000000001</v>
      </c>
      <c r="AW63" s="163">
        <f>AW14+AR14+AM14</f>
        <v>9.9000000000000005E-2</v>
      </c>
      <c r="AX63" s="163">
        <f>AX14+AS14+AN14</f>
        <v>6.9000000000000006E-2</v>
      </c>
      <c r="AY63" s="163">
        <f>AY14+AT14+AO14</f>
        <v>8.3000000000000004E-2</v>
      </c>
      <c r="AZ63" s="314"/>
      <c r="BA63" s="5">
        <f>AV14+AQ14</f>
        <v>3.2999999999999995E-2</v>
      </c>
      <c r="BB63" s="314"/>
      <c r="BC63" s="314"/>
      <c r="BD63" s="451">
        <f>BD14+AY14+AT14</f>
        <v>0.11399999999999999</v>
      </c>
      <c r="BE63" s="451">
        <f>BE14+AZ14+AU14</f>
        <v>9.0999999999999998E-2</v>
      </c>
      <c r="BF63" s="5">
        <f>BA14+AV14</f>
        <v>-1.3000000000000001E-2</v>
      </c>
      <c r="BG63" s="314"/>
      <c r="BH63" s="314"/>
      <c r="BI63" s="314"/>
      <c r="BJ63" s="451">
        <f>BE14+AZ14</f>
        <v>5.9000000000000004E-2</v>
      </c>
      <c r="BK63" s="704"/>
      <c r="BL63" s="704"/>
      <c r="BM63" s="704"/>
      <c r="BN63" s="704"/>
      <c r="BO63" s="314"/>
      <c r="BP63" s="314"/>
      <c r="BQ63" s="314"/>
      <c r="BR63" s="314"/>
      <c r="BS63" s="314"/>
      <c r="BT63" s="314"/>
    </row>
    <row r="64" spans="1:77">
      <c r="A64" s="193" t="s">
        <v>129</v>
      </c>
      <c r="B64" s="194"/>
      <c r="C64" s="194"/>
      <c r="D64" s="194"/>
      <c r="E64" s="194"/>
      <c r="F64" s="194"/>
      <c r="G64" s="194"/>
      <c r="H64" s="194"/>
      <c r="I64" s="194"/>
      <c r="J64" s="194"/>
      <c r="K64" s="194"/>
      <c r="L64" s="194"/>
      <c r="M64" s="194"/>
      <c r="N64" s="194"/>
      <c r="O64" s="194"/>
      <c r="P64" s="194"/>
      <c r="Q64" s="194"/>
      <c r="R64" s="194"/>
      <c r="S64" s="194"/>
      <c r="T64" s="194"/>
      <c r="U64" s="194"/>
      <c r="V64" s="194"/>
      <c r="W64" s="194"/>
      <c r="X64" s="194"/>
      <c r="Y64" s="194"/>
      <c r="Z64" s="194"/>
      <c r="AA64" s="194"/>
      <c r="AB64" s="194"/>
      <c r="AC64" s="194"/>
      <c r="AD64" s="194"/>
      <c r="AE64" s="194"/>
      <c r="AF64" s="194"/>
      <c r="AG64" s="194"/>
      <c r="AH64" s="194"/>
      <c r="AI64" s="194"/>
      <c r="AJ64" s="194"/>
      <c r="AK64" s="194"/>
      <c r="AL64" s="194"/>
      <c r="AM64" s="194"/>
      <c r="AN64" s="194"/>
      <c r="AO64" s="194"/>
      <c r="AP64" s="194"/>
      <c r="AQ64" s="194"/>
      <c r="AR64" s="194"/>
      <c r="AS64" s="194"/>
      <c r="AT64" s="194"/>
      <c r="AU64" s="194"/>
      <c r="AV64" s="194"/>
      <c r="AW64" s="194"/>
      <c r="AX64" s="194"/>
      <c r="AY64" s="194"/>
      <c r="AZ64" s="315"/>
      <c r="BA64" s="315"/>
      <c r="BB64" s="315"/>
      <c r="BC64" s="315"/>
      <c r="BD64" s="204"/>
      <c r="BF64" s="315"/>
      <c r="BG64" s="315"/>
      <c r="BH64" s="315"/>
      <c r="BI64" s="315"/>
      <c r="BK64" s="705"/>
      <c r="BL64" s="705"/>
      <c r="BM64" s="705"/>
      <c r="BN64" s="705"/>
      <c r="BO64" s="194"/>
      <c r="BP64" s="194"/>
      <c r="BQ64" s="194"/>
      <c r="BR64" s="194"/>
      <c r="BS64" s="194"/>
      <c r="BT64" s="194"/>
      <c r="BU64" s="194"/>
      <c r="BV64" s="194"/>
      <c r="BW64" s="194"/>
    </row>
    <row r="65" spans="1:75">
      <c r="A65" t="s">
        <v>130</v>
      </c>
      <c r="AS65" s="64">
        <v>3</v>
      </c>
      <c r="AT65" s="64">
        <v>2</v>
      </c>
      <c r="AU65" s="64"/>
      <c r="AV65" s="207">
        <v>2</v>
      </c>
      <c r="AW65" s="290"/>
      <c r="AX65" s="290"/>
      <c r="AY65" s="291">
        <v>3</v>
      </c>
      <c r="AZ65" s="318">
        <v>3</v>
      </c>
      <c r="BA65" s="316">
        <v>2</v>
      </c>
      <c r="BB65" s="316">
        <v>2</v>
      </c>
      <c r="BC65" s="207">
        <v>5</v>
      </c>
      <c r="BD65" s="453">
        <v>3</v>
      </c>
      <c r="BE65" s="454">
        <v>3</v>
      </c>
      <c r="BF65" s="316">
        <v>2</v>
      </c>
      <c r="BG65" s="316"/>
      <c r="BH65" s="207"/>
      <c r="BI65" s="207"/>
      <c r="BJ65" s="454">
        <v>15</v>
      </c>
    </row>
    <row r="66" spans="1:75">
      <c r="A66" t="s">
        <v>131</v>
      </c>
      <c r="AS66" s="64">
        <v>17</v>
      </c>
      <c r="AT66" s="64">
        <f>32-AS66</f>
        <v>15</v>
      </c>
      <c r="AU66" s="64"/>
      <c r="AV66" s="64">
        <v>14</v>
      </c>
      <c r="AW66" s="290"/>
      <c r="AX66" s="290"/>
      <c r="AY66" s="290">
        <v>14</v>
      </c>
      <c r="AZ66" s="137">
        <v>25</v>
      </c>
      <c r="BA66" s="94">
        <v>14</v>
      </c>
      <c r="BB66" s="94">
        <v>15</v>
      </c>
      <c r="BC66" s="64">
        <v>19</v>
      </c>
      <c r="BD66" s="455">
        <v>14</v>
      </c>
      <c r="BE66" s="456">
        <v>25</v>
      </c>
      <c r="BF66" s="94">
        <v>14</v>
      </c>
      <c r="BG66" s="94"/>
      <c r="BH66" s="64"/>
      <c r="BI66" s="64"/>
      <c r="BJ66" s="456">
        <v>68</v>
      </c>
    </row>
    <row r="67" spans="1:75">
      <c r="A67" t="s">
        <v>275</v>
      </c>
      <c r="AS67" s="64">
        <v>9</v>
      </c>
      <c r="AT67" s="64">
        <f>18-AS67</f>
        <v>9</v>
      </c>
      <c r="AU67" s="64"/>
      <c r="AV67" s="64">
        <v>9</v>
      </c>
      <c r="AW67" s="290"/>
      <c r="AX67" s="290"/>
      <c r="AY67" s="290">
        <v>8</v>
      </c>
      <c r="AZ67" s="137">
        <v>8</v>
      </c>
      <c r="BA67" s="94">
        <v>9</v>
      </c>
      <c r="BB67" s="94">
        <v>9</v>
      </c>
      <c r="BC67" s="64">
        <v>9</v>
      </c>
      <c r="BD67" s="455">
        <v>8</v>
      </c>
      <c r="BE67" s="456">
        <v>8</v>
      </c>
      <c r="BF67" s="94">
        <v>9</v>
      </c>
      <c r="BG67" s="94"/>
      <c r="BH67" s="64"/>
      <c r="BI67" s="64"/>
      <c r="BJ67" s="456">
        <v>37</v>
      </c>
    </row>
    <row r="68" spans="1:75">
      <c r="A68" t="s">
        <v>132</v>
      </c>
      <c r="AM68" s="5"/>
      <c r="AS68" s="64">
        <f>AS28</f>
        <v>9</v>
      </c>
      <c r="AT68" s="64">
        <f>AT28</f>
        <v>8</v>
      </c>
      <c r="AU68" s="64"/>
      <c r="AV68" s="64"/>
      <c r="AW68" s="290"/>
      <c r="AX68" s="290"/>
      <c r="AY68" s="290">
        <v>10</v>
      </c>
      <c r="AZ68" s="137">
        <f>AZ28</f>
        <v>10</v>
      </c>
      <c r="BA68" s="94">
        <v>7</v>
      </c>
      <c r="BB68" s="94">
        <v>10</v>
      </c>
      <c r="BC68" s="64">
        <v>10</v>
      </c>
      <c r="BD68" s="455">
        <v>10</v>
      </c>
      <c r="BE68" s="456">
        <f>BE28</f>
        <v>25</v>
      </c>
      <c r="BF68" s="94">
        <v>10</v>
      </c>
      <c r="BG68" s="94"/>
      <c r="BH68" s="64"/>
      <c r="BI68" s="64"/>
      <c r="BJ68" s="456">
        <v>53</v>
      </c>
    </row>
    <row r="69" spans="1:75">
      <c r="AM69" s="5"/>
    </row>
    <row r="70" spans="1:75">
      <c r="A70" s="43" t="s">
        <v>553</v>
      </c>
      <c r="AM70" s="5"/>
      <c r="AT70" s="41"/>
    </row>
    <row r="71" spans="1:75">
      <c r="A71" t="str">
        <f>A65</f>
        <v>1% FX</v>
      </c>
      <c r="AM71" s="5"/>
      <c r="AS71" s="41">
        <v>1.3574414942715969E-2</v>
      </c>
      <c r="AT71" s="41">
        <v>9.0268594202048188E-3</v>
      </c>
      <c r="AV71" s="41">
        <v>8.9818611314450465E-3</v>
      </c>
      <c r="AZ71" s="300">
        <v>1.3453638760830179E-2</v>
      </c>
      <c r="BA71" s="41">
        <v>9.0562483585549837E-3</v>
      </c>
      <c r="BB71" s="41"/>
      <c r="BC71" s="41"/>
      <c r="BD71" s="457">
        <v>1.3642999095014393E-2</v>
      </c>
      <c r="BE71" s="457">
        <v>1.3593790356565121E-2</v>
      </c>
      <c r="BF71" s="435">
        <v>9.179828245413529E-3</v>
      </c>
      <c r="BG71" s="41"/>
      <c r="BH71" s="41"/>
      <c r="BI71" s="41"/>
      <c r="BJ71" s="457">
        <v>6.9342998206327777E-2</v>
      </c>
      <c r="BK71" s="706"/>
      <c r="BL71" s="706"/>
      <c r="BM71" s="706"/>
      <c r="BN71" s="706"/>
    </row>
    <row r="72" spans="1:75">
      <c r="A72" t="str">
        <f>A66</f>
        <v>1% Net yield</v>
      </c>
      <c r="AM72" s="5"/>
      <c r="AS72" s="41">
        <v>7.6921684675390498E-2</v>
      </c>
      <c r="AT72" s="41">
        <v>6.7701445651536143E-2</v>
      </c>
      <c r="AU72" s="41"/>
      <c r="AV72" s="41">
        <v>6.2873027920115329E-2</v>
      </c>
      <c r="AW72" s="292"/>
      <c r="AX72" s="292"/>
      <c r="AY72" s="292"/>
      <c r="AZ72" s="300">
        <v>0.1121136563402515</v>
      </c>
      <c r="BA72" s="41">
        <v>6.3393738509884889E-2</v>
      </c>
      <c r="BB72" s="41"/>
      <c r="BC72" s="41"/>
      <c r="BD72" s="457">
        <v>6.3667329110067172E-2</v>
      </c>
      <c r="BE72" s="457">
        <v>0.11328158630470934</v>
      </c>
      <c r="BF72" s="435">
        <v>6.4258797717894695E-2</v>
      </c>
      <c r="BG72" s="41"/>
      <c r="BH72" s="41"/>
      <c r="BI72" s="41"/>
      <c r="BJ72" s="457">
        <v>0.31435492520201924</v>
      </c>
      <c r="BK72" s="706"/>
      <c r="BL72" s="706"/>
      <c r="BM72" s="706"/>
      <c r="BN72" s="706"/>
    </row>
    <row r="73" spans="1:75">
      <c r="A73" t="str">
        <f>A67</f>
        <v>1% Change in NCC ex. Fuel</v>
      </c>
      <c r="AS73" s="41">
        <v>4.072324482814791E-2</v>
      </c>
      <c r="AT73" s="41">
        <v>4.0620867390921689E-2</v>
      </c>
      <c r="AV73" s="41">
        <v>4.0418375091502715E-2</v>
      </c>
      <c r="AZ73" s="300">
        <v>3.5876370028880479E-2</v>
      </c>
      <c r="BA73" s="41">
        <v>4.0753117613497432E-2</v>
      </c>
      <c r="BB73" s="41"/>
      <c r="BC73" s="41"/>
      <c r="BD73" s="457">
        <v>3.6381330920038382E-2</v>
      </c>
      <c r="BE73" s="457">
        <v>3.6250107617506994E-2</v>
      </c>
      <c r="BF73" s="435">
        <v>4.1309227104360878E-2</v>
      </c>
      <c r="BG73" s="41"/>
      <c r="BH73" s="41"/>
      <c r="BI73" s="41"/>
      <c r="BJ73" s="457">
        <v>0.1710460622422752</v>
      </c>
      <c r="BK73" s="706"/>
      <c r="BL73" s="706"/>
      <c r="BM73" s="706"/>
      <c r="BN73" s="706"/>
    </row>
    <row r="74" spans="1:75">
      <c r="A74" t="str">
        <f>A68</f>
        <v>10% Change in fuel prices</v>
      </c>
      <c r="AS74" s="41">
        <v>4.072324482814791E-2</v>
      </c>
      <c r="AT74" s="41">
        <v>3.6107437680819275E-2</v>
      </c>
      <c r="AV74" s="41">
        <v>0</v>
      </c>
      <c r="AZ74" s="300">
        <v>4.4845462536100597E-2</v>
      </c>
      <c r="BA74" s="41">
        <v>3.1696869254942445E-2</v>
      </c>
      <c r="BB74" s="41"/>
      <c r="BC74" s="41"/>
      <c r="BD74" s="457">
        <v>4.5476663650047974E-2</v>
      </c>
      <c r="BE74" s="457">
        <v>0.11328158630470934</v>
      </c>
      <c r="BF74" s="435">
        <v>4.589914122706764E-2</v>
      </c>
      <c r="BG74" s="41"/>
      <c r="BH74" s="41"/>
      <c r="BI74" s="41"/>
      <c r="BJ74" s="457">
        <v>0.24501192699569149</v>
      </c>
      <c r="BK74" s="706"/>
      <c r="BL74" s="706"/>
      <c r="BM74" s="706"/>
      <c r="BN74" s="706"/>
    </row>
    <row r="75" spans="1:75">
      <c r="AU75" s="41">
        <f>AU72*7</f>
        <v>0</v>
      </c>
      <c r="AV75" s="41"/>
      <c r="AW75" s="292"/>
      <c r="AX75" s="292"/>
      <c r="AY75" s="292"/>
    </row>
    <row r="76" spans="1:75">
      <c r="A76" s="193" t="s">
        <v>107</v>
      </c>
      <c r="B76" s="194"/>
      <c r="C76" s="194"/>
      <c r="D76" s="194"/>
      <c r="E76" s="194"/>
      <c r="F76" s="194"/>
      <c r="G76" s="194"/>
      <c r="H76" s="194"/>
      <c r="I76" s="194"/>
      <c r="J76" s="194"/>
      <c r="K76" s="194"/>
      <c r="L76" s="194"/>
      <c r="M76" s="194"/>
      <c r="N76" s="194"/>
      <c r="O76" s="194"/>
      <c r="P76" s="194"/>
      <c r="Q76" s="194"/>
      <c r="R76" s="194"/>
      <c r="S76" s="194"/>
      <c r="T76" s="194"/>
      <c r="U76" s="194"/>
      <c r="V76" s="194"/>
      <c r="W76" s="194"/>
      <c r="X76" s="194"/>
      <c r="Y76" s="194"/>
      <c r="Z76" s="194"/>
      <c r="AA76" s="194"/>
      <c r="AB76" s="194"/>
      <c r="AC76" s="194"/>
      <c r="AD76" s="194"/>
      <c r="AE76" s="194"/>
      <c r="AF76" s="194"/>
      <c r="AG76" s="194"/>
      <c r="AH76" s="194"/>
      <c r="AI76" s="194"/>
      <c r="AJ76" s="194"/>
      <c r="AK76" s="194"/>
      <c r="AL76" s="194"/>
      <c r="AM76" s="194"/>
      <c r="AN76" s="194"/>
      <c r="AO76" s="194"/>
      <c r="AP76" s="194"/>
      <c r="AQ76" s="194"/>
      <c r="AR76" s="194"/>
      <c r="AS76" s="194"/>
      <c r="AT76" s="194"/>
      <c r="AU76" s="194"/>
      <c r="AV76" s="194"/>
      <c r="AW76" s="194"/>
      <c r="AX76" s="194"/>
      <c r="AY76" s="194"/>
      <c r="AZ76" s="301"/>
      <c r="BA76" s="315"/>
      <c r="BB76" s="194"/>
      <c r="BC76" s="194"/>
      <c r="BF76" s="315"/>
      <c r="BG76" s="194"/>
      <c r="BH76" s="194"/>
      <c r="BI76" s="194"/>
      <c r="BK76" s="705"/>
      <c r="BL76" s="705"/>
      <c r="BM76" s="705"/>
      <c r="BN76" s="705"/>
      <c r="BO76" s="194"/>
      <c r="BP76" s="194"/>
      <c r="BQ76" s="194"/>
      <c r="BR76" s="194"/>
      <c r="BS76" s="194"/>
      <c r="BT76" s="194"/>
      <c r="BU76" s="194"/>
      <c r="BV76" s="194"/>
      <c r="BW76" s="194"/>
    </row>
    <row r="77" spans="1:75">
      <c r="A77" s="42" t="s">
        <v>112</v>
      </c>
      <c r="AS77" s="41"/>
      <c r="AU77" s="41">
        <v>6.5088232921325512E-2</v>
      </c>
      <c r="AV77" s="41"/>
      <c r="AW77" s="292"/>
      <c r="AX77" s="292"/>
      <c r="AY77" s="292"/>
      <c r="AZ77" s="300">
        <v>0.20107687899355778</v>
      </c>
      <c r="BA77" s="300">
        <v>6.5624505394484098E-2</v>
      </c>
      <c r="BB77" s="300">
        <v>0.10389684484594751</v>
      </c>
      <c r="BC77" s="300">
        <v>0.23464421739352634</v>
      </c>
      <c r="BD77" s="457">
        <v>0.10492112533316136</v>
      </c>
      <c r="BE77" s="457">
        <v>0.48984381349338779</v>
      </c>
      <c r="BF77" s="300">
        <v>8.4882236440784534E-2</v>
      </c>
      <c r="BG77" s="300"/>
      <c r="BH77" s="300"/>
      <c r="BI77" s="300"/>
      <c r="BJ77" s="457">
        <v>0.35856981340448768</v>
      </c>
      <c r="BK77" s="707"/>
      <c r="BL77" s="707"/>
      <c r="BM77" s="707"/>
      <c r="BN77" s="707"/>
      <c r="BO77" s="41">
        <v>-0.28945638399045176</v>
      </c>
      <c r="BP77" s="41"/>
      <c r="BQ77" s="41"/>
      <c r="BR77" s="41"/>
      <c r="BS77" s="41"/>
      <c r="BT77" s="41">
        <v>0.5129077052344676</v>
      </c>
      <c r="BU77" s="41">
        <v>1.0632400531746828</v>
      </c>
      <c r="BV77" s="41">
        <v>0.74060298522065837</v>
      </c>
      <c r="BW77" s="41">
        <v>1.4902209050792807</v>
      </c>
    </row>
    <row r="78" spans="1:75">
      <c r="A78" t="s">
        <v>108</v>
      </c>
      <c r="AU78" s="182">
        <v>0.8500826555505766</v>
      </c>
      <c r="AV78" s="182"/>
      <c r="AW78" s="293"/>
      <c r="AX78" s="293"/>
      <c r="AY78" s="293"/>
      <c r="AZ78" s="302">
        <v>0.63052727501031447</v>
      </c>
      <c r="BA78" s="302">
        <v>-6.3514684706713398E-2</v>
      </c>
      <c r="BB78" s="302">
        <v>0.28201100035309778</v>
      </c>
      <c r="BC78" s="302">
        <v>0.41724626815051302</v>
      </c>
      <c r="BD78" s="458">
        <v>0.30919516310205419</v>
      </c>
      <c r="BE78" s="458">
        <v>0.96467535762996803</v>
      </c>
      <c r="BF78" s="302">
        <v>0.44176059925918787</v>
      </c>
      <c r="BG78" s="302"/>
      <c r="BH78" s="302"/>
      <c r="BI78" s="302"/>
      <c r="BJ78" s="458">
        <v>1.1439860574344942</v>
      </c>
      <c r="BK78" s="182"/>
      <c r="BL78" s="182"/>
      <c r="BM78" s="182"/>
      <c r="BN78" s="182"/>
      <c r="BO78" s="182">
        <v>1.9741050933266575</v>
      </c>
      <c r="BP78" s="182"/>
      <c r="BQ78" s="182"/>
      <c r="BR78" s="182"/>
      <c r="BS78" s="182"/>
      <c r="BT78" s="182">
        <v>1.0096488914550765</v>
      </c>
      <c r="BU78" s="182">
        <v>0.3608173920346352</v>
      </c>
      <c r="BV78" s="182">
        <v>0.40493015591313875</v>
      </c>
      <c r="BW78" s="182">
        <v>0.44412792655106947</v>
      </c>
    </row>
    <row r="79" spans="1:75">
      <c r="A79" t="s">
        <v>75</v>
      </c>
      <c r="AU79" s="184">
        <v>-1.1539110110652447E-2</v>
      </c>
      <c r="AV79" s="184"/>
      <c r="AW79" s="184"/>
      <c r="AX79" s="184"/>
      <c r="AY79" s="184"/>
      <c r="AZ79" s="303">
        <v>-3.6791479774460754E-2</v>
      </c>
      <c r="BA79" s="303">
        <v>0.18016500484509285</v>
      </c>
      <c r="BB79" s="303">
        <v>0.17289114630016933</v>
      </c>
      <c r="BC79" s="303">
        <v>0.14846000443164192</v>
      </c>
      <c r="BD79" s="303">
        <v>0.1835634772340273</v>
      </c>
      <c r="BE79" s="303">
        <v>0.68953210819969035</v>
      </c>
      <c r="BF79" s="303">
        <v>0.1357880194061569</v>
      </c>
      <c r="BG79" s="303"/>
      <c r="BH79" s="303"/>
      <c r="BI79" s="303"/>
      <c r="BJ79" s="303">
        <v>0.37965291517964522</v>
      </c>
      <c r="BK79" s="708"/>
      <c r="BL79" s="708"/>
      <c r="BM79" s="708"/>
      <c r="BN79" s="708"/>
      <c r="BO79" s="184">
        <v>2.8070082670878831E-2</v>
      </c>
      <c r="BP79" s="184"/>
      <c r="BQ79" s="184"/>
      <c r="BR79" s="184"/>
      <c r="BS79" s="184"/>
      <c r="BT79" s="184">
        <v>9.3076512689046612E-2</v>
      </c>
      <c r="BU79" s="184">
        <v>0.11408268490050355</v>
      </c>
      <c r="BV79" s="184">
        <v>-0.39086635171735074</v>
      </c>
      <c r="BW79" s="184">
        <v>-0.70898008799038092</v>
      </c>
    </row>
    <row r="80" spans="1:75">
      <c r="A80" t="s">
        <v>109</v>
      </c>
      <c r="AU80" s="182">
        <v>0.68101200911481508</v>
      </c>
      <c r="AV80" s="182"/>
      <c r="AW80" s="293"/>
      <c r="AX80" s="293"/>
      <c r="AY80" s="293"/>
      <c r="AZ80" s="302">
        <v>5.040709169323207E-2</v>
      </c>
      <c r="BA80" s="302">
        <v>6.7537824444115657E-2</v>
      </c>
      <c r="BB80" s="302">
        <v>1.2640218698661751E-3</v>
      </c>
      <c r="BC80" s="302">
        <v>0.26117163398313287</v>
      </c>
      <c r="BD80" s="458">
        <v>0.25834431940163544</v>
      </c>
      <c r="BE80" s="458">
        <v>0.59104787227662015</v>
      </c>
      <c r="BF80" s="302">
        <v>-0.16061321143522458</v>
      </c>
      <c r="BG80" s="302"/>
      <c r="BH80" s="302"/>
      <c r="BI80" s="302"/>
      <c r="BJ80" s="458">
        <v>-6.515325553634109E-2</v>
      </c>
      <c r="BK80" s="182"/>
      <c r="BL80" s="182"/>
      <c r="BM80" s="182"/>
      <c r="BN80" s="182"/>
      <c r="BO80" s="182">
        <v>-0.30659112430683266</v>
      </c>
      <c r="BP80" s="182"/>
      <c r="BQ80" s="182"/>
      <c r="BR80" s="182"/>
      <c r="BS80" s="182"/>
      <c r="BT80" s="182">
        <v>-0.45098732347903397</v>
      </c>
      <c r="BU80" s="182">
        <v>-0.19409167017862511</v>
      </c>
      <c r="BV80" s="182">
        <v>-0.21253178732812664</v>
      </c>
      <c r="BW80" s="182">
        <v>-0.24134341225432485</v>
      </c>
    </row>
    <row r="81" spans="1:75">
      <c r="A81" t="s">
        <v>657</v>
      </c>
      <c r="AU81" s="183">
        <v>-8.3199675576237309E-2</v>
      </c>
      <c r="AV81" s="183"/>
      <c r="AW81" s="184"/>
      <c r="AX81" s="184"/>
      <c r="AY81" s="184"/>
      <c r="AZ81" s="303">
        <v>7.2810397081173473E-5</v>
      </c>
      <c r="BA81" s="304">
        <v>1.1614852013561191E-3</v>
      </c>
      <c r="BB81" s="304">
        <v>-1.7611973244943031E-2</v>
      </c>
      <c r="BC81" s="304">
        <v>-2.4038496749379436E-2</v>
      </c>
      <c r="BD81" s="303">
        <v>-1.9089495025110353E-2</v>
      </c>
      <c r="BE81" s="303">
        <v>-5.8741188418216246E-2</v>
      </c>
      <c r="BF81" s="304">
        <v>-3.9059972081766222E-3</v>
      </c>
      <c r="BG81" s="304"/>
      <c r="BH81" s="304"/>
      <c r="BI81" s="304"/>
      <c r="BJ81" s="303">
        <v>-0.18894355184655245</v>
      </c>
      <c r="BK81" s="709"/>
      <c r="BL81" s="709"/>
      <c r="BM81" s="709"/>
      <c r="BN81" s="709"/>
      <c r="BO81" s="183">
        <v>-0.36109232247118073</v>
      </c>
      <c r="BP81" s="183"/>
      <c r="BQ81" s="183"/>
      <c r="BR81" s="183"/>
      <c r="BS81" s="183"/>
      <c r="BT81" s="183">
        <v>-0.27842982020281115</v>
      </c>
      <c r="BU81" s="183">
        <v>-0.2153346479437811</v>
      </c>
      <c r="BV81" s="183">
        <v>-0.18209756600664281</v>
      </c>
      <c r="BW81" s="183">
        <v>-0.21087813207522582</v>
      </c>
    </row>
    <row r="82" spans="1:75">
      <c r="A82" t="s">
        <v>110</v>
      </c>
      <c r="AU82" s="183">
        <v>5.306394014691726E-2</v>
      </c>
      <c r="AV82" s="183"/>
      <c r="AW82" s="184"/>
      <c r="AX82" s="184"/>
      <c r="AY82" s="184"/>
      <c r="AZ82" s="304">
        <v>0.3353319461136921</v>
      </c>
      <c r="BA82" s="304">
        <v>-5.1031959500457769E-3</v>
      </c>
      <c r="BB82" s="304">
        <v>-5.0782700020823704E-2</v>
      </c>
      <c r="BC82" s="304">
        <v>-3.211131560978036E-2</v>
      </c>
      <c r="BD82" s="303">
        <v>7.735580486873163E-3</v>
      </c>
      <c r="BE82" s="303">
        <v>-8.0407269959082969E-2</v>
      </c>
      <c r="BF82" s="304">
        <v>1.6964322597524256E-2</v>
      </c>
      <c r="BG82" s="304"/>
      <c r="BH82" s="304"/>
      <c r="BI82" s="304"/>
      <c r="BJ82" s="303">
        <v>-9.6220344311100256E-2</v>
      </c>
      <c r="BK82" s="709"/>
      <c r="BL82" s="709"/>
      <c r="BM82" s="709"/>
      <c r="BN82" s="709"/>
      <c r="BO82" s="183">
        <v>7.7113874284866435E-2</v>
      </c>
      <c r="BP82" s="183"/>
      <c r="BQ82" s="183"/>
      <c r="BR82" s="183"/>
      <c r="BS82" s="183"/>
      <c r="BT82" s="183">
        <v>-8.5438959901229905E-2</v>
      </c>
      <c r="BU82" s="183">
        <v>-0.16143154801133769</v>
      </c>
      <c r="BV82" s="183">
        <v>-0.16485264906180205</v>
      </c>
      <c r="BW82" s="183">
        <v>-0.22903567254235255</v>
      </c>
    </row>
    <row r="83" spans="1:75">
      <c r="A83" t="s">
        <v>9</v>
      </c>
      <c r="AU83" s="41">
        <f>AU84-SUM(AU77:AU82)</f>
        <v>-1.1838992902047429</v>
      </c>
      <c r="AV83" s="41"/>
      <c r="AW83" s="292"/>
      <c r="AX83" s="292"/>
      <c r="AY83" s="292"/>
      <c r="AZ83" s="300">
        <f t="shared" ref="AZ83:BO83" si="29">AZ84-SUM(AZ77:AZ82)</f>
        <v>-0.22821520360854652</v>
      </c>
      <c r="BA83" s="300">
        <f t="shared" si="29"/>
        <v>-0.24596258966065893</v>
      </c>
      <c r="BB83" s="300">
        <f t="shared" si="29"/>
        <v>-0.31110808077918867</v>
      </c>
      <c r="BC83" s="300">
        <f t="shared" si="29"/>
        <v>-0.3619191256966543</v>
      </c>
      <c r="BD83" s="457">
        <f>BD84-SUM(BD77:BD82)</f>
        <v>-0.22225767583115519</v>
      </c>
      <c r="BE83" s="457">
        <f>BE84-SUM(BE77:BE82)</f>
        <v>-1.1535389621777301</v>
      </c>
      <c r="BF83" s="300">
        <f>BF84-SUM(BF77:BF82)</f>
        <v>-0.1493357068873068</v>
      </c>
      <c r="BG83" s="300"/>
      <c r="BH83" s="300"/>
      <c r="BI83" s="300"/>
      <c r="BJ83" s="457">
        <f t="shared" si="29"/>
        <v>-0.28839510694274462</v>
      </c>
      <c r="BK83" s="707"/>
      <c r="BL83" s="707"/>
      <c r="BM83" s="707"/>
      <c r="BN83" s="707"/>
      <c r="BO83" s="41">
        <f t="shared" si="29"/>
        <v>0.34258434104387492</v>
      </c>
      <c r="BP83" s="41"/>
      <c r="BQ83" s="41"/>
      <c r="BR83" s="41"/>
      <c r="BS83" s="41"/>
      <c r="BT83" s="41">
        <f>BT84-SUM(BT77:BT82)</f>
        <v>0.56825163714362259</v>
      </c>
      <c r="BU83" s="41">
        <f>BU84-SUM(BU77:BU82)</f>
        <v>-2.4055581831485151E-2</v>
      </c>
      <c r="BV83" s="41">
        <f>BV84-SUM(BV77:BV82)</f>
        <v>0.23144921929560489</v>
      </c>
      <c r="BW83" s="41">
        <f>BW84-SUM(BW77:BW82)</f>
        <v>-3.0721557460722249E-2</v>
      </c>
    </row>
    <row r="84" spans="1:75">
      <c r="A84" s="43" t="s">
        <v>111</v>
      </c>
      <c r="AU84" s="151">
        <f>AU44-AP44</f>
        <v>0.37060876184200175</v>
      </c>
      <c r="AV84" s="151"/>
      <c r="AW84" s="294"/>
      <c r="AX84" s="294"/>
      <c r="AY84" s="294"/>
      <c r="AZ84" s="154">
        <f t="shared" ref="AZ84:BF84" si="30">AZ44-AU44</f>
        <v>0.95240931882487034</v>
      </c>
      <c r="BA84" s="154">
        <f t="shared" si="30"/>
        <v>-9.1650432369361212E-5</v>
      </c>
      <c r="BB84" s="154">
        <f t="shared" si="30"/>
        <v>0.18056025932412545</v>
      </c>
      <c r="BC84" s="154">
        <f t="shared" si="30"/>
        <v>0.64345318590300016</v>
      </c>
      <c r="BD84" s="383">
        <f t="shared" si="30"/>
        <v>0.62241249470148585</v>
      </c>
      <c r="BE84" s="383">
        <f t="shared" si="30"/>
        <v>1.4424117310446372</v>
      </c>
      <c r="BF84" s="154">
        <f t="shared" si="30"/>
        <v>0.36554026217294555</v>
      </c>
      <c r="BG84" s="154"/>
      <c r="BH84" s="154"/>
      <c r="BI84" s="154"/>
      <c r="BJ84" s="383">
        <f>BJ44-BE44</f>
        <v>1.2434965273818888</v>
      </c>
      <c r="BK84" s="710"/>
      <c r="BL84" s="710"/>
      <c r="BM84" s="710"/>
      <c r="BN84" s="710"/>
      <c r="BO84" s="151">
        <f>BO44-BJ44</f>
        <v>1.4647335605578125</v>
      </c>
      <c r="BP84" s="151"/>
      <c r="BQ84" s="151"/>
      <c r="BR84" s="151"/>
      <c r="BS84" s="151"/>
      <c r="BT84" s="151">
        <f>BT44-BO44</f>
        <v>1.3690286429391385</v>
      </c>
      <c r="BU84" s="151">
        <f>BU44-BT44</f>
        <v>0.94322668214459249</v>
      </c>
      <c r="BV84" s="151">
        <f>BV44-BU44</f>
        <v>0.42663400631547965</v>
      </c>
      <c r="BW84" s="151">
        <f>BW44-BV44</f>
        <v>0.51338996930734382</v>
      </c>
    </row>
    <row r="88" spans="1:75">
      <c r="AP88" s="212"/>
      <c r="AQ88" s="213" t="s">
        <v>82</v>
      </c>
      <c r="AR88" s="213" t="s">
        <v>83</v>
      </c>
      <c r="AS88" s="213" t="s">
        <v>492</v>
      </c>
      <c r="AT88" s="214" t="s">
        <v>493</v>
      </c>
      <c r="AU88" s="214" t="s">
        <v>494</v>
      </c>
    </row>
    <row r="89" spans="1:75">
      <c r="AP89" s="212">
        <v>2012</v>
      </c>
      <c r="AQ89" s="215">
        <f>AL14</f>
        <v>7.0000000000000007E-2</v>
      </c>
      <c r="AR89" s="215">
        <f t="shared" ref="AR89:AY89" si="31">AM14</f>
        <v>4.4999999999999998E-2</v>
      </c>
      <c r="AS89" s="215">
        <f t="shared" si="31"/>
        <v>1E-3</v>
      </c>
      <c r="AT89" s="215">
        <f t="shared" si="31"/>
        <v>1.7999999999999999E-2</v>
      </c>
      <c r="AU89" s="215">
        <f t="shared" si="31"/>
        <v>2.9990299537907102E-2</v>
      </c>
      <c r="AV89" s="215">
        <f t="shared" si="31"/>
        <v>3.5999999999999997E-2</v>
      </c>
      <c r="AW89" s="295">
        <f t="shared" si="31"/>
        <v>2.8000000000000001E-2</v>
      </c>
      <c r="AX89" s="295">
        <f t="shared" si="31"/>
        <v>2.5999999999999999E-2</v>
      </c>
      <c r="AY89" s="295">
        <f t="shared" si="31"/>
        <v>3.7999999999999999E-2</v>
      </c>
      <c r="BD89" s="149">
        <f>AY14</f>
        <v>2.7E-2</v>
      </c>
    </row>
    <row r="90" spans="1:75">
      <c r="AP90" s="212">
        <v>2013</v>
      </c>
      <c r="AQ90" s="215">
        <f>AQ14</f>
        <v>3.5999999999999997E-2</v>
      </c>
      <c r="AR90" s="215">
        <f t="shared" ref="AR90:AY90" si="32">AR14</f>
        <v>2.8000000000000001E-2</v>
      </c>
      <c r="AS90" s="215">
        <f t="shared" si="32"/>
        <v>2.5999999999999999E-2</v>
      </c>
      <c r="AT90" s="215">
        <f t="shared" si="32"/>
        <v>3.7999999999999999E-2</v>
      </c>
      <c r="AU90" s="215">
        <f t="shared" si="32"/>
        <v>3.2000000000000001E-2</v>
      </c>
      <c r="AV90" s="215">
        <f t="shared" si="32"/>
        <v>-3.0000000000000001E-3</v>
      </c>
      <c r="AW90" s="295">
        <f t="shared" si="32"/>
        <v>2.5999999999999999E-2</v>
      </c>
      <c r="AX90" s="295">
        <f t="shared" si="32"/>
        <v>4.2000000000000003E-2</v>
      </c>
      <c r="AY90" s="295">
        <f t="shared" si="32"/>
        <v>2.7E-2</v>
      </c>
      <c r="BD90" s="149">
        <f>BD14</f>
        <v>4.9000000000000002E-2</v>
      </c>
    </row>
    <row r="91" spans="1:75">
      <c r="AP91" s="217">
        <v>2014</v>
      </c>
      <c r="AQ91" s="215">
        <f>AV14</f>
        <v>-3.0000000000000001E-3</v>
      </c>
      <c r="AR91" s="220">
        <v>0.02</v>
      </c>
      <c r="AS91" s="220">
        <v>0.04</v>
      </c>
      <c r="AT91" s="220">
        <v>0.03</v>
      </c>
      <c r="AU91" s="220">
        <v>2.5000000000000001E-2</v>
      </c>
      <c r="BK91" s="195"/>
      <c r="BL91" s="195"/>
      <c r="BM91" s="195"/>
      <c r="BN91" s="195"/>
      <c r="BO91" s="574"/>
      <c r="BP91" s="714"/>
      <c r="BQ91" s="714"/>
      <c r="BR91" s="714"/>
      <c r="BS91" s="714"/>
      <c r="BT91" s="715"/>
    </row>
    <row r="92" spans="1:75">
      <c r="AP92" s="185" t="s">
        <v>415</v>
      </c>
      <c r="AQ92" s="218">
        <f>(1+AQ91)*(1+AQ90)-1</f>
        <v>3.2891999999999921E-2</v>
      </c>
      <c r="AR92" s="218">
        <f>(1+AR91)*(1+AR90)-1</f>
        <v>4.8559999999999937E-2</v>
      </c>
      <c r="AS92" s="218">
        <f>(1+AS91)*(1+AS90)-1</f>
        <v>6.7039999999999988E-2</v>
      </c>
      <c r="AT92" s="218">
        <f>(1+AT91)*(1+AT90)-1</f>
        <v>6.9139999999999979E-2</v>
      </c>
      <c r="AU92" s="218">
        <f>(1+AU91)*(1+AU90)-1</f>
        <v>5.7799999999999851E-2</v>
      </c>
      <c r="BK92" s="599"/>
      <c r="BL92" s="599"/>
      <c r="BM92" s="599"/>
      <c r="BN92" s="599"/>
      <c r="BO92" s="575"/>
      <c r="BP92" s="575"/>
      <c r="BQ92" s="575"/>
      <c r="BR92" s="575"/>
      <c r="BS92" s="575"/>
      <c r="BT92" s="575"/>
    </row>
    <row r="93" spans="1:75">
      <c r="AP93" s="185" t="s">
        <v>416</v>
      </c>
      <c r="AQ93" s="218">
        <f>(1+AQ89)*(1+AQ90)*(1+AQ91)-1</f>
        <v>0.10519444000000022</v>
      </c>
      <c r="AR93" s="218">
        <f>(1+AR89)*(1+AR90)*(1+AR91)-1</f>
        <v>9.5745200000000086E-2</v>
      </c>
      <c r="AS93" s="218">
        <f>(1+AS89)*(1+AS90)*(1+AS91)-1</f>
        <v>6.8107040000000119E-2</v>
      </c>
      <c r="AT93" s="218">
        <f>(1+AT89)*(1+AT90)*(1+AT91)-1</f>
        <v>8.8384519999999966E-2</v>
      </c>
      <c r="AU93" s="218">
        <f>(1+AU89)*(1+AU90)*(1+AU91)-1</f>
        <v>8.9523738851198242E-2</v>
      </c>
      <c r="BK93" s="711"/>
      <c r="BL93" s="711"/>
      <c r="BM93" s="711"/>
      <c r="BN93" s="711"/>
      <c r="BO93" s="466"/>
      <c r="BP93" s="466"/>
      <c r="BQ93" s="466"/>
      <c r="BR93" s="466"/>
      <c r="BS93" s="466"/>
      <c r="BT93" s="466"/>
    </row>
    <row r="94" spans="1:75">
      <c r="AP94" s="186"/>
      <c r="AQ94" s="212"/>
      <c r="AR94" s="212"/>
      <c r="AS94" s="212"/>
      <c r="AT94" s="212"/>
      <c r="AU94" s="212"/>
      <c r="BK94" s="195"/>
      <c r="BL94" s="195"/>
      <c r="BM94" s="195"/>
      <c r="BN94" s="195"/>
      <c r="BO94" s="574"/>
      <c r="BP94" s="714"/>
      <c r="BQ94" s="714"/>
      <c r="BR94" s="714"/>
      <c r="BS94" s="714"/>
      <c r="BT94" s="715"/>
    </row>
    <row r="95" spans="1:75">
      <c r="AP95" s="217"/>
      <c r="AQ95" s="215"/>
      <c r="AR95" s="215"/>
      <c r="AS95" s="215"/>
      <c r="AT95" s="215"/>
      <c r="AU95" s="215"/>
      <c r="BK95" s="598"/>
      <c r="BL95" s="598"/>
      <c r="BM95" s="598"/>
      <c r="BN95" s="598"/>
      <c r="BO95" s="465"/>
      <c r="BP95" s="465"/>
      <c r="BQ95" s="465"/>
      <c r="BR95" s="465"/>
      <c r="BS95" s="465"/>
      <c r="BT95" s="465"/>
    </row>
    <row r="96" spans="1:75">
      <c r="AP96" s="185" t="s">
        <v>414</v>
      </c>
      <c r="AQ96" s="216">
        <f>AQ90</f>
        <v>3.5999999999999997E-2</v>
      </c>
      <c r="AR96" s="216">
        <f>AR90</f>
        <v>2.8000000000000001E-2</v>
      </c>
      <c r="AS96" s="216">
        <f>AS89+AS90</f>
        <v>2.7E-2</v>
      </c>
      <c r="AT96" s="216">
        <f>AT89+AT90</f>
        <v>5.5999999999999994E-2</v>
      </c>
      <c r="AU96" s="219"/>
      <c r="BK96" s="711"/>
      <c r="BL96" s="711"/>
      <c r="BM96" s="711"/>
      <c r="BN96" s="711"/>
      <c r="BO96" s="466"/>
      <c r="BP96" s="466"/>
      <c r="BQ96" s="466"/>
      <c r="BR96" s="466"/>
      <c r="BS96" s="466"/>
      <c r="BT96" s="466"/>
    </row>
    <row r="97" spans="63:72">
      <c r="BO97" s="464"/>
      <c r="BP97" s="464"/>
      <c r="BQ97" s="464"/>
      <c r="BR97" s="464"/>
      <c r="BS97" s="464"/>
      <c r="BT97" s="464"/>
    </row>
    <row r="98" spans="63:72">
      <c r="BK98" s="602"/>
      <c r="BL98" s="602"/>
      <c r="BM98" s="602"/>
      <c r="BN98" s="602"/>
      <c r="BO98" s="576"/>
      <c r="BP98" s="576"/>
      <c r="BQ98" s="576"/>
      <c r="BR98" s="576"/>
      <c r="BS98" s="576"/>
      <c r="BT98" s="576"/>
    </row>
    <row r="99" spans="63:72">
      <c r="BK99" s="602"/>
      <c r="BL99" s="602"/>
      <c r="BM99" s="602"/>
      <c r="BN99" s="602"/>
      <c r="BO99" s="576"/>
      <c r="BP99" s="576"/>
      <c r="BQ99" s="576"/>
      <c r="BR99" s="576"/>
      <c r="BS99" s="576"/>
      <c r="BT99" s="576"/>
    </row>
    <row r="1947" spans="52:72">
      <c r="BK1947" s="712"/>
      <c r="BL1947" s="712"/>
      <c r="BM1947" s="712"/>
      <c r="BN1947" s="712"/>
      <c r="BO1947" s="149"/>
      <c r="BP1947" s="149"/>
      <c r="BQ1947" s="149"/>
      <c r="BR1947" s="149"/>
      <c r="BS1947" s="149"/>
      <c r="BT1947" s="149"/>
    </row>
    <row r="1948" spans="52:72">
      <c r="BK1948" s="712"/>
      <c r="BL1948" s="712"/>
      <c r="BM1948" s="712"/>
      <c r="BN1948" s="712"/>
      <c r="BO1948" s="149"/>
      <c r="BP1948" s="149"/>
      <c r="BQ1948" s="149"/>
      <c r="BR1948" s="149"/>
      <c r="BS1948" s="149"/>
      <c r="BT1948" s="149"/>
    </row>
    <row r="1949" spans="52:72">
      <c r="AZ1949" s="149"/>
      <c r="BA1949" s="149"/>
      <c r="BB1949" s="149"/>
      <c r="BC1949" s="149"/>
      <c r="BE1949" s="149"/>
      <c r="BF1949" s="149"/>
      <c r="BG1949" s="149"/>
      <c r="BH1949" s="149"/>
      <c r="BI1949" s="149"/>
      <c r="BJ1949" s="149"/>
      <c r="BK1949" s="712"/>
      <c r="BL1949" s="712"/>
      <c r="BM1949" s="712"/>
      <c r="BN1949" s="712"/>
      <c r="BO1949" s="149"/>
      <c r="BP1949" s="149"/>
      <c r="BQ1949" s="149"/>
      <c r="BR1949" s="149"/>
      <c r="BS1949" s="149"/>
      <c r="BT1949" s="149"/>
    </row>
    <row r="1950" spans="52:72">
      <c r="AZ1950" s="149"/>
      <c r="BA1950" s="149"/>
      <c r="BB1950" s="149"/>
      <c r="BC1950" s="149"/>
      <c r="BE1950" s="149"/>
      <c r="BF1950" s="149"/>
      <c r="BG1950" s="149"/>
      <c r="BH1950" s="149"/>
      <c r="BI1950" s="149"/>
      <c r="BJ1950" s="149"/>
      <c r="BK1950" s="712"/>
      <c r="BL1950" s="712"/>
      <c r="BM1950" s="712"/>
      <c r="BN1950" s="712"/>
      <c r="BO1950" s="149"/>
      <c r="BP1950" s="149"/>
      <c r="BQ1950" s="149"/>
      <c r="BR1950" s="149"/>
      <c r="BS1950" s="149"/>
      <c r="BT1950" s="149"/>
    </row>
    <row r="1951" spans="52:72">
      <c r="AZ1951" s="149"/>
      <c r="BA1951" s="149"/>
      <c r="BB1951" s="149"/>
      <c r="BC1951" s="149"/>
      <c r="BE1951" s="149"/>
      <c r="BF1951" s="149"/>
      <c r="BG1951" s="149"/>
      <c r="BH1951" s="149"/>
      <c r="BI1951" s="149"/>
      <c r="BJ1951" s="149"/>
      <c r="BK1951" s="712"/>
      <c r="BL1951" s="712"/>
      <c r="BM1951" s="712"/>
      <c r="BN1951" s="712"/>
      <c r="BO1951" s="149"/>
      <c r="BP1951" s="149"/>
      <c r="BQ1951" s="149"/>
      <c r="BR1951" s="149"/>
      <c r="BS1951" s="149"/>
      <c r="BT1951" s="149"/>
    </row>
    <row r="1952" spans="52:72">
      <c r="AZ1952" s="149"/>
      <c r="BA1952" s="149"/>
      <c r="BB1952" s="149"/>
      <c r="BC1952" s="149"/>
      <c r="BE1952" s="149"/>
      <c r="BF1952" s="149"/>
      <c r="BG1952" s="149"/>
      <c r="BH1952" s="149"/>
      <c r="BI1952" s="149"/>
      <c r="BJ1952" s="149"/>
      <c r="BK1952" s="712"/>
      <c r="BL1952" s="712"/>
      <c r="BM1952" s="712"/>
      <c r="BN1952" s="712"/>
      <c r="BO1952" s="149"/>
      <c r="BP1952" s="149"/>
      <c r="BQ1952" s="149"/>
      <c r="BR1952" s="149"/>
      <c r="BS1952" s="149"/>
      <c r="BT1952" s="149"/>
    </row>
    <row r="1953" spans="52:72">
      <c r="AZ1953" s="149"/>
      <c r="BA1953" s="149"/>
      <c r="BB1953" s="149"/>
      <c r="BC1953" s="149"/>
      <c r="BE1953" s="149"/>
      <c r="BF1953" s="149"/>
      <c r="BG1953" s="149"/>
      <c r="BH1953" s="149"/>
      <c r="BI1953" s="149"/>
      <c r="BJ1953" s="149"/>
      <c r="BK1953" s="712"/>
      <c r="BL1953" s="712"/>
      <c r="BM1953" s="712"/>
      <c r="BN1953" s="712"/>
      <c r="BO1953" s="149"/>
      <c r="BP1953" s="149"/>
      <c r="BQ1953" s="149"/>
      <c r="BR1953" s="149"/>
      <c r="BS1953" s="149"/>
      <c r="BT1953" s="149"/>
    </row>
    <row r="1954" spans="52:72">
      <c r="AZ1954" s="149"/>
      <c r="BA1954" s="149"/>
      <c r="BB1954" s="149"/>
      <c r="BC1954" s="149"/>
      <c r="BE1954" s="149"/>
      <c r="BF1954" s="149"/>
      <c r="BG1954" s="149"/>
      <c r="BH1954" s="149"/>
      <c r="BI1954" s="149"/>
      <c r="BJ1954" s="149"/>
      <c r="BK1954" s="712"/>
      <c r="BL1954" s="712"/>
      <c r="BM1954" s="712"/>
      <c r="BN1954" s="712"/>
      <c r="BO1954" s="149"/>
      <c r="BP1954" s="149"/>
      <c r="BQ1954" s="149"/>
      <c r="BR1954" s="149"/>
      <c r="BS1954" s="149"/>
      <c r="BT1954" s="149"/>
    </row>
    <row r="1955" spans="52:72">
      <c r="AZ1955" s="149"/>
      <c r="BA1955" s="149"/>
      <c r="BB1955" s="149"/>
      <c r="BC1955" s="149"/>
      <c r="BE1955" s="149"/>
      <c r="BF1955" s="149"/>
      <c r="BG1955" s="149"/>
      <c r="BH1955" s="149"/>
      <c r="BI1955" s="149"/>
      <c r="BJ1955" s="149"/>
      <c r="BK1955" s="712"/>
      <c r="BL1955" s="712"/>
      <c r="BM1955" s="712"/>
      <c r="BN1955" s="712"/>
      <c r="BO1955" s="149"/>
      <c r="BP1955" s="149"/>
      <c r="BQ1955" s="149"/>
      <c r="BR1955" s="149"/>
      <c r="BS1955" s="149"/>
      <c r="BT1955" s="149"/>
    </row>
    <row r="1956" spans="52:72">
      <c r="AZ1956" s="149"/>
      <c r="BA1956" s="149"/>
      <c r="BB1956" s="149"/>
      <c r="BC1956" s="149"/>
      <c r="BE1956" s="149"/>
      <c r="BF1956" s="149"/>
      <c r="BG1956" s="149"/>
      <c r="BH1956" s="149"/>
      <c r="BI1956" s="149"/>
      <c r="BJ1956" s="149"/>
      <c r="BK1956" s="712"/>
      <c r="BL1956" s="712"/>
      <c r="BM1956" s="712"/>
      <c r="BN1956" s="712"/>
      <c r="BO1956" s="149"/>
      <c r="BP1956" s="149"/>
      <c r="BQ1956" s="149"/>
      <c r="BR1956" s="149"/>
      <c r="BS1956" s="149"/>
      <c r="BT1956" s="149"/>
    </row>
    <row r="1957" spans="52:72">
      <c r="AZ1957" s="149"/>
      <c r="BA1957" s="149"/>
      <c r="BB1957" s="149"/>
      <c r="BC1957" s="149"/>
      <c r="BE1957" s="149"/>
      <c r="BF1957" s="149"/>
      <c r="BG1957" s="149"/>
      <c r="BH1957" s="149"/>
      <c r="BI1957" s="149"/>
      <c r="BJ1957" s="149"/>
      <c r="BK1957" s="712"/>
      <c r="BL1957" s="712"/>
      <c r="BM1957" s="712"/>
      <c r="BN1957" s="712"/>
      <c r="BO1957" s="149"/>
      <c r="BP1957" s="149"/>
      <c r="BQ1957" s="149"/>
      <c r="BR1957" s="149"/>
      <c r="BS1957" s="149"/>
      <c r="BT1957" s="149"/>
    </row>
    <row r="1958" spans="52:72">
      <c r="AZ1958" s="149"/>
      <c r="BA1958" s="149"/>
      <c r="BB1958" s="149"/>
      <c r="BC1958" s="149"/>
      <c r="BE1958" s="149"/>
      <c r="BF1958" s="149"/>
      <c r="BG1958" s="149"/>
      <c r="BH1958" s="149"/>
      <c r="BI1958" s="149"/>
      <c r="BJ1958" s="149"/>
      <c r="BK1958" s="712"/>
      <c r="BL1958" s="712"/>
      <c r="BM1958" s="712"/>
      <c r="BN1958" s="712"/>
      <c r="BO1958" s="149"/>
      <c r="BP1958" s="149"/>
      <c r="BQ1958" s="149"/>
      <c r="BR1958" s="149"/>
      <c r="BS1958" s="149"/>
      <c r="BT1958" s="149"/>
    </row>
    <row r="1959" spans="52:72">
      <c r="AZ1959" s="149"/>
      <c r="BA1959" s="149"/>
      <c r="BB1959" s="149"/>
      <c r="BC1959" s="149"/>
      <c r="BE1959" s="149"/>
      <c r="BF1959" s="149"/>
      <c r="BG1959" s="149"/>
      <c r="BH1959" s="149"/>
      <c r="BI1959" s="149"/>
      <c r="BJ1959" s="149"/>
      <c r="BK1959" s="712"/>
      <c r="BL1959" s="712"/>
      <c r="BM1959" s="712"/>
      <c r="BN1959" s="712"/>
      <c r="BO1959" s="149"/>
      <c r="BP1959" s="149"/>
      <c r="BQ1959" s="149"/>
      <c r="BR1959" s="149"/>
      <c r="BS1959" s="149"/>
      <c r="BT1959" s="149"/>
    </row>
    <row r="1960" spans="52:72">
      <c r="AZ1960" s="149"/>
      <c r="BA1960" s="149"/>
      <c r="BB1960" s="149"/>
      <c r="BC1960" s="149"/>
      <c r="BE1960" s="149"/>
      <c r="BF1960" s="149"/>
      <c r="BG1960" s="149"/>
      <c r="BH1960" s="149"/>
      <c r="BI1960" s="149"/>
      <c r="BJ1960" s="149"/>
      <c r="BK1960" s="712"/>
      <c r="BL1960" s="712"/>
      <c r="BM1960" s="712"/>
      <c r="BN1960" s="712"/>
      <c r="BO1960" s="149"/>
      <c r="BP1960" s="149"/>
      <c r="BQ1960" s="149"/>
      <c r="BR1960" s="149"/>
      <c r="BS1960" s="149"/>
      <c r="BT1960" s="149"/>
    </row>
    <row r="1961" spans="52:72">
      <c r="AZ1961" s="149"/>
      <c r="BA1961" s="149"/>
      <c r="BB1961" s="149"/>
      <c r="BC1961" s="149"/>
      <c r="BE1961" s="149"/>
      <c r="BF1961" s="149"/>
      <c r="BG1961" s="149"/>
      <c r="BH1961" s="149"/>
      <c r="BI1961" s="149"/>
      <c r="BJ1961" s="149"/>
      <c r="BK1961" s="712"/>
      <c r="BL1961" s="712"/>
      <c r="BM1961" s="712"/>
      <c r="BN1961" s="712"/>
      <c r="BO1961" s="149"/>
      <c r="BP1961" s="149"/>
      <c r="BQ1961" s="149"/>
      <c r="BR1961" s="149"/>
      <c r="BS1961" s="149"/>
      <c r="BT1961" s="149"/>
    </row>
    <row r="1962" spans="52:72">
      <c r="AZ1962" s="149"/>
      <c r="BA1962" s="149"/>
      <c r="BB1962" s="149"/>
      <c r="BC1962" s="149"/>
      <c r="BE1962" s="149"/>
      <c r="BF1962" s="149"/>
      <c r="BG1962" s="149"/>
      <c r="BH1962" s="149"/>
      <c r="BI1962" s="149"/>
      <c r="BJ1962" s="149"/>
      <c r="BK1962" s="712"/>
      <c r="BL1962" s="712"/>
      <c r="BM1962" s="712"/>
      <c r="BN1962" s="712"/>
      <c r="BO1962" s="149"/>
      <c r="BP1962" s="149"/>
      <c r="BQ1962" s="149"/>
      <c r="BR1962" s="149"/>
      <c r="BS1962" s="149"/>
      <c r="BT1962" s="149"/>
    </row>
    <row r="1963" spans="52:72">
      <c r="AZ1963" s="149"/>
      <c r="BA1963" s="149"/>
      <c r="BB1963" s="149"/>
      <c r="BC1963" s="149"/>
      <c r="BE1963" s="149"/>
      <c r="BF1963" s="149"/>
      <c r="BG1963" s="149"/>
      <c r="BH1963" s="149"/>
      <c r="BI1963" s="149"/>
      <c r="BJ1963" s="149"/>
      <c r="BK1963" s="712"/>
      <c r="BL1963" s="712"/>
      <c r="BM1963" s="712"/>
      <c r="BN1963" s="712"/>
      <c r="BO1963" s="149"/>
      <c r="BP1963" s="149"/>
      <c r="BQ1963" s="149"/>
      <c r="BR1963" s="149"/>
      <c r="BS1963" s="149"/>
      <c r="BT1963" s="149"/>
    </row>
    <row r="1964" spans="52:72">
      <c r="AZ1964" s="149"/>
      <c r="BA1964" s="149"/>
      <c r="BB1964" s="149"/>
      <c r="BC1964" s="149"/>
      <c r="BE1964" s="149"/>
      <c r="BF1964" s="149"/>
      <c r="BG1964" s="149"/>
      <c r="BH1964" s="149"/>
      <c r="BI1964" s="149"/>
      <c r="BJ1964" s="149"/>
      <c r="BK1964" s="712"/>
      <c r="BL1964" s="712"/>
      <c r="BM1964" s="712"/>
      <c r="BN1964" s="712"/>
      <c r="BO1964" s="149"/>
      <c r="BP1964" s="149"/>
      <c r="BQ1964" s="149"/>
      <c r="BR1964" s="149"/>
      <c r="BS1964" s="149"/>
      <c r="BT1964" s="149"/>
    </row>
    <row r="1965" spans="52:72">
      <c r="AZ1965" s="149"/>
      <c r="BA1965" s="149"/>
      <c r="BB1965" s="149"/>
      <c r="BC1965" s="149"/>
      <c r="BE1965" s="149"/>
      <c r="BF1965" s="149"/>
      <c r="BG1965" s="149"/>
      <c r="BH1965" s="149"/>
      <c r="BI1965" s="149"/>
      <c r="BJ1965" s="149"/>
      <c r="BK1965" s="712"/>
      <c r="BL1965" s="712"/>
      <c r="BM1965" s="712"/>
      <c r="BN1965" s="712"/>
      <c r="BO1965" s="149"/>
      <c r="BP1965" s="149"/>
      <c r="BQ1965" s="149"/>
      <c r="BR1965" s="149"/>
      <c r="BS1965" s="149"/>
      <c r="BT1965" s="149"/>
    </row>
    <row r="1966" spans="52:72">
      <c r="AZ1966" s="149"/>
      <c r="BA1966" s="149"/>
      <c r="BB1966" s="149"/>
      <c r="BC1966" s="149"/>
      <c r="BE1966" s="149"/>
      <c r="BF1966" s="149"/>
      <c r="BG1966" s="149"/>
      <c r="BH1966" s="149"/>
      <c r="BI1966" s="149"/>
      <c r="BJ1966" s="149"/>
      <c r="BK1966" s="712"/>
      <c r="BL1966" s="712"/>
      <c r="BM1966" s="712"/>
      <c r="BN1966" s="712"/>
      <c r="BO1966" s="149"/>
      <c r="BP1966" s="149"/>
      <c r="BQ1966" s="149"/>
      <c r="BR1966" s="149"/>
      <c r="BS1966" s="149"/>
      <c r="BT1966" s="149"/>
    </row>
    <row r="1967" spans="52:72">
      <c r="AZ1967" s="149"/>
      <c r="BA1967" s="149"/>
      <c r="BB1967" s="149"/>
      <c r="BC1967" s="149"/>
      <c r="BE1967" s="149"/>
      <c r="BF1967" s="149"/>
      <c r="BG1967" s="149"/>
      <c r="BH1967" s="149"/>
      <c r="BI1967" s="149"/>
      <c r="BJ1967" s="149"/>
      <c r="BK1967" s="712"/>
      <c r="BL1967" s="712"/>
      <c r="BM1967" s="712"/>
      <c r="BN1967" s="712"/>
      <c r="BO1967" s="149"/>
      <c r="BP1967" s="149"/>
      <c r="BQ1967" s="149"/>
      <c r="BR1967" s="149"/>
      <c r="BS1967" s="149"/>
      <c r="BT1967" s="149"/>
    </row>
    <row r="1968" spans="52:72">
      <c r="AZ1968" s="149"/>
      <c r="BA1968" s="149"/>
      <c r="BB1968" s="149"/>
      <c r="BC1968" s="149"/>
      <c r="BE1968" s="149"/>
      <c r="BF1968" s="149"/>
      <c r="BG1968" s="149"/>
      <c r="BH1968" s="149"/>
      <c r="BI1968" s="149"/>
      <c r="BJ1968" s="149"/>
      <c r="BK1968" s="712"/>
      <c r="BL1968" s="712"/>
      <c r="BM1968" s="712"/>
      <c r="BN1968" s="712"/>
      <c r="BO1968" s="149"/>
      <c r="BP1968" s="149"/>
      <c r="BQ1968" s="149"/>
      <c r="BR1968" s="149"/>
      <c r="BS1968" s="149"/>
      <c r="BT1968" s="149"/>
    </row>
    <row r="1969" spans="52:72">
      <c r="AZ1969" s="149"/>
      <c r="BA1969" s="149"/>
      <c r="BB1969" s="149"/>
      <c r="BC1969" s="149"/>
      <c r="BE1969" s="149"/>
      <c r="BF1969" s="149"/>
      <c r="BG1969" s="149"/>
      <c r="BH1969" s="149"/>
      <c r="BI1969" s="149"/>
      <c r="BJ1969" s="149"/>
      <c r="BK1969" s="712"/>
      <c r="BL1969" s="712"/>
      <c r="BM1969" s="712"/>
      <c r="BN1969" s="712"/>
      <c r="BO1969" s="149"/>
      <c r="BP1969" s="149"/>
      <c r="BQ1969" s="149"/>
      <c r="BR1969" s="149"/>
      <c r="BS1969" s="149"/>
      <c r="BT1969" s="149"/>
    </row>
    <row r="1970" spans="52:72">
      <c r="AZ1970" s="149"/>
      <c r="BA1970" s="149"/>
      <c r="BB1970" s="149"/>
      <c r="BC1970" s="149"/>
      <c r="BE1970" s="149"/>
      <c r="BF1970" s="149"/>
      <c r="BG1970" s="149"/>
      <c r="BH1970" s="149"/>
      <c r="BI1970" s="149"/>
      <c r="BJ1970" s="149"/>
      <c r="BK1970" s="712"/>
      <c r="BL1970" s="712"/>
      <c r="BM1970" s="712"/>
      <c r="BN1970" s="712"/>
      <c r="BO1970" s="149"/>
      <c r="BP1970" s="149"/>
      <c r="BQ1970" s="149"/>
      <c r="BR1970" s="149"/>
      <c r="BS1970" s="149"/>
      <c r="BT1970" s="149"/>
    </row>
    <row r="1971" spans="52:72">
      <c r="AZ1971" s="149"/>
      <c r="BA1971" s="149"/>
      <c r="BB1971" s="149"/>
      <c r="BC1971" s="149"/>
      <c r="BE1971" s="149"/>
      <c r="BF1971" s="149"/>
      <c r="BG1971" s="149"/>
      <c r="BH1971" s="149"/>
      <c r="BI1971" s="149"/>
      <c r="BJ1971" s="149"/>
      <c r="BK1971" s="712"/>
      <c r="BL1971" s="712"/>
      <c r="BM1971" s="712"/>
      <c r="BN1971" s="712"/>
      <c r="BO1971" s="149"/>
      <c r="BP1971" s="149"/>
      <c r="BQ1971" s="149"/>
      <c r="BR1971" s="149"/>
      <c r="BS1971" s="149"/>
      <c r="BT1971" s="149"/>
    </row>
    <row r="1972" spans="52:72">
      <c r="AZ1972" s="149"/>
      <c r="BA1972" s="149"/>
      <c r="BB1972" s="149"/>
      <c r="BC1972" s="149"/>
      <c r="BE1972" s="149"/>
      <c r="BF1972" s="149"/>
      <c r="BG1972" s="149"/>
      <c r="BH1972" s="149"/>
      <c r="BI1972" s="149"/>
      <c r="BJ1972" s="149"/>
      <c r="BK1972" s="712"/>
      <c r="BL1972" s="712"/>
      <c r="BM1972" s="712"/>
      <c r="BN1972" s="712"/>
      <c r="BO1972" s="149"/>
      <c r="BP1972" s="149"/>
      <c r="BQ1972" s="149"/>
      <c r="BR1972" s="149"/>
      <c r="BS1972" s="149"/>
      <c r="BT1972" s="149"/>
    </row>
    <row r="1973" spans="52:72">
      <c r="AZ1973" s="149"/>
      <c r="BA1973" s="149"/>
      <c r="BB1973" s="149"/>
      <c r="BC1973" s="149"/>
      <c r="BE1973" s="149"/>
      <c r="BF1973" s="149"/>
      <c r="BG1973" s="149"/>
      <c r="BH1973" s="149"/>
      <c r="BI1973" s="149"/>
      <c r="BJ1973" s="149"/>
      <c r="BK1973" s="712"/>
      <c r="BL1973" s="712"/>
      <c r="BM1973" s="712"/>
      <c r="BN1973" s="712"/>
      <c r="BO1973" s="149"/>
      <c r="BP1973" s="149"/>
      <c r="BQ1973" s="149"/>
      <c r="BR1973" s="149"/>
      <c r="BS1973" s="149"/>
      <c r="BT1973" s="149"/>
    </row>
    <row r="1974" spans="52:72">
      <c r="AZ1974" s="149"/>
      <c r="BA1974" s="149"/>
      <c r="BB1974" s="149"/>
      <c r="BC1974" s="149"/>
      <c r="BE1974" s="149"/>
      <c r="BF1974" s="149"/>
      <c r="BG1974" s="149"/>
      <c r="BH1974" s="149"/>
      <c r="BI1974" s="149"/>
      <c r="BJ1974" s="149"/>
      <c r="BK1974" s="712"/>
      <c r="BL1974" s="712"/>
      <c r="BM1974" s="712"/>
      <c r="BN1974" s="712"/>
      <c r="BO1974" s="149"/>
      <c r="BP1974" s="149"/>
      <c r="BQ1974" s="149"/>
      <c r="BR1974" s="149"/>
      <c r="BS1974" s="149"/>
      <c r="BT1974" s="149"/>
    </row>
    <row r="1975" spans="52:72">
      <c r="AZ1975" s="149"/>
      <c r="BA1975" s="149"/>
      <c r="BB1975" s="149"/>
      <c r="BC1975" s="149"/>
      <c r="BE1975" s="149"/>
      <c r="BF1975" s="149"/>
      <c r="BG1975" s="149"/>
      <c r="BH1975" s="149"/>
      <c r="BI1975" s="149"/>
      <c r="BJ1975" s="149"/>
      <c r="BK1975" s="712"/>
      <c r="BL1975" s="712"/>
      <c r="BM1975" s="712"/>
      <c r="BN1975" s="712"/>
      <c r="BO1975" s="149"/>
      <c r="BP1975" s="149"/>
      <c r="BQ1975" s="149"/>
      <c r="BR1975" s="149"/>
      <c r="BS1975" s="149"/>
      <c r="BT1975" s="149"/>
    </row>
    <row r="1976" spans="52:72">
      <c r="AZ1976" s="149"/>
      <c r="BA1976" s="149"/>
      <c r="BB1976" s="149"/>
      <c r="BC1976" s="149"/>
      <c r="BE1976" s="149"/>
      <c r="BF1976" s="149"/>
      <c r="BG1976" s="149"/>
      <c r="BH1976" s="149"/>
      <c r="BI1976" s="149"/>
      <c r="BJ1976" s="149"/>
      <c r="BK1976" s="712"/>
      <c r="BL1976" s="712"/>
      <c r="BM1976" s="712"/>
      <c r="BN1976" s="712"/>
      <c r="BO1976" s="149"/>
      <c r="BP1976" s="149"/>
      <c r="BQ1976" s="149"/>
      <c r="BR1976" s="149"/>
      <c r="BS1976" s="149"/>
      <c r="BT1976" s="149"/>
    </row>
    <row r="1977" spans="52:72">
      <c r="AZ1977" s="149"/>
      <c r="BA1977" s="149"/>
      <c r="BB1977" s="149"/>
      <c r="BC1977" s="149"/>
      <c r="BE1977" s="149"/>
      <c r="BF1977" s="149"/>
      <c r="BG1977" s="149"/>
      <c r="BH1977" s="149"/>
      <c r="BI1977" s="149"/>
      <c r="BJ1977" s="149"/>
      <c r="BK1977" s="712"/>
      <c r="BL1977" s="712"/>
      <c r="BM1977" s="712"/>
      <c r="BN1977" s="712"/>
      <c r="BO1977" s="149"/>
      <c r="BP1977" s="149"/>
      <c r="BQ1977" s="149"/>
      <c r="BR1977" s="149"/>
      <c r="BS1977" s="149"/>
      <c r="BT1977" s="149"/>
    </row>
    <row r="1978" spans="52:72">
      <c r="AZ1978" s="149"/>
      <c r="BA1978" s="149"/>
      <c r="BB1978" s="149"/>
      <c r="BC1978" s="149"/>
      <c r="BE1978" s="149"/>
      <c r="BF1978" s="149"/>
      <c r="BG1978" s="149"/>
      <c r="BH1978" s="149"/>
      <c r="BI1978" s="149"/>
      <c r="BJ1978" s="149"/>
      <c r="BK1978" s="712"/>
      <c r="BL1978" s="712"/>
      <c r="BM1978" s="712"/>
      <c r="BN1978" s="712"/>
      <c r="BO1978" s="149"/>
      <c r="BP1978" s="149"/>
      <c r="BQ1978" s="149"/>
      <c r="BR1978" s="149"/>
      <c r="BS1978" s="149"/>
      <c r="BT1978" s="149"/>
    </row>
    <row r="1979" spans="52:72">
      <c r="AZ1979" s="149"/>
      <c r="BA1979" s="149"/>
      <c r="BB1979" s="149"/>
      <c r="BC1979" s="149"/>
      <c r="BE1979" s="149"/>
      <c r="BF1979" s="149"/>
      <c r="BG1979" s="149"/>
      <c r="BH1979" s="149"/>
      <c r="BI1979" s="149"/>
      <c r="BJ1979" s="149"/>
      <c r="BK1979" s="712"/>
      <c r="BL1979" s="712"/>
      <c r="BM1979" s="712"/>
      <c r="BN1979" s="712"/>
      <c r="BO1979" s="149"/>
      <c r="BP1979" s="149"/>
      <c r="BQ1979" s="149"/>
      <c r="BR1979" s="149"/>
      <c r="BS1979" s="149"/>
      <c r="BT1979" s="149"/>
    </row>
    <row r="1980" spans="52:72">
      <c r="AZ1980" s="149"/>
      <c r="BA1980" s="149"/>
      <c r="BB1980" s="149"/>
      <c r="BC1980" s="149"/>
      <c r="BE1980" s="149"/>
      <c r="BF1980" s="149"/>
      <c r="BG1980" s="149"/>
      <c r="BH1980" s="149"/>
      <c r="BI1980" s="149"/>
      <c r="BJ1980" s="149"/>
      <c r="BK1980" s="712"/>
      <c r="BL1980" s="712"/>
      <c r="BM1980" s="712"/>
      <c r="BN1980" s="712"/>
      <c r="BO1980" s="149"/>
      <c r="BP1980" s="149"/>
      <c r="BQ1980" s="149"/>
      <c r="BR1980" s="149"/>
      <c r="BS1980" s="149"/>
      <c r="BT1980" s="149"/>
    </row>
    <row r="1981" spans="52:72">
      <c r="AZ1981" s="149"/>
      <c r="BA1981" s="149"/>
      <c r="BB1981" s="149"/>
      <c r="BC1981" s="149"/>
      <c r="BE1981" s="149"/>
      <c r="BF1981" s="149"/>
      <c r="BG1981" s="149"/>
      <c r="BH1981" s="149"/>
      <c r="BI1981" s="149"/>
      <c r="BJ1981" s="149"/>
      <c r="BK1981" s="712"/>
      <c r="BL1981" s="712"/>
      <c r="BM1981" s="712"/>
      <c r="BN1981" s="712"/>
      <c r="BO1981" s="149"/>
      <c r="BP1981" s="149"/>
      <c r="BQ1981" s="149"/>
      <c r="BR1981" s="149"/>
      <c r="BS1981" s="149"/>
      <c r="BT1981" s="149"/>
    </row>
    <row r="1982" spans="52:72">
      <c r="AZ1982" s="149"/>
      <c r="BA1982" s="149"/>
      <c r="BB1982" s="149"/>
      <c r="BC1982" s="149"/>
      <c r="BE1982" s="149"/>
      <c r="BF1982" s="149"/>
      <c r="BG1982" s="149"/>
      <c r="BH1982" s="149"/>
      <c r="BI1982" s="149"/>
      <c r="BJ1982" s="149"/>
      <c r="BK1982" s="712"/>
      <c r="BL1982" s="712"/>
      <c r="BM1982" s="712"/>
      <c r="BN1982" s="712"/>
      <c r="BO1982" s="149"/>
      <c r="BP1982" s="149"/>
      <c r="BQ1982" s="149"/>
      <c r="BR1982" s="149"/>
      <c r="BS1982" s="149"/>
      <c r="BT1982" s="149"/>
    </row>
    <row r="1983" spans="52:72">
      <c r="AZ1983" s="149"/>
      <c r="BA1983" s="149"/>
      <c r="BB1983" s="149"/>
      <c r="BC1983" s="149"/>
      <c r="BE1983" s="149"/>
      <c r="BF1983" s="149"/>
      <c r="BG1983" s="149"/>
      <c r="BH1983" s="149"/>
      <c r="BI1983" s="149"/>
      <c r="BJ1983" s="149"/>
      <c r="BK1983" s="712"/>
      <c r="BL1983" s="712"/>
      <c r="BM1983" s="712"/>
      <c r="BN1983" s="712"/>
      <c r="BO1983" s="149"/>
      <c r="BP1983" s="149"/>
      <c r="BQ1983" s="149"/>
      <c r="BR1983" s="149"/>
      <c r="BS1983" s="149"/>
      <c r="BT1983" s="149"/>
    </row>
    <row r="1984" spans="52:72">
      <c r="AZ1984" s="149"/>
      <c r="BA1984" s="149"/>
      <c r="BB1984" s="149"/>
      <c r="BC1984" s="149"/>
      <c r="BE1984" s="149"/>
      <c r="BF1984" s="149"/>
      <c r="BG1984" s="149"/>
      <c r="BH1984" s="149"/>
      <c r="BI1984" s="149"/>
      <c r="BJ1984" s="149"/>
      <c r="BK1984" s="712"/>
      <c r="BL1984" s="712"/>
      <c r="BM1984" s="712"/>
      <c r="BN1984" s="712"/>
      <c r="BO1984" s="149"/>
      <c r="BP1984" s="149"/>
      <c r="BQ1984" s="149"/>
      <c r="BR1984" s="149"/>
      <c r="BS1984" s="149"/>
      <c r="BT1984" s="149"/>
    </row>
    <row r="1985" spans="52:72">
      <c r="AZ1985" s="149"/>
      <c r="BA1985" s="149"/>
      <c r="BB1985" s="149"/>
      <c r="BC1985" s="149"/>
      <c r="BE1985" s="149"/>
      <c r="BF1985" s="149"/>
      <c r="BG1985" s="149"/>
      <c r="BH1985" s="149"/>
      <c r="BI1985" s="149"/>
      <c r="BJ1985" s="149"/>
      <c r="BK1985" s="712"/>
      <c r="BL1985" s="712"/>
      <c r="BM1985" s="712"/>
      <c r="BN1985" s="712"/>
      <c r="BO1985" s="149"/>
      <c r="BP1985" s="149"/>
      <c r="BQ1985" s="149"/>
      <c r="BR1985" s="149"/>
      <c r="BS1985" s="149"/>
      <c r="BT1985" s="149"/>
    </row>
    <row r="1986" spans="52:72">
      <c r="AZ1986" s="149"/>
      <c r="BA1986" s="149"/>
      <c r="BB1986" s="149"/>
      <c r="BC1986" s="149"/>
      <c r="BE1986" s="149"/>
      <c r="BF1986" s="149"/>
      <c r="BG1986" s="149"/>
      <c r="BH1986" s="149"/>
      <c r="BI1986" s="149"/>
      <c r="BJ1986" s="149"/>
      <c r="BK1986" s="712"/>
      <c r="BL1986" s="712"/>
      <c r="BM1986" s="712"/>
      <c r="BN1986" s="712"/>
      <c r="BO1986" s="149"/>
      <c r="BP1986" s="149"/>
      <c r="BQ1986" s="149"/>
      <c r="BR1986" s="149"/>
      <c r="BS1986" s="149"/>
      <c r="BT1986" s="149"/>
    </row>
    <row r="1987" spans="52:72">
      <c r="AZ1987" s="149"/>
      <c r="BA1987" s="149"/>
      <c r="BB1987" s="149"/>
      <c r="BC1987" s="149"/>
      <c r="BE1987" s="149"/>
      <c r="BF1987" s="149"/>
      <c r="BG1987" s="149"/>
      <c r="BH1987" s="149"/>
      <c r="BI1987" s="149"/>
      <c r="BJ1987" s="149"/>
      <c r="BK1987" s="712"/>
      <c r="BL1987" s="712"/>
      <c r="BM1987" s="712"/>
      <c r="BN1987" s="712"/>
      <c r="BO1987" s="149"/>
      <c r="BP1987" s="149"/>
      <c r="BQ1987" s="149"/>
      <c r="BR1987" s="149"/>
      <c r="BS1987" s="149"/>
      <c r="BT1987" s="149"/>
    </row>
    <row r="1988" spans="52:72">
      <c r="AZ1988" s="149"/>
      <c r="BA1988" s="149"/>
      <c r="BB1988" s="149"/>
      <c r="BC1988" s="149"/>
      <c r="BE1988" s="149"/>
      <c r="BF1988" s="149"/>
      <c r="BG1988" s="149"/>
      <c r="BH1988" s="149"/>
      <c r="BI1988" s="149"/>
      <c r="BJ1988" s="149"/>
      <c r="BK1988" s="712"/>
      <c r="BL1988" s="712"/>
      <c r="BM1988" s="712"/>
      <c r="BN1988" s="712"/>
      <c r="BO1988" s="149"/>
      <c r="BP1988" s="149"/>
      <c r="BQ1988" s="149"/>
      <c r="BR1988" s="149"/>
      <c r="BS1988" s="149"/>
      <c r="BT1988" s="149"/>
    </row>
    <row r="1989" spans="52:72">
      <c r="AZ1989" s="149"/>
      <c r="BA1989" s="149"/>
      <c r="BB1989" s="149"/>
      <c r="BC1989" s="149"/>
      <c r="BE1989" s="149"/>
      <c r="BF1989" s="149"/>
      <c r="BG1989" s="149"/>
      <c r="BH1989" s="149"/>
      <c r="BI1989" s="149"/>
      <c r="BJ1989" s="149"/>
      <c r="BK1989" s="712"/>
      <c r="BL1989" s="712"/>
      <c r="BM1989" s="712"/>
      <c r="BN1989" s="712"/>
      <c r="BO1989" s="149"/>
      <c r="BP1989" s="149"/>
      <c r="BQ1989" s="149"/>
      <c r="BR1989" s="149"/>
      <c r="BS1989" s="149"/>
      <c r="BT1989" s="149"/>
    </row>
    <row r="1990" spans="52:72">
      <c r="AZ1990" s="149"/>
      <c r="BA1990" s="149"/>
      <c r="BB1990" s="149"/>
      <c r="BC1990" s="149"/>
      <c r="BE1990" s="149"/>
      <c r="BF1990" s="149"/>
      <c r="BG1990" s="149"/>
      <c r="BH1990" s="149"/>
      <c r="BI1990" s="149"/>
      <c r="BJ1990" s="149"/>
      <c r="BK1990" s="712"/>
      <c r="BL1990" s="712"/>
      <c r="BM1990" s="712"/>
      <c r="BN1990" s="712"/>
      <c r="BO1990" s="149"/>
      <c r="BP1990" s="149"/>
      <c r="BQ1990" s="149"/>
      <c r="BR1990" s="149"/>
      <c r="BS1990" s="149"/>
      <c r="BT1990" s="149"/>
    </row>
    <row r="1991" spans="52:72">
      <c r="AZ1991" s="149"/>
      <c r="BA1991" s="149"/>
      <c r="BB1991" s="149"/>
      <c r="BC1991" s="149"/>
      <c r="BE1991" s="149"/>
      <c r="BF1991" s="149"/>
      <c r="BG1991" s="149"/>
      <c r="BH1991" s="149"/>
      <c r="BI1991" s="149"/>
      <c r="BJ1991" s="149"/>
      <c r="BK1991" s="712"/>
      <c r="BL1991" s="712"/>
      <c r="BM1991" s="712"/>
      <c r="BN1991" s="712"/>
      <c r="BO1991" s="149"/>
      <c r="BP1991" s="149"/>
      <c r="BQ1991" s="149"/>
      <c r="BR1991" s="149"/>
      <c r="BS1991" s="149"/>
      <c r="BT1991" s="149"/>
    </row>
    <row r="1992" spans="52:72">
      <c r="AZ1992" s="149"/>
      <c r="BA1992" s="149"/>
      <c r="BB1992" s="149"/>
      <c r="BC1992" s="149"/>
      <c r="BE1992" s="149"/>
      <c r="BF1992" s="149"/>
      <c r="BG1992" s="149"/>
      <c r="BH1992" s="149"/>
      <c r="BI1992" s="149"/>
      <c r="BJ1992" s="149"/>
      <c r="BK1992" s="712"/>
      <c r="BL1992" s="712"/>
      <c r="BM1992" s="712"/>
      <c r="BN1992" s="712"/>
      <c r="BO1992" s="149"/>
      <c r="BP1992" s="149"/>
      <c r="BQ1992" s="149"/>
      <c r="BR1992" s="149"/>
      <c r="BS1992" s="149"/>
      <c r="BT1992" s="149"/>
    </row>
    <row r="1993" spans="52:72">
      <c r="AZ1993" s="149"/>
      <c r="BA1993" s="149"/>
      <c r="BB1993" s="149"/>
      <c r="BC1993" s="149"/>
      <c r="BE1993" s="149"/>
      <c r="BF1993" s="149"/>
      <c r="BG1993" s="149"/>
      <c r="BH1993" s="149"/>
      <c r="BI1993" s="149"/>
      <c r="BJ1993" s="149"/>
      <c r="BK1993" s="712"/>
      <c r="BL1993" s="712"/>
      <c r="BM1993" s="712"/>
      <c r="BN1993" s="712"/>
      <c r="BO1993" s="149"/>
      <c r="BP1993" s="149"/>
      <c r="BQ1993" s="149"/>
      <c r="BR1993" s="149"/>
      <c r="BS1993" s="149"/>
      <c r="BT1993" s="149"/>
    </row>
    <row r="1994" spans="52:72">
      <c r="AZ1994" s="149"/>
      <c r="BA1994" s="149"/>
      <c r="BB1994" s="149"/>
      <c r="BC1994" s="149"/>
      <c r="BE1994" s="149"/>
      <c r="BF1994" s="149"/>
      <c r="BG1994" s="149"/>
      <c r="BH1994" s="149"/>
      <c r="BI1994" s="149"/>
      <c r="BJ1994" s="149"/>
      <c r="BK1994" s="712"/>
      <c r="BL1994" s="712"/>
      <c r="BM1994" s="712"/>
      <c r="BN1994" s="712"/>
      <c r="BO1994" s="149"/>
      <c r="BP1994" s="149"/>
      <c r="BQ1994" s="149"/>
      <c r="BR1994" s="149"/>
      <c r="BS1994" s="149"/>
      <c r="BT1994" s="149"/>
    </row>
    <row r="1995" spans="52:72">
      <c r="AZ1995" s="149"/>
      <c r="BA1995" s="149"/>
      <c r="BB1995" s="149"/>
      <c r="BC1995" s="149"/>
      <c r="BE1995" s="149"/>
      <c r="BF1995" s="149"/>
      <c r="BG1995" s="149"/>
      <c r="BH1995" s="149"/>
      <c r="BI1995" s="149"/>
      <c r="BJ1995" s="149"/>
      <c r="BK1995" s="712"/>
      <c r="BL1995" s="712"/>
      <c r="BM1995" s="712"/>
      <c r="BN1995" s="712"/>
      <c r="BO1995" s="149"/>
      <c r="BP1995" s="149"/>
      <c r="BQ1995" s="149"/>
      <c r="BR1995" s="149"/>
      <c r="BS1995" s="149"/>
      <c r="BT1995" s="149"/>
    </row>
    <row r="1996" spans="52:72">
      <c r="AZ1996" s="149"/>
      <c r="BA1996" s="149"/>
      <c r="BB1996" s="149"/>
      <c r="BC1996" s="149"/>
      <c r="BE1996" s="149"/>
      <c r="BF1996" s="149"/>
      <c r="BG1996" s="149"/>
      <c r="BH1996" s="149"/>
      <c r="BI1996" s="149"/>
      <c r="BJ1996" s="149"/>
      <c r="BK1996" s="712"/>
      <c r="BL1996" s="712"/>
      <c r="BM1996" s="712"/>
      <c r="BN1996" s="712"/>
      <c r="BO1996" s="149"/>
      <c r="BP1996" s="149"/>
      <c r="BQ1996" s="149"/>
      <c r="BR1996" s="149"/>
      <c r="BS1996" s="149"/>
      <c r="BT1996" s="149"/>
    </row>
    <row r="1997" spans="52:72">
      <c r="AZ1997" s="149"/>
      <c r="BA1997" s="149"/>
      <c r="BB1997" s="149"/>
      <c r="BC1997" s="149"/>
      <c r="BE1997" s="149"/>
      <c r="BF1997" s="149"/>
      <c r="BG1997" s="149"/>
      <c r="BH1997" s="149"/>
      <c r="BI1997" s="149"/>
      <c r="BJ1997" s="149"/>
      <c r="BK1997" s="712"/>
      <c r="BL1997" s="712"/>
      <c r="BM1997" s="712"/>
      <c r="BN1997" s="712"/>
      <c r="BO1997" s="149"/>
      <c r="BP1997" s="149"/>
      <c r="BQ1997" s="149"/>
      <c r="BR1997" s="149"/>
      <c r="BS1997" s="149"/>
      <c r="BT1997" s="149"/>
    </row>
    <row r="1998" spans="52:72">
      <c r="AZ1998" s="149"/>
      <c r="BA1998" s="149"/>
      <c r="BB1998" s="149"/>
      <c r="BC1998" s="149"/>
      <c r="BE1998" s="149"/>
      <c r="BF1998" s="149"/>
      <c r="BG1998" s="149"/>
      <c r="BH1998" s="149"/>
      <c r="BI1998" s="149"/>
      <c r="BJ1998" s="149"/>
      <c r="BK1998" s="712"/>
      <c r="BL1998" s="712"/>
      <c r="BM1998" s="712"/>
      <c r="BN1998" s="712"/>
      <c r="BO1998" s="149"/>
      <c r="BP1998" s="149"/>
      <c r="BQ1998" s="149"/>
      <c r="BR1998" s="149"/>
      <c r="BS1998" s="149"/>
      <c r="BT1998" s="149"/>
    </row>
    <row r="1999" spans="52:72">
      <c r="AZ1999" s="149"/>
      <c r="BA1999" s="149"/>
      <c r="BB1999" s="149"/>
      <c r="BC1999" s="149"/>
      <c r="BE1999" s="149"/>
      <c r="BF1999" s="149"/>
      <c r="BG1999" s="149"/>
      <c r="BH1999" s="149"/>
      <c r="BI1999" s="149"/>
      <c r="BJ1999" s="149"/>
      <c r="BK1999" s="712"/>
      <c r="BL1999" s="712"/>
      <c r="BM1999" s="712"/>
      <c r="BN1999" s="712"/>
      <c r="BO1999" s="149"/>
      <c r="BP1999" s="149"/>
      <c r="BQ1999" s="149"/>
      <c r="BR1999" s="149"/>
      <c r="BS1999" s="149"/>
      <c r="BT1999" s="149"/>
    </row>
    <row r="2000" spans="52:72">
      <c r="AZ2000" s="149"/>
      <c r="BA2000" s="149"/>
      <c r="BB2000" s="149"/>
      <c r="BC2000" s="149"/>
      <c r="BE2000" s="149"/>
      <c r="BF2000" s="149"/>
      <c r="BG2000" s="149"/>
      <c r="BH2000" s="149"/>
      <c r="BI2000" s="149"/>
      <c r="BJ2000" s="149"/>
      <c r="BK2000" s="712"/>
      <c r="BL2000" s="712"/>
      <c r="BM2000" s="712"/>
      <c r="BN2000" s="712"/>
      <c r="BO2000" s="149"/>
      <c r="BP2000" s="149"/>
      <c r="BQ2000" s="149"/>
      <c r="BR2000" s="149"/>
      <c r="BS2000" s="149"/>
      <c r="BT2000" s="149"/>
    </row>
    <row r="2001" spans="52:72">
      <c r="AZ2001" s="149"/>
      <c r="BA2001" s="149"/>
      <c r="BB2001" s="149"/>
      <c r="BC2001" s="149"/>
      <c r="BE2001" s="149"/>
      <c r="BF2001" s="149"/>
      <c r="BG2001" s="149"/>
      <c r="BH2001" s="149"/>
      <c r="BI2001" s="149"/>
      <c r="BJ2001" s="149"/>
      <c r="BK2001" s="712"/>
      <c r="BL2001" s="712"/>
      <c r="BM2001" s="712"/>
      <c r="BN2001" s="712"/>
      <c r="BO2001" s="149"/>
      <c r="BP2001" s="149"/>
      <c r="BQ2001" s="149"/>
      <c r="BR2001" s="149"/>
      <c r="BS2001" s="149"/>
      <c r="BT2001" s="149"/>
    </row>
    <row r="2002" spans="52:72">
      <c r="AZ2002" s="149"/>
      <c r="BA2002" s="149"/>
      <c r="BB2002" s="149"/>
      <c r="BC2002" s="149"/>
      <c r="BE2002" s="149"/>
      <c r="BF2002" s="149"/>
      <c r="BG2002" s="149"/>
      <c r="BH2002" s="149"/>
      <c r="BI2002" s="149"/>
      <c r="BJ2002" s="149"/>
      <c r="BK2002" s="712"/>
      <c r="BL2002" s="712"/>
      <c r="BM2002" s="712"/>
      <c r="BN2002" s="712"/>
      <c r="BO2002" s="149"/>
      <c r="BP2002" s="149"/>
      <c r="BQ2002" s="149"/>
      <c r="BR2002" s="149"/>
      <c r="BS2002" s="149"/>
      <c r="BT2002" s="149"/>
    </row>
    <row r="2003" spans="52:72">
      <c r="AZ2003" s="149"/>
      <c r="BA2003" s="149"/>
      <c r="BB2003" s="149"/>
      <c r="BC2003" s="149"/>
      <c r="BE2003" s="149"/>
      <c r="BF2003" s="149"/>
      <c r="BG2003" s="149"/>
      <c r="BH2003" s="149"/>
      <c r="BI2003" s="149"/>
      <c r="BJ2003" s="149"/>
      <c r="BK2003" s="712"/>
      <c r="BL2003" s="712"/>
      <c r="BM2003" s="712"/>
      <c r="BN2003" s="712"/>
      <c r="BO2003" s="149"/>
      <c r="BP2003" s="149"/>
      <c r="BQ2003" s="149"/>
      <c r="BR2003" s="149"/>
      <c r="BS2003" s="149"/>
      <c r="BT2003" s="149"/>
    </row>
    <row r="2004" spans="52:72">
      <c r="AZ2004" s="149"/>
      <c r="BA2004" s="149"/>
      <c r="BB2004" s="149"/>
      <c r="BC2004" s="149"/>
      <c r="BE2004" s="149"/>
      <c r="BF2004" s="149"/>
      <c r="BG2004" s="149"/>
      <c r="BH2004" s="149"/>
      <c r="BI2004" s="149"/>
      <c r="BJ2004" s="149"/>
      <c r="BK2004" s="712"/>
      <c r="BL2004" s="712"/>
      <c r="BM2004" s="712"/>
      <c r="BN2004" s="712"/>
      <c r="BO2004" s="149"/>
      <c r="BP2004" s="149"/>
      <c r="BQ2004" s="149"/>
      <c r="BR2004" s="149"/>
      <c r="BS2004" s="149"/>
      <c r="BT2004" s="149"/>
    </row>
    <row r="2005" spans="52:72">
      <c r="AZ2005" s="149"/>
      <c r="BA2005" s="149"/>
      <c r="BB2005" s="149"/>
      <c r="BC2005" s="149"/>
      <c r="BE2005" s="149"/>
      <c r="BF2005" s="149"/>
      <c r="BG2005" s="149"/>
      <c r="BH2005" s="149"/>
      <c r="BI2005" s="149"/>
      <c r="BJ2005" s="149"/>
      <c r="BK2005" s="712"/>
      <c r="BL2005" s="712"/>
      <c r="BM2005" s="712"/>
      <c r="BN2005" s="712"/>
      <c r="BO2005" s="149"/>
      <c r="BP2005" s="149"/>
      <c r="BQ2005" s="149"/>
      <c r="BR2005" s="149"/>
      <c r="BS2005" s="149"/>
      <c r="BT2005" s="149"/>
    </row>
    <row r="2006" spans="52:72">
      <c r="AZ2006" s="149"/>
      <c r="BA2006" s="149"/>
      <c r="BB2006" s="149"/>
      <c r="BC2006" s="149"/>
      <c r="BE2006" s="149"/>
      <c r="BF2006" s="149"/>
      <c r="BG2006" s="149"/>
      <c r="BH2006" s="149"/>
      <c r="BI2006" s="149"/>
      <c r="BJ2006" s="149"/>
      <c r="BK2006" s="712"/>
      <c r="BL2006" s="712"/>
      <c r="BM2006" s="712"/>
      <c r="BN2006" s="712"/>
      <c r="BO2006" s="149"/>
      <c r="BP2006" s="149"/>
      <c r="BQ2006" s="149"/>
      <c r="BR2006" s="149"/>
      <c r="BS2006" s="149"/>
      <c r="BT2006" s="149"/>
    </row>
    <row r="2007" spans="52:72">
      <c r="AZ2007" s="149"/>
      <c r="BA2007" s="149"/>
      <c r="BB2007" s="149"/>
      <c r="BC2007" s="149"/>
      <c r="BE2007" s="149"/>
      <c r="BF2007" s="149"/>
      <c r="BG2007" s="149"/>
      <c r="BH2007" s="149"/>
      <c r="BI2007" s="149"/>
      <c r="BJ2007" s="149"/>
      <c r="BK2007" s="712"/>
      <c r="BL2007" s="712"/>
      <c r="BM2007" s="712"/>
      <c r="BN2007" s="712"/>
      <c r="BO2007" s="149"/>
      <c r="BP2007" s="149"/>
      <c r="BQ2007" s="149"/>
      <c r="BR2007" s="149"/>
      <c r="BS2007" s="149"/>
      <c r="BT2007" s="149"/>
    </row>
    <row r="2008" spans="52:72">
      <c r="AZ2008" s="149"/>
      <c r="BA2008" s="149"/>
      <c r="BB2008" s="149"/>
      <c r="BC2008" s="149"/>
      <c r="BE2008" s="149"/>
      <c r="BF2008" s="149"/>
      <c r="BG2008" s="149"/>
      <c r="BH2008" s="149"/>
      <c r="BI2008" s="149"/>
      <c r="BJ2008" s="149"/>
      <c r="BK2008" s="712"/>
      <c r="BL2008" s="712"/>
      <c r="BM2008" s="712"/>
      <c r="BN2008" s="712"/>
      <c r="BO2008" s="149"/>
      <c r="BP2008" s="149"/>
      <c r="BQ2008" s="149"/>
      <c r="BR2008" s="149"/>
      <c r="BS2008" s="149"/>
      <c r="BT2008" s="149"/>
    </row>
    <row r="2009" spans="52:72">
      <c r="AZ2009" s="149"/>
      <c r="BA2009" s="149"/>
      <c r="BB2009" s="149"/>
      <c r="BC2009" s="149"/>
      <c r="BE2009" s="149"/>
      <c r="BF2009" s="149"/>
      <c r="BG2009" s="149"/>
      <c r="BH2009" s="149"/>
      <c r="BI2009" s="149"/>
      <c r="BJ2009" s="149"/>
      <c r="BK2009" s="712"/>
      <c r="BL2009" s="712"/>
      <c r="BM2009" s="712"/>
      <c r="BN2009" s="712"/>
      <c r="BO2009" s="149"/>
      <c r="BP2009" s="149"/>
      <c r="BQ2009" s="149"/>
      <c r="BR2009" s="149"/>
      <c r="BS2009" s="149"/>
      <c r="BT2009" s="149"/>
    </row>
    <row r="2010" spans="52:72">
      <c r="AZ2010" s="149"/>
      <c r="BA2010" s="149"/>
      <c r="BB2010" s="149"/>
      <c r="BC2010" s="149"/>
      <c r="BE2010" s="149"/>
      <c r="BF2010" s="149"/>
      <c r="BG2010" s="149"/>
      <c r="BH2010" s="149"/>
      <c r="BI2010" s="149"/>
      <c r="BJ2010" s="149"/>
      <c r="BK2010" s="712"/>
      <c r="BL2010" s="712"/>
      <c r="BM2010" s="712"/>
      <c r="BN2010" s="712"/>
      <c r="BO2010" s="149"/>
      <c r="BP2010" s="149"/>
      <c r="BQ2010" s="149"/>
      <c r="BR2010" s="149"/>
      <c r="BS2010" s="149"/>
      <c r="BT2010" s="149"/>
    </row>
    <row r="2011" spans="52:72">
      <c r="AZ2011" s="149"/>
      <c r="BA2011" s="149"/>
      <c r="BB2011" s="149"/>
      <c r="BC2011" s="149"/>
      <c r="BE2011" s="149"/>
      <c r="BF2011" s="149"/>
      <c r="BG2011" s="149"/>
      <c r="BH2011" s="149"/>
      <c r="BI2011" s="149"/>
      <c r="BJ2011" s="149"/>
      <c r="BK2011" s="712"/>
      <c r="BL2011" s="712"/>
      <c r="BM2011" s="712"/>
      <c r="BN2011" s="712"/>
      <c r="BO2011" s="149"/>
      <c r="BP2011" s="149"/>
      <c r="BQ2011" s="149"/>
      <c r="BR2011" s="149"/>
      <c r="BS2011" s="149"/>
      <c r="BT2011" s="149"/>
    </row>
    <row r="2012" spans="52:72">
      <c r="AZ2012" s="149"/>
      <c r="BA2012" s="149"/>
      <c r="BB2012" s="149"/>
      <c r="BC2012" s="149"/>
      <c r="BE2012" s="149"/>
      <c r="BF2012" s="149"/>
      <c r="BG2012" s="149"/>
      <c r="BH2012" s="149"/>
      <c r="BI2012" s="149"/>
      <c r="BJ2012" s="149"/>
      <c r="BK2012" s="712"/>
      <c r="BL2012" s="712"/>
      <c r="BM2012" s="712"/>
      <c r="BN2012" s="712"/>
      <c r="BO2012" s="149"/>
      <c r="BP2012" s="149"/>
      <c r="BQ2012" s="149"/>
      <c r="BR2012" s="149"/>
      <c r="BS2012" s="149"/>
      <c r="BT2012" s="149"/>
    </row>
    <row r="2013" spans="52:72">
      <c r="AZ2013" s="149"/>
      <c r="BA2013" s="149"/>
      <c r="BB2013" s="149"/>
      <c r="BC2013" s="149"/>
      <c r="BE2013" s="149"/>
      <c r="BF2013" s="149"/>
      <c r="BG2013" s="149"/>
      <c r="BH2013" s="149"/>
      <c r="BI2013" s="149"/>
      <c r="BJ2013" s="149"/>
      <c r="BK2013" s="712"/>
      <c r="BL2013" s="712"/>
      <c r="BM2013" s="712"/>
      <c r="BN2013" s="712"/>
      <c r="BO2013" s="149"/>
      <c r="BP2013" s="149"/>
      <c r="BQ2013" s="149"/>
      <c r="BR2013" s="149"/>
      <c r="BS2013" s="149"/>
      <c r="BT2013" s="149"/>
    </row>
    <row r="2014" spans="52:72">
      <c r="AZ2014" s="149"/>
      <c r="BA2014" s="149"/>
      <c r="BB2014" s="149"/>
      <c r="BC2014" s="149"/>
      <c r="BE2014" s="149"/>
      <c r="BF2014" s="149"/>
      <c r="BG2014" s="149"/>
      <c r="BH2014" s="149"/>
      <c r="BI2014" s="149"/>
      <c r="BJ2014" s="149"/>
      <c r="BK2014" s="712"/>
      <c r="BL2014" s="712"/>
      <c r="BM2014" s="712"/>
      <c r="BN2014" s="712"/>
      <c r="BO2014" s="149"/>
      <c r="BP2014" s="149"/>
      <c r="BQ2014" s="149"/>
      <c r="BR2014" s="149"/>
      <c r="BS2014" s="149"/>
      <c r="BT2014" s="149"/>
    </row>
    <row r="2015" spans="52:72">
      <c r="AZ2015" s="149"/>
      <c r="BA2015" s="149"/>
      <c r="BB2015" s="149"/>
      <c r="BC2015" s="149"/>
      <c r="BE2015" s="149"/>
      <c r="BF2015" s="149"/>
      <c r="BG2015" s="149"/>
      <c r="BH2015" s="149"/>
      <c r="BI2015" s="149"/>
      <c r="BJ2015" s="149"/>
      <c r="BK2015" s="712"/>
      <c r="BL2015" s="712"/>
      <c r="BM2015" s="712"/>
      <c r="BN2015" s="712"/>
      <c r="BO2015" s="149"/>
      <c r="BP2015" s="149"/>
      <c r="BQ2015" s="149"/>
      <c r="BR2015" s="149"/>
      <c r="BS2015" s="149"/>
      <c r="BT2015" s="149"/>
    </row>
    <row r="2016" spans="52:72">
      <c r="AZ2016" s="149"/>
      <c r="BA2016" s="149"/>
      <c r="BB2016" s="149"/>
      <c r="BC2016" s="149"/>
      <c r="BE2016" s="149"/>
      <c r="BF2016" s="149"/>
      <c r="BG2016" s="149"/>
      <c r="BH2016" s="149"/>
      <c r="BI2016" s="149"/>
      <c r="BJ2016" s="149"/>
      <c r="BK2016" s="712"/>
      <c r="BL2016" s="712"/>
      <c r="BM2016" s="712"/>
      <c r="BN2016" s="712"/>
      <c r="BO2016" s="149"/>
      <c r="BP2016" s="149"/>
      <c r="BQ2016" s="149"/>
      <c r="BR2016" s="149"/>
      <c r="BS2016" s="149"/>
      <c r="BT2016" s="149"/>
    </row>
    <row r="2017" spans="52:72">
      <c r="AZ2017" s="149"/>
      <c r="BA2017" s="149"/>
      <c r="BB2017" s="149"/>
      <c r="BC2017" s="149"/>
      <c r="BE2017" s="149"/>
      <c r="BF2017" s="149"/>
      <c r="BG2017" s="149"/>
      <c r="BH2017" s="149"/>
      <c r="BI2017" s="149"/>
      <c r="BJ2017" s="149"/>
      <c r="BK2017" s="712"/>
      <c r="BL2017" s="712"/>
      <c r="BM2017" s="712"/>
      <c r="BN2017" s="712"/>
      <c r="BO2017" s="149"/>
      <c r="BP2017" s="149"/>
      <c r="BQ2017" s="149"/>
      <c r="BR2017" s="149"/>
      <c r="BS2017" s="149"/>
      <c r="BT2017" s="149"/>
    </row>
    <row r="2018" spans="52:72">
      <c r="AZ2018" s="149"/>
      <c r="BA2018" s="149"/>
      <c r="BB2018" s="149"/>
      <c r="BC2018" s="149"/>
      <c r="BE2018" s="149"/>
      <c r="BF2018" s="149"/>
      <c r="BG2018" s="149"/>
      <c r="BH2018" s="149"/>
      <c r="BI2018" s="149"/>
      <c r="BJ2018" s="149"/>
      <c r="BK2018" s="712"/>
      <c r="BL2018" s="712"/>
      <c r="BM2018" s="712"/>
      <c r="BN2018" s="712"/>
      <c r="BO2018" s="149"/>
      <c r="BP2018" s="149"/>
      <c r="BQ2018" s="149"/>
      <c r="BR2018" s="149"/>
      <c r="BS2018" s="149"/>
      <c r="BT2018" s="149"/>
    </row>
    <row r="2019" spans="52:72">
      <c r="AZ2019" s="149"/>
      <c r="BA2019" s="149"/>
      <c r="BB2019" s="149"/>
      <c r="BC2019" s="149"/>
      <c r="BE2019" s="149"/>
      <c r="BF2019" s="149"/>
      <c r="BG2019" s="149"/>
      <c r="BH2019" s="149"/>
      <c r="BI2019" s="149"/>
      <c r="BJ2019" s="149"/>
      <c r="BK2019" s="712"/>
      <c r="BL2019" s="712"/>
      <c r="BM2019" s="712"/>
      <c r="BN2019" s="712"/>
      <c r="BO2019" s="149"/>
      <c r="BP2019" s="149"/>
      <c r="BQ2019" s="149"/>
      <c r="BR2019" s="149"/>
      <c r="BS2019" s="149"/>
      <c r="BT2019" s="149"/>
    </row>
    <row r="2020" spans="52:72">
      <c r="AZ2020" s="149"/>
      <c r="BA2020" s="149"/>
      <c r="BB2020" s="149"/>
      <c r="BC2020" s="149"/>
      <c r="BE2020" s="149"/>
      <c r="BF2020" s="149"/>
      <c r="BG2020" s="149"/>
      <c r="BH2020" s="149"/>
      <c r="BI2020" s="149"/>
      <c r="BJ2020" s="149"/>
      <c r="BK2020" s="712"/>
      <c r="BL2020" s="712"/>
      <c r="BM2020" s="712"/>
      <c r="BN2020" s="712"/>
      <c r="BO2020" s="149"/>
      <c r="BP2020" s="149"/>
      <c r="BQ2020" s="149"/>
      <c r="BR2020" s="149"/>
      <c r="BS2020" s="149"/>
      <c r="BT2020" s="149"/>
    </row>
    <row r="2021" spans="52:72">
      <c r="AZ2021" s="149"/>
      <c r="BA2021" s="149"/>
      <c r="BB2021" s="149"/>
      <c r="BC2021" s="149"/>
      <c r="BE2021" s="149"/>
      <c r="BF2021" s="149"/>
      <c r="BG2021" s="149"/>
      <c r="BH2021" s="149"/>
      <c r="BI2021" s="149"/>
      <c r="BJ2021" s="149"/>
      <c r="BK2021" s="712"/>
      <c r="BL2021" s="712"/>
      <c r="BM2021" s="712"/>
      <c r="BN2021" s="712"/>
      <c r="BO2021" s="149"/>
      <c r="BP2021" s="149"/>
      <c r="BQ2021" s="149"/>
      <c r="BR2021" s="149"/>
      <c r="BS2021" s="149"/>
      <c r="BT2021" s="149"/>
    </row>
    <row r="2022" spans="52:72">
      <c r="AZ2022" s="149"/>
      <c r="BA2022" s="149"/>
      <c r="BB2022" s="149"/>
      <c r="BC2022" s="149"/>
      <c r="BE2022" s="149"/>
      <c r="BF2022" s="149"/>
      <c r="BG2022" s="149"/>
      <c r="BH2022" s="149"/>
      <c r="BI2022" s="149"/>
      <c r="BJ2022" s="149"/>
      <c r="BK2022" s="712"/>
      <c r="BL2022" s="712"/>
      <c r="BM2022" s="712"/>
      <c r="BN2022" s="712"/>
      <c r="BO2022" s="149"/>
      <c r="BP2022" s="149"/>
      <c r="BQ2022" s="149"/>
      <c r="BR2022" s="149"/>
      <c r="BS2022" s="149"/>
      <c r="BT2022" s="149"/>
    </row>
    <row r="2023" spans="52:72">
      <c r="AZ2023" s="149"/>
      <c r="BA2023" s="149"/>
      <c r="BB2023" s="149"/>
      <c r="BC2023" s="149"/>
      <c r="BE2023" s="149"/>
      <c r="BF2023" s="149"/>
      <c r="BG2023" s="149"/>
      <c r="BH2023" s="149"/>
      <c r="BI2023" s="149"/>
      <c r="BJ2023" s="149"/>
      <c r="BK2023" s="712"/>
      <c r="BL2023" s="712"/>
      <c r="BM2023" s="712"/>
      <c r="BN2023" s="712"/>
      <c r="BO2023" s="149"/>
      <c r="BP2023" s="149"/>
      <c r="BQ2023" s="149"/>
      <c r="BR2023" s="149"/>
      <c r="BS2023" s="149"/>
      <c r="BT2023" s="149"/>
    </row>
    <row r="2024" spans="52:72">
      <c r="AZ2024" s="149"/>
      <c r="BA2024" s="149"/>
      <c r="BB2024" s="149"/>
      <c r="BC2024" s="149"/>
      <c r="BE2024" s="149"/>
      <c r="BF2024" s="149"/>
      <c r="BG2024" s="149"/>
      <c r="BH2024" s="149"/>
      <c r="BI2024" s="149"/>
      <c r="BJ2024" s="149"/>
      <c r="BK2024" s="712"/>
      <c r="BL2024" s="712"/>
      <c r="BM2024" s="712"/>
      <c r="BN2024" s="712"/>
      <c r="BO2024" s="149"/>
      <c r="BP2024" s="149"/>
      <c r="BQ2024" s="149"/>
      <c r="BR2024" s="149"/>
      <c r="BS2024" s="149"/>
      <c r="BT2024" s="149"/>
    </row>
    <row r="2025" spans="52:72">
      <c r="AZ2025" s="149"/>
      <c r="BA2025" s="149"/>
      <c r="BB2025" s="149"/>
      <c r="BC2025" s="149"/>
      <c r="BE2025" s="149"/>
      <c r="BF2025" s="149"/>
      <c r="BG2025" s="149"/>
      <c r="BH2025" s="149"/>
      <c r="BI2025" s="149"/>
      <c r="BJ2025" s="149"/>
      <c r="BK2025" s="712"/>
      <c r="BL2025" s="712"/>
      <c r="BM2025" s="712"/>
      <c r="BN2025" s="712"/>
      <c r="BO2025" s="149"/>
      <c r="BP2025" s="149"/>
      <c r="BQ2025" s="149"/>
      <c r="BR2025" s="149"/>
      <c r="BS2025" s="149"/>
      <c r="BT2025" s="149"/>
    </row>
    <row r="2026" spans="52:72">
      <c r="AZ2026" s="149"/>
      <c r="BA2026" s="149"/>
      <c r="BB2026" s="149"/>
      <c r="BC2026" s="149"/>
      <c r="BE2026" s="149"/>
      <c r="BF2026" s="149"/>
      <c r="BG2026" s="149"/>
      <c r="BH2026" s="149"/>
      <c r="BI2026" s="149"/>
      <c r="BJ2026" s="149"/>
      <c r="BK2026" s="712"/>
      <c r="BL2026" s="712"/>
      <c r="BM2026" s="712"/>
      <c r="BN2026" s="712"/>
      <c r="BO2026" s="149"/>
      <c r="BP2026" s="149"/>
      <c r="BQ2026" s="149"/>
      <c r="BR2026" s="149"/>
      <c r="BS2026" s="149"/>
      <c r="BT2026" s="149"/>
    </row>
    <row r="2027" spans="52:72">
      <c r="AZ2027" s="149"/>
      <c r="BA2027" s="149"/>
      <c r="BB2027" s="149"/>
      <c r="BC2027" s="149"/>
      <c r="BE2027" s="149"/>
      <c r="BF2027" s="149"/>
      <c r="BG2027" s="149"/>
      <c r="BH2027" s="149"/>
      <c r="BI2027" s="149"/>
      <c r="BJ2027" s="149"/>
      <c r="BK2027" s="712"/>
      <c r="BL2027" s="712"/>
      <c r="BM2027" s="712"/>
      <c r="BN2027" s="712"/>
      <c r="BO2027" s="149"/>
      <c r="BP2027" s="149"/>
      <c r="BQ2027" s="149"/>
      <c r="BR2027" s="149"/>
      <c r="BS2027" s="149"/>
      <c r="BT2027" s="149"/>
    </row>
    <row r="2028" spans="52:72">
      <c r="AZ2028" s="149"/>
      <c r="BA2028" s="149"/>
      <c r="BB2028" s="149"/>
      <c r="BC2028" s="149"/>
      <c r="BE2028" s="149"/>
      <c r="BF2028" s="149"/>
      <c r="BG2028" s="149"/>
      <c r="BH2028" s="149"/>
      <c r="BI2028" s="149"/>
      <c r="BJ2028" s="149"/>
      <c r="BK2028" s="712"/>
      <c r="BL2028" s="712"/>
      <c r="BM2028" s="712"/>
      <c r="BN2028" s="712"/>
      <c r="BO2028" s="149"/>
      <c r="BP2028" s="149"/>
      <c r="BQ2028" s="149"/>
      <c r="BR2028" s="149"/>
      <c r="BS2028" s="149"/>
      <c r="BT2028" s="149"/>
    </row>
    <row r="2029" spans="52:72">
      <c r="AZ2029" s="149"/>
      <c r="BA2029" s="149"/>
      <c r="BB2029" s="149"/>
      <c r="BC2029" s="149"/>
      <c r="BE2029" s="149"/>
      <c r="BF2029" s="149"/>
      <c r="BG2029" s="149"/>
      <c r="BH2029" s="149"/>
      <c r="BI2029" s="149"/>
      <c r="BJ2029" s="149"/>
      <c r="BK2029" s="712"/>
      <c r="BL2029" s="712"/>
      <c r="BM2029" s="712"/>
      <c r="BN2029" s="712"/>
      <c r="BO2029" s="149"/>
      <c r="BP2029" s="149"/>
      <c r="BQ2029" s="149"/>
      <c r="BR2029" s="149"/>
      <c r="BS2029" s="149"/>
      <c r="BT2029" s="149"/>
    </row>
    <row r="2030" spans="52:72">
      <c r="AZ2030" s="149"/>
      <c r="BA2030" s="149"/>
      <c r="BB2030" s="149"/>
      <c r="BC2030" s="149"/>
      <c r="BE2030" s="149"/>
      <c r="BF2030" s="149"/>
      <c r="BG2030" s="149"/>
      <c r="BH2030" s="149"/>
      <c r="BI2030" s="149"/>
      <c r="BJ2030" s="149"/>
      <c r="BK2030" s="712"/>
      <c r="BL2030" s="712"/>
      <c r="BM2030" s="712"/>
      <c r="BN2030" s="712"/>
      <c r="BO2030" s="149"/>
      <c r="BP2030" s="149"/>
      <c r="BQ2030" s="149"/>
      <c r="BR2030" s="149"/>
      <c r="BS2030" s="149"/>
      <c r="BT2030" s="149"/>
    </row>
    <row r="2031" spans="52:72">
      <c r="AZ2031" s="149"/>
      <c r="BA2031" s="149"/>
      <c r="BB2031" s="149"/>
      <c r="BC2031" s="149"/>
      <c r="BE2031" s="149"/>
      <c r="BF2031" s="149"/>
      <c r="BG2031" s="149"/>
      <c r="BH2031" s="149"/>
      <c r="BI2031" s="149"/>
      <c r="BJ2031" s="149"/>
      <c r="BK2031" s="712"/>
      <c r="BL2031" s="712"/>
      <c r="BM2031" s="712"/>
      <c r="BN2031" s="712"/>
      <c r="BO2031" s="149"/>
      <c r="BP2031" s="149"/>
      <c r="BQ2031" s="149"/>
      <c r="BR2031" s="149"/>
      <c r="BS2031" s="149"/>
      <c r="BT2031" s="149"/>
    </row>
    <row r="2032" spans="52:72">
      <c r="AZ2032" s="149"/>
      <c r="BA2032" s="149"/>
      <c r="BB2032" s="149"/>
      <c r="BC2032" s="149"/>
      <c r="BE2032" s="149"/>
      <c r="BF2032" s="149"/>
      <c r="BG2032" s="149"/>
      <c r="BH2032" s="149"/>
      <c r="BI2032" s="149"/>
      <c r="BJ2032" s="149"/>
      <c r="BK2032" s="712"/>
      <c r="BL2032" s="712"/>
      <c r="BM2032" s="712"/>
      <c r="BN2032" s="712"/>
      <c r="BO2032" s="149"/>
      <c r="BP2032" s="149"/>
      <c r="BQ2032" s="149"/>
      <c r="BR2032" s="149"/>
      <c r="BS2032" s="149"/>
      <c r="BT2032" s="149"/>
    </row>
    <row r="2033" spans="52:72">
      <c r="AZ2033" s="149"/>
      <c r="BA2033" s="149"/>
      <c r="BB2033" s="149"/>
      <c r="BC2033" s="149"/>
      <c r="BE2033" s="149"/>
      <c r="BF2033" s="149"/>
      <c r="BG2033" s="149"/>
      <c r="BH2033" s="149"/>
      <c r="BI2033" s="149"/>
      <c r="BJ2033" s="149"/>
      <c r="BK2033" s="712"/>
      <c r="BL2033" s="712"/>
      <c r="BM2033" s="712"/>
      <c r="BN2033" s="712"/>
      <c r="BO2033" s="149"/>
      <c r="BP2033" s="149"/>
      <c r="BQ2033" s="149"/>
      <c r="BR2033" s="149"/>
      <c r="BS2033" s="149"/>
      <c r="BT2033" s="149"/>
    </row>
    <row r="2034" spans="52:72">
      <c r="AZ2034" s="149"/>
      <c r="BA2034" s="149"/>
      <c r="BB2034" s="149"/>
      <c r="BC2034" s="149"/>
      <c r="BE2034" s="149"/>
      <c r="BF2034" s="149"/>
      <c r="BG2034" s="149"/>
      <c r="BH2034" s="149"/>
      <c r="BI2034" s="149"/>
      <c r="BJ2034" s="149"/>
      <c r="BK2034" s="712"/>
      <c r="BL2034" s="712"/>
      <c r="BM2034" s="712"/>
      <c r="BN2034" s="712"/>
      <c r="BO2034" s="149"/>
      <c r="BP2034" s="149"/>
      <c r="BQ2034" s="149"/>
      <c r="BR2034" s="149"/>
      <c r="BS2034" s="149"/>
      <c r="BT2034" s="149"/>
    </row>
    <row r="2035" spans="52:72">
      <c r="AZ2035" s="149"/>
      <c r="BA2035" s="149"/>
      <c r="BB2035" s="149"/>
      <c r="BC2035" s="149"/>
      <c r="BE2035" s="149"/>
      <c r="BF2035" s="149"/>
      <c r="BG2035" s="149"/>
      <c r="BH2035" s="149"/>
      <c r="BI2035" s="149"/>
      <c r="BJ2035" s="149"/>
      <c r="BK2035" s="712"/>
      <c r="BL2035" s="712"/>
      <c r="BM2035" s="712"/>
      <c r="BN2035" s="712"/>
      <c r="BO2035" s="149"/>
      <c r="BP2035" s="149"/>
      <c r="BQ2035" s="149"/>
      <c r="BR2035" s="149"/>
      <c r="BS2035" s="149"/>
      <c r="BT2035" s="149"/>
    </row>
    <row r="2036" spans="52:72">
      <c r="AZ2036" s="149"/>
      <c r="BA2036" s="149"/>
      <c r="BB2036" s="149"/>
      <c r="BC2036" s="149"/>
      <c r="BE2036" s="149"/>
      <c r="BF2036" s="149"/>
      <c r="BG2036" s="149"/>
      <c r="BH2036" s="149"/>
      <c r="BI2036" s="149"/>
      <c r="BJ2036" s="149"/>
      <c r="BK2036" s="712"/>
      <c r="BL2036" s="712"/>
      <c r="BM2036" s="712"/>
      <c r="BN2036" s="712"/>
      <c r="BO2036" s="149"/>
      <c r="BP2036" s="149"/>
      <c r="BQ2036" s="149"/>
      <c r="BR2036" s="149"/>
      <c r="BS2036" s="149"/>
      <c r="BT2036" s="149"/>
    </row>
    <row r="2037" spans="52:72">
      <c r="AZ2037" s="149"/>
      <c r="BA2037" s="149"/>
      <c r="BB2037" s="149"/>
      <c r="BC2037" s="149"/>
      <c r="BE2037" s="149"/>
      <c r="BF2037" s="149"/>
      <c r="BG2037" s="149"/>
      <c r="BH2037" s="149"/>
      <c r="BI2037" s="149"/>
      <c r="BJ2037" s="149"/>
      <c r="BK2037" s="712"/>
      <c r="BL2037" s="712"/>
      <c r="BM2037" s="712"/>
      <c r="BN2037" s="712"/>
      <c r="BO2037" s="149"/>
      <c r="BP2037" s="149"/>
      <c r="BQ2037" s="149"/>
      <c r="BR2037" s="149"/>
      <c r="BS2037" s="149"/>
      <c r="BT2037" s="149"/>
    </row>
    <row r="2038" spans="52:72">
      <c r="AZ2038" s="149"/>
      <c r="BA2038" s="149"/>
      <c r="BB2038" s="149"/>
      <c r="BC2038" s="149"/>
      <c r="BE2038" s="149"/>
      <c r="BF2038" s="149"/>
      <c r="BG2038" s="149"/>
      <c r="BH2038" s="149"/>
      <c r="BI2038" s="149"/>
      <c r="BJ2038" s="149"/>
      <c r="BK2038" s="712"/>
      <c r="BL2038" s="712"/>
      <c r="BM2038" s="712"/>
      <c r="BN2038" s="712"/>
      <c r="BO2038" s="149"/>
      <c r="BP2038" s="149"/>
      <c r="BQ2038" s="149"/>
      <c r="BR2038" s="149"/>
      <c r="BS2038" s="149"/>
      <c r="BT2038" s="149"/>
    </row>
    <row r="2039" spans="52:72">
      <c r="AZ2039" s="149"/>
      <c r="BA2039" s="149"/>
      <c r="BB2039" s="149"/>
      <c r="BC2039" s="149"/>
      <c r="BE2039" s="149"/>
      <c r="BF2039" s="149"/>
      <c r="BG2039" s="149"/>
      <c r="BH2039" s="149"/>
      <c r="BI2039" s="149"/>
      <c r="BJ2039" s="149"/>
      <c r="BK2039" s="712"/>
      <c r="BL2039" s="712"/>
      <c r="BM2039" s="712"/>
      <c r="BN2039" s="712"/>
      <c r="BO2039" s="149"/>
      <c r="BP2039" s="149"/>
      <c r="BQ2039" s="149"/>
      <c r="BR2039" s="149"/>
      <c r="BS2039" s="149"/>
      <c r="BT2039" s="149"/>
    </row>
    <row r="2040" spans="52:72">
      <c r="AZ2040" s="149"/>
      <c r="BA2040" s="149"/>
      <c r="BB2040" s="149"/>
      <c r="BC2040" s="149"/>
      <c r="BE2040" s="149"/>
      <c r="BF2040" s="149"/>
      <c r="BG2040" s="149"/>
      <c r="BH2040" s="149"/>
      <c r="BI2040" s="149"/>
      <c r="BJ2040" s="149"/>
      <c r="BK2040" s="712"/>
      <c r="BL2040" s="712"/>
      <c r="BM2040" s="712"/>
      <c r="BN2040" s="712"/>
      <c r="BO2040" s="149"/>
      <c r="BP2040" s="149"/>
      <c r="BQ2040" s="149"/>
      <c r="BR2040" s="149"/>
      <c r="BS2040" s="149"/>
      <c r="BT2040" s="149"/>
    </row>
    <row r="2041" spans="52:72">
      <c r="AZ2041" s="149"/>
      <c r="BA2041" s="149"/>
      <c r="BB2041" s="149"/>
      <c r="BC2041" s="149"/>
      <c r="BE2041" s="149"/>
      <c r="BF2041" s="149"/>
      <c r="BG2041" s="149"/>
      <c r="BH2041" s="149"/>
      <c r="BI2041" s="149"/>
      <c r="BJ2041" s="149"/>
      <c r="BK2041" s="712"/>
      <c r="BL2041" s="712"/>
      <c r="BM2041" s="712"/>
      <c r="BN2041" s="712"/>
      <c r="BO2041" s="149"/>
      <c r="BP2041" s="149"/>
      <c r="BQ2041" s="149"/>
      <c r="BR2041" s="149"/>
      <c r="BS2041" s="149"/>
      <c r="BT2041" s="149"/>
    </row>
    <row r="2042" spans="52:72">
      <c r="AZ2042" s="149"/>
      <c r="BA2042" s="149"/>
      <c r="BB2042" s="149"/>
      <c r="BC2042" s="149"/>
      <c r="BE2042" s="149"/>
      <c r="BF2042" s="149"/>
      <c r="BG2042" s="149"/>
      <c r="BH2042" s="149"/>
      <c r="BI2042" s="149"/>
      <c r="BJ2042" s="149"/>
      <c r="BK2042" s="712"/>
      <c r="BL2042" s="712"/>
      <c r="BM2042" s="712"/>
      <c r="BN2042" s="712"/>
      <c r="BO2042" s="149"/>
      <c r="BP2042" s="149"/>
      <c r="BQ2042" s="149"/>
      <c r="BR2042" s="149"/>
      <c r="BS2042" s="149"/>
      <c r="BT2042" s="149"/>
    </row>
    <row r="2043" spans="52:72">
      <c r="AZ2043" s="149"/>
      <c r="BA2043" s="149"/>
      <c r="BB2043" s="149"/>
      <c r="BC2043" s="149"/>
      <c r="BE2043" s="149"/>
      <c r="BF2043" s="149"/>
      <c r="BG2043" s="149"/>
      <c r="BH2043" s="149"/>
      <c r="BI2043" s="149"/>
      <c r="BJ2043" s="149"/>
      <c r="BK2043" s="712"/>
      <c r="BL2043" s="712"/>
      <c r="BM2043" s="712"/>
      <c r="BN2043" s="712"/>
      <c r="BO2043" s="149"/>
      <c r="BP2043" s="149"/>
      <c r="BQ2043" s="149"/>
      <c r="BR2043" s="149"/>
      <c r="BS2043" s="149"/>
      <c r="BT2043" s="149"/>
    </row>
    <row r="2044" spans="52:72">
      <c r="AZ2044" s="149"/>
      <c r="BA2044" s="149"/>
      <c r="BB2044" s="149"/>
      <c r="BC2044" s="149"/>
      <c r="BE2044" s="149"/>
      <c r="BF2044" s="149"/>
      <c r="BG2044" s="149"/>
      <c r="BH2044" s="149"/>
      <c r="BI2044" s="149"/>
      <c r="BJ2044" s="149"/>
      <c r="BK2044" s="712"/>
      <c r="BL2044" s="712"/>
      <c r="BM2044" s="712"/>
      <c r="BN2044" s="712"/>
      <c r="BO2044" s="149"/>
      <c r="BP2044" s="149"/>
      <c r="BQ2044" s="149"/>
      <c r="BR2044" s="149"/>
      <c r="BS2044" s="149"/>
      <c r="BT2044" s="149"/>
    </row>
    <row r="2045" spans="52:72">
      <c r="AZ2045" s="149"/>
      <c r="BA2045" s="149"/>
      <c r="BB2045" s="149"/>
      <c r="BC2045" s="149"/>
      <c r="BE2045" s="149"/>
      <c r="BF2045" s="149"/>
      <c r="BG2045" s="149"/>
      <c r="BH2045" s="149"/>
      <c r="BI2045" s="149"/>
      <c r="BJ2045" s="149"/>
      <c r="BK2045" s="712"/>
      <c r="BL2045" s="712"/>
      <c r="BM2045" s="712"/>
      <c r="BN2045" s="712"/>
      <c r="BO2045" s="149"/>
      <c r="BP2045" s="149"/>
      <c r="BQ2045" s="149"/>
      <c r="BR2045" s="149"/>
      <c r="BS2045" s="149"/>
      <c r="BT2045" s="149"/>
    </row>
    <row r="2046" spans="52:72">
      <c r="AZ2046" s="149"/>
      <c r="BA2046" s="149"/>
      <c r="BB2046" s="149"/>
      <c r="BC2046" s="149"/>
      <c r="BE2046" s="149"/>
      <c r="BF2046" s="149"/>
      <c r="BG2046" s="149"/>
      <c r="BH2046" s="149"/>
      <c r="BI2046" s="149"/>
      <c r="BJ2046" s="149"/>
      <c r="BK2046" s="712"/>
      <c r="BL2046" s="712"/>
      <c r="BM2046" s="712"/>
      <c r="BN2046" s="712"/>
      <c r="BO2046" s="149"/>
      <c r="BP2046" s="149"/>
      <c r="BQ2046" s="149"/>
      <c r="BR2046" s="149"/>
      <c r="BS2046" s="149"/>
      <c r="BT2046" s="149"/>
    </row>
    <row r="2047" spans="52:72">
      <c r="AZ2047" s="149"/>
      <c r="BA2047" s="149"/>
      <c r="BB2047" s="149"/>
      <c r="BC2047" s="149"/>
      <c r="BE2047" s="149"/>
      <c r="BF2047" s="149"/>
      <c r="BG2047" s="149"/>
      <c r="BH2047" s="149"/>
      <c r="BI2047" s="149"/>
      <c r="BJ2047" s="149"/>
      <c r="BK2047" s="712"/>
      <c r="BL2047" s="712"/>
      <c r="BM2047" s="712"/>
      <c r="BN2047" s="712"/>
      <c r="BO2047" s="149"/>
      <c r="BP2047" s="149"/>
      <c r="BQ2047" s="149"/>
      <c r="BR2047" s="149"/>
      <c r="BS2047" s="149"/>
      <c r="BT2047" s="149"/>
    </row>
    <row r="2048" spans="52:72">
      <c r="AZ2048" s="149"/>
      <c r="BA2048" s="149"/>
      <c r="BB2048" s="149"/>
      <c r="BC2048" s="149"/>
      <c r="BE2048" s="149"/>
      <c r="BF2048" s="149"/>
      <c r="BG2048" s="149"/>
      <c r="BH2048" s="149"/>
      <c r="BI2048" s="149"/>
      <c r="BJ2048" s="149"/>
      <c r="BK2048" s="712"/>
      <c r="BL2048" s="712"/>
      <c r="BM2048" s="712"/>
      <c r="BN2048" s="712"/>
      <c r="BO2048" s="149"/>
      <c r="BP2048" s="149"/>
      <c r="BQ2048" s="149"/>
      <c r="BR2048" s="149"/>
      <c r="BS2048" s="149"/>
      <c r="BT2048" s="149"/>
    </row>
    <row r="2049" spans="52:72">
      <c r="AZ2049" s="149"/>
      <c r="BA2049" s="149"/>
      <c r="BB2049" s="149"/>
      <c r="BC2049" s="149"/>
      <c r="BE2049" s="149"/>
      <c r="BF2049" s="149"/>
      <c r="BG2049" s="149"/>
      <c r="BH2049" s="149"/>
      <c r="BI2049" s="149"/>
      <c r="BJ2049" s="149"/>
      <c r="BK2049" s="712"/>
      <c r="BL2049" s="712"/>
      <c r="BM2049" s="712"/>
      <c r="BN2049" s="712"/>
      <c r="BO2049" s="149"/>
      <c r="BP2049" s="149"/>
      <c r="BQ2049" s="149"/>
      <c r="BR2049" s="149"/>
      <c r="BS2049" s="149"/>
      <c r="BT2049" s="149"/>
    </row>
    <row r="2050" spans="52:72">
      <c r="AZ2050" s="149"/>
      <c r="BA2050" s="149"/>
      <c r="BB2050" s="149"/>
      <c r="BC2050" s="149"/>
      <c r="BE2050" s="149"/>
      <c r="BF2050" s="149"/>
      <c r="BG2050" s="149"/>
      <c r="BH2050" s="149"/>
      <c r="BI2050" s="149"/>
      <c r="BJ2050" s="149"/>
      <c r="BK2050" s="712"/>
      <c r="BL2050" s="712"/>
      <c r="BM2050" s="712"/>
      <c r="BN2050" s="712"/>
      <c r="BO2050" s="149"/>
      <c r="BP2050" s="149"/>
      <c r="BQ2050" s="149"/>
      <c r="BR2050" s="149"/>
      <c r="BS2050" s="149"/>
      <c r="BT2050" s="149"/>
    </row>
    <row r="2051" spans="52:72">
      <c r="AZ2051" s="149"/>
      <c r="BA2051" s="149"/>
      <c r="BB2051" s="149"/>
      <c r="BC2051" s="149"/>
      <c r="BE2051" s="149"/>
      <c r="BF2051" s="149"/>
      <c r="BG2051" s="149"/>
      <c r="BH2051" s="149"/>
      <c r="BI2051" s="149"/>
      <c r="BJ2051" s="149"/>
      <c r="BK2051" s="712"/>
      <c r="BL2051" s="712"/>
      <c r="BM2051" s="712"/>
      <c r="BN2051" s="712"/>
      <c r="BO2051" s="149"/>
      <c r="BP2051" s="149"/>
      <c r="BQ2051" s="149"/>
      <c r="BR2051" s="149"/>
      <c r="BS2051" s="149"/>
      <c r="BT2051" s="149"/>
    </row>
    <row r="2052" spans="52:72">
      <c r="AZ2052" s="149"/>
      <c r="BA2052" s="149"/>
      <c r="BB2052" s="149"/>
      <c r="BC2052" s="149"/>
      <c r="BE2052" s="149"/>
      <c r="BF2052" s="149"/>
      <c r="BG2052" s="149"/>
      <c r="BH2052" s="149"/>
      <c r="BI2052" s="149"/>
      <c r="BJ2052" s="149"/>
      <c r="BK2052" s="712"/>
      <c r="BL2052" s="712"/>
      <c r="BM2052" s="712"/>
      <c r="BN2052" s="712"/>
      <c r="BO2052" s="149"/>
      <c r="BP2052" s="149"/>
      <c r="BQ2052" s="149"/>
      <c r="BR2052" s="149"/>
      <c r="BS2052" s="149"/>
      <c r="BT2052" s="149"/>
    </row>
    <row r="2053" spans="52:72">
      <c r="AZ2053" s="149"/>
      <c r="BA2053" s="149"/>
      <c r="BB2053" s="149"/>
      <c r="BC2053" s="149"/>
      <c r="BE2053" s="149"/>
      <c r="BF2053" s="149"/>
      <c r="BG2053" s="149"/>
      <c r="BH2053" s="149"/>
      <c r="BI2053" s="149"/>
      <c r="BJ2053" s="149"/>
      <c r="BK2053" s="712"/>
      <c r="BL2053" s="712"/>
      <c r="BM2053" s="712"/>
      <c r="BN2053" s="712"/>
      <c r="BO2053" s="149"/>
      <c r="BP2053" s="149"/>
      <c r="BQ2053" s="149"/>
      <c r="BR2053" s="149"/>
      <c r="BS2053" s="149"/>
      <c r="BT2053" s="149"/>
    </row>
    <row r="2054" spans="52:72">
      <c r="AZ2054" s="149"/>
      <c r="BA2054" s="149"/>
      <c r="BB2054" s="149"/>
      <c r="BC2054" s="149"/>
      <c r="BE2054" s="149"/>
      <c r="BF2054" s="149"/>
      <c r="BG2054" s="149"/>
      <c r="BH2054" s="149"/>
      <c r="BI2054" s="149"/>
      <c r="BJ2054" s="149"/>
      <c r="BK2054" s="712"/>
      <c r="BL2054" s="712"/>
      <c r="BM2054" s="712"/>
      <c r="BN2054" s="712"/>
      <c r="BO2054" s="149"/>
      <c r="BP2054" s="149"/>
      <c r="BQ2054" s="149"/>
      <c r="BR2054" s="149"/>
      <c r="BS2054" s="149"/>
      <c r="BT2054" s="149"/>
    </row>
    <row r="2055" spans="52:72">
      <c r="AZ2055" s="149"/>
      <c r="BA2055" s="149"/>
      <c r="BB2055" s="149"/>
      <c r="BC2055" s="149"/>
      <c r="BE2055" s="149"/>
      <c r="BF2055" s="149"/>
      <c r="BG2055" s="149"/>
      <c r="BH2055" s="149"/>
      <c r="BI2055" s="149"/>
      <c r="BJ2055" s="149"/>
      <c r="BK2055" s="712"/>
      <c r="BL2055" s="712"/>
      <c r="BM2055" s="712"/>
      <c r="BN2055" s="712"/>
      <c r="BO2055" s="149"/>
      <c r="BP2055" s="149"/>
      <c r="BQ2055" s="149"/>
      <c r="BR2055" s="149"/>
      <c r="BS2055" s="149"/>
      <c r="BT2055" s="149"/>
    </row>
    <row r="2056" spans="52:72">
      <c r="AZ2056" s="149"/>
      <c r="BA2056" s="149"/>
      <c r="BB2056" s="149"/>
      <c r="BC2056" s="149"/>
      <c r="BE2056" s="149"/>
      <c r="BF2056" s="149"/>
      <c r="BG2056" s="149"/>
      <c r="BH2056" s="149"/>
      <c r="BI2056" s="149"/>
      <c r="BJ2056" s="149"/>
      <c r="BK2056" s="712"/>
      <c r="BL2056" s="712"/>
      <c r="BM2056" s="712"/>
      <c r="BN2056" s="712"/>
    </row>
    <row r="2057" spans="52:72">
      <c r="AZ2057" s="149"/>
      <c r="BA2057" s="149"/>
      <c r="BB2057" s="149"/>
      <c r="BC2057" s="149"/>
      <c r="BE2057" s="149"/>
      <c r="BF2057" s="149"/>
      <c r="BG2057" s="149"/>
      <c r="BH2057" s="149"/>
      <c r="BI2057" s="149"/>
      <c r="BJ2057" s="149"/>
      <c r="BK2057" s="712"/>
      <c r="BL2057" s="712"/>
      <c r="BM2057" s="712"/>
      <c r="BN2057" s="712"/>
    </row>
    <row r="2058" spans="52:72">
      <c r="AZ2058" s="149"/>
      <c r="BA2058" s="149"/>
      <c r="BB2058" s="149"/>
      <c r="BC2058" s="149"/>
      <c r="BE2058" s="149"/>
      <c r="BF2058" s="149"/>
      <c r="BG2058" s="149"/>
      <c r="BH2058" s="149"/>
      <c r="BI2058" s="149"/>
      <c r="BJ2058" s="149"/>
      <c r="BK2058" s="712"/>
      <c r="BL2058" s="712"/>
      <c r="BM2058" s="712"/>
      <c r="BN2058" s="712"/>
    </row>
    <row r="2059" spans="52:72">
      <c r="AZ2059" s="149"/>
      <c r="BA2059" s="149"/>
      <c r="BB2059" s="149"/>
      <c r="BC2059" s="149"/>
      <c r="BE2059" s="149"/>
      <c r="BF2059" s="149"/>
      <c r="BG2059" s="149"/>
      <c r="BH2059" s="149"/>
      <c r="BI2059" s="149"/>
      <c r="BJ2059" s="149"/>
      <c r="BK2059" s="712"/>
      <c r="BL2059" s="712"/>
      <c r="BM2059" s="712"/>
      <c r="BN2059" s="712"/>
    </row>
    <row r="2060" spans="52:72">
      <c r="AZ2060" s="149"/>
      <c r="BA2060" s="149"/>
      <c r="BB2060" s="149"/>
      <c r="BC2060" s="149"/>
      <c r="BE2060" s="149"/>
      <c r="BF2060" s="149"/>
      <c r="BG2060" s="149"/>
      <c r="BH2060" s="149"/>
      <c r="BI2060" s="149"/>
      <c r="BJ2060" s="149"/>
      <c r="BK2060" s="712"/>
      <c r="BL2060" s="712"/>
      <c r="BM2060" s="712"/>
      <c r="BN2060" s="712"/>
    </row>
    <row r="2061" spans="52:72">
      <c r="AZ2061" s="149"/>
      <c r="BA2061" s="149"/>
      <c r="BB2061" s="149"/>
      <c r="BC2061" s="149"/>
      <c r="BE2061" s="149"/>
      <c r="BF2061" s="149"/>
      <c r="BG2061" s="149"/>
      <c r="BH2061" s="149"/>
      <c r="BI2061" s="149"/>
      <c r="BJ2061" s="149"/>
      <c r="BK2061" s="712"/>
      <c r="BL2061" s="712"/>
      <c r="BM2061" s="712"/>
      <c r="BN2061" s="712"/>
    </row>
    <row r="2062" spans="52:72">
      <c r="AZ2062" s="149"/>
      <c r="BA2062" s="149"/>
      <c r="BB2062" s="149"/>
      <c r="BC2062" s="149"/>
      <c r="BE2062" s="149"/>
      <c r="BF2062" s="149"/>
      <c r="BG2062" s="149"/>
      <c r="BH2062" s="149"/>
      <c r="BI2062" s="149"/>
      <c r="BJ2062" s="149"/>
      <c r="BK2062" s="712"/>
      <c r="BL2062" s="712"/>
      <c r="BM2062" s="712"/>
      <c r="BN2062" s="712"/>
    </row>
    <row r="2063" spans="52:72">
      <c r="AZ2063" s="149"/>
      <c r="BA2063" s="149"/>
      <c r="BB2063" s="149"/>
      <c r="BC2063" s="149"/>
      <c r="BE2063" s="149"/>
      <c r="BF2063" s="149"/>
      <c r="BG2063" s="149"/>
      <c r="BH2063" s="149"/>
      <c r="BI2063" s="149"/>
      <c r="BJ2063" s="149"/>
      <c r="BK2063" s="712"/>
      <c r="BL2063" s="712"/>
      <c r="BM2063" s="712"/>
      <c r="BN2063" s="712"/>
    </row>
    <row r="2064" spans="52:72">
      <c r="AZ2064" s="149"/>
      <c r="BA2064" s="149"/>
      <c r="BB2064" s="149"/>
      <c r="BC2064" s="149"/>
      <c r="BE2064" s="149"/>
      <c r="BF2064" s="149"/>
      <c r="BG2064" s="149"/>
      <c r="BH2064" s="149"/>
      <c r="BI2064" s="149"/>
      <c r="BJ2064" s="149"/>
      <c r="BK2064" s="712"/>
      <c r="BL2064" s="712"/>
      <c r="BM2064" s="712"/>
      <c r="BN2064" s="712"/>
    </row>
    <row r="2065" spans="52:66">
      <c r="AZ2065" s="149"/>
      <c r="BA2065" s="149"/>
      <c r="BB2065" s="149"/>
      <c r="BC2065" s="149"/>
      <c r="BE2065" s="149"/>
      <c r="BF2065" s="149"/>
      <c r="BG2065" s="149"/>
      <c r="BH2065" s="149"/>
      <c r="BI2065" s="149"/>
      <c r="BJ2065" s="149"/>
      <c r="BK2065" s="712"/>
      <c r="BL2065" s="712"/>
      <c r="BM2065" s="712"/>
      <c r="BN2065" s="712"/>
    </row>
    <row r="2066" spans="52:66">
      <c r="AZ2066" s="149"/>
      <c r="BA2066" s="149"/>
      <c r="BB2066" s="149"/>
      <c r="BC2066" s="149"/>
      <c r="BE2066" s="149"/>
      <c r="BF2066" s="149"/>
      <c r="BG2066" s="149"/>
      <c r="BH2066" s="149"/>
      <c r="BI2066" s="149"/>
      <c r="BJ2066" s="149"/>
      <c r="BK2066" s="712"/>
      <c r="BL2066" s="712"/>
      <c r="BM2066" s="712"/>
      <c r="BN2066" s="712"/>
    </row>
    <row r="2067" spans="52:66">
      <c r="AZ2067" s="149"/>
      <c r="BA2067" s="149"/>
      <c r="BB2067" s="149"/>
      <c r="BC2067" s="149"/>
      <c r="BE2067" s="149"/>
      <c r="BF2067" s="149"/>
      <c r="BG2067" s="149"/>
      <c r="BH2067" s="149"/>
      <c r="BI2067" s="149"/>
      <c r="BJ2067" s="149"/>
      <c r="BK2067" s="712"/>
      <c r="BL2067" s="712"/>
      <c r="BM2067" s="712"/>
      <c r="BN2067" s="712"/>
    </row>
    <row r="2068" spans="52:66">
      <c r="AZ2068" s="149"/>
      <c r="BA2068" s="149"/>
      <c r="BB2068" s="149"/>
      <c r="BC2068" s="149"/>
      <c r="BE2068" s="149"/>
      <c r="BF2068" s="149"/>
      <c r="BG2068" s="149"/>
      <c r="BH2068" s="149"/>
      <c r="BI2068" s="149"/>
      <c r="BJ2068" s="149"/>
      <c r="BK2068" s="712"/>
      <c r="BL2068" s="712"/>
      <c r="BM2068" s="712"/>
      <c r="BN2068" s="712"/>
    </row>
    <row r="2069" spans="52:66">
      <c r="AZ2069" s="149"/>
      <c r="BA2069" s="149"/>
      <c r="BB2069" s="149"/>
      <c r="BC2069" s="149"/>
      <c r="BE2069" s="149"/>
      <c r="BF2069" s="149"/>
      <c r="BG2069" s="149"/>
      <c r="BH2069" s="149"/>
      <c r="BI2069" s="149"/>
      <c r="BJ2069" s="149"/>
      <c r="BK2069" s="712"/>
      <c r="BL2069" s="712"/>
      <c r="BM2069" s="712"/>
      <c r="BN2069" s="712"/>
    </row>
    <row r="2070" spans="52:66">
      <c r="AZ2070" s="149"/>
      <c r="BA2070" s="149"/>
      <c r="BB2070" s="149"/>
      <c r="BC2070" s="149"/>
      <c r="BE2070" s="149"/>
      <c r="BF2070" s="149"/>
      <c r="BG2070" s="149"/>
      <c r="BH2070" s="149"/>
      <c r="BI2070" s="149"/>
      <c r="BJ2070" s="149"/>
      <c r="BK2070" s="712"/>
      <c r="BL2070" s="712"/>
      <c r="BM2070" s="712"/>
      <c r="BN2070" s="712"/>
    </row>
    <row r="2071" spans="52:66">
      <c r="AZ2071" s="149"/>
      <c r="BA2071" s="149"/>
      <c r="BB2071" s="149"/>
      <c r="BC2071" s="149"/>
      <c r="BE2071" s="149"/>
      <c r="BF2071" s="149"/>
      <c r="BG2071" s="149"/>
      <c r="BH2071" s="149"/>
      <c r="BI2071" s="149"/>
      <c r="BJ2071" s="149"/>
      <c r="BK2071" s="712"/>
      <c r="BL2071" s="712"/>
      <c r="BM2071" s="712"/>
      <c r="BN2071" s="712"/>
    </row>
    <row r="2072" spans="52:66">
      <c r="AZ2072" s="149"/>
      <c r="BA2072" s="149"/>
      <c r="BB2072" s="149"/>
      <c r="BC2072" s="149"/>
      <c r="BE2072" s="149"/>
      <c r="BF2072" s="149"/>
      <c r="BG2072" s="149"/>
      <c r="BH2072" s="149"/>
      <c r="BI2072" s="149"/>
      <c r="BJ2072" s="149"/>
      <c r="BK2072" s="712"/>
      <c r="BL2072" s="712"/>
      <c r="BM2072" s="712"/>
      <c r="BN2072" s="712"/>
    </row>
    <row r="2073" spans="52:66">
      <c r="AZ2073" s="149"/>
      <c r="BA2073" s="149"/>
      <c r="BB2073" s="149"/>
      <c r="BC2073" s="149"/>
      <c r="BE2073" s="149"/>
      <c r="BF2073" s="149"/>
      <c r="BG2073" s="149"/>
      <c r="BH2073" s="149"/>
      <c r="BI2073" s="149"/>
      <c r="BJ2073" s="149"/>
      <c r="BK2073" s="712"/>
      <c r="BL2073" s="712"/>
      <c r="BM2073" s="712"/>
      <c r="BN2073" s="712"/>
    </row>
    <row r="2074" spans="52:66">
      <c r="AZ2074" s="149"/>
      <c r="BA2074" s="149"/>
      <c r="BB2074" s="149"/>
      <c r="BC2074" s="149"/>
      <c r="BE2074" s="149"/>
      <c r="BF2074" s="149"/>
      <c r="BG2074" s="149"/>
      <c r="BH2074" s="149"/>
      <c r="BI2074" s="149"/>
      <c r="BJ2074" s="149"/>
      <c r="BK2074" s="712"/>
      <c r="BL2074" s="712"/>
      <c r="BM2074" s="712"/>
      <c r="BN2074" s="712"/>
    </row>
    <row r="2075" spans="52:66">
      <c r="AZ2075" s="149"/>
      <c r="BA2075" s="149"/>
      <c r="BB2075" s="149"/>
      <c r="BC2075" s="149"/>
      <c r="BE2075" s="149"/>
      <c r="BF2075" s="149"/>
      <c r="BG2075" s="149"/>
      <c r="BH2075" s="149"/>
      <c r="BI2075" s="149"/>
      <c r="BJ2075" s="149"/>
      <c r="BK2075" s="712"/>
      <c r="BL2075" s="712"/>
      <c r="BM2075" s="712"/>
      <c r="BN2075" s="712"/>
    </row>
    <row r="2076" spans="52:66">
      <c r="AZ2076" s="149"/>
      <c r="BA2076" s="149"/>
      <c r="BB2076" s="149"/>
      <c r="BC2076" s="149"/>
      <c r="BE2076" s="149"/>
      <c r="BF2076" s="149"/>
      <c r="BG2076" s="149"/>
      <c r="BH2076" s="149"/>
      <c r="BI2076" s="149"/>
      <c r="BJ2076" s="149"/>
      <c r="BK2076" s="712"/>
      <c r="BL2076" s="712"/>
      <c r="BM2076" s="712"/>
      <c r="BN2076" s="712"/>
    </row>
    <row r="2077" spans="52:66">
      <c r="AZ2077" s="149"/>
      <c r="BA2077" s="149"/>
      <c r="BB2077" s="149"/>
      <c r="BC2077" s="149"/>
      <c r="BE2077" s="149"/>
      <c r="BF2077" s="149"/>
      <c r="BG2077" s="149"/>
      <c r="BH2077" s="149"/>
      <c r="BI2077" s="149"/>
      <c r="BJ2077" s="149"/>
      <c r="BK2077" s="712"/>
      <c r="BL2077" s="712"/>
      <c r="BM2077" s="712"/>
      <c r="BN2077" s="712"/>
    </row>
    <row r="2078" spans="52:66">
      <c r="AZ2078" s="149"/>
      <c r="BA2078" s="149"/>
      <c r="BB2078" s="149"/>
      <c r="BC2078" s="149"/>
      <c r="BE2078" s="149"/>
      <c r="BF2078" s="149"/>
      <c r="BG2078" s="149"/>
      <c r="BH2078" s="149"/>
      <c r="BI2078" s="149"/>
      <c r="BJ2078" s="149"/>
      <c r="BK2078" s="712"/>
      <c r="BL2078" s="712"/>
      <c r="BM2078" s="712"/>
      <c r="BN2078" s="712"/>
    </row>
    <row r="2079" spans="52:66">
      <c r="AZ2079" s="149"/>
      <c r="BA2079" s="149"/>
      <c r="BB2079" s="149"/>
      <c r="BC2079" s="149"/>
      <c r="BE2079" s="149"/>
      <c r="BF2079" s="149"/>
      <c r="BG2079" s="149"/>
      <c r="BH2079" s="149"/>
      <c r="BI2079" s="149"/>
      <c r="BJ2079" s="149"/>
      <c r="BK2079" s="712"/>
      <c r="BL2079" s="712"/>
      <c r="BM2079" s="712"/>
      <c r="BN2079" s="712"/>
    </row>
    <row r="2080" spans="52:66">
      <c r="AZ2080" s="149"/>
      <c r="BA2080" s="149"/>
      <c r="BB2080" s="149"/>
      <c r="BC2080" s="149"/>
      <c r="BE2080" s="149"/>
      <c r="BF2080" s="149"/>
      <c r="BG2080" s="149"/>
      <c r="BH2080" s="149"/>
      <c r="BI2080" s="149"/>
      <c r="BJ2080" s="149"/>
      <c r="BK2080" s="712"/>
      <c r="BL2080" s="712"/>
      <c r="BM2080" s="712"/>
      <c r="BN2080" s="712"/>
    </row>
    <row r="2081" spans="52:66">
      <c r="AZ2081" s="149"/>
      <c r="BA2081" s="149"/>
      <c r="BB2081" s="149"/>
      <c r="BC2081" s="149"/>
      <c r="BE2081" s="149"/>
      <c r="BF2081" s="149"/>
      <c r="BG2081" s="149"/>
      <c r="BH2081" s="149"/>
      <c r="BI2081" s="149"/>
      <c r="BJ2081" s="149"/>
      <c r="BK2081" s="712"/>
      <c r="BL2081" s="712"/>
      <c r="BM2081" s="712"/>
      <c r="BN2081" s="712"/>
    </row>
    <row r="2082" spans="52:66">
      <c r="AZ2082" s="149"/>
      <c r="BA2082" s="149"/>
      <c r="BB2082" s="149"/>
      <c r="BC2082" s="149"/>
      <c r="BE2082" s="149"/>
      <c r="BF2082" s="149"/>
      <c r="BG2082" s="149"/>
      <c r="BH2082" s="149"/>
      <c r="BI2082" s="149"/>
      <c r="BJ2082" s="149"/>
      <c r="BK2082" s="712"/>
      <c r="BL2082" s="712"/>
      <c r="BM2082" s="712"/>
      <c r="BN2082" s="712"/>
    </row>
    <row r="2083" spans="52:66">
      <c r="AZ2083" s="149"/>
      <c r="BA2083" s="149"/>
      <c r="BB2083" s="149"/>
      <c r="BC2083" s="149"/>
      <c r="BE2083" s="149"/>
      <c r="BF2083" s="149"/>
      <c r="BG2083" s="149"/>
      <c r="BH2083" s="149"/>
      <c r="BI2083" s="149"/>
      <c r="BJ2083" s="149"/>
      <c r="BK2083" s="712"/>
      <c r="BL2083" s="712"/>
      <c r="BM2083" s="712"/>
      <c r="BN2083" s="712"/>
    </row>
    <row r="2084" spans="52:66">
      <c r="AZ2084" s="149"/>
      <c r="BA2084" s="149"/>
      <c r="BB2084" s="149"/>
      <c r="BC2084" s="149"/>
      <c r="BE2084" s="149"/>
      <c r="BF2084" s="149"/>
      <c r="BG2084" s="149"/>
      <c r="BH2084" s="149"/>
      <c r="BI2084" s="149"/>
      <c r="BJ2084" s="149"/>
      <c r="BK2084" s="712"/>
      <c r="BL2084" s="712"/>
      <c r="BM2084" s="712"/>
      <c r="BN2084" s="712"/>
    </row>
    <row r="2085" spans="52:66">
      <c r="AZ2085" s="149"/>
      <c r="BA2085" s="149"/>
      <c r="BB2085" s="149"/>
      <c r="BC2085" s="149"/>
      <c r="BE2085" s="149"/>
      <c r="BF2085" s="149"/>
      <c r="BG2085" s="149"/>
      <c r="BH2085" s="149"/>
      <c r="BI2085" s="149"/>
      <c r="BJ2085" s="149"/>
      <c r="BK2085" s="712"/>
      <c r="BL2085" s="712"/>
      <c r="BM2085" s="712"/>
      <c r="BN2085" s="712"/>
    </row>
    <row r="2086" spans="52:66">
      <c r="AZ2086" s="149"/>
      <c r="BA2086" s="149"/>
      <c r="BB2086" s="149"/>
      <c r="BC2086" s="149"/>
      <c r="BE2086" s="149"/>
      <c r="BF2086" s="149"/>
      <c r="BG2086" s="149"/>
      <c r="BH2086" s="149"/>
      <c r="BI2086" s="149"/>
      <c r="BJ2086" s="149"/>
      <c r="BK2086" s="712"/>
      <c r="BL2086" s="712"/>
      <c r="BM2086" s="712"/>
      <c r="BN2086" s="712"/>
    </row>
    <row r="2087" spans="52:66">
      <c r="AZ2087" s="149"/>
      <c r="BA2087" s="149"/>
      <c r="BB2087" s="149"/>
      <c r="BC2087" s="149"/>
      <c r="BE2087" s="149"/>
      <c r="BF2087" s="149"/>
      <c r="BG2087" s="149"/>
      <c r="BH2087" s="149"/>
      <c r="BI2087" s="149"/>
      <c r="BJ2087" s="149"/>
      <c r="BK2087" s="712"/>
      <c r="BL2087" s="712"/>
      <c r="BM2087" s="712"/>
      <c r="BN2087" s="712"/>
    </row>
    <row r="2088" spans="52:66">
      <c r="AZ2088" s="149"/>
      <c r="BA2088" s="149"/>
      <c r="BB2088" s="149"/>
      <c r="BC2088" s="149"/>
      <c r="BE2088" s="149"/>
      <c r="BF2088" s="149"/>
      <c r="BG2088" s="149"/>
      <c r="BH2088" s="149"/>
      <c r="BI2088" s="149"/>
      <c r="BJ2088" s="149"/>
      <c r="BK2088" s="712"/>
      <c r="BL2088" s="712"/>
      <c r="BM2088" s="712"/>
      <c r="BN2088" s="712"/>
    </row>
    <row r="2089" spans="52:66">
      <c r="AZ2089" s="149"/>
      <c r="BA2089" s="149"/>
      <c r="BB2089" s="149"/>
      <c r="BC2089" s="149"/>
      <c r="BE2089" s="149"/>
      <c r="BF2089" s="149"/>
      <c r="BG2089" s="149"/>
      <c r="BH2089" s="149"/>
      <c r="BI2089" s="149"/>
      <c r="BJ2089" s="149"/>
      <c r="BK2089" s="712"/>
      <c r="BL2089" s="712"/>
      <c r="BM2089" s="712"/>
      <c r="BN2089" s="712"/>
    </row>
    <row r="2090" spans="52:66">
      <c r="AZ2090" s="149"/>
      <c r="BA2090" s="149"/>
      <c r="BB2090" s="149"/>
      <c r="BC2090" s="149"/>
      <c r="BE2090" s="149"/>
      <c r="BF2090" s="149"/>
      <c r="BG2090" s="149"/>
      <c r="BH2090" s="149"/>
      <c r="BI2090" s="149"/>
      <c r="BJ2090" s="149"/>
      <c r="BK2090" s="712"/>
      <c r="BL2090" s="712"/>
      <c r="BM2090" s="712"/>
      <c r="BN2090" s="712"/>
    </row>
    <row r="2091" spans="52:66">
      <c r="AZ2091" s="149"/>
      <c r="BA2091" s="149"/>
      <c r="BB2091" s="149"/>
      <c r="BC2091" s="149"/>
      <c r="BE2091" s="149"/>
      <c r="BF2091" s="149"/>
      <c r="BG2091" s="149"/>
      <c r="BH2091" s="149"/>
      <c r="BI2091" s="149"/>
      <c r="BJ2091" s="149"/>
      <c r="BK2091" s="712"/>
      <c r="BL2091" s="712"/>
      <c r="BM2091" s="712"/>
      <c r="BN2091" s="712"/>
    </row>
    <row r="2092" spans="52:66">
      <c r="AZ2092" s="149"/>
      <c r="BA2092" s="149"/>
      <c r="BB2092" s="149"/>
      <c r="BC2092" s="149"/>
      <c r="BE2092" s="149"/>
      <c r="BF2092" s="149"/>
      <c r="BG2092" s="149"/>
      <c r="BH2092" s="149"/>
      <c r="BI2092" s="149"/>
      <c r="BJ2092" s="149"/>
      <c r="BK2092" s="712"/>
      <c r="BL2092" s="712"/>
      <c r="BM2092" s="712"/>
      <c r="BN2092" s="712"/>
    </row>
    <row r="2093" spans="52:66">
      <c r="AZ2093" s="149"/>
      <c r="BA2093" s="149"/>
      <c r="BB2093" s="149"/>
      <c r="BC2093" s="149"/>
      <c r="BE2093" s="149"/>
      <c r="BF2093" s="149"/>
      <c r="BG2093" s="149"/>
      <c r="BH2093" s="149"/>
      <c r="BI2093" s="149"/>
      <c r="BJ2093" s="149"/>
      <c r="BK2093" s="712"/>
      <c r="BL2093" s="712"/>
      <c r="BM2093" s="712"/>
      <c r="BN2093" s="712"/>
    </row>
    <row r="2094" spans="52:66">
      <c r="AZ2094" s="149"/>
      <c r="BA2094" s="149"/>
      <c r="BB2094" s="149"/>
      <c r="BC2094" s="149"/>
      <c r="BE2094" s="149"/>
      <c r="BF2094" s="149"/>
      <c r="BG2094" s="149"/>
      <c r="BH2094" s="149"/>
      <c r="BI2094" s="149"/>
      <c r="BJ2094" s="149"/>
      <c r="BK2094" s="712"/>
      <c r="BL2094" s="712"/>
      <c r="BM2094" s="712"/>
      <c r="BN2094" s="712"/>
    </row>
    <row r="2095" spans="52:66">
      <c r="AZ2095" s="149"/>
      <c r="BA2095" s="149"/>
      <c r="BB2095" s="149"/>
      <c r="BC2095" s="149"/>
      <c r="BE2095" s="149"/>
      <c r="BF2095" s="149"/>
      <c r="BG2095" s="149"/>
      <c r="BH2095" s="149"/>
      <c r="BI2095" s="149"/>
      <c r="BJ2095" s="149"/>
      <c r="BK2095" s="712"/>
      <c r="BL2095" s="712"/>
      <c r="BM2095" s="712"/>
      <c r="BN2095" s="712"/>
    </row>
    <row r="2096" spans="52:66">
      <c r="AZ2096" s="149"/>
      <c r="BA2096" s="149"/>
      <c r="BB2096" s="149"/>
      <c r="BC2096" s="149"/>
      <c r="BE2096" s="149"/>
      <c r="BF2096" s="149"/>
      <c r="BG2096" s="149"/>
      <c r="BH2096" s="149"/>
      <c r="BI2096" s="149"/>
      <c r="BJ2096" s="149"/>
      <c r="BK2096" s="712"/>
      <c r="BL2096" s="712"/>
      <c r="BM2096" s="712"/>
      <c r="BN2096" s="712"/>
    </row>
    <row r="2097" spans="52:66">
      <c r="AZ2097" s="149"/>
      <c r="BA2097" s="149"/>
      <c r="BB2097" s="149"/>
      <c r="BC2097" s="149"/>
      <c r="BE2097" s="149"/>
      <c r="BF2097" s="149"/>
      <c r="BG2097" s="149"/>
      <c r="BH2097" s="149"/>
      <c r="BI2097" s="149"/>
      <c r="BJ2097" s="149"/>
      <c r="BK2097" s="712"/>
      <c r="BL2097" s="712"/>
      <c r="BM2097" s="712"/>
      <c r="BN2097" s="712"/>
    </row>
    <row r="2098" spans="52:66">
      <c r="AZ2098" s="149"/>
      <c r="BA2098" s="149"/>
      <c r="BB2098" s="149"/>
      <c r="BC2098" s="149"/>
      <c r="BE2098" s="149"/>
      <c r="BF2098" s="149"/>
      <c r="BG2098" s="149"/>
      <c r="BH2098" s="149"/>
      <c r="BI2098" s="149"/>
      <c r="BJ2098" s="149"/>
      <c r="BK2098" s="712"/>
      <c r="BL2098" s="712"/>
      <c r="BM2098" s="712"/>
      <c r="BN2098" s="712"/>
    </row>
    <row r="2099" spans="52:66">
      <c r="AZ2099" s="149"/>
      <c r="BA2099" s="149"/>
      <c r="BB2099" s="149"/>
      <c r="BC2099" s="149"/>
      <c r="BE2099" s="149"/>
      <c r="BF2099" s="149"/>
      <c r="BG2099" s="149"/>
      <c r="BH2099" s="149"/>
      <c r="BI2099" s="149"/>
      <c r="BJ2099" s="149"/>
      <c r="BK2099" s="712"/>
      <c r="BL2099" s="712"/>
      <c r="BM2099" s="712"/>
      <c r="BN2099" s="712"/>
    </row>
    <row r="2100" spans="52:66">
      <c r="AZ2100" s="149"/>
      <c r="BA2100" s="149"/>
      <c r="BB2100" s="149"/>
      <c r="BC2100" s="149"/>
      <c r="BE2100" s="149"/>
      <c r="BF2100" s="149"/>
      <c r="BG2100" s="149"/>
      <c r="BH2100" s="149"/>
      <c r="BI2100" s="149"/>
      <c r="BJ2100" s="149"/>
      <c r="BK2100" s="712"/>
      <c r="BL2100" s="712"/>
      <c r="BM2100" s="712"/>
      <c r="BN2100" s="712"/>
    </row>
    <row r="2101" spans="52:66">
      <c r="AZ2101" s="149"/>
      <c r="BA2101" s="149"/>
      <c r="BB2101" s="149"/>
      <c r="BC2101" s="149"/>
      <c r="BE2101" s="149"/>
      <c r="BF2101" s="149"/>
      <c r="BG2101" s="149"/>
      <c r="BH2101" s="149"/>
      <c r="BI2101" s="149"/>
      <c r="BJ2101" s="149"/>
      <c r="BK2101" s="712"/>
      <c r="BL2101" s="712"/>
      <c r="BM2101" s="712"/>
      <c r="BN2101" s="712"/>
    </row>
    <row r="2102" spans="52:66">
      <c r="AZ2102" s="149"/>
      <c r="BA2102" s="149"/>
      <c r="BB2102" s="149"/>
      <c r="BC2102" s="149"/>
      <c r="BE2102" s="149"/>
      <c r="BF2102" s="149"/>
      <c r="BG2102" s="149"/>
      <c r="BH2102" s="149"/>
      <c r="BI2102" s="149"/>
      <c r="BJ2102" s="149"/>
      <c r="BK2102" s="712"/>
      <c r="BL2102" s="712"/>
      <c r="BM2102" s="712"/>
      <c r="BN2102" s="712"/>
    </row>
    <row r="2103" spans="52:66">
      <c r="AZ2103" s="149"/>
      <c r="BA2103" s="149"/>
      <c r="BB2103" s="149"/>
      <c r="BC2103" s="149"/>
      <c r="BE2103" s="149"/>
      <c r="BF2103" s="149"/>
      <c r="BG2103" s="149"/>
      <c r="BH2103" s="149"/>
      <c r="BI2103" s="149"/>
      <c r="BJ2103" s="149"/>
      <c r="BK2103" s="712"/>
      <c r="BL2103" s="712"/>
      <c r="BM2103" s="712"/>
      <c r="BN2103" s="712"/>
    </row>
    <row r="2104" spans="52:66">
      <c r="AZ2104" s="149"/>
      <c r="BA2104" s="149"/>
      <c r="BB2104" s="149"/>
      <c r="BC2104" s="149"/>
      <c r="BE2104" s="149"/>
      <c r="BF2104" s="149"/>
      <c r="BG2104" s="149"/>
      <c r="BH2104" s="149"/>
      <c r="BI2104" s="149"/>
      <c r="BJ2104" s="149"/>
      <c r="BK2104" s="712"/>
      <c r="BL2104" s="712"/>
      <c r="BM2104" s="712"/>
      <c r="BN2104" s="712"/>
    </row>
    <row r="2105" spans="52:66">
      <c r="AZ2105" s="149"/>
      <c r="BA2105" s="149"/>
      <c r="BB2105" s="149"/>
      <c r="BC2105" s="149"/>
      <c r="BE2105" s="149"/>
      <c r="BF2105" s="149"/>
      <c r="BG2105" s="149"/>
      <c r="BH2105" s="149"/>
      <c r="BI2105" s="149"/>
      <c r="BJ2105" s="149"/>
      <c r="BK2105" s="712"/>
      <c r="BL2105" s="712"/>
      <c r="BM2105" s="712"/>
      <c r="BN2105" s="712"/>
    </row>
    <row r="2106" spans="52:66">
      <c r="AZ2106" s="149"/>
      <c r="BA2106" s="149"/>
      <c r="BB2106" s="149"/>
      <c r="BC2106" s="149"/>
      <c r="BE2106" s="149"/>
      <c r="BF2106" s="149"/>
      <c r="BG2106" s="149"/>
      <c r="BH2106" s="149"/>
      <c r="BI2106" s="149"/>
      <c r="BJ2106" s="149"/>
      <c r="BK2106" s="712"/>
      <c r="BL2106" s="712"/>
      <c r="BM2106" s="712"/>
      <c r="BN2106" s="712"/>
    </row>
    <row r="2107" spans="52:66">
      <c r="AZ2107" s="149"/>
      <c r="BA2107" s="149"/>
      <c r="BB2107" s="149"/>
      <c r="BC2107" s="149"/>
      <c r="BE2107" s="149"/>
      <c r="BF2107" s="149"/>
      <c r="BG2107" s="149"/>
      <c r="BH2107" s="149"/>
      <c r="BI2107" s="149"/>
      <c r="BJ2107" s="149"/>
      <c r="BK2107" s="712"/>
      <c r="BL2107" s="712"/>
      <c r="BM2107" s="712"/>
      <c r="BN2107" s="712"/>
    </row>
    <row r="2108" spans="52:66">
      <c r="AZ2108" s="149"/>
      <c r="BA2108" s="149"/>
      <c r="BB2108" s="149"/>
      <c r="BC2108" s="149"/>
      <c r="BE2108" s="149"/>
      <c r="BF2108" s="149"/>
      <c r="BG2108" s="149"/>
      <c r="BH2108" s="149"/>
      <c r="BI2108" s="149"/>
      <c r="BJ2108" s="149"/>
      <c r="BK2108" s="712"/>
      <c r="BL2108" s="712"/>
      <c r="BM2108" s="712"/>
      <c r="BN2108" s="712"/>
    </row>
    <row r="2109" spans="52:66">
      <c r="AZ2109" s="149"/>
      <c r="BA2109" s="149"/>
      <c r="BB2109" s="149"/>
      <c r="BC2109" s="149"/>
      <c r="BE2109" s="149"/>
      <c r="BF2109" s="149"/>
      <c r="BG2109" s="149"/>
      <c r="BH2109" s="149"/>
      <c r="BI2109" s="149"/>
      <c r="BJ2109" s="149"/>
      <c r="BK2109" s="712"/>
      <c r="BL2109" s="712"/>
      <c r="BM2109" s="712"/>
      <c r="BN2109" s="712"/>
    </row>
    <row r="2110" spans="52:66">
      <c r="AZ2110" s="149"/>
      <c r="BA2110" s="149"/>
      <c r="BB2110" s="149"/>
      <c r="BC2110" s="149"/>
      <c r="BE2110" s="149"/>
      <c r="BF2110" s="149"/>
      <c r="BG2110" s="149"/>
      <c r="BH2110" s="149"/>
      <c r="BI2110" s="149"/>
      <c r="BJ2110" s="149"/>
      <c r="BK2110" s="712"/>
      <c r="BL2110" s="712"/>
      <c r="BM2110" s="712"/>
      <c r="BN2110" s="712"/>
    </row>
    <row r="2111" spans="52:66">
      <c r="AZ2111" s="149"/>
      <c r="BA2111" s="149"/>
      <c r="BB2111" s="149"/>
      <c r="BC2111" s="149"/>
      <c r="BE2111" s="149"/>
      <c r="BF2111" s="149"/>
      <c r="BG2111" s="149"/>
      <c r="BH2111" s="149"/>
      <c r="BI2111" s="149"/>
      <c r="BJ2111" s="149"/>
      <c r="BK2111" s="712"/>
      <c r="BL2111" s="712"/>
      <c r="BM2111" s="712"/>
      <c r="BN2111" s="712"/>
    </row>
    <row r="2112" spans="52:66">
      <c r="AZ2112" s="149"/>
      <c r="BA2112" s="149"/>
      <c r="BB2112" s="149"/>
      <c r="BC2112" s="149"/>
      <c r="BE2112" s="149"/>
      <c r="BF2112" s="149"/>
      <c r="BG2112" s="149"/>
      <c r="BH2112" s="149"/>
      <c r="BI2112" s="149"/>
      <c r="BJ2112" s="149"/>
      <c r="BK2112" s="712"/>
      <c r="BL2112" s="712"/>
      <c r="BM2112" s="712"/>
      <c r="BN2112" s="712"/>
    </row>
    <row r="2113" spans="52:66">
      <c r="AZ2113" s="149"/>
      <c r="BA2113" s="149"/>
      <c r="BB2113" s="149"/>
      <c r="BC2113" s="149"/>
      <c r="BE2113" s="149"/>
      <c r="BF2113" s="149"/>
      <c r="BG2113" s="149"/>
      <c r="BH2113" s="149"/>
      <c r="BI2113" s="149"/>
      <c r="BJ2113" s="149"/>
      <c r="BK2113" s="712"/>
      <c r="BL2113" s="712"/>
      <c r="BM2113" s="712"/>
      <c r="BN2113" s="712"/>
    </row>
    <row r="2114" spans="52:66">
      <c r="AZ2114" s="149"/>
      <c r="BA2114" s="149"/>
      <c r="BB2114" s="149"/>
      <c r="BC2114" s="149"/>
      <c r="BE2114" s="149"/>
      <c r="BF2114" s="149"/>
      <c r="BG2114" s="149"/>
      <c r="BH2114" s="149"/>
      <c r="BI2114" s="149"/>
      <c r="BJ2114" s="149"/>
      <c r="BK2114" s="712"/>
      <c r="BL2114" s="712"/>
      <c r="BM2114" s="712"/>
      <c r="BN2114" s="712"/>
    </row>
    <row r="2115" spans="52:66">
      <c r="AZ2115" s="149"/>
      <c r="BA2115" s="149"/>
      <c r="BB2115" s="149"/>
      <c r="BC2115" s="149"/>
      <c r="BE2115" s="149"/>
      <c r="BF2115" s="149"/>
      <c r="BG2115" s="149"/>
      <c r="BH2115" s="149"/>
      <c r="BI2115" s="149"/>
      <c r="BJ2115" s="149"/>
      <c r="BK2115" s="712"/>
      <c r="BL2115" s="712"/>
      <c r="BM2115" s="712"/>
      <c r="BN2115" s="712"/>
    </row>
    <row r="2116" spans="52:66">
      <c r="AZ2116" s="149"/>
      <c r="BA2116" s="149"/>
      <c r="BB2116" s="149"/>
      <c r="BC2116" s="149"/>
      <c r="BE2116" s="149"/>
      <c r="BF2116" s="149"/>
      <c r="BG2116" s="149"/>
      <c r="BH2116" s="149"/>
      <c r="BI2116" s="149"/>
      <c r="BJ2116" s="149"/>
      <c r="BK2116" s="712"/>
      <c r="BL2116" s="712"/>
      <c r="BM2116" s="712"/>
      <c r="BN2116" s="712"/>
    </row>
    <row r="2117" spans="52:66">
      <c r="AZ2117" s="149"/>
      <c r="BA2117" s="149"/>
      <c r="BB2117" s="149"/>
      <c r="BC2117" s="149"/>
      <c r="BE2117" s="149"/>
      <c r="BF2117" s="149"/>
      <c r="BG2117" s="149"/>
      <c r="BH2117" s="149"/>
      <c r="BI2117" s="149"/>
      <c r="BJ2117" s="149"/>
      <c r="BK2117" s="712"/>
      <c r="BL2117" s="712"/>
      <c r="BM2117" s="712"/>
      <c r="BN2117" s="712"/>
    </row>
    <row r="2118" spans="52:66">
      <c r="AZ2118" s="149"/>
      <c r="BA2118" s="149"/>
      <c r="BB2118" s="149"/>
      <c r="BC2118" s="149"/>
      <c r="BE2118" s="149"/>
      <c r="BF2118" s="149"/>
      <c r="BG2118" s="149"/>
      <c r="BH2118" s="149"/>
      <c r="BI2118" s="149"/>
      <c r="BJ2118" s="149"/>
      <c r="BK2118" s="712"/>
      <c r="BL2118" s="712"/>
      <c r="BM2118" s="712"/>
      <c r="BN2118" s="712"/>
    </row>
    <row r="2119" spans="52:66">
      <c r="AZ2119" s="149"/>
      <c r="BA2119" s="149"/>
      <c r="BB2119" s="149"/>
      <c r="BC2119" s="149"/>
      <c r="BE2119" s="149"/>
      <c r="BF2119" s="149"/>
      <c r="BG2119" s="149"/>
      <c r="BH2119" s="149"/>
      <c r="BI2119" s="149"/>
      <c r="BJ2119" s="149"/>
      <c r="BK2119" s="712"/>
      <c r="BL2119" s="712"/>
      <c r="BM2119" s="712"/>
      <c r="BN2119" s="712"/>
    </row>
    <row r="2120" spans="52:66">
      <c r="AZ2120" s="149"/>
      <c r="BA2120" s="149"/>
      <c r="BB2120" s="149"/>
      <c r="BC2120" s="149"/>
      <c r="BE2120" s="149"/>
      <c r="BF2120" s="149"/>
      <c r="BG2120" s="149"/>
      <c r="BH2120" s="149"/>
      <c r="BI2120" s="149"/>
      <c r="BJ2120" s="149"/>
      <c r="BK2120" s="712"/>
      <c r="BL2120" s="712"/>
      <c r="BM2120" s="712"/>
      <c r="BN2120" s="712"/>
    </row>
    <row r="2121" spans="52:66">
      <c r="AZ2121" s="149"/>
      <c r="BA2121" s="149"/>
      <c r="BB2121" s="149"/>
      <c r="BC2121" s="149"/>
      <c r="BE2121" s="149"/>
      <c r="BF2121" s="149"/>
      <c r="BG2121" s="149"/>
      <c r="BH2121" s="149"/>
      <c r="BI2121" s="149"/>
      <c r="BJ2121" s="149"/>
      <c r="BK2121" s="712"/>
      <c r="BL2121" s="712"/>
      <c r="BM2121" s="712"/>
      <c r="BN2121" s="712"/>
    </row>
    <row r="2122" spans="52:66">
      <c r="AZ2122" s="149"/>
      <c r="BA2122" s="149"/>
      <c r="BB2122" s="149"/>
      <c r="BC2122" s="149"/>
      <c r="BE2122" s="149"/>
      <c r="BF2122" s="149"/>
      <c r="BG2122" s="149"/>
      <c r="BH2122" s="149"/>
      <c r="BI2122" s="149"/>
      <c r="BJ2122" s="149"/>
      <c r="BK2122" s="712"/>
      <c r="BL2122" s="712"/>
      <c r="BM2122" s="712"/>
      <c r="BN2122" s="712"/>
    </row>
    <row r="2123" spans="52:66">
      <c r="AZ2123" s="149"/>
      <c r="BA2123" s="149"/>
      <c r="BB2123" s="149"/>
      <c r="BC2123" s="149"/>
      <c r="BE2123" s="149"/>
      <c r="BF2123" s="149"/>
      <c r="BG2123" s="149"/>
      <c r="BH2123" s="149"/>
      <c r="BI2123" s="149"/>
      <c r="BJ2123" s="149"/>
      <c r="BK2123" s="712"/>
      <c r="BL2123" s="712"/>
      <c r="BM2123" s="712"/>
      <c r="BN2123" s="712"/>
    </row>
    <row r="2124" spans="52:66">
      <c r="AZ2124" s="149"/>
      <c r="BA2124" s="149"/>
      <c r="BB2124" s="149"/>
      <c r="BC2124" s="149"/>
      <c r="BE2124" s="149"/>
      <c r="BF2124" s="149"/>
      <c r="BG2124" s="149"/>
      <c r="BH2124" s="149"/>
      <c r="BI2124" s="149"/>
      <c r="BJ2124" s="149"/>
      <c r="BK2124" s="712"/>
      <c r="BL2124" s="712"/>
      <c r="BM2124" s="712"/>
      <c r="BN2124" s="712"/>
    </row>
    <row r="2125" spans="52:66">
      <c r="AZ2125" s="149"/>
      <c r="BA2125" s="149"/>
      <c r="BB2125" s="149"/>
      <c r="BC2125" s="149"/>
      <c r="BE2125" s="149"/>
      <c r="BF2125" s="149"/>
      <c r="BG2125" s="149"/>
      <c r="BH2125" s="149"/>
      <c r="BI2125" s="149"/>
      <c r="BJ2125" s="149"/>
      <c r="BK2125" s="712"/>
      <c r="BL2125" s="712"/>
      <c r="BM2125" s="712"/>
      <c r="BN2125" s="712"/>
    </row>
    <row r="2126" spans="52:66">
      <c r="AZ2126" s="149"/>
      <c r="BA2126" s="149"/>
      <c r="BB2126" s="149"/>
      <c r="BC2126" s="149"/>
      <c r="BE2126" s="149"/>
      <c r="BF2126" s="149"/>
      <c r="BG2126" s="149"/>
      <c r="BH2126" s="149"/>
      <c r="BI2126" s="149"/>
      <c r="BJ2126" s="149"/>
      <c r="BK2126" s="712"/>
      <c r="BL2126" s="712"/>
      <c r="BM2126" s="712"/>
      <c r="BN2126" s="712"/>
    </row>
    <row r="2127" spans="52:66">
      <c r="AZ2127" s="149"/>
      <c r="BA2127" s="149"/>
      <c r="BB2127" s="149"/>
      <c r="BC2127" s="149"/>
      <c r="BE2127" s="149"/>
      <c r="BF2127" s="149"/>
      <c r="BG2127" s="149"/>
      <c r="BH2127" s="149"/>
      <c r="BI2127" s="149"/>
      <c r="BJ2127" s="149"/>
      <c r="BK2127" s="712"/>
      <c r="BL2127" s="712"/>
      <c r="BM2127" s="712"/>
      <c r="BN2127" s="712"/>
    </row>
    <row r="2128" spans="52:66">
      <c r="AZ2128" s="149"/>
      <c r="BA2128" s="149"/>
      <c r="BB2128" s="149"/>
      <c r="BC2128" s="149"/>
      <c r="BE2128" s="149"/>
      <c r="BF2128" s="149"/>
      <c r="BG2128" s="149"/>
      <c r="BH2128" s="149"/>
      <c r="BI2128" s="149"/>
      <c r="BJ2128" s="149"/>
      <c r="BK2128" s="712"/>
      <c r="BL2128" s="712"/>
      <c r="BM2128" s="712"/>
      <c r="BN2128" s="712"/>
    </row>
    <row r="2129" spans="52:66">
      <c r="AZ2129" s="149"/>
      <c r="BA2129" s="149"/>
      <c r="BB2129" s="149"/>
      <c r="BC2129" s="149"/>
      <c r="BE2129" s="149"/>
      <c r="BF2129" s="149"/>
      <c r="BG2129" s="149"/>
      <c r="BH2129" s="149"/>
      <c r="BI2129" s="149"/>
      <c r="BJ2129" s="149"/>
      <c r="BK2129" s="712"/>
      <c r="BL2129" s="712"/>
      <c r="BM2129" s="712"/>
      <c r="BN2129" s="712"/>
    </row>
    <row r="2130" spans="52:66">
      <c r="AZ2130" s="149"/>
      <c r="BA2130" s="149"/>
      <c r="BB2130" s="149"/>
      <c r="BC2130" s="149"/>
      <c r="BE2130" s="149"/>
      <c r="BF2130" s="149"/>
      <c r="BG2130" s="149"/>
      <c r="BH2130" s="149"/>
      <c r="BI2130" s="149"/>
      <c r="BJ2130" s="149"/>
      <c r="BK2130" s="712"/>
      <c r="BL2130" s="712"/>
      <c r="BM2130" s="712"/>
      <c r="BN2130" s="712"/>
    </row>
    <row r="2131" spans="52:66">
      <c r="AZ2131" s="149"/>
      <c r="BA2131" s="149"/>
      <c r="BB2131" s="149"/>
      <c r="BC2131" s="149"/>
      <c r="BE2131" s="149"/>
      <c r="BF2131" s="149"/>
      <c r="BG2131" s="149"/>
      <c r="BH2131" s="149"/>
      <c r="BI2131" s="149"/>
      <c r="BJ2131" s="149"/>
      <c r="BK2131" s="712"/>
      <c r="BL2131" s="712"/>
      <c r="BM2131" s="712"/>
      <c r="BN2131" s="712"/>
    </row>
    <row r="2132" spans="52:66">
      <c r="AZ2132" s="149"/>
      <c r="BA2132" s="149"/>
      <c r="BB2132" s="149"/>
      <c r="BC2132" s="149"/>
      <c r="BE2132" s="149"/>
      <c r="BF2132" s="149"/>
      <c r="BG2132" s="149"/>
      <c r="BH2132" s="149"/>
      <c r="BI2132" s="149"/>
      <c r="BJ2132" s="149"/>
      <c r="BK2132" s="712"/>
      <c r="BL2132" s="712"/>
      <c r="BM2132" s="712"/>
      <c r="BN2132" s="712"/>
    </row>
    <row r="2133" spans="52:66">
      <c r="AZ2133" s="149"/>
      <c r="BA2133" s="149"/>
      <c r="BB2133" s="149"/>
      <c r="BC2133" s="149"/>
      <c r="BE2133" s="149"/>
      <c r="BF2133" s="149"/>
      <c r="BG2133" s="149"/>
      <c r="BH2133" s="149"/>
      <c r="BI2133" s="149"/>
      <c r="BJ2133" s="149"/>
      <c r="BK2133" s="712"/>
      <c r="BL2133" s="712"/>
      <c r="BM2133" s="712"/>
      <c r="BN2133" s="712"/>
    </row>
    <row r="2134" spans="52:66">
      <c r="AZ2134" s="149"/>
      <c r="BA2134" s="149"/>
      <c r="BB2134" s="149"/>
      <c r="BC2134" s="149"/>
      <c r="BE2134" s="149"/>
      <c r="BF2134" s="149"/>
      <c r="BG2134" s="149"/>
      <c r="BH2134" s="149"/>
      <c r="BI2134" s="149"/>
      <c r="BJ2134" s="149"/>
      <c r="BK2134" s="712"/>
      <c r="BL2134" s="712"/>
      <c r="BM2134" s="712"/>
      <c r="BN2134" s="712"/>
    </row>
    <row r="2135" spans="52:66">
      <c r="AZ2135" s="149"/>
      <c r="BA2135" s="149"/>
      <c r="BB2135" s="149"/>
      <c r="BC2135" s="149"/>
      <c r="BE2135" s="149"/>
      <c r="BF2135" s="149"/>
      <c r="BG2135" s="149"/>
      <c r="BH2135" s="149"/>
      <c r="BI2135" s="149"/>
      <c r="BJ2135" s="149"/>
      <c r="BK2135" s="712"/>
      <c r="BL2135" s="712"/>
      <c r="BM2135" s="712"/>
      <c r="BN2135" s="712"/>
    </row>
    <row r="2136" spans="52:66">
      <c r="AZ2136" s="149"/>
      <c r="BA2136" s="149"/>
      <c r="BB2136" s="149"/>
      <c r="BC2136" s="149"/>
      <c r="BE2136" s="149"/>
      <c r="BF2136" s="149"/>
      <c r="BG2136" s="149"/>
      <c r="BH2136" s="149"/>
      <c r="BI2136" s="149"/>
      <c r="BJ2136" s="149"/>
      <c r="BK2136" s="712"/>
      <c r="BL2136" s="712"/>
      <c r="BM2136" s="712"/>
      <c r="BN2136" s="712"/>
    </row>
    <row r="2137" spans="52:66">
      <c r="AZ2137" s="149"/>
      <c r="BA2137" s="149"/>
      <c r="BB2137" s="149"/>
      <c r="BC2137" s="149"/>
      <c r="BE2137" s="149"/>
      <c r="BF2137" s="149"/>
      <c r="BG2137" s="149"/>
      <c r="BH2137" s="149"/>
      <c r="BI2137" s="149"/>
      <c r="BJ2137" s="149"/>
      <c r="BK2137" s="712"/>
      <c r="BL2137" s="712"/>
      <c r="BM2137" s="712"/>
      <c r="BN2137" s="712"/>
    </row>
    <row r="2138" spans="52:66">
      <c r="AZ2138" s="149"/>
      <c r="BA2138" s="149"/>
      <c r="BB2138" s="149"/>
      <c r="BC2138" s="149"/>
      <c r="BE2138" s="149"/>
      <c r="BF2138" s="149"/>
      <c r="BG2138" s="149"/>
      <c r="BH2138" s="149"/>
      <c r="BI2138" s="149"/>
      <c r="BJ2138" s="149"/>
      <c r="BK2138" s="712"/>
      <c r="BL2138" s="712"/>
      <c r="BM2138" s="712"/>
      <c r="BN2138" s="712"/>
    </row>
    <row r="2139" spans="52:66">
      <c r="AZ2139" s="149"/>
      <c r="BA2139" s="149"/>
      <c r="BB2139" s="149"/>
      <c r="BC2139" s="149"/>
      <c r="BE2139" s="149"/>
      <c r="BF2139" s="149"/>
      <c r="BG2139" s="149"/>
      <c r="BH2139" s="149"/>
      <c r="BI2139" s="149"/>
      <c r="BJ2139" s="149"/>
      <c r="BK2139" s="712"/>
      <c r="BL2139" s="712"/>
      <c r="BM2139" s="712"/>
      <c r="BN2139" s="712"/>
    </row>
    <row r="2140" spans="52:66">
      <c r="AZ2140" s="149"/>
      <c r="BA2140" s="149"/>
      <c r="BB2140" s="149"/>
      <c r="BC2140" s="149"/>
      <c r="BE2140" s="149"/>
      <c r="BF2140" s="149"/>
      <c r="BG2140" s="149"/>
      <c r="BH2140" s="149"/>
      <c r="BI2140" s="149"/>
      <c r="BJ2140" s="149"/>
      <c r="BK2140" s="712"/>
      <c r="BL2140" s="712"/>
      <c r="BM2140" s="712"/>
      <c r="BN2140" s="712"/>
    </row>
    <row r="2141" spans="52:66">
      <c r="AZ2141" s="149"/>
      <c r="BA2141" s="149"/>
      <c r="BB2141" s="149"/>
      <c r="BC2141" s="149"/>
      <c r="BE2141" s="149"/>
      <c r="BF2141" s="149"/>
      <c r="BG2141" s="149"/>
      <c r="BH2141" s="149"/>
      <c r="BI2141" s="149"/>
      <c r="BJ2141" s="149"/>
      <c r="BK2141" s="712"/>
      <c r="BL2141" s="712"/>
      <c r="BM2141" s="712"/>
      <c r="BN2141" s="712"/>
    </row>
    <row r="2142" spans="52:66">
      <c r="AZ2142" s="149"/>
      <c r="BA2142" s="149"/>
      <c r="BB2142" s="149"/>
      <c r="BC2142" s="149"/>
      <c r="BE2142" s="149"/>
      <c r="BF2142" s="149"/>
      <c r="BG2142" s="149"/>
      <c r="BH2142" s="149"/>
      <c r="BI2142" s="149"/>
      <c r="BJ2142" s="149"/>
      <c r="BK2142" s="712"/>
      <c r="BL2142" s="712"/>
      <c r="BM2142" s="712"/>
      <c r="BN2142" s="712"/>
    </row>
    <row r="2143" spans="52:66">
      <c r="AZ2143" s="149"/>
      <c r="BA2143" s="149"/>
      <c r="BB2143" s="149"/>
      <c r="BC2143" s="149"/>
      <c r="BE2143" s="149"/>
      <c r="BF2143" s="149"/>
      <c r="BG2143" s="149"/>
      <c r="BH2143" s="149"/>
      <c r="BI2143" s="149"/>
      <c r="BJ2143" s="149"/>
      <c r="BK2143" s="712"/>
      <c r="BL2143" s="712"/>
      <c r="BM2143" s="712"/>
      <c r="BN2143" s="712"/>
    </row>
    <row r="2144" spans="52:66">
      <c r="AZ2144" s="149"/>
      <c r="BA2144" s="149"/>
      <c r="BB2144" s="149"/>
      <c r="BC2144" s="149"/>
      <c r="BE2144" s="149"/>
      <c r="BF2144" s="149"/>
      <c r="BG2144" s="149"/>
      <c r="BH2144" s="149"/>
      <c r="BI2144" s="149"/>
      <c r="BJ2144" s="149"/>
      <c r="BK2144" s="712"/>
      <c r="BL2144" s="712"/>
      <c r="BM2144" s="712"/>
      <c r="BN2144" s="712"/>
    </row>
    <row r="2145" spans="52:66">
      <c r="AZ2145" s="149"/>
      <c r="BA2145" s="149"/>
      <c r="BB2145" s="149"/>
      <c r="BC2145" s="149"/>
      <c r="BE2145" s="149"/>
      <c r="BF2145" s="149"/>
      <c r="BG2145" s="149"/>
      <c r="BH2145" s="149"/>
      <c r="BI2145" s="149"/>
      <c r="BJ2145" s="149"/>
      <c r="BK2145" s="712"/>
      <c r="BL2145" s="712"/>
      <c r="BM2145" s="712"/>
      <c r="BN2145" s="712"/>
    </row>
    <row r="2146" spans="52:66">
      <c r="AZ2146" s="149"/>
      <c r="BA2146" s="149"/>
      <c r="BB2146" s="149"/>
      <c r="BC2146" s="149"/>
      <c r="BE2146" s="149"/>
      <c r="BF2146" s="149"/>
      <c r="BG2146" s="149"/>
      <c r="BH2146" s="149"/>
      <c r="BI2146" s="149"/>
      <c r="BJ2146" s="149"/>
      <c r="BK2146" s="712"/>
      <c r="BL2146" s="712"/>
      <c r="BM2146" s="712"/>
      <c r="BN2146" s="712"/>
    </row>
    <row r="2147" spans="52:66">
      <c r="AZ2147" s="149"/>
      <c r="BA2147" s="149"/>
      <c r="BB2147" s="149"/>
      <c r="BC2147" s="149"/>
      <c r="BE2147" s="149"/>
      <c r="BF2147" s="149"/>
      <c r="BG2147" s="149"/>
      <c r="BH2147" s="149"/>
      <c r="BI2147" s="149"/>
      <c r="BJ2147" s="149"/>
      <c r="BK2147" s="712"/>
      <c r="BL2147" s="712"/>
      <c r="BM2147" s="712"/>
      <c r="BN2147" s="712"/>
    </row>
    <row r="2148" spans="52:66">
      <c r="AZ2148" s="149"/>
      <c r="BA2148" s="149"/>
      <c r="BB2148" s="149"/>
      <c r="BC2148" s="149"/>
      <c r="BE2148" s="149"/>
      <c r="BF2148" s="149"/>
      <c r="BG2148" s="149"/>
      <c r="BH2148" s="149"/>
      <c r="BI2148" s="149"/>
      <c r="BJ2148" s="149"/>
      <c r="BK2148" s="712"/>
      <c r="BL2148" s="712"/>
      <c r="BM2148" s="712"/>
      <c r="BN2148" s="712"/>
    </row>
    <row r="2149" spans="52:66">
      <c r="AZ2149" s="149"/>
      <c r="BA2149" s="149"/>
      <c r="BB2149" s="149"/>
      <c r="BC2149" s="149"/>
      <c r="BE2149" s="149"/>
      <c r="BF2149" s="149"/>
      <c r="BG2149" s="149"/>
      <c r="BH2149" s="149"/>
      <c r="BI2149" s="149"/>
      <c r="BJ2149" s="149"/>
      <c r="BK2149" s="712"/>
      <c r="BL2149" s="712"/>
      <c r="BM2149" s="712"/>
      <c r="BN2149" s="712"/>
    </row>
    <row r="2150" spans="52:66">
      <c r="AZ2150" s="149"/>
      <c r="BA2150" s="149"/>
      <c r="BB2150" s="149"/>
      <c r="BC2150" s="149"/>
      <c r="BE2150" s="149"/>
      <c r="BF2150" s="149"/>
      <c r="BG2150" s="149"/>
      <c r="BH2150" s="149"/>
      <c r="BI2150" s="149"/>
      <c r="BJ2150" s="149"/>
      <c r="BK2150" s="712"/>
      <c r="BL2150" s="712"/>
      <c r="BM2150" s="712"/>
      <c r="BN2150" s="712"/>
    </row>
    <row r="2151" spans="52:66">
      <c r="AZ2151" s="149"/>
      <c r="BA2151" s="149"/>
      <c r="BB2151" s="149"/>
      <c r="BC2151" s="149"/>
      <c r="BE2151" s="149"/>
      <c r="BF2151" s="149"/>
      <c r="BG2151" s="149"/>
      <c r="BH2151" s="149"/>
      <c r="BI2151" s="149"/>
      <c r="BJ2151" s="149"/>
      <c r="BK2151" s="712"/>
      <c r="BL2151" s="712"/>
      <c r="BM2151" s="712"/>
      <c r="BN2151" s="712"/>
    </row>
    <row r="2152" spans="52:66">
      <c r="AZ2152" s="149"/>
      <c r="BA2152" s="149"/>
      <c r="BB2152" s="149"/>
      <c r="BC2152" s="149"/>
      <c r="BE2152" s="149"/>
      <c r="BF2152" s="149"/>
      <c r="BG2152" s="149"/>
      <c r="BH2152" s="149"/>
      <c r="BI2152" s="149"/>
      <c r="BJ2152" s="149"/>
      <c r="BK2152" s="712"/>
      <c r="BL2152" s="712"/>
      <c r="BM2152" s="712"/>
      <c r="BN2152" s="712"/>
    </row>
    <row r="2153" spans="52:66">
      <c r="AZ2153" s="149"/>
      <c r="BA2153" s="149"/>
      <c r="BB2153" s="149"/>
      <c r="BC2153" s="149"/>
      <c r="BE2153" s="149"/>
      <c r="BF2153" s="149"/>
      <c r="BG2153" s="149"/>
      <c r="BH2153" s="149"/>
      <c r="BI2153" s="149"/>
      <c r="BJ2153" s="149"/>
      <c r="BK2153" s="712"/>
      <c r="BL2153" s="712"/>
      <c r="BM2153" s="712"/>
      <c r="BN2153" s="712"/>
    </row>
    <row r="2154" spans="52:66">
      <c r="AZ2154" s="149"/>
      <c r="BA2154" s="149"/>
      <c r="BB2154" s="149"/>
      <c r="BC2154" s="149"/>
      <c r="BE2154" s="149"/>
      <c r="BF2154" s="149"/>
      <c r="BG2154" s="149"/>
      <c r="BH2154" s="149"/>
      <c r="BI2154" s="149"/>
      <c r="BJ2154" s="149"/>
      <c r="BK2154" s="712"/>
      <c r="BL2154" s="712"/>
      <c r="BM2154" s="712"/>
      <c r="BN2154" s="712"/>
    </row>
    <row r="2155" spans="52:66">
      <c r="AZ2155" s="149"/>
      <c r="BA2155" s="149"/>
      <c r="BB2155" s="149"/>
      <c r="BC2155" s="149"/>
      <c r="BE2155" s="149"/>
      <c r="BF2155" s="149"/>
      <c r="BG2155" s="149"/>
      <c r="BH2155" s="149"/>
      <c r="BI2155" s="149"/>
      <c r="BJ2155" s="149"/>
      <c r="BK2155" s="712"/>
      <c r="BL2155" s="712"/>
      <c r="BM2155" s="712"/>
      <c r="BN2155" s="712"/>
    </row>
    <row r="2156" spans="52:66">
      <c r="AZ2156" s="149"/>
      <c r="BA2156" s="149"/>
      <c r="BB2156" s="149"/>
      <c r="BC2156" s="149"/>
      <c r="BE2156" s="149"/>
      <c r="BF2156" s="149"/>
      <c r="BG2156" s="149"/>
      <c r="BH2156" s="149"/>
      <c r="BI2156" s="149"/>
      <c r="BJ2156" s="149"/>
      <c r="BK2156" s="712"/>
      <c r="BL2156" s="712"/>
      <c r="BM2156" s="712"/>
      <c r="BN2156" s="712"/>
    </row>
    <row r="2157" spans="52:66">
      <c r="AZ2157" s="149"/>
      <c r="BA2157" s="149"/>
      <c r="BB2157" s="149"/>
      <c r="BC2157" s="149"/>
      <c r="BE2157" s="149"/>
      <c r="BF2157" s="149"/>
      <c r="BG2157" s="149"/>
      <c r="BH2157" s="149"/>
      <c r="BI2157" s="149"/>
      <c r="BJ2157" s="149"/>
      <c r="BK2157" s="712"/>
      <c r="BL2157" s="712"/>
      <c r="BM2157" s="712"/>
      <c r="BN2157" s="712"/>
    </row>
    <row r="2158" spans="52:66">
      <c r="AZ2158" s="149"/>
      <c r="BA2158" s="149"/>
      <c r="BB2158" s="149"/>
      <c r="BC2158" s="149"/>
      <c r="BE2158" s="149"/>
      <c r="BF2158" s="149"/>
      <c r="BG2158" s="149"/>
      <c r="BH2158" s="149"/>
      <c r="BI2158" s="149"/>
      <c r="BJ2158" s="149"/>
      <c r="BK2158" s="712"/>
      <c r="BL2158" s="712"/>
      <c r="BM2158" s="712"/>
      <c r="BN2158" s="712"/>
    </row>
    <row r="2159" spans="52:66">
      <c r="AZ2159" s="149"/>
      <c r="BA2159" s="149"/>
      <c r="BB2159" s="149"/>
      <c r="BC2159" s="149"/>
      <c r="BE2159" s="149"/>
      <c r="BF2159" s="149"/>
      <c r="BG2159" s="149"/>
      <c r="BH2159" s="149"/>
      <c r="BI2159" s="149"/>
      <c r="BJ2159" s="149"/>
      <c r="BK2159" s="712"/>
      <c r="BL2159" s="712"/>
      <c r="BM2159" s="712"/>
      <c r="BN2159" s="712"/>
    </row>
    <row r="2160" spans="52:66">
      <c r="AZ2160" s="149"/>
      <c r="BA2160" s="149"/>
      <c r="BB2160" s="149"/>
      <c r="BC2160" s="149"/>
      <c r="BE2160" s="149"/>
      <c r="BF2160" s="149"/>
      <c r="BG2160" s="149"/>
      <c r="BH2160" s="149"/>
      <c r="BI2160" s="149"/>
      <c r="BJ2160" s="149"/>
      <c r="BK2160" s="712"/>
      <c r="BL2160" s="712"/>
      <c r="BM2160" s="712"/>
      <c r="BN2160" s="712"/>
    </row>
    <row r="2161" spans="52:66">
      <c r="AZ2161" s="149"/>
      <c r="BA2161" s="149"/>
      <c r="BB2161" s="149"/>
      <c r="BC2161" s="149"/>
      <c r="BE2161" s="149"/>
      <c r="BF2161" s="149"/>
      <c r="BG2161" s="149"/>
      <c r="BH2161" s="149"/>
      <c r="BI2161" s="149"/>
      <c r="BJ2161" s="149"/>
      <c r="BK2161" s="712"/>
      <c r="BL2161" s="712"/>
      <c r="BM2161" s="712"/>
      <c r="BN2161" s="712"/>
    </row>
    <row r="2162" spans="52:66">
      <c r="AZ2162" s="149"/>
      <c r="BA2162" s="149"/>
      <c r="BB2162" s="149"/>
      <c r="BC2162" s="149"/>
      <c r="BE2162" s="149"/>
      <c r="BF2162" s="149"/>
      <c r="BG2162" s="149"/>
      <c r="BH2162" s="149"/>
      <c r="BI2162" s="149"/>
      <c r="BJ2162" s="149"/>
      <c r="BK2162" s="712"/>
      <c r="BL2162" s="712"/>
      <c r="BM2162" s="712"/>
      <c r="BN2162" s="712"/>
    </row>
    <row r="2163" spans="52:66">
      <c r="AZ2163" s="149"/>
      <c r="BA2163" s="149"/>
      <c r="BB2163" s="149"/>
      <c r="BC2163" s="149"/>
      <c r="BE2163" s="149"/>
      <c r="BF2163" s="149"/>
      <c r="BG2163" s="149"/>
      <c r="BH2163" s="149"/>
      <c r="BI2163" s="149"/>
      <c r="BJ2163" s="149"/>
      <c r="BK2163" s="712"/>
      <c r="BL2163" s="712"/>
      <c r="BM2163" s="712"/>
      <c r="BN2163" s="712"/>
    </row>
    <row r="2164" spans="52:66">
      <c r="AZ2164" s="149"/>
      <c r="BA2164" s="149"/>
      <c r="BB2164" s="149"/>
      <c r="BC2164" s="149"/>
      <c r="BE2164" s="149"/>
      <c r="BF2164" s="149"/>
      <c r="BG2164" s="149"/>
      <c r="BH2164" s="149"/>
      <c r="BI2164" s="149"/>
      <c r="BJ2164" s="149"/>
      <c r="BK2164" s="712"/>
      <c r="BL2164" s="712"/>
      <c r="BM2164" s="712"/>
      <c r="BN2164" s="712"/>
    </row>
    <row r="2165" spans="52:66">
      <c r="AZ2165" s="149"/>
      <c r="BA2165" s="149"/>
      <c r="BB2165" s="149"/>
      <c r="BC2165" s="149"/>
      <c r="BE2165" s="149"/>
      <c r="BF2165" s="149"/>
      <c r="BG2165" s="149"/>
      <c r="BH2165" s="149"/>
      <c r="BI2165" s="149"/>
      <c r="BJ2165" s="149"/>
      <c r="BK2165" s="712"/>
      <c r="BL2165" s="712"/>
      <c r="BM2165" s="712"/>
      <c r="BN2165" s="712"/>
    </row>
    <row r="2166" spans="52:66">
      <c r="AZ2166" s="149"/>
      <c r="BA2166" s="149"/>
      <c r="BB2166" s="149"/>
      <c r="BC2166" s="149"/>
      <c r="BE2166" s="149"/>
      <c r="BF2166" s="149"/>
      <c r="BG2166" s="149"/>
      <c r="BH2166" s="149"/>
      <c r="BI2166" s="149"/>
      <c r="BJ2166" s="149"/>
      <c r="BK2166" s="712"/>
      <c r="BL2166" s="712"/>
      <c r="BM2166" s="712"/>
      <c r="BN2166" s="712"/>
    </row>
    <row r="2167" spans="52:66">
      <c r="AZ2167" s="149"/>
      <c r="BA2167" s="149"/>
      <c r="BB2167" s="149"/>
      <c r="BC2167" s="149"/>
      <c r="BE2167" s="149"/>
      <c r="BF2167" s="149"/>
      <c r="BG2167" s="149"/>
      <c r="BH2167" s="149"/>
      <c r="BI2167" s="149"/>
      <c r="BJ2167" s="149"/>
      <c r="BK2167" s="712"/>
      <c r="BL2167" s="712"/>
      <c r="BM2167" s="712"/>
      <c r="BN2167" s="712"/>
    </row>
    <row r="2168" spans="52:66">
      <c r="AZ2168" s="149"/>
      <c r="BA2168" s="149"/>
      <c r="BB2168" s="149"/>
      <c r="BC2168" s="149"/>
      <c r="BE2168" s="149"/>
      <c r="BF2168" s="149"/>
      <c r="BG2168" s="149"/>
      <c r="BH2168" s="149"/>
      <c r="BI2168" s="149"/>
      <c r="BJ2168" s="149"/>
      <c r="BK2168" s="712"/>
      <c r="BL2168" s="712"/>
      <c r="BM2168" s="712"/>
      <c r="BN2168" s="712"/>
    </row>
    <row r="2169" spans="52:66">
      <c r="AZ2169" s="149"/>
      <c r="BA2169" s="149"/>
      <c r="BB2169" s="149"/>
      <c r="BC2169" s="149"/>
      <c r="BE2169" s="149"/>
      <c r="BF2169" s="149"/>
      <c r="BG2169" s="149"/>
      <c r="BH2169" s="149"/>
      <c r="BI2169" s="149"/>
      <c r="BJ2169" s="149"/>
      <c r="BK2169" s="712"/>
      <c r="BL2169" s="712"/>
      <c r="BM2169" s="712"/>
      <c r="BN2169" s="712"/>
    </row>
    <row r="2170" spans="52:66">
      <c r="AZ2170" s="149"/>
      <c r="BA2170" s="149"/>
      <c r="BB2170" s="149"/>
      <c r="BC2170" s="149"/>
      <c r="BE2170" s="149"/>
      <c r="BF2170" s="149"/>
      <c r="BG2170" s="149"/>
      <c r="BH2170" s="149"/>
      <c r="BI2170" s="149"/>
      <c r="BJ2170" s="149"/>
      <c r="BK2170" s="712"/>
      <c r="BL2170" s="712"/>
      <c r="BM2170" s="712"/>
      <c r="BN2170" s="712"/>
    </row>
    <row r="2171" spans="52:66">
      <c r="AZ2171" s="149"/>
      <c r="BA2171" s="149"/>
      <c r="BB2171" s="149"/>
      <c r="BC2171" s="149"/>
      <c r="BE2171" s="149"/>
      <c r="BF2171" s="149"/>
      <c r="BG2171" s="149"/>
      <c r="BH2171" s="149"/>
      <c r="BI2171" s="149"/>
      <c r="BJ2171" s="149"/>
      <c r="BK2171" s="712"/>
      <c r="BL2171" s="712"/>
      <c r="BM2171" s="712"/>
      <c r="BN2171" s="712"/>
    </row>
    <row r="2172" spans="52:66">
      <c r="AZ2172" s="149"/>
      <c r="BA2172" s="149"/>
      <c r="BB2172" s="149"/>
      <c r="BC2172" s="149"/>
      <c r="BE2172" s="149"/>
      <c r="BF2172" s="149"/>
      <c r="BG2172" s="149"/>
      <c r="BH2172" s="149"/>
      <c r="BI2172" s="149"/>
      <c r="BJ2172" s="149"/>
      <c r="BK2172" s="712"/>
      <c r="BL2172" s="712"/>
      <c r="BM2172" s="712"/>
      <c r="BN2172" s="712"/>
    </row>
    <row r="2173" spans="52:66">
      <c r="AZ2173" s="149"/>
      <c r="BA2173" s="149"/>
      <c r="BB2173" s="149"/>
      <c r="BC2173" s="149"/>
      <c r="BE2173" s="149"/>
      <c r="BF2173" s="149"/>
      <c r="BG2173" s="149"/>
      <c r="BH2173" s="149"/>
      <c r="BI2173" s="149"/>
      <c r="BJ2173" s="149"/>
      <c r="BK2173" s="712"/>
      <c r="BL2173" s="712"/>
      <c r="BM2173" s="712"/>
      <c r="BN2173" s="712"/>
    </row>
    <row r="2174" spans="52:66">
      <c r="AZ2174" s="149"/>
      <c r="BA2174" s="149"/>
      <c r="BB2174" s="149"/>
      <c r="BC2174" s="149"/>
      <c r="BE2174" s="149"/>
      <c r="BF2174" s="149"/>
      <c r="BG2174" s="149"/>
      <c r="BH2174" s="149"/>
      <c r="BI2174" s="149"/>
      <c r="BJ2174" s="149"/>
      <c r="BK2174" s="712"/>
      <c r="BL2174" s="712"/>
      <c r="BM2174" s="712"/>
      <c r="BN2174" s="712"/>
    </row>
    <row r="2175" spans="52:66">
      <c r="AZ2175" s="149"/>
      <c r="BA2175" s="149"/>
      <c r="BB2175" s="149"/>
      <c r="BC2175" s="149"/>
      <c r="BE2175" s="149"/>
      <c r="BF2175" s="149"/>
      <c r="BG2175" s="149"/>
      <c r="BH2175" s="149"/>
      <c r="BI2175" s="149"/>
      <c r="BJ2175" s="149"/>
      <c r="BK2175" s="712"/>
      <c r="BL2175" s="712"/>
      <c r="BM2175" s="712"/>
      <c r="BN2175" s="712"/>
    </row>
    <row r="2176" spans="52:66">
      <c r="AZ2176" s="149"/>
      <c r="BA2176" s="149"/>
      <c r="BB2176" s="149"/>
      <c r="BC2176" s="149"/>
      <c r="BE2176" s="149"/>
      <c r="BF2176" s="149"/>
      <c r="BG2176" s="149"/>
      <c r="BH2176" s="149"/>
      <c r="BI2176" s="149"/>
      <c r="BJ2176" s="149"/>
      <c r="BK2176" s="712"/>
      <c r="BL2176" s="712"/>
      <c r="BM2176" s="712"/>
      <c r="BN2176" s="712"/>
    </row>
    <row r="2177" spans="52:66">
      <c r="AZ2177" s="149"/>
      <c r="BA2177" s="149"/>
      <c r="BB2177" s="149"/>
      <c r="BC2177" s="149"/>
      <c r="BE2177" s="149"/>
      <c r="BF2177" s="149"/>
      <c r="BG2177" s="149"/>
      <c r="BH2177" s="149"/>
      <c r="BI2177" s="149"/>
      <c r="BJ2177" s="149"/>
      <c r="BK2177" s="712"/>
      <c r="BL2177" s="712"/>
      <c r="BM2177" s="712"/>
      <c r="BN2177" s="712"/>
    </row>
    <row r="2178" spans="52:66">
      <c r="AZ2178" s="149"/>
      <c r="BA2178" s="149"/>
      <c r="BB2178" s="149"/>
      <c r="BC2178" s="149"/>
      <c r="BE2178" s="149"/>
      <c r="BF2178" s="149"/>
      <c r="BG2178" s="149"/>
      <c r="BH2178" s="149"/>
      <c r="BI2178" s="149"/>
      <c r="BJ2178" s="149"/>
      <c r="BK2178" s="712"/>
      <c r="BL2178" s="712"/>
      <c r="BM2178" s="712"/>
      <c r="BN2178" s="712"/>
    </row>
    <row r="2179" spans="52:66">
      <c r="AZ2179" s="149"/>
      <c r="BA2179" s="149"/>
      <c r="BB2179" s="149"/>
      <c r="BC2179" s="149"/>
      <c r="BE2179" s="149"/>
      <c r="BF2179" s="149"/>
      <c r="BG2179" s="149"/>
      <c r="BH2179" s="149"/>
      <c r="BI2179" s="149"/>
      <c r="BJ2179" s="149"/>
      <c r="BK2179" s="712"/>
      <c r="BL2179" s="712"/>
      <c r="BM2179" s="712"/>
      <c r="BN2179" s="712"/>
    </row>
    <row r="2180" spans="52:66">
      <c r="AZ2180" s="149"/>
      <c r="BA2180" s="149"/>
      <c r="BB2180" s="149"/>
      <c r="BC2180" s="149"/>
      <c r="BE2180" s="149"/>
      <c r="BF2180" s="149"/>
      <c r="BG2180" s="149"/>
      <c r="BH2180" s="149"/>
      <c r="BI2180" s="149"/>
      <c r="BJ2180" s="149"/>
      <c r="BK2180" s="712"/>
      <c r="BL2180" s="712"/>
      <c r="BM2180" s="712"/>
      <c r="BN2180" s="712"/>
    </row>
    <row r="2181" spans="52:66">
      <c r="AZ2181" s="149"/>
      <c r="BA2181" s="149"/>
      <c r="BB2181" s="149"/>
      <c r="BC2181" s="149"/>
      <c r="BE2181" s="149"/>
      <c r="BF2181" s="149"/>
      <c r="BG2181" s="149"/>
      <c r="BH2181" s="149"/>
      <c r="BI2181" s="149"/>
      <c r="BJ2181" s="149"/>
      <c r="BK2181" s="712"/>
      <c r="BL2181" s="712"/>
      <c r="BM2181" s="712"/>
      <c r="BN2181" s="712"/>
    </row>
    <row r="2182" spans="52:66">
      <c r="AZ2182" s="149"/>
      <c r="BA2182" s="149"/>
      <c r="BB2182" s="149"/>
      <c r="BC2182" s="149"/>
      <c r="BE2182" s="149"/>
      <c r="BF2182" s="149"/>
      <c r="BG2182" s="149"/>
      <c r="BH2182" s="149"/>
      <c r="BI2182" s="149"/>
      <c r="BJ2182" s="149"/>
      <c r="BK2182" s="712"/>
      <c r="BL2182" s="712"/>
      <c r="BM2182" s="712"/>
      <c r="BN2182" s="712"/>
    </row>
    <row r="2183" spans="52:66">
      <c r="AZ2183" s="149"/>
      <c r="BA2183" s="149"/>
      <c r="BB2183" s="149"/>
      <c r="BC2183" s="149"/>
      <c r="BE2183" s="149"/>
      <c r="BF2183" s="149"/>
      <c r="BG2183" s="149"/>
      <c r="BH2183" s="149"/>
      <c r="BI2183" s="149"/>
      <c r="BJ2183" s="149"/>
      <c r="BK2183" s="712"/>
      <c r="BL2183" s="712"/>
      <c r="BM2183" s="712"/>
      <c r="BN2183" s="712"/>
    </row>
    <row r="2184" spans="52:66">
      <c r="AZ2184" s="149"/>
      <c r="BA2184" s="149"/>
      <c r="BB2184" s="149"/>
      <c r="BC2184" s="149"/>
      <c r="BE2184" s="149"/>
      <c r="BF2184" s="149"/>
      <c r="BG2184" s="149"/>
      <c r="BH2184" s="149"/>
      <c r="BI2184" s="149"/>
      <c r="BJ2184" s="149"/>
      <c r="BK2184" s="712"/>
      <c r="BL2184" s="712"/>
      <c r="BM2184" s="712"/>
      <c r="BN2184" s="712"/>
    </row>
    <row r="2185" spans="52:66">
      <c r="AZ2185" s="149"/>
      <c r="BA2185" s="149"/>
      <c r="BB2185" s="149"/>
      <c r="BC2185" s="149"/>
      <c r="BE2185" s="149"/>
      <c r="BF2185" s="149"/>
      <c r="BG2185" s="149"/>
      <c r="BH2185" s="149"/>
      <c r="BI2185" s="149"/>
      <c r="BJ2185" s="149"/>
      <c r="BK2185" s="712"/>
      <c r="BL2185" s="712"/>
      <c r="BM2185" s="712"/>
      <c r="BN2185" s="712"/>
    </row>
    <row r="2186" spans="52:66">
      <c r="AZ2186" s="149"/>
      <c r="BA2186" s="149"/>
      <c r="BB2186" s="149"/>
      <c r="BC2186" s="149"/>
      <c r="BE2186" s="149"/>
      <c r="BF2186" s="149"/>
      <c r="BG2186" s="149"/>
      <c r="BH2186" s="149"/>
      <c r="BI2186" s="149"/>
      <c r="BJ2186" s="149"/>
      <c r="BK2186" s="712"/>
      <c r="BL2186" s="712"/>
      <c r="BM2186" s="712"/>
      <c r="BN2186" s="712"/>
    </row>
    <row r="2187" spans="52:66">
      <c r="AZ2187" s="149"/>
      <c r="BA2187" s="149"/>
      <c r="BB2187" s="149"/>
      <c r="BC2187" s="149"/>
      <c r="BE2187" s="149"/>
      <c r="BF2187" s="149"/>
      <c r="BG2187" s="149"/>
      <c r="BH2187" s="149"/>
      <c r="BI2187" s="149"/>
      <c r="BJ2187" s="149"/>
      <c r="BK2187" s="712"/>
      <c r="BL2187" s="712"/>
      <c r="BM2187" s="712"/>
      <c r="BN2187" s="712"/>
    </row>
    <row r="2188" spans="52:66">
      <c r="AZ2188" s="149"/>
      <c r="BA2188" s="149"/>
      <c r="BB2188" s="149"/>
      <c r="BC2188" s="149"/>
      <c r="BE2188" s="149"/>
      <c r="BF2188" s="149"/>
      <c r="BG2188" s="149"/>
      <c r="BH2188" s="149"/>
      <c r="BI2188" s="149"/>
      <c r="BJ2188" s="149"/>
      <c r="BK2188" s="712"/>
      <c r="BL2188" s="712"/>
      <c r="BM2188" s="712"/>
      <c r="BN2188" s="712"/>
    </row>
    <row r="2189" spans="52:66">
      <c r="AZ2189" s="149"/>
      <c r="BA2189" s="149"/>
      <c r="BB2189" s="149"/>
      <c r="BC2189" s="149"/>
      <c r="BE2189" s="149"/>
      <c r="BF2189" s="149"/>
      <c r="BG2189" s="149"/>
      <c r="BH2189" s="149"/>
      <c r="BI2189" s="149"/>
      <c r="BJ2189" s="149"/>
      <c r="BK2189" s="712"/>
      <c r="BL2189" s="712"/>
      <c r="BM2189" s="712"/>
      <c r="BN2189" s="712"/>
    </row>
    <row r="2190" spans="52:66">
      <c r="AZ2190" s="149"/>
      <c r="BA2190" s="149"/>
      <c r="BB2190" s="149"/>
      <c r="BC2190" s="149"/>
      <c r="BE2190" s="149"/>
      <c r="BF2190" s="149"/>
      <c r="BG2190" s="149"/>
      <c r="BH2190" s="149"/>
      <c r="BI2190" s="149"/>
      <c r="BJ2190" s="149"/>
      <c r="BK2190" s="712"/>
      <c r="BL2190" s="712"/>
      <c r="BM2190" s="712"/>
      <c r="BN2190" s="712"/>
    </row>
    <row r="2191" spans="52:66">
      <c r="AZ2191" s="149"/>
      <c r="BA2191" s="149"/>
      <c r="BB2191" s="149"/>
      <c r="BC2191" s="149"/>
      <c r="BE2191" s="149"/>
      <c r="BF2191" s="149"/>
      <c r="BG2191" s="149"/>
      <c r="BH2191" s="149"/>
      <c r="BI2191" s="149"/>
      <c r="BJ2191" s="149"/>
      <c r="BK2191" s="712"/>
      <c r="BL2191" s="712"/>
      <c r="BM2191" s="712"/>
      <c r="BN2191" s="712"/>
    </row>
    <row r="2192" spans="52:66">
      <c r="AZ2192" s="149"/>
      <c r="BA2192" s="149"/>
      <c r="BB2192" s="149"/>
      <c r="BC2192" s="149"/>
      <c r="BE2192" s="149"/>
      <c r="BF2192" s="149"/>
      <c r="BG2192" s="149"/>
      <c r="BH2192" s="149"/>
      <c r="BI2192" s="149"/>
      <c r="BJ2192" s="149"/>
      <c r="BK2192" s="712"/>
      <c r="BL2192" s="712"/>
      <c r="BM2192" s="712"/>
      <c r="BN2192" s="712"/>
    </row>
    <row r="2193" spans="52:66">
      <c r="AZ2193" s="149"/>
      <c r="BA2193" s="149"/>
      <c r="BB2193" s="149"/>
      <c r="BC2193" s="149"/>
      <c r="BE2193" s="149"/>
      <c r="BF2193" s="149"/>
      <c r="BG2193" s="149"/>
      <c r="BH2193" s="149"/>
      <c r="BI2193" s="149"/>
      <c r="BJ2193" s="149"/>
      <c r="BK2193" s="712"/>
      <c r="BL2193" s="712"/>
      <c r="BM2193" s="712"/>
      <c r="BN2193" s="712"/>
    </row>
    <row r="2194" spans="52:66">
      <c r="AZ2194" s="149"/>
      <c r="BA2194" s="149"/>
      <c r="BB2194" s="149"/>
      <c r="BC2194" s="149"/>
      <c r="BE2194" s="149"/>
      <c r="BF2194" s="149"/>
      <c r="BG2194" s="149"/>
      <c r="BH2194" s="149"/>
      <c r="BI2194" s="149"/>
      <c r="BJ2194" s="149"/>
      <c r="BK2194" s="712"/>
      <c r="BL2194" s="712"/>
      <c r="BM2194" s="712"/>
      <c r="BN2194" s="712"/>
    </row>
    <row r="2195" spans="52:66">
      <c r="AZ2195" s="149"/>
      <c r="BA2195" s="149"/>
      <c r="BB2195" s="149"/>
      <c r="BC2195" s="149"/>
      <c r="BE2195" s="149"/>
      <c r="BF2195" s="149"/>
      <c r="BG2195" s="149"/>
      <c r="BH2195" s="149"/>
      <c r="BI2195" s="149"/>
      <c r="BJ2195" s="149"/>
      <c r="BK2195" s="712"/>
      <c r="BL2195" s="712"/>
      <c r="BM2195" s="712"/>
      <c r="BN2195" s="712"/>
    </row>
    <row r="2196" spans="52:66">
      <c r="AZ2196" s="149"/>
      <c r="BA2196" s="149"/>
      <c r="BB2196" s="149"/>
      <c r="BC2196" s="149"/>
      <c r="BE2196" s="149"/>
      <c r="BF2196" s="149"/>
      <c r="BG2196" s="149"/>
      <c r="BH2196" s="149"/>
      <c r="BI2196" s="149"/>
      <c r="BJ2196" s="149"/>
      <c r="BK2196" s="712"/>
      <c r="BL2196" s="712"/>
      <c r="BM2196" s="712"/>
      <c r="BN2196" s="712"/>
    </row>
    <row r="2197" spans="52:66">
      <c r="AZ2197" s="149"/>
      <c r="BA2197" s="149"/>
      <c r="BB2197" s="149"/>
      <c r="BC2197" s="149"/>
      <c r="BE2197" s="149"/>
      <c r="BF2197" s="149"/>
      <c r="BG2197" s="149"/>
      <c r="BH2197" s="149"/>
      <c r="BI2197" s="149"/>
      <c r="BJ2197" s="149"/>
      <c r="BK2197" s="712"/>
      <c r="BL2197" s="712"/>
      <c r="BM2197" s="712"/>
      <c r="BN2197" s="712"/>
    </row>
    <row r="2198" spans="52:66">
      <c r="AZ2198" s="149"/>
      <c r="BA2198" s="149"/>
      <c r="BB2198" s="149"/>
      <c r="BC2198" s="149"/>
      <c r="BE2198" s="149"/>
      <c r="BF2198" s="149"/>
      <c r="BG2198" s="149"/>
      <c r="BH2198" s="149"/>
      <c r="BI2198" s="149"/>
      <c r="BJ2198" s="149"/>
      <c r="BK2198" s="712"/>
      <c r="BL2198" s="712"/>
      <c r="BM2198" s="712"/>
      <c r="BN2198" s="712"/>
    </row>
    <row r="2199" spans="52:66">
      <c r="AZ2199" s="149"/>
      <c r="BA2199" s="149"/>
      <c r="BB2199" s="149"/>
      <c r="BC2199" s="149"/>
      <c r="BE2199" s="149"/>
      <c r="BF2199" s="149"/>
      <c r="BG2199" s="149"/>
      <c r="BH2199" s="149"/>
      <c r="BI2199" s="149"/>
      <c r="BJ2199" s="149"/>
      <c r="BK2199" s="712"/>
      <c r="BL2199" s="712"/>
      <c r="BM2199" s="712"/>
      <c r="BN2199" s="712"/>
    </row>
    <row r="2200" spans="52:66">
      <c r="AZ2200" s="149"/>
      <c r="BA2200" s="149"/>
      <c r="BB2200" s="149"/>
      <c r="BC2200" s="149"/>
      <c r="BE2200" s="149"/>
      <c r="BF2200" s="149"/>
      <c r="BG2200" s="149"/>
      <c r="BH2200" s="149"/>
      <c r="BI2200" s="149"/>
      <c r="BJ2200" s="149"/>
      <c r="BK2200" s="712"/>
      <c r="BL2200" s="712"/>
      <c r="BM2200" s="712"/>
      <c r="BN2200" s="712"/>
    </row>
    <row r="2201" spans="52:66">
      <c r="AZ2201" s="149"/>
      <c r="BA2201" s="149"/>
      <c r="BB2201" s="149"/>
      <c r="BC2201" s="149"/>
      <c r="BE2201" s="149"/>
      <c r="BF2201" s="149"/>
      <c r="BG2201" s="149"/>
      <c r="BH2201" s="149"/>
      <c r="BI2201" s="149"/>
      <c r="BJ2201" s="149"/>
      <c r="BK2201" s="712"/>
      <c r="BL2201" s="712"/>
      <c r="BM2201" s="712"/>
      <c r="BN2201" s="712"/>
    </row>
    <row r="2202" spans="52:66">
      <c r="AZ2202" s="149"/>
      <c r="BA2202" s="149"/>
      <c r="BB2202" s="149"/>
      <c r="BC2202" s="149"/>
      <c r="BE2202" s="149"/>
      <c r="BF2202" s="149"/>
      <c r="BG2202" s="149"/>
      <c r="BH2202" s="149"/>
      <c r="BI2202" s="149"/>
      <c r="BJ2202" s="149"/>
      <c r="BK2202" s="712"/>
      <c r="BL2202" s="712"/>
      <c r="BM2202" s="712"/>
      <c r="BN2202" s="712"/>
    </row>
    <row r="2203" spans="52:66">
      <c r="AZ2203" s="149"/>
      <c r="BA2203" s="149"/>
      <c r="BB2203" s="149"/>
      <c r="BC2203" s="149"/>
      <c r="BE2203" s="149"/>
      <c r="BF2203" s="149"/>
      <c r="BG2203" s="149"/>
      <c r="BH2203" s="149"/>
      <c r="BI2203" s="149"/>
      <c r="BJ2203" s="149"/>
      <c r="BK2203" s="712"/>
      <c r="BL2203" s="712"/>
      <c r="BM2203" s="712"/>
      <c r="BN2203" s="712"/>
    </row>
    <row r="2204" spans="52:66">
      <c r="AZ2204" s="149"/>
      <c r="BA2204" s="149"/>
      <c r="BB2204" s="149"/>
      <c r="BC2204" s="149"/>
      <c r="BE2204" s="149"/>
      <c r="BF2204" s="149"/>
      <c r="BG2204" s="149"/>
      <c r="BH2204" s="149"/>
      <c r="BI2204" s="149"/>
      <c r="BJ2204" s="149"/>
      <c r="BK2204" s="712"/>
      <c r="BL2204" s="712"/>
      <c r="BM2204" s="712"/>
      <c r="BN2204" s="712"/>
    </row>
    <row r="2205" spans="52:66">
      <c r="AZ2205" s="149"/>
      <c r="BA2205" s="149"/>
      <c r="BB2205" s="149"/>
      <c r="BC2205" s="149"/>
      <c r="BE2205" s="149"/>
      <c r="BF2205" s="149"/>
      <c r="BG2205" s="149"/>
      <c r="BH2205" s="149"/>
      <c r="BI2205" s="149"/>
      <c r="BJ2205" s="149"/>
      <c r="BK2205" s="712"/>
      <c r="BL2205" s="712"/>
      <c r="BM2205" s="712"/>
      <c r="BN2205" s="712"/>
    </row>
    <row r="2206" spans="52:66">
      <c r="AZ2206" s="149"/>
      <c r="BA2206" s="149"/>
      <c r="BB2206" s="149"/>
      <c r="BC2206" s="149"/>
      <c r="BE2206" s="149"/>
      <c r="BF2206" s="149"/>
      <c r="BG2206" s="149"/>
      <c r="BH2206" s="149"/>
      <c r="BI2206" s="149"/>
      <c r="BJ2206" s="149"/>
      <c r="BK2206" s="712"/>
      <c r="BL2206" s="712"/>
      <c r="BM2206" s="712"/>
      <c r="BN2206" s="712"/>
    </row>
    <row r="2207" spans="52:66">
      <c r="AZ2207" s="149"/>
      <c r="BA2207" s="149"/>
      <c r="BB2207" s="149"/>
      <c r="BC2207" s="149"/>
      <c r="BE2207" s="149"/>
      <c r="BF2207" s="149"/>
      <c r="BG2207" s="149"/>
      <c r="BH2207" s="149"/>
      <c r="BI2207" s="149"/>
      <c r="BJ2207" s="149"/>
      <c r="BK2207" s="712"/>
      <c r="BL2207" s="712"/>
      <c r="BM2207" s="712"/>
      <c r="BN2207" s="712"/>
    </row>
    <row r="2208" spans="52:66">
      <c r="AZ2208" s="149"/>
      <c r="BA2208" s="149"/>
      <c r="BB2208" s="149"/>
      <c r="BC2208" s="149"/>
      <c r="BE2208" s="149"/>
      <c r="BF2208" s="149"/>
      <c r="BG2208" s="149"/>
      <c r="BH2208" s="149"/>
      <c r="BI2208" s="149"/>
      <c r="BJ2208" s="149"/>
      <c r="BK2208" s="712"/>
      <c r="BL2208" s="712"/>
      <c r="BM2208" s="712"/>
      <c r="BN2208" s="712"/>
    </row>
    <row r="2209" spans="52:66">
      <c r="AZ2209" s="149"/>
      <c r="BA2209" s="149"/>
      <c r="BB2209" s="149"/>
      <c r="BC2209" s="149"/>
      <c r="BE2209" s="149"/>
      <c r="BF2209" s="149"/>
      <c r="BG2209" s="149"/>
      <c r="BH2209" s="149"/>
      <c r="BI2209" s="149"/>
      <c r="BJ2209" s="149"/>
      <c r="BK2209" s="712"/>
      <c r="BL2209" s="712"/>
      <c r="BM2209" s="712"/>
      <c r="BN2209" s="712"/>
    </row>
    <row r="2210" spans="52:66">
      <c r="AZ2210" s="149"/>
      <c r="BA2210" s="149"/>
      <c r="BB2210" s="149"/>
      <c r="BC2210" s="149"/>
      <c r="BE2210" s="149"/>
      <c r="BF2210" s="149"/>
      <c r="BG2210" s="149"/>
      <c r="BH2210" s="149"/>
      <c r="BI2210" s="149"/>
      <c r="BJ2210" s="149"/>
      <c r="BK2210" s="712"/>
      <c r="BL2210" s="712"/>
      <c r="BM2210" s="712"/>
      <c r="BN2210" s="712"/>
    </row>
    <row r="2211" spans="52:66">
      <c r="AZ2211" s="149"/>
      <c r="BA2211" s="149"/>
      <c r="BB2211" s="149"/>
      <c r="BC2211" s="149"/>
      <c r="BE2211" s="149"/>
      <c r="BF2211" s="149"/>
      <c r="BG2211" s="149"/>
      <c r="BH2211" s="149"/>
      <c r="BI2211" s="149"/>
      <c r="BJ2211" s="149"/>
      <c r="BK2211" s="712"/>
      <c r="BL2211" s="712"/>
      <c r="BM2211" s="712"/>
      <c r="BN2211" s="712"/>
    </row>
    <row r="2212" spans="52:66">
      <c r="AZ2212" s="149"/>
      <c r="BA2212" s="149"/>
      <c r="BB2212" s="149"/>
      <c r="BC2212" s="149"/>
      <c r="BE2212" s="149"/>
      <c r="BF2212" s="149"/>
      <c r="BG2212" s="149"/>
      <c r="BH2212" s="149"/>
      <c r="BI2212" s="149"/>
      <c r="BJ2212" s="149"/>
      <c r="BK2212" s="712"/>
      <c r="BL2212" s="712"/>
      <c r="BM2212" s="712"/>
      <c r="BN2212" s="712"/>
    </row>
    <row r="2213" spans="52:66">
      <c r="AZ2213" s="149"/>
      <c r="BA2213" s="149"/>
      <c r="BB2213" s="149"/>
      <c r="BC2213" s="149"/>
      <c r="BE2213" s="149"/>
      <c r="BF2213" s="149"/>
      <c r="BG2213" s="149"/>
      <c r="BH2213" s="149"/>
      <c r="BI2213" s="149"/>
      <c r="BJ2213" s="149"/>
      <c r="BK2213" s="712"/>
      <c r="BL2213" s="712"/>
      <c r="BM2213" s="712"/>
      <c r="BN2213" s="712"/>
    </row>
    <row r="2214" spans="52:66">
      <c r="AZ2214" s="149"/>
      <c r="BA2214" s="149"/>
      <c r="BB2214" s="149"/>
      <c r="BC2214" s="149"/>
      <c r="BE2214" s="149"/>
      <c r="BF2214" s="149"/>
      <c r="BG2214" s="149"/>
      <c r="BH2214" s="149"/>
      <c r="BI2214" s="149"/>
      <c r="BJ2214" s="149"/>
      <c r="BK2214" s="712"/>
      <c r="BL2214" s="712"/>
      <c r="BM2214" s="712"/>
      <c r="BN2214" s="712"/>
    </row>
    <row r="2215" spans="52:66">
      <c r="AZ2215" s="149"/>
      <c r="BA2215" s="149"/>
      <c r="BB2215" s="149"/>
      <c r="BC2215" s="149"/>
      <c r="BE2215" s="149"/>
      <c r="BF2215" s="149"/>
      <c r="BG2215" s="149"/>
      <c r="BH2215" s="149"/>
      <c r="BI2215" s="149"/>
      <c r="BJ2215" s="149"/>
      <c r="BK2215" s="712"/>
      <c r="BL2215" s="712"/>
      <c r="BM2215" s="712"/>
      <c r="BN2215" s="712"/>
    </row>
    <row r="2216" spans="52:66">
      <c r="AZ2216" s="149"/>
      <c r="BA2216" s="149"/>
      <c r="BB2216" s="149"/>
      <c r="BC2216" s="149"/>
      <c r="BE2216" s="149"/>
      <c r="BF2216" s="149"/>
      <c r="BG2216" s="149"/>
      <c r="BH2216" s="149"/>
      <c r="BI2216" s="149"/>
      <c r="BJ2216" s="149"/>
      <c r="BK2216" s="712"/>
      <c r="BL2216" s="712"/>
      <c r="BM2216" s="712"/>
      <c r="BN2216" s="712"/>
    </row>
    <row r="2217" spans="52:66">
      <c r="AZ2217" s="149"/>
      <c r="BA2217" s="149"/>
      <c r="BB2217" s="149"/>
      <c r="BC2217" s="149"/>
      <c r="BE2217" s="149"/>
      <c r="BF2217" s="149"/>
      <c r="BG2217" s="149"/>
      <c r="BH2217" s="149"/>
      <c r="BI2217" s="149"/>
      <c r="BJ2217" s="149"/>
      <c r="BK2217" s="712"/>
      <c r="BL2217" s="712"/>
      <c r="BM2217" s="712"/>
      <c r="BN2217" s="712"/>
    </row>
    <row r="2218" spans="52:66">
      <c r="AZ2218" s="149"/>
      <c r="BA2218" s="149"/>
      <c r="BB2218" s="149"/>
      <c r="BC2218" s="149"/>
      <c r="BE2218" s="149"/>
      <c r="BF2218" s="149"/>
      <c r="BG2218" s="149"/>
      <c r="BH2218" s="149"/>
      <c r="BI2218" s="149"/>
      <c r="BJ2218" s="149"/>
      <c r="BK2218" s="712"/>
      <c r="BL2218" s="712"/>
      <c r="BM2218" s="712"/>
      <c r="BN2218" s="712"/>
    </row>
    <row r="2219" spans="52:66">
      <c r="AZ2219" s="149"/>
      <c r="BA2219" s="149"/>
      <c r="BB2219" s="149"/>
      <c r="BC2219" s="149"/>
      <c r="BE2219" s="149"/>
      <c r="BF2219" s="149"/>
      <c r="BG2219" s="149"/>
      <c r="BH2219" s="149"/>
      <c r="BI2219" s="149"/>
      <c r="BJ2219" s="149"/>
      <c r="BK2219" s="712"/>
      <c r="BL2219" s="712"/>
      <c r="BM2219" s="712"/>
      <c r="BN2219" s="712"/>
    </row>
    <row r="2220" spans="52:66">
      <c r="AZ2220" s="149"/>
      <c r="BA2220" s="149"/>
      <c r="BB2220" s="149"/>
      <c r="BC2220" s="149"/>
      <c r="BE2220" s="149"/>
      <c r="BF2220" s="149"/>
      <c r="BG2220" s="149"/>
      <c r="BH2220" s="149"/>
      <c r="BI2220" s="149"/>
      <c r="BJ2220" s="149"/>
      <c r="BK2220" s="712"/>
      <c r="BL2220" s="712"/>
      <c r="BM2220" s="712"/>
      <c r="BN2220" s="712"/>
    </row>
    <row r="2221" spans="52:66">
      <c r="AZ2221" s="149"/>
      <c r="BA2221" s="149"/>
      <c r="BB2221" s="149"/>
      <c r="BC2221" s="149"/>
      <c r="BE2221" s="149"/>
      <c r="BF2221" s="149"/>
      <c r="BG2221" s="149"/>
      <c r="BH2221" s="149"/>
      <c r="BI2221" s="149"/>
      <c r="BJ2221" s="149"/>
      <c r="BK2221" s="712"/>
      <c r="BL2221" s="712"/>
      <c r="BM2221" s="712"/>
      <c r="BN2221" s="712"/>
    </row>
    <row r="2222" spans="52:66">
      <c r="AZ2222" s="149"/>
      <c r="BA2222" s="149"/>
      <c r="BB2222" s="149"/>
      <c r="BC2222" s="149"/>
      <c r="BE2222" s="149"/>
      <c r="BF2222" s="149"/>
      <c r="BG2222" s="149"/>
      <c r="BH2222" s="149"/>
      <c r="BI2222" s="149"/>
      <c r="BJ2222" s="149"/>
      <c r="BK2222" s="712"/>
      <c r="BL2222" s="712"/>
      <c r="BM2222" s="712"/>
      <c r="BN2222" s="712"/>
    </row>
    <row r="2223" spans="52:66">
      <c r="AZ2223" s="149"/>
      <c r="BA2223" s="149"/>
      <c r="BB2223" s="149"/>
      <c r="BC2223" s="149"/>
      <c r="BE2223" s="149"/>
      <c r="BF2223" s="149"/>
      <c r="BG2223" s="149"/>
      <c r="BH2223" s="149"/>
      <c r="BI2223" s="149"/>
      <c r="BJ2223" s="149"/>
      <c r="BK2223" s="712"/>
      <c r="BL2223" s="712"/>
      <c r="BM2223" s="712"/>
      <c r="BN2223" s="712"/>
    </row>
    <row r="2224" spans="52:66">
      <c r="AZ2224" s="149"/>
      <c r="BA2224" s="149"/>
      <c r="BB2224" s="149"/>
      <c r="BC2224" s="149"/>
      <c r="BE2224" s="149"/>
      <c r="BF2224" s="149"/>
      <c r="BG2224" s="149"/>
      <c r="BH2224" s="149"/>
      <c r="BI2224" s="149"/>
      <c r="BJ2224" s="149"/>
      <c r="BK2224" s="712"/>
      <c r="BL2224" s="712"/>
      <c r="BM2224" s="712"/>
      <c r="BN2224" s="712"/>
    </row>
    <row r="2225" spans="52:66">
      <c r="AZ2225" s="149"/>
      <c r="BA2225" s="149"/>
      <c r="BB2225" s="149"/>
      <c r="BC2225" s="149"/>
      <c r="BE2225" s="149"/>
      <c r="BF2225" s="149"/>
      <c r="BG2225" s="149"/>
      <c r="BH2225" s="149"/>
      <c r="BI2225" s="149"/>
      <c r="BJ2225" s="149"/>
      <c r="BK2225" s="712"/>
      <c r="BL2225" s="712"/>
      <c r="BM2225" s="712"/>
      <c r="BN2225" s="712"/>
    </row>
    <row r="2226" spans="52:66">
      <c r="AZ2226" s="149"/>
      <c r="BA2226" s="149"/>
      <c r="BB2226" s="149"/>
      <c r="BC2226" s="149"/>
      <c r="BE2226" s="149"/>
      <c r="BF2226" s="149"/>
      <c r="BG2226" s="149"/>
      <c r="BH2226" s="149"/>
      <c r="BI2226" s="149"/>
      <c r="BJ2226" s="149"/>
      <c r="BK2226" s="712"/>
      <c r="BL2226" s="712"/>
      <c r="BM2226" s="712"/>
      <c r="BN2226" s="712"/>
    </row>
    <row r="2227" spans="52:66">
      <c r="AZ2227" s="149"/>
      <c r="BA2227" s="149"/>
      <c r="BB2227" s="149"/>
      <c r="BC2227" s="149"/>
      <c r="BE2227" s="149"/>
      <c r="BF2227" s="149"/>
      <c r="BG2227" s="149"/>
      <c r="BH2227" s="149"/>
      <c r="BI2227" s="149"/>
      <c r="BJ2227" s="149"/>
      <c r="BK2227" s="712"/>
      <c r="BL2227" s="712"/>
      <c r="BM2227" s="712"/>
      <c r="BN2227" s="712"/>
    </row>
    <row r="2228" spans="52:66">
      <c r="AZ2228" s="149"/>
      <c r="BA2228" s="149"/>
      <c r="BB2228" s="149"/>
      <c r="BC2228" s="149"/>
      <c r="BE2228" s="149"/>
      <c r="BF2228" s="149"/>
      <c r="BG2228" s="149"/>
      <c r="BH2228" s="149"/>
      <c r="BI2228" s="149"/>
      <c r="BJ2228" s="149"/>
      <c r="BK2228" s="712"/>
      <c r="BL2228" s="712"/>
      <c r="BM2228" s="712"/>
      <c r="BN2228" s="712"/>
    </row>
    <row r="2229" spans="52:66">
      <c r="AZ2229" s="149"/>
      <c r="BA2229" s="149"/>
      <c r="BB2229" s="149"/>
      <c r="BC2229" s="149"/>
      <c r="BE2229" s="149"/>
      <c r="BF2229" s="149"/>
      <c r="BG2229" s="149"/>
      <c r="BH2229" s="149"/>
      <c r="BI2229" s="149"/>
      <c r="BJ2229" s="149"/>
      <c r="BK2229" s="712"/>
      <c r="BL2229" s="712"/>
      <c r="BM2229" s="712"/>
      <c r="BN2229" s="712"/>
    </row>
    <row r="2230" spans="52:66">
      <c r="AZ2230" s="149"/>
      <c r="BA2230" s="149"/>
      <c r="BB2230" s="149"/>
      <c r="BC2230" s="149"/>
      <c r="BE2230" s="149"/>
      <c r="BF2230" s="149"/>
      <c r="BG2230" s="149"/>
      <c r="BH2230" s="149"/>
      <c r="BI2230" s="149"/>
      <c r="BJ2230" s="149"/>
      <c r="BK2230" s="712"/>
      <c r="BL2230" s="712"/>
      <c r="BM2230" s="712"/>
      <c r="BN2230" s="712"/>
    </row>
    <row r="2231" spans="52:66">
      <c r="AZ2231" s="149"/>
      <c r="BA2231" s="149"/>
      <c r="BB2231" s="149"/>
      <c r="BC2231" s="149"/>
      <c r="BE2231" s="149"/>
      <c r="BF2231" s="149"/>
      <c r="BG2231" s="149"/>
      <c r="BH2231" s="149"/>
      <c r="BI2231" s="149"/>
      <c r="BJ2231" s="149"/>
      <c r="BK2231" s="712"/>
      <c r="BL2231" s="712"/>
      <c r="BM2231" s="712"/>
      <c r="BN2231" s="712"/>
    </row>
    <row r="2232" spans="52:66">
      <c r="AZ2232" s="149"/>
      <c r="BA2232" s="149"/>
      <c r="BB2232" s="149"/>
      <c r="BC2232" s="149"/>
      <c r="BE2232" s="149"/>
      <c r="BF2232" s="149"/>
      <c r="BG2232" s="149"/>
      <c r="BH2232" s="149"/>
      <c r="BI2232" s="149"/>
      <c r="BJ2232" s="149"/>
      <c r="BK2232" s="712"/>
      <c r="BL2232" s="712"/>
      <c r="BM2232" s="712"/>
      <c r="BN2232" s="712"/>
    </row>
    <row r="2233" spans="52:66">
      <c r="AZ2233" s="149"/>
      <c r="BA2233" s="149"/>
      <c r="BB2233" s="149"/>
      <c r="BC2233" s="149"/>
      <c r="BE2233" s="149"/>
      <c r="BF2233" s="149"/>
      <c r="BG2233" s="149"/>
      <c r="BH2233" s="149"/>
      <c r="BI2233" s="149"/>
      <c r="BJ2233" s="149"/>
      <c r="BK2233" s="712"/>
      <c r="BL2233" s="712"/>
      <c r="BM2233" s="712"/>
      <c r="BN2233" s="712"/>
    </row>
    <row r="2234" spans="52:66">
      <c r="AZ2234" s="149"/>
      <c r="BA2234" s="149"/>
      <c r="BB2234" s="149"/>
      <c r="BC2234" s="149"/>
      <c r="BE2234" s="149"/>
      <c r="BF2234" s="149"/>
      <c r="BG2234" s="149"/>
      <c r="BH2234" s="149"/>
      <c r="BI2234" s="149"/>
      <c r="BJ2234" s="149"/>
      <c r="BK2234" s="712"/>
      <c r="BL2234" s="712"/>
      <c r="BM2234" s="712"/>
      <c r="BN2234" s="712"/>
    </row>
    <row r="2235" spans="52:66">
      <c r="AZ2235" s="149"/>
      <c r="BA2235" s="149"/>
      <c r="BB2235" s="149"/>
      <c r="BC2235" s="149"/>
      <c r="BE2235" s="149"/>
      <c r="BF2235" s="149"/>
      <c r="BG2235" s="149"/>
      <c r="BH2235" s="149"/>
      <c r="BI2235" s="149"/>
      <c r="BJ2235" s="149"/>
      <c r="BK2235" s="712"/>
      <c r="BL2235" s="712"/>
      <c r="BM2235" s="712"/>
      <c r="BN2235" s="712"/>
    </row>
    <row r="2236" spans="52:66">
      <c r="AZ2236" s="149"/>
      <c r="BA2236" s="149"/>
      <c r="BB2236" s="149"/>
      <c r="BC2236" s="149"/>
      <c r="BE2236" s="149"/>
      <c r="BF2236" s="149"/>
      <c r="BG2236" s="149"/>
      <c r="BH2236" s="149"/>
      <c r="BI2236" s="149"/>
      <c r="BJ2236" s="149"/>
      <c r="BK2236" s="712"/>
      <c r="BL2236" s="712"/>
      <c r="BM2236" s="712"/>
      <c r="BN2236" s="712"/>
    </row>
    <row r="2237" spans="52:66">
      <c r="AZ2237" s="149"/>
      <c r="BA2237" s="149"/>
      <c r="BB2237" s="149"/>
      <c r="BC2237" s="149"/>
      <c r="BE2237" s="149"/>
      <c r="BF2237" s="149"/>
      <c r="BG2237" s="149"/>
      <c r="BH2237" s="149"/>
      <c r="BI2237" s="149"/>
      <c r="BJ2237" s="149"/>
      <c r="BK2237" s="712"/>
      <c r="BL2237" s="712"/>
      <c r="BM2237" s="712"/>
      <c r="BN2237" s="712"/>
    </row>
    <row r="2238" spans="52:66">
      <c r="AZ2238" s="149"/>
      <c r="BA2238" s="149"/>
      <c r="BB2238" s="149"/>
      <c r="BC2238" s="149"/>
      <c r="BE2238" s="149"/>
      <c r="BF2238" s="149"/>
      <c r="BG2238" s="149"/>
      <c r="BH2238" s="149"/>
      <c r="BI2238" s="149"/>
      <c r="BJ2238" s="149"/>
      <c r="BK2238" s="712"/>
      <c r="BL2238" s="712"/>
      <c r="BM2238" s="712"/>
      <c r="BN2238" s="712"/>
    </row>
    <row r="2239" spans="52:66">
      <c r="AZ2239" s="149"/>
      <c r="BA2239" s="149"/>
      <c r="BB2239" s="149"/>
      <c r="BC2239" s="149"/>
      <c r="BE2239" s="149"/>
      <c r="BF2239" s="149"/>
      <c r="BG2239" s="149"/>
      <c r="BH2239" s="149"/>
      <c r="BI2239" s="149"/>
      <c r="BJ2239" s="149"/>
      <c r="BK2239" s="712"/>
      <c r="BL2239" s="712"/>
      <c r="BM2239" s="712"/>
      <c r="BN2239" s="712"/>
    </row>
    <row r="2240" spans="52:66">
      <c r="AZ2240" s="149"/>
      <c r="BA2240" s="149"/>
      <c r="BB2240" s="149"/>
      <c r="BC2240" s="149"/>
      <c r="BE2240" s="149"/>
      <c r="BF2240" s="149"/>
      <c r="BG2240" s="149"/>
      <c r="BH2240" s="149"/>
      <c r="BI2240" s="149"/>
      <c r="BJ2240" s="149"/>
      <c r="BK2240" s="712"/>
      <c r="BL2240" s="712"/>
      <c r="BM2240" s="712"/>
      <c r="BN2240" s="712"/>
    </row>
    <row r="2241" spans="52:66">
      <c r="AZ2241" s="149"/>
      <c r="BA2241" s="149"/>
      <c r="BB2241" s="149"/>
      <c r="BC2241" s="149"/>
      <c r="BE2241" s="149"/>
      <c r="BF2241" s="149"/>
      <c r="BG2241" s="149"/>
      <c r="BH2241" s="149"/>
      <c r="BI2241" s="149"/>
      <c r="BJ2241" s="149"/>
      <c r="BK2241" s="712"/>
      <c r="BL2241" s="712"/>
      <c r="BM2241" s="712"/>
      <c r="BN2241" s="712"/>
    </row>
    <row r="2242" spans="52:66">
      <c r="AZ2242" s="149"/>
      <c r="BA2242" s="149"/>
      <c r="BB2242" s="149"/>
      <c r="BC2242" s="149"/>
      <c r="BE2242" s="149"/>
      <c r="BF2242" s="149"/>
      <c r="BG2242" s="149"/>
      <c r="BH2242" s="149"/>
      <c r="BI2242" s="149"/>
      <c r="BJ2242" s="149"/>
      <c r="BK2242" s="712"/>
      <c r="BL2242" s="712"/>
      <c r="BM2242" s="712"/>
      <c r="BN2242" s="712"/>
    </row>
    <row r="2243" spans="52:66">
      <c r="AZ2243" s="149"/>
      <c r="BA2243" s="149"/>
      <c r="BB2243" s="149"/>
      <c r="BC2243" s="149"/>
      <c r="BE2243" s="149"/>
      <c r="BF2243" s="149"/>
      <c r="BG2243" s="149"/>
      <c r="BH2243" s="149"/>
      <c r="BI2243" s="149"/>
      <c r="BJ2243" s="149"/>
      <c r="BK2243" s="712"/>
      <c r="BL2243" s="712"/>
      <c r="BM2243" s="712"/>
      <c r="BN2243" s="712"/>
    </row>
    <row r="2244" spans="52:66">
      <c r="AZ2244" s="149"/>
      <c r="BA2244" s="149"/>
      <c r="BB2244" s="149"/>
      <c r="BC2244" s="149"/>
      <c r="BE2244" s="149"/>
      <c r="BF2244" s="149"/>
      <c r="BG2244" s="149"/>
      <c r="BH2244" s="149"/>
      <c r="BI2244" s="149"/>
      <c r="BJ2244" s="149"/>
      <c r="BK2244" s="712"/>
      <c r="BL2244" s="712"/>
      <c r="BM2244" s="712"/>
      <c r="BN2244" s="712"/>
    </row>
    <row r="2245" spans="52:66">
      <c r="AZ2245" s="149"/>
      <c r="BA2245" s="149"/>
      <c r="BB2245" s="149"/>
      <c r="BC2245" s="149"/>
      <c r="BE2245" s="149"/>
      <c r="BF2245" s="149"/>
      <c r="BG2245" s="149"/>
      <c r="BH2245" s="149"/>
      <c r="BI2245" s="149"/>
      <c r="BJ2245" s="149"/>
      <c r="BK2245" s="712"/>
      <c r="BL2245" s="712"/>
      <c r="BM2245" s="712"/>
      <c r="BN2245" s="712"/>
    </row>
    <row r="2246" spans="52:66">
      <c r="AZ2246" s="149"/>
      <c r="BA2246" s="149"/>
      <c r="BB2246" s="149"/>
      <c r="BC2246" s="149"/>
      <c r="BE2246" s="149"/>
      <c r="BF2246" s="149"/>
      <c r="BG2246" s="149"/>
      <c r="BH2246" s="149"/>
      <c r="BI2246" s="149"/>
      <c r="BJ2246" s="149"/>
      <c r="BK2246" s="712"/>
      <c r="BL2246" s="712"/>
      <c r="BM2246" s="712"/>
      <c r="BN2246" s="712"/>
    </row>
    <row r="2247" spans="52:66">
      <c r="AZ2247" s="149"/>
      <c r="BA2247" s="149"/>
      <c r="BB2247" s="149"/>
      <c r="BC2247" s="149"/>
      <c r="BE2247" s="149"/>
      <c r="BF2247" s="149"/>
      <c r="BG2247" s="149"/>
      <c r="BH2247" s="149"/>
      <c r="BI2247" s="149"/>
      <c r="BJ2247" s="149"/>
      <c r="BK2247" s="712"/>
      <c r="BL2247" s="712"/>
      <c r="BM2247" s="712"/>
      <c r="BN2247" s="712"/>
    </row>
    <row r="2248" spans="52:66">
      <c r="AZ2248" s="149"/>
      <c r="BA2248" s="149"/>
      <c r="BB2248" s="149"/>
      <c r="BC2248" s="149"/>
      <c r="BE2248" s="149"/>
      <c r="BF2248" s="149"/>
      <c r="BG2248" s="149"/>
      <c r="BH2248" s="149"/>
      <c r="BI2248" s="149"/>
      <c r="BJ2248" s="149"/>
      <c r="BK2248" s="712"/>
      <c r="BL2248" s="712"/>
      <c r="BM2248" s="712"/>
      <c r="BN2248" s="712"/>
    </row>
    <row r="2249" spans="52:66">
      <c r="AZ2249" s="149"/>
      <c r="BA2249" s="149"/>
      <c r="BB2249" s="149"/>
      <c r="BC2249" s="149"/>
      <c r="BE2249" s="149"/>
      <c r="BF2249" s="149"/>
      <c r="BG2249" s="149"/>
      <c r="BH2249" s="149"/>
      <c r="BI2249" s="149"/>
      <c r="BJ2249" s="149"/>
      <c r="BK2249" s="712"/>
      <c r="BL2249" s="712"/>
      <c r="BM2249" s="712"/>
      <c r="BN2249" s="712"/>
    </row>
    <row r="2250" spans="52:66">
      <c r="AZ2250" s="149"/>
      <c r="BA2250" s="149"/>
      <c r="BB2250" s="149"/>
      <c r="BC2250" s="149"/>
      <c r="BE2250" s="149"/>
      <c r="BF2250" s="149"/>
      <c r="BG2250" s="149"/>
      <c r="BH2250" s="149"/>
      <c r="BI2250" s="149"/>
      <c r="BJ2250" s="149"/>
      <c r="BK2250" s="712"/>
      <c r="BL2250" s="712"/>
      <c r="BM2250" s="712"/>
      <c r="BN2250" s="712"/>
    </row>
    <row r="2251" spans="52:66">
      <c r="AZ2251" s="149"/>
      <c r="BA2251" s="149"/>
      <c r="BB2251" s="149"/>
      <c r="BC2251" s="149"/>
      <c r="BE2251" s="149"/>
      <c r="BF2251" s="149"/>
      <c r="BG2251" s="149"/>
      <c r="BH2251" s="149"/>
      <c r="BI2251" s="149"/>
      <c r="BJ2251" s="149"/>
      <c r="BK2251" s="712"/>
      <c r="BL2251" s="712"/>
      <c r="BM2251" s="712"/>
      <c r="BN2251" s="712"/>
    </row>
    <row r="2252" spans="52:66">
      <c r="AZ2252" s="149"/>
      <c r="BA2252" s="149"/>
      <c r="BB2252" s="149"/>
      <c r="BC2252" s="149"/>
      <c r="BE2252" s="149"/>
      <c r="BF2252" s="149"/>
      <c r="BG2252" s="149"/>
      <c r="BH2252" s="149"/>
      <c r="BI2252" s="149"/>
      <c r="BJ2252" s="149"/>
      <c r="BK2252" s="712"/>
      <c r="BL2252" s="712"/>
      <c r="BM2252" s="712"/>
      <c r="BN2252" s="712"/>
    </row>
    <row r="2253" spans="52:66">
      <c r="AZ2253" s="149"/>
      <c r="BA2253" s="149"/>
      <c r="BB2253" s="149"/>
      <c r="BC2253" s="149"/>
      <c r="BE2253" s="149"/>
      <c r="BF2253" s="149"/>
      <c r="BG2253" s="149"/>
      <c r="BH2253" s="149"/>
      <c r="BI2253" s="149"/>
      <c r="BJ2253" s="149"/>
      <c r="BK2253" s="712"/>
      <c r="BL2253" s="712"/>
      <c r="BM2253" s="712"/>
      <c r="BN2253" s="712"/>
    </row>
    <row r="2254" spans="52:66">
      <c r="AZ2254" s="149"/>
      <c r="BA2254" s="149"/>
      <c r="BB2254" s="149"/>
      <c r="BC2254" s="149"/>
      <c r="BE2254" s="149"/>
      <c r="BF2254" s="149"/>
      <c r="BG2254" s="149"/>
      <c r="BH2254" s="149"/>
      <c r="BI2254" s="149"/>
      <c r="BJ2254" s="149"/>
      <c r="BK2254" s="712"/>
      <c r="BL2254" s="712"/>
      <c r="BM2254" s="712"/>
      <c r="BN2254" s="712"/>
    </row>
    <row r="2255" spans="52:66">
      <c r="AZ2255" s="149"/>
      <c r="BA2255" s="149"/>
      <c r="BB2255" s="149"/>
      <c r="BC2255" s="149"/>
      <c r="BE2255" s="149"/>
      <c r="BF2255" s="149"/>
      <c r="BG2255" s="149"/>
      <c r="BH2255" s="149"/>
      <c r="BI2255" s="149"/>
      <c r="BJ2255" s="149"/>
      <c r="BK2255" s="712"/>
      <c r="BL2255" s="712"/>
      <c r="BM2255" s="712"/>
      <c r="BN2255" s="712"/>
    </row>
    <row r="2256" spans="52:66">
      <c r="AZ2256" s="149"/>
      <c r="BA2256" s="149"/>
      <c r="BB2256" s="149"/>
      <c r="BC2256" s="149"/>
      <c r="BE2256" s="149"/>
      <c r="BF2256" s="149"/>
      <c r="BG2256" s="149"/>
      <c r="BH2256" s="149"/>
      <c r="BI2256" s="149"/>
      <c r="BJ2256" s="149"/>
      <c r="BK2256" s="712"/>
      <c r="BL2256" s="712"/>
      <c r="BM2256" s="712"/>
      <c r="BN2256" s="712"/>
    </row>
    <row r="2257" spans="52:66">
      <c r="AZ2257" s="149"/>
      <c r="BA2257" s="149"/>
      <c r="BB2257" s="149"/>
      <c r="BC2257" s="149"/>
      <c r="BE2257" s="149"/>
      <c r="BF2257" s="149"/>
      <c r="BG2257" s="149"/>
      <c r="BH2257" s="149"/>
      <c r="BI2257" s="149"/>
      <c r="BJ2257" s="149"/>
      <c r="BK2257" s="712"/>
      <c r="BL2257" s="712"/>
      <c r="BM2257" s="712"/>
      <c r="BN2257" s="712"/>
    </row>
    <row r="2258" spans="52:66">
      <c r="AZ2258" s="149"/>
      <c r="BA2258" s="149"/>
      <c r="BB2258" s="149"/>
      <c r="BC2258" s="149"/>
      <c r="BE2258" s="149"/>
      <c r="BF2258" s="149"/>
      <c r="BG2258" s="149"/>
      <c r="BH2258" s="149"/>
      <c r="BI2258" s="149"/>
      <c r="BJ2258" s="149"/>
      <c r="BK2258" s="712"/>
      <c r="BL2258" s="712"/>
      <c r="BM2258" s="712"/>
      <c r="BN2258" s="712"/>
    </row>
    <row r="2259" spans="52:66">
      <c r="AZ2259" s="149"/>
      <c r="BA2259" s="149"/>
      <c r="BB2259" s="149"/>
      <c r="BC2259" s="149"/>
      <c r="BE2259" s="149"/>
      <c r="BF2259" s="149"/>
      <c r="BG2259" s="149"/>
      <c r="BH2259" s="149"/>
      <c r="BI2259" s="149"/>
      <c r="BJ2259" s="149"/>
      <c r="BK2259" s="712"/>
      <c r="BL2259" s="712"/>
      <c r="BM2259" s="712"/>
      <c r="BN2259" s="712"/>
    </row>
    <row r="2260" spans="52:66">
      <c r="AZ2260" s="149"/>
      <c r="BA2260" s="149"/>
      <c r="BB2260" s="149"/>
      <c r="BC2260" s="149"/>
      <c r="BE2260" s="149"/>
      <c r="BF2260" s="149"/>
      <c r="BG2260" s="149"/>
      <c r="BH2260" s="149"/>
      <c r="BI2260" s="149"/>
      <c r="BJ2260" s="149"/>
      <c r="BK2260" s="712"/>
      <c r="BL2260" s="712"/>
      <c r="BM2260" s="712"/>
      <c r="BN2260" s="712"/>
    </row>
    <row r="2261" spans="52:66">
      <c r="AZ2261" s="149"/>
      <c r="BA2261" s="149"/>
      <c r="BB2261" s="149"/>
      <c r="BC2261" s="149"/>
      <c r="BE2261" s="149"/>
      <c r="BF2261" s="149"/>
      <c r="BG2261" s="149"/>
      <c r="BH2261" s="149"/>
      <c r="BI2261" s="149"/>
      <c r="BJ2261" s="149"/>
      <c r="BK2261" s="712"/>
      <c r="BL2261" s="712"/>
      <c r="BM2261" s="712"/>
      <c r="BN2261" s="712"/>
    </row>
    <row r="2262" spans="52:66">
      <c r="AZ2262" s="149"/>
      <c r="BA2262" s="149"/>
      <c r="BB2262" s="149"/>
      <c r="BC2262" s="149"/>
      <c r="BE2262" s="149"/>
      <c r="BF2262" s="149"/>
      <c r="BG2262" s="149"/>
      <c r="BH2262" s="149"/>
      <c r="BI2262" s="149"/>
      <c r="BJ2262" s="149"/>
      <c r="BK2262" s="712"/>
      <c r="BL2262" s="712"/>
      <c r="BM2262" s="712"/>
      <c r="BN2262" s="712"/>
    </row>
    <row r="2263" spans="52:66">
      <c r="AZ2263" s="149"/>
      <c r="BA2263" s="149"/>
      <c r="BB2263" s="149"/>
      <c r="BC2263" s="149"/>
      <c r="BE2263" s="149"/>
      <c r="BF2263" s="149"/>
      <c r="BG2263" s="149"/>
      <c r="BH2263" s="149"/>
      <c r="BI2263" s="149"/>
      <c r="BJ2263" s="149"/>
      <c r="BK2263" s="712"/>
      <c r="BL2263" s="712"/>
      <c r="BM2263" s="712"/>
      <c r="BN2263" s="712"/>
    </row>
    <row r="2264" spans="52:66">
      <c r="AZ2264" s="149"/>
      <c r="BA2264" s="149"/>
      <c r="BB2264" s="149"/>
      <c r="BC2264" s="149"/>
      <c r="BE2264" s="149"/>
      <c r="BF2264" s="149"/>
      <c r="BG2264" s="149"/>
      <c r="BH2264" s="149"/>
      <c r="BI2264" s="149"/>
      <c r="BJ2264" s="149"/>
      <c r="BK2264" s="712"/>
      <c r="BL2264" s="712"/>
      <c r="BM2264" s="712"/>
      <c r="BN2264" s="712"/>
    </row>
    <row r="2265" spans="52:66">
      <c r="AZ2265" s="149"/>
      <c r="BA2265" s="149"/>
      <c r="BB2265" s="149"/>
      <c r="BC2265" s="149"/>
      <c r="BE2265" s="149"/>
      <c r="BF2265" s="149"/>
      <c r="BG2265" s="149"/>
      <c r="BH2265" s="149"/>
      <c r="BI2265" s="149"/>
      <c r="BJ2265" s="149"/>
      <c r="BK2265" s="712"/>
      <c r="BL2265" s="712"/>
      <c r="BM2265" s="712"/>
      <c r="BN2265" s="712"/>
    </row>
    <row r="2266" spans="52:66">
      <c r="AZ2266" s="149"/>
      <c r="BA2266" s="149"/>
      <c r="BB2266" s="149"/>
      <c r="BC2266" s="149"/>
      <c r="BE2266" s="149"/>
      <c r="BF2266" s="149"/>
      <c r="BG2266" s="149"/>
      <c r="BH2266" s="149"/>
      <c r="BI2266" s="149"/>
      <c r="BJ2266" s="149"/>
      <c r="BK2266" s="712"/>
      <c r="BL2266" s="712"/>
      <c r="BM2266" s="712"/>
      <c r="BN2266" s="712"/>
    </row>
    <row r="2267" spans="52:66">
      <c r="AZ2267" s="149"/>
      <c r="BA2267" s="149"/>
      <c r="BB2267" s="149"/>
      <c r="BC2267" s="149"/>
      <c r="BE2267" s="149"/>
      <c r="BF2267" s="149"/>
      <c r="BG2267" s="149"/>
      <c r="BH2267" s="149"/>
      <c r="BI2267" s="149"/>
      <c r="BJ2267" s="149"/>
      <c r="BK2267" s="712"/>
      <c r="BL2267" s="712"/>
      <c r="BM2267" s="712"/>
      <c r="BN2267" s="712"/>
    </row>
    <row r="2268" spans="52:66">
      <c r="AZ2268" s="149"/>
      <c r="BA2268" s="149"/>
      <c r="BB2268" s="149"/>
      <c r="BC2268" s="149"/>
      <c r="BE2268" s="149"/>
      <c r="BF2268" s="149"/>
      <c r="BG2268" s="149"/>
      <c r="BH2268" s="149"/>
      <c r="BI2268" s="149"/>
      <c r="BJ2268" s="149"/>
      <c r="BK2268" s="712"/>
      <c r="BL2268" s="712"/>
      <c r="BM2268" s="712"/>
      <c r="BN2268" s="712"/>
    </row>
    <row r="2269" spans="52:66">
      <c r="AZ2269" s="149"/>
      <c r="BA2269" s="149"/>
      <c r="BB2269" s="149"/>
      <c r="BC2269" s="149"/>
      <c r="BE2269" s="149"/>
      <c r="BF2269" s="149"/>
      <c r="BG2269" s="149"/>
      <c r="BH2269" s="149"/>
      <c r="BI2269" s="149"/>
      <c r="BJ2269" s="149"/>
      <c r="BK2269" s="712"/>
      <c r="BL2269" s="712"/>
      <c r="BM2269" s="712"/>
      <c r="BN2269" s="712"/>
    </row>
    <row r="2270" spans="52:66">
      <c r="AZ2270" s="149"/>
      <c r="BA2270" s="149"/>
      <c r="BB2270" s="149"/>
      <c r="BC2270" s="149"/>
      <c r="BE2270" s="149"/>
      <c r="BF2270" s="149"/>
      <c r="BG2270" s="149"/>
      <c r="BH2270" s="149"/>
      <c r="BI2270" s="149"/>
      <c r="BJ2270" s="149"/>
      <c r="BK2270" s="712"/>
      <c r="BL2270" s="712"/>
      <c r="BM2270" s="712"/>
      <c r="BN2270" s="712"/>
    </row>
    <row r="2271" spans="52:66">
      <c r="AZ2271" s="149"/>
      <c r="BA2271" s="149"/>
      <c r="BB2271" s="149"/>
      <c r="BC2271" s="149"/>
      <c r="BE2271" s="149"/>
      <c r="BF2271" s="149"/>
      <c r="BG2271" s="149"/>
      <c r="BH2271" s="149"/>
      <c r="BI2271" s="149"/>
      <c r="BJ2271" s="149"/>
      <c r="BK2271" s="712"/>
      <c r="BL2271" s="712"/>
      <c r="BM2271" s="712"/>
      <c r="BN2271" s="712"/>
    </row>
    <row r="2272" spans="52:66">
      <c r="AZ2272" s="149"/>
      <c r="BA2272" s="149"/>
      <c r="BB2272" s="149"/>
      <c r="BC2272" s="149"/>
      <c r="BE2272" s="149"/>
      <c r="BF2272" s="149"/>
      <c r="BG2272" s="149"/>
      <c r="BH2272" s="149"/>
      <c r="BI2272" s="149"/>
      <c r="BJ2272" s="149"/>
      <c r="BK2272" s="712"/>
      <c r="BL2272" s="712"/>
      <c r="BM2272" s="712"/>
      <c r="BN2272" s="712"/>
    </row>
    <row r="2273" spans="52:66">
      <c r="AZ2273" s="149"/>
      <c r="BA2273" s="149"/>
      <c r="BB2273" s="149"/>
      <c r="BC2273" s="149"/>
      <c r="BE2273" s="149"/>
      <c r="BF2273" s="149"/>
      <c r="BG2273" s="149"/>
      <c r="BH2273" s="149"/>
      <c r="BI2273" s="149"/>
      <c r="BJ2273" s="149"/>
      <c r="BK2273" s="712"/>
      <c r="BL2273" s="712"/>
      <c r="BM2273" s="712"/>
      <c r="BN2273" s="712"/>
    </row>
    <row r="2274" spans="52:66">
      <c r="AZ2274" s="149"/>
      <c r="BA2274" s="149"/>
      <c r="BB2274" s="149"/>
      <c r="BC2274" s="149"/>
      <c r="BE2274" s="149"/>
      <c r="BF2274" s="149"/>
      <c r="BG2274" s="149"/>
      <c r="BH2274" s="149"/>
      <c r="BI2274" s="149"/>
      <c r="BJ2274" s="149"/>
      <c r="BK2274" s="712"/>
      <c r="BL2274" s="712"/>
      <c r="BM2274" s="712"/>
      <c r="BN2274" s="712"/>
    </row>
    <row r="2275" spans="52:66">
      <c r="AZ2275" s="149"/>
      <c r="BA2275" s="149"/>
      <c r="BB2275" s="149"/>
      <c r="BC2275" s="149"/>
      <c r="BE2275" s="149"/>
      <c r="BF2275" s="149"/>
      <c r="BG2275" s="149"/>
      <c r="BH2275" s="149"/>
      <c r="BI2275" s="149"/>
      <c r="BJ2275" s="149"/>
      <c r="BK2275" s="712"/>
      <c r="BL2275" s="712"/>
      <c r="BM2275" s="712"/>
      <c r="BN2275" s="712"/>
    </row>
    <row r="2276" spans="52:66">
      <c r="AZ2276" s="149"/>
      <c r="BA2276" s="149"/>
      <c r="BB2276" s="149"/>
      <c r="BC2276" s="149"/>
      <c r="BE2276" s="149"/>
      <c r="BF2276" s="149"/>
      <c r="BG2276" s="149"/>
      <c r="BH2276" s="149"/>
      <c r="BI2276" s="149"/>
      <c r="BJ2276" s="149"/>
      <c r="BK2276" s="712"/>
      <c r="BL2276" s="712"/>
      <c r="BM2276" s="712"/>
      <c r="BN2276" s="712"/>
    </row>
    <row r="2277" spans="52:66">
      <c r="AZ2277" s="149"/>
      <c r="BA2277" s="149"/>
      <c r="BB2277" s="149"/>
      <c r="BC2277" s="149"/>
      <c r="BE2277" s="149"/>
      <c r="BF2277" s="149"/>
      <c r="BG2277" s="149"/>
      <c r="BH2277" s="149"/>
      <c r="BI2277" s="149"/>
      <c r="BJ2277" s="149"/>
      <c r="BK2277" s="712"/>
      <c r="BL2277" s="712"/>
      <c r="BM2277" s="712"/>
      <c r="BN2277" s="712"/>
    </row>
    <row r="2278" spans="52:66">
      <c r="AZ2278" s="149"/>
      <c r="BA2278" s="149"/>
      <c r="BB2278" s="149"/>
      <c r="BC2278" s="149"/>
      <c r="BE2278" s="149"/>
      <c r="BF2278" s="149"/>
      <c r="BG2278" s="149"/>
      <c r="BH2278" s="149"/>
      <c r="BI2278" s="149"/>
      <c r="BJ2278" s="149"/>
      <c r="BK2278" s="712"/>
      <c r="BL2278" s="712"/>
      <c r="BM2278" s="712"/>
      <c r="BN2278" s="712"/>
    </row>
    <row r="2279" spans="52:66">
      <c r="AZ2279" s="149"/>
      <c r="BA2279" s="149"/>
      <c r="BB2279" s="149"/>
      <c r="BC2279" s="149"/>
      <c r="BE2279" s="149"/>
      <c r="BF2279" s="149"/>
      <c r="BG2279" s="149"/>
      <c r="BH2279" s="149"/>
      <c r="BI2279" s="149"/>
      <c r="BJ2279" s="149"/>
      <c r="BK2279" s="712"/>
      <c r="BL2279" s="712"/>
      <c r="BM2279" s="712"/>
      <c r="BN2279" s="712"/>
    </row>
    <row r="2280" spans="52:66">
      <c r="AZ2280" s="149"/>
      <c r="BA2280" s="149"/>
      <c r="BB2280" s="149"/>
      <c r="BC2280" s="149"/>
      <c r="BE2280" s="149"/>
      <c r="BF2280" s="149"/>
      <c r="BG2280" s="149"/>
      <c r="BH2280" s="149"/>
      <c r="BI2280" s="149"/>
      <c r="BJ2280" s="149"/>
      <c r="BK2280" s="712"/>
      <c r="BL2280" s="712"/>
      <c r="BM2280" s="712"/>
      <c r="BN2280" s="712"/>
    </row>
    <row r="2281" spans="52:66">
      <c r="AZ2281" s="149"/>
      <c r="BA2281" s="149"/>
      <c r="BB2281" s="149"/>
      <c r="BC2281" s="149"/>
      <c r="BE2281" s="149"/>
      <c r="BF2281" s="149"/>
      <c r="BG2281" s="149"/>
      <c r="BH2281" s="149"/>
      <c r="BI2281" s="149"/>
      <c r="BJ2281" s="149"/>
      <c r="BK2281" s="712"/>
      <c r="BL2281" s="712"/>
      <c r="BM2281" s="712"/>
      <c r="BN2281" s="712"/>
    </row>
    <row r="2282" spans="52:66">
      <c r="AZ2282" s="149"/>
      <c r="BA2282" s="149"/>
      <c r="BB2282" s="149"/>
      <c r="BC2282" s="149"/>
      <c r="BE2282" s="149"/>
      <c r="BF2282" s="149"/>
      <c r="BG2282" s="149"/>
      <c r="BH2282" s="149"/>
      <c r="BI2282" s="149"/>
      <c r="BJ2282" s="149"/>
      <c r="BK2282" s="712"/>
      <c r="BL2282" s="712"/>
      <c r="BM2282" s="712"/>
      <c r="BN2282" s="712"/>
    </row>
    <row r="2283" spans="52:66">
      <c r="AZ2283" s="149"/>
      <c r="BA2283" s="149"/>
      <c r="BB2283" s="149"/>
      <c r="BC2283" s="149"/>
      <c r="BE2283" s="149"/>
      <c r="BF2283" s="149"/>
      <c r="BG2283" s="149"/>
      <c r="BH2283" s="149"/>
      <c r="BI2283" s="149"/>
      <c r="BJ2283" s="149"/>
      <c r="BK2283" s="712"/>
      <c r="BL2283" s="712"/>
      <c r="BM2283" s="712"/>
      <c r="BN2283" s="712"/>
    </row>
    <row r="2284" spans="52:66">
      <c r="AZ2284" s="149"/>
      <c r="BA2284" s="149"/>
      <c r="BB2284" s="149"/>
      <c r="BC2284" s="149"/>
      <c r="BE2284" s="149"/>
      <c r="BF2284" s="149"/>
      <c r="BG2284" s="149"/>
      <c r="BH2284" s="149"/>
      <c r="BI2284" s="149"/>
      <c r="BJ2284" s="149"/>
      <c r="BK2284" s="712"/>
      <c r="BL2284" s="712"/>
      <c r="BM2284" s="712"/>
      <c r="BN2284" s="712"/>
    </row>
    <row r="2285" spans="52:66">
      <c r="AZ2285" s="149"/>
      <c r="BA2285" s="149"/>
      <c r="BB2285" s="149"/>
      <c r="BC2285" s="149"/>
      <c r="BE2285" s="149"/>
      <c r="BF2285" s="149"/>
      <c r="BG2285" s="149"/>
      <c r="BH2285" s="149"/>
      <c r="BI2285" s="149"/>
      <c r="BJ2285" s="149"/>
      <c r="BK2285" s="712"/>
      <c r="BL2285" s="712"/>
      <c r="BM2285" s="712"/>
      <c r="BN2285" s="712"/>
    </row>
    <row r="2286" spans="52:66">
      <c r="AZ2286" s="149"/>
      <c r="BA2286" s="149"/>
      <c r="BB2286" s="149"/>
      <c r="BC2286" s="149"/>
      <c r="BE2286" s="149"/>
      <c r="BF2286" s="149"/>
      <c r="BG2286" s="149"/>
      <c r="BH2286" s="149"/>
      <c r="BI2286" s="149"/>
      <c r="BJ2286" s="149"/>
      <c r="BK2286" s="712"/>
      <c r="BL2286" s="712"/>
      <c r="BM2286" s="712"/>
      <c r="BN2286" s="712"/>
    </row>
    <row r="2287" spans="52:66">
      <c r="AZ2287" s="149"/>
      <c r="BA2287" s="149"/>
      <c r="BB2287" s="149"/>
      <c r="BC2287" s="149"/>
      <c r="BE2287" s="149"/>
      <c r="BF2287" s="149"/>
      <c r="BG2287" s="149"/>
      <c r="BH2287" s="149"/>
      <c r="BI2287" s="149"/>
      <c r="BJ2287" s="149"/>
      <c r="BK2287" s="712"/>
      <c r="BL2287" s="712"/>
      <c r="BM2287" s="712"/>
      <c r="BN2287" s="712"/>
    </row>
    <row r="2288" spans="52:66">
      <c r="AZ2288" s="149"/>
      <c r="BA2288" s="149"/>
      <c r="BB2288" s="149"/>
      <c r="BC2288" s="149"/>
      <c r="BE2288" s="149"/>
      <c r="BF2288" s="149"/>
      <c r="BG2288" s="149"/>
      <c r="BH2288" s="149"/>
      <c r="BI2288" s="149"/>
      <c r="BJ2288" s="149"/>
      <c r="BK2288" s="712"/>
      <c r="BL2288" s="712"/>
      <c r="BM2288" s="712"/>
      <c r="BN2288" s="712"/>
    </row>
    <row r="2289" spans="52:66">
      <c r="AZ2289" s="149"/>
      <c r="BA2289" s="149"/>
      <c r="BB2289" s="149"/>
      <c r="BC2289" s="149"/>
      <c r="BE2289" s="149"/>
      <c r="BF2289" s="149"/>
      <c r="BG2289" s="149"/>
      <c r="BH2289" s="149"/>
      <c r="BI2289" s="149"/>
      <c r="BJ2289" s="149"/>
      <c r="BK2289" s="712"/>
      <c r="BL2289" s="712"/>
      <c r="BM2289" s="712"/>
      <c r="BN2289" s="712"/>
    </row>
    <row r="2290" spans="52:66">
      <c r="AZ2290" s="149"/>
      <c r="BA2290" s="149"/>
      <c r="BB2290" s="149"/>
      <c r="BC2290" s="149"/>
      <c r="BE2290" s="149"/>
      <c r="BF2290" s="149"/>
      <c r="BG2290" s="149"/>
      <c r="BH2290" s="149"/>
      <c r="BI2290" s="149"/>
      <c r="BJ2290" s="149"/>
      <c r="BK2290" s="712"/>
      <c r="BL2290" s="712"/>
      <c r="BM2290" s="712"/>
      <c r="BN2290" s="712"/>
    </row>
    <row r="2291" spans="52:66">
      <c r="AZ2291" s="149"/>
      <c r="BA2291" s="149"/>
      <c r="BB2291" s="149"/>
      <c r="BC2291" s="149"/>
      <c r="BE2291" s="149"/>
      <c r="BF2291" s="149"/>
      <c r="BG2291" s="149"/>
      <c r="BH2291" s="149"/>
      <c r="BI2291" s="149"/>
      <c r="BJ2291" s="149"/>
      <c r="BK2291" s="712"/>
      <c r="BL2291" s="712"/>
      <c r="BM2291" s="712"/>
      <c r="BN2291" s="712"/>
    </row>
    <row r="2292" spans="52:66">
      <c r="AZ2292" s="149"/>
      <c r="BA2292" s="149"/>
      <c r="BB2292" s="149"/>
      <c r="BC2292" s="149"/>
      <c r="BE2292" s="149"/>
      <c r="BF2292" s="149"/>
      <c r="BG2292" s="149"/>
      <c r="BH2292" s="149"/>
      <c r="BI2292" s="149"/>
      <c r="BJ2292" s="149"/>
      <c r="BK2292" s="712"/>
      <c r="BL2292" s="712"/>
      <c r="BM2292" s="712"/>
      <c r="BN2292" s="712"/>
    </row>
    <row r="2293" spans="52:66">
      <c r="AZ2293" s="149"/>
      <c r="BA2293" s="149"/>
      <c r="BB2293" s="149"/>
      <c r="BC2293" s="149"/>
      <c r="BE2293" s="149"/>
      <c r="BF2293" s="149"/>
      <c r="BG2293" s="149"/>
      <c r="BH2293" s="149"/>
      <c r="BI2293" s="149"/>
      <c r="BJ2293" s="149"/>
      <c r="BK2293" s="712"/>
      <c r="BL2293" s="712"/>
      <c r="BM2293" s="712"/>
      <c r="BN2293" s="712"/>
    </row>
    <row r="2294" spans="52:66">
      <c r="AZ2294" s="149"/>
      <c r="BA2294" s="149"/>
      <c r="BB2294" s="149"/>
      <c r="BC2294" s="149"/>
      <c r="BE2294" s="149"/>
      <c r="BF2294" s="149"/>
      <c r="BG2294" s="149"/>
      <c r="BH2294" s="149"/>
      <c r="BI2294" s="149"/>
      <c r="BJ2294" s="149"/>
      <c r="BK2294" s="712"/>
      <c r="BL2294" s="712"/>
      <c r="BM2294" s="712"/>
      <c r="BN2294" s="712"/>
    </row>
    <row r="2295" spans="52:66">
      <c r="AZ2295" s="149"/>
      <c r="BA2295" s="149"/>
      <c r="BB2295" s="149"/>
      <c r="BC2295" s="149"/>
      <c r="BE2295" s="149"/>
      <c r="BF2295" s="149"/>
      <c r="BG2295" s="149"/>
      <c r="BH2295" s="149"/>
      <c r="BI2295" s="149"/>
      <c r="BJ2295" s="149"/>
      <c r="BK2295" s="712"/>
      <c r="BL2295" s="712"/>
      <c r="BM2295" s="712"/>
      <c r="BN2295" s="712"/>
    </row>
    <row r="2296" spans="52:66">
      <c r="AZ2296" s="149"/>
      <c r="BA2296" s="149"/>
      <c r="BB2296" s="149"/>
      <c r="BC2296" s="149"/>
      <c r="BE2296" s="149"/>
      <c r="BF2296" s="149"/>
      <c r="BG2296" s="149"/>
      <c r="BH2296" s="149"/>
      <c r="BI2296" s="149"/>
      <c r="BJ2296" s="149"/>
      <c r="BK2296" s="712"/>
      <c r="BL2296" s="712"/>
      <c r="BM2296" s="712"/>
      <c r="BN2296" s="712"/>
    </row>
    <row r="2297" spans="52:66">
      <c r="AZ2297" s="149"/>
      <c r="BA2297" s="149"/>
      <c r="BB2297" s="149"/>
      <c r="BC2297" s="149"/>
      <c r="BE2297" s="149"/>
      <c r="BF2297" s="149"/>
      <c r="BG2297" s="149"/>
      <c r="BH2297" s="149"/>
      <c r="BI2297" s="149"/>
      <c r="BJ2297" s="149"/>
      <c r="BK2297" s="712"/>
      <c r="BL2297" s="712"/>
      <c r="BM2297" s="712"/>
      <c r="BN2297" s="712"/>
    </row>
    <row r="2298" spans="52:66">
      <c r="AZ2298" s="149"/>
      <c r="BA2298" s="149"/>
      <c r="BB2298" s="149"/>
      <c r="BC2298" s="149"/>
      <c r="BE2298" s="149"/>
      <c r="BF2298" s="149"/>
      <c r="BG2298" s="149"/>
      <c r="BH2298" s="149"/>
      <c r="BI2298" s="149"/>
      <c r="BJ2298" s="149"/>
      <c r="BK2298" s="712"/>
      <c r="BL2298" s="712"/>
      <c r="BM2298" s="712"/>
      <c r="BN2298" s="712"/>
    </row>
    <row r="2299" spans="52:66">
      <c r="AZ2299" s="149"/>
      <c r="BA2299" s="149"/>
      <c r="BB2299" s="149"/>
      <c r="BC2299" s="149"/>
      <c r="BE2299" s="149"/>
      <c r="BF2299" s="149"/>
      <c r="BG2299" s="149"/>
      <c r="BH2299" s="149"/>
      <c r="BI2299" s="149"/>
      <c r="BJ2299" s="149"/>
      <c r="BK2299" s="712"/>
      <c r="BL2299" s="712"/>
      <c r="BM2299" s="712"/>
      <c r="BN2299" s="712"/>
    </row>
    <row r="2300" spans="52:66">
      <c r="AZ2300" s="149"/>
      <c r="BA2300" s="149"/>
      <c r="BB2300" s="149"/>
      <c r="BC2300" s="149"/>
      <c r="BE2300" s="149"/>
      <c r="BF2300" s="149"/>
      <c r="BG2300" s="149"/>
      <c r="BH2300" s="149"/>
      <c r="BI2300" s="149"/>
      <c r="BJ2300" s="149"/>
      <c r="BK2300" s="712"/>
      <c r="BL2300" s="712"/>
      <c r="BM2300" s="712"/>
      <c r="BN2300" s="712"/>
    </row>
    <row r="2301" spans="52:66">
      <c r="AZ2301" s="149"/>
      <c r="BA2301" s="149"/>
      <c r="BB2301" s="149"/>
      <c r="BC2301" s="149"/>
      <c r="BE2301" s="149"/>
      <c r="BF2301" s="149"/>
      <c r="BG2301" s="149"/>
      <c r="BH2301" s="149"/>
      <c r="BI2301" s="149"/>
      <c r="BJ2301" s="149"/>
      <c r="BK2301" s="712"/>
      <c r="BL2301" s="712"/>
      <c r="BM2301" s="712"/>
      <c r="BN2301" s="712"/>
    </row>
    <row r="2302" spans="52:66">
      <c r="AZ2302" s="149"/>
      <c r="BA2302" s="149"/>
      <c r="BB2302" s="149"/>
      <c r="BC2302" s="149"/>
      <c r="BE2302" s="149"/>
      <c r="BF2302" s="149"/>
      <c r="BG2302" s="149"/>
      <c r="BH2302" s="149"/>
      <c r="BI2302" s="149"/>
      <c r="BJ2302" s="149"/>
      <c r="BK2302" s="712"/>
      <c r="BL2302" s="712"/>
      <c r="BM2302" s="712"/>
      <c r="BN2302" s="712"/>
    </row>
    <row r="2303" spans="52:66">
      <c r="AZ2303" s="149"/>
      <c r="BA2303" s="149"/>
      <c r="BB2303" s="149"/>
      <c r="BC2303" s="149"/>
      <c r="BE2303" s="149"/>
      <c r="BF2303" s="149"/>
      <c r="BG2303" s="149"/>
      <c r="BH2303" s="149"/>
      <c r="BI2303" s="149"/>
      <c r="BJ2303" s="149"/>
      <c r="BK2303" s="712"/>
      <c r="BL2303" s="712"/>
      <c r="BM2303" s="712"/>
      <c r="BN2303" s="712"/>
    </row>
    <row r="2304" spans="52:66">
      <c r="AZ2304" s="149"/>
      <c r="BA2304" s="149"/>
      <c r="BB2304" s="149"/>
      <c r="BC2304" s="149"/>
      <c r="BE2304" s="149"/>
      <c r="BF2304" s="149"/>
      <c r="BG2304" s="149"/>
      <c r="BH2304" s="149"/>
      <c r="BI2304" s="149"/>
      <c r="BJ2304" s="149"/>
      <c r="BK2304" s="712"/>
      <c r="BL2304" s="712"/>
      <c r="BM2304" s="712"/>
      <c r="BN2304" s="712"/>
    </row>
    <row r="2305" spans="52:66">
      <c r="AZ2305" s="149"/>
      <c r="BA2305" s="149"/>
      <c r="BB2305" s="149"/>
      <c r="BC2305" s="149"/>
      <c r="BE2305" s="149"/>
      <c r="BF2305" s="149"/>
      <c r="BG2305" s="149"/>
      <c r="BH2305" s="149"/>
      <c r="BI2305" s="149"/>
      <c r="BJ2305" s="149"/>
      <c r="BK2305" s="712"/>
      <c r="BL2305" s="712"/>
      <c r="BM2305" s="712"/>
      <c r="BN2305" s="712"/>
    </row>
    <row r="2306" spans="52:66">
      <c r="AZ2306" s="149"/>
      <c r="BA2306" s="149"/>
      <c r="BB2306" s="149"/>
      <c r="BC2306" s="149"/>
      <c r="BE2306" s="149"/>
      <c r="BF2306" s="149"/>
      <c r="BG2306" s="149"/>
      <c r="BH2306" s="149"/>
      <c r="BI2306" s="149"/>
      <c r="BJ2306" s="149"/>
      <c r="BK2306" s="712"/>
      <c r="BL2306" s="712"/>
      <c r="BM2306" s="712"/>
      <c r="BN2306" s="712"/>
    </row>
    <row r="2307" spans="52:66">
      <c r="AZ2307" s="149"/>
      <c r="BA2307" s="149"/>
      <c r="BB2307" s="149"/>
      <c r="BC2307" s="149"/>
      <c r="BE2307" s="149"/>
      <c r="BF2307" s="149"/>
      <c r="BG2307" s="149"/>
      <c r="BH2307" s="149"/>
      <c r="BI2307" s="149"/>
      <c r="BJ2307" s="149"/>
      <c r="BK2307" s="712"/>
      <c r="BL2307" s="712"/>
      <c r="BM2307" s="712"/>
      <c r="BN2307" s="712"/>
    </row>
    <row r="2308" spans="52:66">
      <c r="AZ2308" s="149"/>
      <c r="BA2308" s="149"/>
      <c r="BB2308" s="149"/>
      <c r="BC2308" s="149"/>
      <c r="BE2308" s="149"/>
      <c r="BF2308" s="149"/>
      <c r="BG2308" s="149"/>
      <c r="BH2308" s="149"/>
      <c r="BI2308" s="149"/>
      <c r="BJ2308" s="149"/>
      <c r="BK2308" s="712"/>
      <c r="BL2308" s="712"/>
      <c r="BM2308" s="712"/>
      <c r="BN2308" s="712"/>
    </row>
    <row r="2309" spans="52:66">
      <c r="AZ2309" s="149"/>
      <c r="BA2309" s="149"/>
      <c r="BB2309" s="149"/>
      <c r="BC2309" s="149"/>
      <c r="BE2309" s="149"/>
      <c r="BF2309" s="149"/>
      <c r="BG2309" s="149"/>
      <c r="BH2309" s="149"/>
      <c r="BI2309" s="149"/>
      <c r="BJ2309" s="149"/>
      <c r="BK2309" s="712"/>
      <c r="BL2309" s="712"/>
      <c r="BM2309" s="712"/>
      <c r="BN2309" s="712"/>
    </row>
    <row r="2310" spans="52:66">
      <c r="AZ2310" s="149"/>
      <c r="BA2310" s="149"/>
      <c r="BB2310" s="149"/>
      <c r="BC2310" s="149"/>
      <c r="BE2310" s="149"/>
      <c r="BF2310" s="149"/>
      <c r="BG2310" s="149"/>
      <c r="BH2310" s="149"/>
      <c r="BI2310" s="149"/>
      <c r="BJ2310" s="149"/>
      <c r="BK2310" s="712"/>
      <c r="BL2310" s="712"/>
      <c r="BM2310" s="712"/>
      <c r="BN2310" s="712"/>
    </row>
    <row r="2311" spans="52:66">
      <c r="AZ2311" s="149"/>
      <c r="BA2311" s="149"/>
      <c r="BB2311" s="149"/>
      <c r="BC2311" s="149"/>
      <c r="BE2311" s="149"/>
      <c r="BF2311" s="149"/>
      <c r="BG2311" s="149"/>
      <c r="BH2311" s="149"/>
      <c r="BI2311" s="149"/>
      <c r="BJ2311" s="149"/>
      <c r="BK2311" s="712"/>
      <c r="BL2311" s="712"/>
      <c r="BM2311" s="712"/>
      <c r="BN2311" s="712"/>
    </row>
    <row r="2312" spans="52:66">
      <c r="AZ2312" s="149"/>
      <c r="BA2312" s="149"/>
      <c r="BB2312" s="149"/>
      <c r="BC2312" s="149"/>
      <c r="BE2312" s="149"/>
      <c r="BF2312" s="149"/>
      <c r="BG2312" s="149"/>
      <c r="BH2312" s="149"/>
      <c r="BI2312" s="149"/>
      <c r="BJ2312" s="149"/>
      <c r="BK2312" s="712"/>
      <c r="BL2312" s="712"/>
      <c r="BM2312" s="712"/>
      <c r="BN2312" s="712"/>
    </row>
    <row r="2313" spans="52:66">
      <c r="AZ2313" s="149"/>
      <c r="BA2313" s="149"/>
      <c r="BB2313" s="149"/>
      <c r="BC2313" s="149"/>
      <c r="BE2313" s="149"/>
      <c r="BF2313" s="149"/>
      <c r="BG2313" s="149"/>
      <c r="BH2313" s="149"/>
      <c r="BI2313" s="149"/>
      <c r="BJ2313" s="149"/>
      <c r="BK2313" s="712"/>
      <c r="BL2313" s="712"/>
      <c r="BM2313" s="712"/>
      <c r="BN2313" s="712"/>
    </row>
    <row r="2314" spans="52:66">
      <c r="AZ2314" s="149"/>
      <c r="BA2314" s="149"/>
      <c r="BB2314" s="149"/>
      <c r="BC2314" s="149"/>
      <c r="BE2314" s="149"/>
      <c r="BF2314" s="149"/>
      <c r="BG2314" s="149"/>
      <c r="BH2314" s="149"/>
      <c r="BI2314" s="149"/>
      <c r="BJ2314" s="149"/>
      <c r="BK2314" s="712"/>
      <c r="BL2314" s="712"/>
      <c r="BM2314" s="712"/>
      <c r="BN2314" s="712"/>
    </row>
    <row r="2315" spans="52:66">
      <c r="AZ2315" s="149"/>
      <c r="BA2315" s="149"/>
      <c r="BB2315" s="149"/>
      <c r="BC2315" s="149"/>
      <c r="BE2315" s="149"/>
      <c r="BF2315" s="149"/>
      <c r="BG2315" s="149"/>
      <c r="BH2315" s="149"/>
      <c r="BI2315" s="149"/>
      <c r="BJ2315" s="149"/>
      <c r="BK2315" s="712"/>
      <c r="BL2315" s="712"/>
      <c r="BM2315" s="712"/>
      <c r="BN2315" s="712"/>
    </row>
    <row r="2316" spans="52:66">
      <c r="AZ2316" s="149"/>
      <c r="BA2316" s="149"/>
      <c r="BB2316" s="149"/>
      <c r="BC2316" s="149"/>
      <c r="BE2316" s="149"/>
      <c r="BF2316" s="149"/>
      <c r="BG2316" s="149"/>
      <c r="BH2316" s="149"/>
      <c r="BI2316" s="149"/>
      <c r="BJ2316" s="149"/>
      <c r="BK2316" s="712"/>
      <c r="BL2316" s="712"/>
      <c r="BM2316" s="712"/>
      <c r="BN2316" s="712"/>
    </row>
    <row r="2317" spans="52:66">
      <c r="AZ2317" s="149"/>
      <c r="BA2317" s="149"/>
      <c r="BB2317" s="149"/>
      <c r="BC2317" s="149"/>
      <c r="BE2317" s="149"/>
      <c r="BF2317" s="149"/>
      <c r="BG2317" s="149"/>
      <c r="BH2317" s="149"/>
      <c r="BI2317" s="149"/>
      <c r="BJ2317" s="149"/>
      <c r="BK2317" s="712"/>
      <c r="BL2317" s="712"/>
      <c r="BM2317" s="712"/>
      <c r="BN2317" s="712"/>
    </row>
    <row r="2318" spans="52:66">
      <c r="AZ2318" s="149"/>
      <c r="BA2318" s="149"/>
      <c r="BB2318" s="149"/>
      <c r="BC2318" s="149"/>
      <c r="BE2318" s="149"/>
      <c r="BF2318" s="149"/>
      <c r="BG2318" s="149"/>
      <c r="BH2318" s="149"/>
      <c r="BI2318" s="149"/>
      <c r="BJ2318" s="149"/>
      <c r="BK2318" s="712"/>
      <c r="BL2318" s="712"/>
      <c r="BM2318" s="712"/>
      <c r="BN2318" s="712"/>
    </row>
    <row r="2319" spans="52:66">
      <c r="AZ2319" s="149"/>
      <c r="BA2319" s="149"/>
      <c r="BB2319" s="149"/>
      <c r="BC2319" s="149"/>
      <c r="BE2319" s="149"/>
      <c r="BF2319" s="149"/>
      <c r="BG2319" s="149"/>
      <c r="BH2319" s="149"/>
      <c r="BI2319" s="149"/>
      <c r="BJ2319" s="149"/>
      <c r="BK2319" s="712"/>
      <c r="BL2319" s="712"/>
      <c r="BM2319" s="712"/>
      <c r="BN2319" s="712"/>
    </row>
    <row r="2320" spans="52:66">
      <c r="AZ2320" s="149"/>
      <c r="BA2320" s="149"/>
      <c r="BB2320" s="149"/>
      <c r="BC2320" s="149"/>
      <c r="BE2320" s="149"/>
      <c r="BF2320" s="149"/>
      <c r="BG2320" s="149"/>
      <c r="BH2320" s="149"/>
      <c r="BI2320" s="149"/>
      <c r="BJ2320" s="149"/>
      <c r="BK2320" s="712"/>
      <c r="BL2320" s="712"/>
      <c r="BM2320" s="712"/>
      <c r="BN2320" s="712"/>
    </row>
    <row r="2321" spans="52:66">
      <c r="AZ2321" s="149"/>
      <c r="BA2321" s="149"/>
      <c r="BB2321" s="149"/>
      <c r="BC2321" s="149"/>
      <c r="BE2321" s="149"/>
      <c r="BF2321" s="149"/>
      <c r="BG2321" s="149"/>
      <c r="BH2321" s="149"/>
      <c r="BI2321" s="149"/>
      <c r="BJ2321" s="149"/>
      <c r="BK2321" s="712"/>
      <c r="BL2321" s="712"/>
      <c r="BM2321" s="712"/>
      <c r="BN2321" s="712"/>
    </row>
    <row r="2322" spans="52:66">
      <c r="AZ2322" s="149"/>
      <c r="BA2322" s="149"/>
      <c r="BB2322" s="149"/>
      <c r="BC2322" s="149"/>
      <c r="BE2322" s="149"/>
      <c r="BF2322" s="149"/>
      <c r="BG2322" s="149"/>
      <c r="BH2322" s="149"/>
      <c r="BI2322" s="149"/>
      <c r="BJ2322" s="149"/>
      <c r="BK2322" s="712"/>
      <c r="BL2322" s="712"/>
      <c r="BM2322" s="712"/>
      <c r="BN2322" s="712"/>
    </row>
    <row r="2323" spans="52:66">
      <c r="AZ2323" s="149"/>
      <c r="BA2323" s="149"/>
      <c r="BB2323" s="149"/>
      <c r="BC2323" s="149"/>
      <c r="BE2323" s="149"/>
      <c r="BF2323" s="149"/>
      <c r="BG2323" s="149"/>
      <c r="BH2323" s="149"/>
      <c r="BI2323" s="149"/>
      <c r="BJ2323" s="149"/>
      <c r="BK2323" s="712"/>
      <c r="BL2323" s="712"/>
      <c r="BM2323" s="712"/>
      <c r="BN2323" s="712"/>
    </row>
    <row r="2324" spans="52:66">
      <c r="AZ2324" s="149"/>
      <c r="BA2324" s="149"/>
      <c r="BB2324" s="149"/>
      <c r="BC2324" s="149"/>
      <c r="BE2324" s="149"/>
      <c r="BF2324" s="149"/>
      <c r="BG2324" s="149"/>
      <c r="BH2324" s="149"/>
      <c r="BI2324" s="149"/>
      <c r="BJ2324" s="149"/>
      <c r="BK2324" s="712"/>
      <c r="BL2324" s="712"/>
      <c r="BM2324" s="712"/>
      <c r="BN2324" s="712"/>
    </row>
    <row r="2325" spans="52:66">
      <c r="AZ2325" s="149"/>
      <c r="BA2325" s="149"/>
      <c r="BB2325" s="149"/>
      <c r="BC2325" s="149"/>
      <c r="BE2325" s="149"/>
      <c r="BF2325" s="149"/>
      <c r="BG2325" s="149"/>
      <c r="BH2325" s="149"/>
      <c r="BI2325" s="149"/>
      <c r="BJ2325" s="149"/>
      <c r="BK2325" s="712"/>
      <c r="BL2325" s="712"/>
      <c r="BM2325" s="712"/>
      <c r="BN2325" s="712"/>
    </row>
    <row r="2326" spans="52:66">
      <c r="AZ2326" s="149"/>
      <c r="BA2326" s="149"/>
      <c r="BB2326" s="149"/>
      <c r="BC2326" s="149"/>
      <c r="BE2326" s="149"/>
      <c r="BF2326" s="149"/>
      <c r="BG2326" s="149"/>
      <c r="BH2326" s="149"/>
      <c r="BI2326" s="149"/>
      <c r="BJ2326" s="149"/>
      <c r="BK2326" s="712"/>
      <c r="BL2326" s="712"/>
      <c r="BM2326" s="712"/>
      <c r="BN2326" s="712"/>
    </row>
    <row r="2327" spans="52:66">
      <c r="AZ2327" s="149"/>
      <c r="BA2327" s="149"/>
      <c r="BB2327" s="149"/>
      <c r="BC2327" s="149"/>
      <c r="BE2327" s="149"/>
      <c r="BF2327" s="149"/>
      <c r="BG2327" s="149"/>
      <c r="BH2327" s="149"/>
      <c r="BI2327" s="149"/>
      <c r="BJ2327" s="149"/>
      <c r="BK2327" s="712"/>
      <c r="BL2327" s="712"/>
      <c r="BM2327" s="712"/>
      <c r="BN2327" s="712"/>
    </row>
    <row r="2328" spans="52:66">
      <c r="AZ2328" s="149"/>
      <c r="BA2328" s="149"/>
      <c r="BB2328" s="149"/>
      <c r="BC2328" s="149"/>
      <c r="BE2328" s="149"/>
      <c r="BF2328" s="149"/>
      <c r="BG2328" s="149"/>
      <c r="BH2328" s="149"/>
      <c r="BI2328" s="149"/>
      <c r="BJ2328" s="149"/>
      <c r="BK2328" s="712"/>
      <c r="BL2328" s="712"/>
      <c r="BM2328" s="712"/>
      <c r="BN2328" s="712"/>
    </row>
    <row r="2329" spans="52:66">
      <c r="AZ2329" s="149"/>
      <c r="BA2329" s="149"/>
      <c r="BB2329" s="149"/>
      <c r="BC2329" s="149"/>
      <c r="BE2329" s="149"/>
      <c r="BF2329" s="149"/>
      <c r="BG2329" s="149"/>
      <c r="BH2329" s="149"/>
      <c r="BI2329" s="149"/>
      <c r="BJ2329" s="149"/>
      <c r="BK2329" s="712"/>
      <c r="BL2329" s="712"/>
      <c r="BM2329" s="712"/>
      <c r="BN2329" s="712"/>
    </row>
    <row r="2330" spans="52:66">
      <c r="AZ2330" s="149"/>
      <c r="BA2330" s="149"/>
      <c r="BB2330" s="149"/>
      <c r="BC2330" s="149"/>
      <c r="BE2330" s="149"/>
      <c r="BF2330" s="149"/>
      <c r="BG2330" s="149"/>
      <c r="BH2330" s="149"/>
      <c r="BI2330" s="149"/>
      <c r="BJ2330" s="149"/>
      <c r="BK2330" s="712"/>
      <c r="BL2330" s="712"/>
      <c r="BM2330" s="712"/>
      <c r="BN2330" s="712"/>
    </row>
    <row r="2331" spans="52:66">
      <c r="AZ2331" s="149"/>
      <c r="BA2331" s="149"/>
      <c r="BB2331" s="149"/>
      <c r="BC2331" s="149"/>
      <c r="BE2331" s="149"/>
      <c r="BF2331" s="149"/>
      <c r="BG2331" s="149"/>
      <c r="BH2331" s="149"/>
      <c r="BI2331" s="149"/>
      <c r="BJ2331" s="149"/>
      <c r="BK2331" s="712"/>
      <c r="BL2331" s="712"/>
      <c r="BM2331" s="712"/>
      <c r="BN2331" s="712"/>
    </row>
    <row r="2332" spans="52:66">
      <c r="AZ2332" s="149"/>
      <c r="BA2332" s="149"/>
      <c r="BB2332" s="149"/>
      <c r="BC2332" s="149"/>
      <c r="BE2332" s="149"/>
      <c r="BF2332" s="149"/>
      <c r="BG2332" s="149"/>
      <c r="BH2332" s="149"/>
      <c r="BI2332" s="149"/>
      <c r="BJ2332" s="149"/>
      <c r="BK2332" s="712"/>
      <c r="BL2332" s="712"/>
      <c r="BM2332" s="712"/>
      <c r="BN2332" s="712"/>
    </row>
    <row r="2333" spans="52:66">
      <c r="AZ2333" s="149"/>
      <c r="BA2333" s="149"/>
      <c r="BB2333" s="149"/>
      <c r="BC2333" s="149"/>
      <c r="BE2333" s="149"/>
      <c r="BF2333" s="149"/>
      <c r="BG2333" s="149"/>
      <c r="BH2333" s="149"/>
      <c r="BI2333" s="149"/>
      <c r="BJ2333" s="149"/>
      <c r="BK2333" s="712"/>
      <c r="BL2333" s="712"/>
      <c r="BM2333" s="712"/>
      <c r="BN2333" s="712"/>
    </row>
    <row r="2334" spans="52:66">
      <c r="AZ2334" s="149"/>
      <c r="BA2334" s="149"/>
      <c r="BB2334" s="149"/>
      <c r="BC2334" s="149"/>
      <c r="BE2334" s="149"/>
      <c r="BF2334" s="149"/>
      <c r="BG2334" s="149"/>
      <c r="BH2334" s="149"/>
      <c r="BI2334" s="149"/>
      <c r="BJ2334" s="149"/>
      <c r="BK2334" s="712"/>
      <c r="BL2334" s="712"/>
      <c r="BM2334" s="712"/>
      <c r="BN2334" s="712"/>
    </row>
    <row r="2335" spans="52:66">
      <c r="AZ2335" s="149"/>
      <c r="BA2335" s="149"/>
      <c r="BB2335" s="149"/>
      <c r="BC2335" s="149"/>
      <c r="BE2335" s="149"/>
      <c r="BF2335" s="149"/>
      <c r="BG2335" s="149"/>
      <c r="BH2335" s="149"/>
      <c r="BI2335" s="149"/>
      <c r="BJ2335" s="149"/>
      <c r="BK2335" s="712"/>
      <c r="BL2335" s="712"/>
      <c r="BM2335" s="712"/>
      <c r="BN2335" s="712"/>
    </row>
    <row r="2336" spans="52:66">
      <c r="AZ2336" s="149"/>
      <c r="BA2336" s="149"/>
      <c r="BB2336" s="149"/>
      <c r="BC2336" s="149"/>
      <c r="BE2336" s="149"/>
      <c r="BF2336" s="149"/>
      <c r="BG2336" s="149"/>
      <c r="BH2336" s="149"/>
      <c r="BI2336" s="149"/>
      <c r="BJ2336" s="149"/>
      <c r="BK2336" s="712"/>
      <c r="BL2336" s="712"/>
      <c r="BM2336" s="712"/>
      <c r="BN2336" s="712"/>
    </row>
    <row r="2337" spans="52:66">
      <c r="AZ2337" s="149"/>
      <c r="BA2337" s="149"/>
      <c r="BB2337" s="149"/>
      <c r="BC2337" s="149"/>
      <c r="BE2337" s="149"/>
      <c r="BF2337" s="149"/>
      <c r="BG2337" s="149"/>
      <c r="BH2337" s="149"/>
      <c r="BI2337" s="149"/>
      <c r="BJ2337" s="149"/>
      <c r="BK2337" s="712"/>
      <c r="BL2337" s="712"/>
      <c r="BM2337" s="712"/>
      <c r="BN2337" s="712"/>
    </row>
    <row r="2338" spans="52:66">
      <c r="AZ2338" s="149"/>
      <c r="BA2338" s="149"/>
      <c r="BB2338" s="149"/>
      <c r="BC2338" s="149"/>
      <c r="BE2338" s="149"/>
      <c r="BF2338" s="149"/>
      <c r="BG2338" s="149"/>
      <c r="BH2338" s="149"/>
      <c r="BI2338" s="149"/>
      <c r="BJ2338" s="149"/>
      <c r="BK2338" s="712"/>
      <c r="BL2338" s="712"/>
      <c r="BM2338" s="712"/>
      <c r="BN2338" s="712"/>
    </row>
    <row r="2339" spans="52:66">
      <c r="AZ2339" s="149"/>
      <c r="BA2339" s="149"/>
      <c r="BB2339" s="149"/>
      <c r="BC2339" s="149"/>
      <c r="BE2339" s="149"/>
      <c r="BF2339" s="149"/>
      <c r="BG2339" s="149"/>
      <c r="BH2339" s="149"/>
      <c r="BI2339" s="149"/>
      <c r="BJ2339" s="149"/>
      <c r="BK2339" s="712"/>
      <c r="BL2339" s="712"/>
      <c r="BM2339" s="712"/>
      <c r="BN2339" s="712"/>
    </row>
    <row r="2340" spans="52:66">
      <c r="AZ2340" s="149"/>
      <c r="BA2340" s="149"/>
      <c r="BB2340" s="149"/>
      <c r="BC2340" s="149"/>
      <c r="BE2340" s="149"/>
      <c r="BF2340" s="149"/>
      <c r="BG2340" s="149"/>
      <c r="BH2340" s="149"/>
      <c r="BI2340" s="149"/>
      <c r="BJ2340" s="149"/>
      <c r="BK2340" s="712"/>
      <c r="BL2340" s="712"/>
      <c r="BM2340" s="712"/>
      <c r="BN2340" s="712"/>
    </row>
    <row r="2341" spans="52:66">
      <c r="AZ2341" s="149"/>
      <c r="BA2341" s="149"/>
      <c r="BB2341" s="149"/>
      <c r="BC2341" s="149"/>
      <c r="BE2341" s="149"/>
      <c r="BF2341" s="149"/>
      <c r="BG2341" s="149"/>
      <c r="BH2341" s="149"/>
      <c r="BI2341" s="149"/>
      <c r="BJ2341" s="149"/>
      <c r="BK2341" s="712"/>
      <c r="BL2341" s="712"/>
      <c r="BM2341" s="712"/>
      <c r="BN2341" s="712"/>
    </row>
    <row r="2342" spans="52:66">
      <c r="AZ2342" s="149"/>
      <c r="BA2342" s="149"/>
      <c r="BB2342" s="149"/>
      <c r="BC2342" s="149"/>
      <c r="BE2342" s="149"/>
      <c r="BF2342" s="149"/>
      <c r="BG2342" s="149"/>
      <c r="BH2342" s="149"/>
      <c r="BI2342" s="149"/>
      <c r="BJ2342" s="149"/>
      <c r="BK2342" s="712"/>
      <c r="BL2342" s="712"/>
      <c r="BM2342" s="712"/>
      <c r="BN2342" s="712"/>
    </row>
    <row r="2343" spans="52:66">
      <c r="AZ2343" s="149"/>
      <c r="BA2343" s="149"/>
      <c r="BB2343" s="149"/>
      <c r="BC2343" s="149"/>
      <c r="BE2343" s="149"/>
      <c r="BF2343" s="149"/>
      <c r="BG2343" s="149"/>
      <c r="BH2343" s="149"/>
      <c r="BI2343" s="149"/>
      <c r="BJ2343" s="149"/>
      <c r="BK2343" s="712"/>
      <c r="BL2343" s="712"/>
      <c r="BM2343" s="712"/>
      <c r="BN2343" s="712"/>
    </row>
    <row r="2344" spans="52:66">
      <c r="AZ2344" s="149"/>
      <c r="BA2344" s="149"/>
      <c r="BB2344" s="149"/>
      <c r="BC2344" s="149"/>
      <c r="BE2344" s="149"/>
      <c r="BF2344" s="149"/>
      <c r="BG2344" s="149"/>
      <c r="BH2344" s="149"/>
      <c r="BI2344" s="149"/>
      <c r="BJ2344" s="149"/>
      <c r="BK2344" s="712"/>
      <c r="BL2344" s="712"/>
      <c r="BM2344" s="712"/>
      <c r="BN2344" s="712"/>
    </row>
    <row r="2345" spans="52:66">
      <c r="AZ2345" s="149"/>
      <c r="BA2345" s="149"/>
      <c r="BB2345" s="149"/>
      <c r="BC2345" s="149"/>
      <c r="BE2345" s="149"/>
      <c r="BF2345" s="149"/>
      <c r="BG2345" s="149"/>
      <c r="BH2345" s="149"/>
      <c r="BI2345" s="149"/>
      <c r="BJ2345" s="149"/>
      <c r="BK2345" s="712"/>
      <c r="BL2345" s="712"/>
      <c r="BM2345" s="712"/>
      <c r="BN2345" s="712"/>
    </row>
    <row r="2346" spans="52:66">
      <c r="AZ2346" s="149"/>
      <c r="BA2346" s="149"/>
      <c r="BB2346" s="149"/>
      <c r="BC2346" s="149"/>
      <c r="BE2346" s="149"/>
      <c r="BF2346" s="149"/>
      <c r="BG2346" s="149"/>
      <c r="BH2346" s="149"/>
      <c r="BI2346" s="149"/>
      <c r="BJ2346" s="149"/>
      <c r="BK2346" s="712"/>
      <c r="BL2346" s="712"/>
      <c r="BM2346" s="712"/>
      <c r="BN2346" s="712"/>
    </row>
    <row r="2347" spans="52:66">
      <c r="AZ2347" s="149"/>
      <c r="BA2347" s="149"/>
      <c r="BB2347" s="149"/>
      <c r="BC2347" s="149"/>
      <c r="BE2347" s="149"/>
      <c r="BF2347" s="149"/>
      <c r="BG2347" s="149"/>
      <c r="BH2347" s="149"/>
      <c r="BI2347" s="149"/>
      <c r="BJ2347" s="149"/>
      <c r="BK2347" s="712"/>
      <c r="BL2347" s="712"/>
      <c r="BM2347" s="712"/>
      <c r="BN2347" s="712"/>
    </row>
    <row r="2348" spans="52:66">
      <c r="AZ2348" s="149"/>
      <c r="BA2348" s="149"/>
      <c r="BB2348" s="149"/>
      <c r="BC2348" s="149"/>
      <c r="BE2348" s="149"/>
      <c r="BF2348" s="149"/>
      <c r="BG2348" s="149"/>
      <c r="BH2348" s="149"/>
      <c r="BI2348" s="149"/>
      <c r="BJ2348" s="149"/>
      <c r="BK2348" s="712"/>
      <c r="BL2348" s="712"/>
      <c r="BM2348" s="712"/>
      <c r="BN2348" s="712"/>
    </row>
    <row r="2349" spans="52:66">
      <c r="AZ2349" s="149"/>
      <c r="BA2349" s="149"/>
      <c r="BB2349" s="149"/>
      <c r="BC2349" s="149"/>
      <c r="BE2349" s="149"/>
      <c r="BF2349" s="149"/>
      <c r="BG2349" s="149"/>
      <c r="BH2349" s="149"/>
      <c r="BI2349" s="149"/>
      <c r="BJ2349" s="149"/>
      <c r="BK2349" s="712"/>
      <c r="BL2349" s="712"/>
      <c r="BM2349" s="712"/>
      <c r="BN2349" s="712"/>
    </row>
    <row r="2350" spans="52:66">
      <c r="AZ2350" s="149"/>
      <c r="BA2350" s="149"/>
      <c r="BB2350" s="149"/>
      <c r="BC2350" s="149"/>
      <c r="BE2350" s="149"/>
      <c r="BF2350" s="149"/>
      <c r="BG2350" s="149"/>
      <c r="BH2350" s="149"/>
      <c r="BI2350" s="149"/>
      <c r="BJ2350" s="149"/>
      <c r="BK2350" s="712"/>
      <c r="BL2350" s="712"/>
      <c r="BM2350" s="712"/>
      <c r="BN2350" s="712"/>
    </row>
    <row r="2351" spans="52:66">
      <c r="AZ2351" s="149"/>
      <c r="BA2351" s="149"/>
      <c r="BB2351" s="149"/>
      <c r="BC2351" s="149"/>
      <c r="BE2351" s="149"/>
      <c r="BF2351" s="149"/>
      <c r="BG2351" s="149"/>
      <c r="BH2351" s="149"/>
      <c r="BI2351" s="149"/>
      <c r="BJ2351" s="149"/>
      <c r="BK2351" s="712"/>
      <c r="BL2351" s="712"/>
      <c r="BM2351" s="712"/>
      <c r="BN2351" s="712"/>
    </row>
    <row r="2352" spans="52:66">
      <c r="AZ2352" s="149"/>
      <c r="BA2352" s="149"/>
      <c r="BB2352" s="149"/>
      <c r="BC2352" s="149"/>
      <c r="BE2352" s="149"/>
      <c r="BF2352" s="149"/>
      <c r="BG2352" s="149"/>
      <c r="BH2352" s="149"/>
      <c r="BI2352" s="149"/>
      <c r="BJ2352" s="149"/>
      <c r="BK2352" s="712"/>
      <c r="BL2352" s="712"/>
      <c r="BM2352" s="712"/>
      <c r="BN2352" s="712"/>
    </row>
    <row r="2353" spans="52:66">
      <c r="AZ2353" s="149"/>
      <c r="BA2353" s="149"/>
      <c r="BB2353" s="149"/>
      <c r="BC2353" s="149"/>
      <c r="BE2353" s="149"/>
      <c r="BF2353" s="149"/>
      <c r="BG2353" s="149"/>
      <c r="BH2353" s="149"/>
      <c r="BI2353" s="149"/>
      <c r="BJ2353" s="149"/>
      <c r="BK2353" s="712"/>
      <c r="BL2353" s="712"/>
      <c r="BM2353" s="712"/>
      <c r="BN2353" s="712"/>
    </row>
    <row r="2354" spans="52:66">
      <c r="AZ2354" s="149"/>
      <c r="BA2354" s="149"/>
      <c r="BB2354" s="149"/>
      <c r="BC2354" s="149"/>
      <c r="BE2354" s="149"/>
      <c r="BF2354" s="149"/>
      <c r="BG2354" s="149"/>
      <c r="BH2354" s="149"/>
      <c r="BI2354" s="149"/>
      <c r="BJ2354" s="149"/>
      <c r="BK2354" s="712"/>
      <c r="BL2354" s="712"/>
      <c r="BM2354" s="712"/>
      <c r="BN2354" s="712"/>
    </row>
    <row r="2355" spans="52:66">
      <c r="AZ2355" s="149"/>
      <c r="BA2355" s="149"/>
      <c r="BB2355" s="149"/>
      <c r="BC2355" s="149"/>
      <c r="BE2355" s="149"/>
      <c r="BF2355" s="149"/>
      <c r="BG2355" s="149"/>
      <c r="BH2355" s="149"/>
      <c r="BI2355" s="149"/>
      <c r="BJ2355" s="149"/>
      <c r="BK2355" s="712"/>
      <c r="BL2355" s="712"/>
      <c r="BM2355" s="712"/>
      <c r="BN2355" s="712"/>
    </row>
    <row r="2356" spans="52:66">
      <c r="AZ2356" s="149"/>
      <c r="BA2356" s="149"/>
      <c r="BB2356" s="149"/>
      <c r="BC2356" s="149"/>
      <c r="BE2356" s="149"/>
      <c r="BF2356" s="149"/>
      <c r="BG2356" s="149"/>
      <c r="BH2356" s="149"/>
      <c r="BI2356" s="149"/>
      <c r="BJ2356" s="149"/>
      <c r="BK2356" s="712"/>
      <c r="BL2356" s="712"/>
      <c r="BM2356" s="712"/>
      <c r="BN2356" s="712"/>
    </row>
    <row r="2357" spans="52:66">
      <c r="AZ2357" s="149"/>
      <c r="BA2357" s="149"/>
      <c r="BB2357" s="149"/>
      <c r="BC2357" s="149"/>
      <c r="BE2357" s="149"/>
      <c r="BF2357" s="149"/>
      <c r="BG2357" s="149"/>
      <c r="BH2357" s="149"/>
      <c r="BI2357" s="149"/>
      <c r="BJ2357" s="149"/>
      <c r="BK2357" s="712"/>
      <c r="BL2357" s="712"/>
      <c r="BM2357" s="712"/>
      <c r="BN2357" s="712"/>
    </row>
    <row r="2358" spans="52:66">
      <c r="AZ2358" s="149"/>
      <c r="BA2358" s="149"/>
      <c r="BB2358" s="149"/>
      <c r="BC2358" s="149"/>
      <c r="BE2358" s="149"/>
      <c r="BF2358" s="149"/>
      <c r="BG2358" s="149"/>
      <c r="BH2358" s="149"/>
      <c r="BI2358" s="149"/>
      <c r="BJ2358" s="149"/>
      <c r="BK2358" s="712"/>
      <c r="BL2358" s="712"/>
      <c r="BM2358" s="712"/>
      <c r="BN2358" s="712"/>
    </row>
    <row r="2359" spans="52:66">
      <c r="AZ2359" s="149"/>
      <c r="BA2359" s="149"/>
      <c r="BB2359" s="149"/>
      <c r="BC2359" s="149"/>
      <c r="BE2359" s="149"/>
      <c r="BF2359" s="149"/>
      <c r="BG2359" s="149"/>
      <c r="BH2359" s="149"/>
      <c r="BI2359" s="149"/>
      <c r="BJ2359" s="149"/>
      <c r="BK2359" s="712"/>
      <c r="BL2359" s="712"/>
      <c r="BM2359" s="712"/>
      <c r="BN2359" s="712"/>
    </row>
    <row r="2360" spans="52:66">
      <c r="AZ2360" s="149"/>
      <c r="BA2360" s="149"/>
      <c r="BB2360" s="149"/>
      <c r="BC2360" s="149"/>
      <c r="BE2360" s="149"/>
      <c r="BF2360" s="149"/>
      <c r="BG2360" s="149"/>
      <c r="BH2360" s="149"/>
      <c r="BI2360" s="149"/>
      <c r="BJ2360" s="149"/>
      <c r="BK2360" s="712"/>
      <c r="BL2360" s="712"/>
      <c r="BM2360" s="712"/>
      <c r="BN2360" s="712"/>
    </row>
    <row r="2361" spans="52:66">
      <c r="AZ2361" s="149"/>
      <c r="BA2361" s="149"/>
      <c r="BB2361" s="149"/>
      <c r="BC2361" s="149"/>
      <c r="BE2361" s="149"/>
      <c r="BF2361" s="149"/>
      <c r="BG2361" s="149"/>
      <c r="BH2361" s="149"/>
      <c r="BI2361" s="149"/>
      <c r="BJ2361" s="149"/>
      <c r="BK2361" s="712"/>
      <c r="BL2361" s="712"/>
      <c r="BM2361" s="712"/>
      <c r="BN2361" s="712"/>
    </row>
    <row r="2362" spans="52:66">
      <c r="AZ2362" s="149"/>
      <c r="BA2362" s="149"/>
      <c r="BB2362" s="149"/>
      <c r="BC2362" s="149"/>
      <c r="BE2362" s="149"/>
      <c r="BF2362" s="149"/>
      <c r="BG2362" s="149"/>
      <c r="BH2362" s="149"/>
      <c r="BI2362" s="149"/>
      <c r="BJ2362" s="149"/>
      <c r="BK2362" s="712"/>
      <c r="BL2362" s="712"/>
      <c r="BM2362" s="712"/>
      <c r="BN2362" s="712"/>
    </row>
    <row r="2363" spans="52:66">
      <c r="AZ2363" s="149"/>
      <c r="BA2363" s="149"/>
      <c r="BB2363" s="149"/>
      <c r="BC2363" s="149"/>
      <c r="BE2363" s="149"/>
      <c r="BF2363" s="149"/>
      <c r="BG2363" s="149"/>
      <c r="BH2363" s="149"/>
      <c r="BI2363" s="149"/>
      <c r="BJ2363" s="149"/>
      <c r="BK2363" s="712"/>
      <c r="BL2363" s="712"/>
      <c r="BM2363" s="712"/>
      <c r="BN2363" s="712"/>
    </row>
    <row r="2364" spans="52:66">
      <c r="AZ2364" s="149"/>
      <c r="BA2364" s="149"/>
      <c r="BB2364" s="149"/>
      <c r="BC2364" s="149"/>
      <c r="BE2364" s="149"/>
      <c r="BF2364" s="149"/>
      <c r="BG2364" s="149"/>
      <c r="BH2364" s="149"/>
      <c r="BI2364" s="149"/>
      <c r="BJ2364" s="149"/>
      <c r="BK2364" s="712"/>
      <c r="BL2364" s="712"/>
      <c r="BM2364" s="712"/>
      <c r="BN2364" s="712"/>
    </row>
    <row r="2365" spans="52:66">
      <c r="AZ2365" s="149"/>
      <c r="BA2365" s="149"/>
      <c r="BB2365" s="149"/>
      <c r="BC2365" s="149"/>
      <c r="BE2365" s="149"/>
      <c r="BF2365" s="149"/>
      <c r="BG2365" s="149"/>
      <c r="BH2365" s="149"/>
      <c r="BI2365" s="149"/>
      <c r="BJ2365" s="149"/>
      <c r="BK2365" s="712"/>
      <c r="BL2365" s="712"/>
      <c r="BM2365" s="712"/>
      <c r="BN2365" s="712"/>
    </row>
    <row r="2366" spans="52:66">
      <c r="AZ2366" s="149"/>
      <c r="BA2366" s="149"/>
      <c r="BB2366" s="149"/>
      <c r="BC2366" s="149"/>
      <c r="BE2366" s="149"/>
      <c r="BF2366" s="149"/>
      <c r="BG2366" s="149"/>
      <c r="BH2366" s="149"/>
      <c r="BI2366" s="149"/>
      <c r="BJ2366" s="149"/>
      <c r="BK2366" s="712"/>
      <c r="BL2366" s="712"/>
      <c r="BM2366" s="712"/>
      <c r="BN2366" s="712"/>
    </row>
    <row r="2367" spans="52:66">
      <c r="AZ2367" s="149"/>
      <c r="BA2367" s="149"/>
      <c r="BB2367" s="149"/>
      <c r="BC2367" s="149"/>
      <c r="BE2367" s="149"/>
      <c r="BF2367" s="149"/>
      <c r="BG2367" s="149"/>
      <c r="BH2367" s="149"/>
      <c r="BI2367" s="149"/>
      <c r="BJ2367" s="149"/>
      <c r="BK2367" s="712"/>
      <c r="BL2367" s="712"/>
      <c r="BM2367" s="712"/>
      <c r="BN2367" s="712"/>
    </row>
    <row r="2368" spans="52:66">
      <c r="AZ2368" s="149"/>
      <c r="BA2368" s="149"/>
      <c r="BB2368" s="149"/>
      <c r="BC2368" s="149"/>
      <c r="BE2368" s="149"/>
      <c r="BF2368" s="149"/>
      <c r="BG2368" s="149"/>
      <c r="BH2368" s="149"/>
      <c r="BI2368" s="149"/>
      <c r="BJ2368" s="149"/>
      <c r="BK2368" s="712"/>
      <c r="BL2368" s="712"/>
      <c r="BM2368" s="712"/>
      <c r="BN2368" s="712"/>
    </row>
    <row r="2369" spans="52:66">
      <c r="AZ2369" s="149"/>
      <c r="BA2369" s="149"/>
      <c r="BB2369" s="149"/>
      <c r="BC2369" s="149"/>
      <c r="BE2369" s="149"/>
      <c r="BF2369" s="149"/>
      <c r="BG2369" s="149"/>
      <c r="BH2369" s="149"/>
      <c r="BI2369" s="149"/>
      <c r="BJ2369" s="149"/>
      <c r="BK2369" s="712"/>
      <c r="BL2369" s="712"/>
      <c r="BM2369" s="712"/>
      <c r="BN2369" s="712"/>
    </row>
    <row r="2370" spans="52:66">
      <c r="AZ2370" s="149"/>
      <c r="BA2370" s="149"/>
      <c r="BB2370" s="149"/>
      <c r="BC2370" s="149"/>
      <c r="BE2370" s="149"/>
      <c r="BF2370" s="149"/>
      <c r="BG2370" s="149"/>
      <c r="BH2370" s="149"/>
      <c r="BI2370" s="149"/>
      <c r="BJ2370" s="149"/>
      <c r="BK2370" s="712"/>
      <c r="BL2370" s="712"/>
      <c r="BM2370" s="712"/>
      <c r="BN2370" s="712"/>
    </row>
    <row r="2371" spans="52:66">
      <c r="AZ2371" s="149"/>
      <c r="BA2371" s="149"/>
      <c r="BB2371" s="149"/>
      <c r="BC2371" s="149"/>
      <c r="BE2371" s="149"/>
      <c r="BF2371" s="149"/>
      <c r="BG2371" s="149"/>
      <c r="BH2371" s="149"/>
      <c r="BI2371" s="149"/>
      <c r="BJ2371" s="149"/>
      <c r="BK2371" s="712"/>
      <c r="BL2371" s="712"/>
      <c r="BM2371" s="712"/>
      <c r="BN2371" s="712"/>
    </row>
    <row r="2372" spans="52:66">
      <c r="AZ2372" s="149"/>
      <c r="BA2372" s="149"/>
      <c r="BB2372" s="149"/>
      <c r="BC2372" s="149"/>
      <c r="BE2372" s="149"/>
      <c r="BF2372" s="149"/>
      <c r="BG2372" s="149"/>
      <c r="BH2372" s="149"/>
      <c r="BI2372" s="149"/>
      <c r="BJ2372" s="149"/>
      <c r="BK2372" s="712"/>
      <c r="BL2372" s="712"/>
      <c r="BM2372" s="712"/>
      <c r="BN2372" s="712"/>
    </row>
    <row r="2373" spans="52:66">
      <c r="AZ2373" s="149"/>
      <c r="BA2373" s="149"/>
      <c r="BB2373" s="149"/>
      <c r="BC2373" s="149"/>
      <c r="BE2373" s="149"/>
      <c r="BF2373" s="149"/>
      <c r="BG2373" s="149"/>
      <c r="BH2373" s="149"/>
      <c r="BI2373" s="149"/>
      <c r="BJ2373" s="149"/>
      <c r="BK2373" s="712"/>
      <c r="BL2373" s="712"/>
      <c r="BM2373" s="712"/>
      <c r="BN2373" s="712"/>
    </row>
    <row r="2374" spans="52:66">
      <c r="AZ2374" s="149"/>
      <c r="BA2374" s="149"/>
      <c r="BB2374" s="149"/>
      <c r="BC2374" s="149"/>
      <c r="BE2374" s="149"/>
      <c r="BF2374" s="149"/>
      <c r="BG2374" s="149"/>
      <c r="BH2374" s="149"/>
      <c r="BI2374" s="149"/>
      <c r="BJ2374" s="149"/>
      <c r="BK2374" s="712"/>
      <c r="BL2374" s="712"/>
      <c r="BM2374" s="712"/>
      <c r="BN2374" s="712"/>
    </row>
    <row r="2375" spans="52:66">
      <c r="AZ2375" s="149"/>
      <c r="BA2375" s="149"/>
      <c r="BB2375" s="149"/>
      <c r="BC2375" s="149"/>
      <c r="BE2375" s="149"/>
      <c r="BF2375" s="149"/>
      <c r="BG2375" s="149"/>
      <c r="BH2375" s="149"/>
      <c r="BI2375" s="149"/>
      <c r="BJ2375" s="149"/>
      <c r="BK2375" s="712"/>
      <c r="BL2375" s="712"/>
      <c r="BM2375" s="712"/>
      <c r="BN2375" s="712"/>
    </row>
    <row r="2376" spans="52:66">
      <c r="AZ2376" s="149"/>
      <c r="BA2376" s="149"/>
      <c r="BB2376" s="149"/>
      <c r="BC2376" s="149"/>
      <c r="BE2376" s="149"/>
      <c r="BF2376" s="149"/>
      <c r="BG2376" s="149"/>
      <c r="BH2376" s="149"/>
      <c r="BI2376" s="149"/>
      <c r="BJ2376" s="149"/>
      <c r="BK2376" s="712"/>
      <c r="BL2376" s="712"/>
      <c r="BM2376" s="712"/>
      <c r="BN2376" s="712"/>
    </row>
    <row r="2377" spans="52:66">
      <c r="AZ2377" s="149"/>
      <c r="BA2377" s="149"/>
      <c r="BB2377" s="149"/>
      <c r="BC2377" s="149"/>
      <c r="BE2377" s="149"/>
      <c r="BF2377" s="149"/>
      <c r="BG2377" s="149"/>
      <c r="BH2377" s="149"/>
      <c r="BI2377" s="149"/>
      <c r="BJ2377" s="149"/>
      <c r="BK2377" s="712"/>
      <c r="BL2377" s="712"/>
      <c r="BM2377" s="712"/>
      <c r="BN2377" s="712"/>
    </row>
    <row r="2378" spans="52:66">
      <c r="AZ2378" s="149"/>
      <c r="BA2378" s="149"/>
      <c r="BB2378" s="149"/>
      <c r="BC2378" s="149"/>
      <c r="BE2378" s="149"/>
      <c r="BF2378" s="149"/>
      <c r="BG2378" s="149"/>
      <c r="BH2378" s="149"/>
      <c r="BI2378" s="149"/>
      <c r="BJ2378" s="149"/>
      <c r="BK2378" s="712"/>
      <c r="BL2378" s="712"/>
      <c r="BM2378" s="712"/>
      <c r="BN2378" s="712"/>
    </row>
    <row r="2379" spans="52:66">
      <c r="AZ2379" s="149"/>
      <c r="BA2379" s="149"/>
      <c r="BB2379" s="149"/>
      <c r="BC2379" s="149"/>
      <c r="BE2379" s="149"/>
      <c r="BF2379" s="149"/>
      <c r="BG2379" s="149"/>
      <c r="BH2379" s="149"/>
      <c r="BI2379" s="149"/>
      <c r="BJ2379" s="149"/>
      <c r="BK2379" s="712"/>
      <c r="BL2379" s="712"/>
      <c r="BM2379" s="712"/>
      <c r="BN2379" s="712"/>
    </row>
    <row r="2380" spans="52:66">
      <c r="AZ2380" s="149"/>
      <c r="BA2380" s="149"/>
      <c r="BB2380" s="149"/>
      <c r="BC2380" s="149"/>
      <c r="BE2380" s="149"/>
      <c r="BF2380" s="149"/>
      <c r="BG2380" s="149"/>
      <c r="BH2380" s="149"/>
      <c r="BI2380" s="149"/>
      <c r="BJ2380" s="149"/>
      <c r="BK2380" s="712"/>
      <c r="BL2380" s="712"/>
      <c r="BM2380" s="712"/>
      <c r="BN2380" s="712"/>
    </row>
    <row r="2381" spans="52:66">
      <c r="AZ2381" s="149"/>
      <c r="BA2381" s="149"/>
      <c r="BB2381" s="149"/>
      <c r="BC2381" s="149"/>
      <c r="BE2381" s="149"/>
      <c r="BF2381" s="149"/>
      <c r="BG2381" s="149"/>
      <c r="BH2381" s="149"/>
      <c r="BI2381" s="149"/>
      <c r="BJ2381" s="149"/>
      <c r="BK2381" s="712"/>
      <c r="BL2381" s="712"/>
      <c r="BM2381" s="712"/>
      <c r="BN2381" s="712"/>
    </row>
    <row r="2382" spans="52:66">
      <c r="AZ2382" s="149"/>
      <c r="BA2382" s="149"/>
      <c r="BB2382" s="149"/>
      <c r="BC2382" s="149"/>
      <c r="BE2382" s="149"/>
      <c r="BF2382" s="149"/>
      <c r="BG2382" s="149"/>
      <c r="BH2382" s="149"/>
      <c r="BI2382" s="149"/>
      <c r="BJ2382" s="149"/>
      <c r="BK2382" s="712"/>
      <c r="BL2382" s="712"/>
      <c r="BM2382" s="712"/>
      <c r="BN2382" s="712"/>
    </row>
    <row r="2383" spans="52:66">
      <c r="AZ2383" s="149"/>
      <c r="BA2383" s="149"/>
      <c r="BB2383" s="149"/>
      <c r="BC2383" s="149"/>
      <c r="BE2383" s="149"/>
      <c r="BF2383" s="149"/>
      <c r="BG2383" s="149"/>
      <c r="BH2383" s="149"/>
      <c r="BI2383" s="149"/>
      <c r="BJ2383" s="149"/>
      <c r="BK2383" s="712"/>
      <c r="BL2383" s="712"/>
      <c r="BM2383" s="712"/>
      <c r="BN2383" s="712"/>
    </row>
    <row r="2384" spans="52:66">
      <c r="AZ2384" s="149"/>
      <c r="BA2384" s="149"/>
      <c r="BB2384" s="149"/>
      <c r="BC2384" s="149"/>
      <c r="BE2384" s="149"/>
      <c r="BF2384" s="149"/>
      <c r="BG2384" s="149"/>
      <c r="BH2384" s="149"/>
      <c r="BI2384" s="149"/>
      <c r="BJ2384" s="149"/>
      <c r="BK2384" s="712"/>
      <c r="BL2384" s="712"/>
      <c r="BM2384" s="712"/>
      <c r="BN2384" s="712"/>
    </row>
    <row r="2385" spans="52:66">
      <c r="AZ2385" s="149"/>
      <c r="BA2385" s="149"/>
      <c r="BB2385" s="149"/>
      <c r="BC2385" s="149"/>
      <c r="BE2385" s="149"/>
      <c r="BF2385" s="149"/>
      <c r="BG2385" s="149"/>
      <c r="BH2385" s="149"/>
      <c r="BI2385" s="149"/>
      <c r="BJ2385" s="149"/>
      <c r="BK2385" s="712"/>
      <c r="BL2385" s="712"/>
      <c r="BM2385" s="712"/>
      <c r="BN2385" s="712"/>
    </row>
    <row r="2386" spans="52:66">
      <c r="AZ2386" s="149"/>
      <c r="BA2386" s="149"/>
      <c r="BB2386" s="149"/>
      <c r="BC2386" s="149"/>
      <c r="BE2386" s="149"/>
      <c r="BF2386" s="149"/>
      <c r="BG2386" s="149"/>
      <c r="BH2386" s="149"/>
      <c r="BI2386" s="149"/>
      <c r="BJ2386" s="149"/>
      <c r="BK2386" s="712"/>
      <c r="BL2386" s="712"/>
      <c r="BM2386" s="712"/>
      <c r="BN2386" s="712"/>
    </row>
    <row r="2387" spans="52:66">
      <c r="AZ2387" s="149"/>
      <c r="BA2387" s="149"/>
      <c r="BB2387" s="149"/>
      <c r="BC2387" s="149"/>
      <c r="BE2387" s="149"/>
      <c r="BF2387" s="149"/>
      <c r="BG2387" s="149"/>
      <c r="BH2387" s="149"/>
      <c r="BI2387" s="149"/>
      <c r="BJ2387" s="149"/>
      <c r="BK2387" s="712"/>
      <c r="BL2387" s="712"/>
      <c r="BM2387" s="712"/>
      <c r="BN2387" s="712"/>
    </row>
    <row r="2388" spans="52:66">
      <c r="AZ2388" s="149"/>
      <c r="BA2388" s="149"/>
      <c r="BB2388" s="149"/>
      <c r="BC2388" s="149"/>
      <c r="BE2388" s="149"/>
      <c r="BF2388" s="149"/>
      <c r="BG2388" s="149"/>
      <c r="BH2388" s="149"/>
      <c r="BI2388" s="149"/>
      <c r="BJ2388" s="149"/>
      <c r="BK2388" s="712"/>
      <c r="BL2388" s="712"/>
      <c r="BM2388" s="712"/>
      <c r="BN2388" s="712"/>
    </row>
    <row r="2389" spans="52:66">
      <c r="AZ2389" s="149"/>
      <c r="BA2389" s="149"/>
      <c r="BB2389" s="149"/>
      <c r="BC2389" s="149"/>
      <c r="BE2389" s="149"/>
      <c r="BF2389" s="149"/>
      <c r="BG2389" s="149"/>
      <c r="BH2389" s="149"/>
      <c r="BI2389" s="149"/>
      <c r="BJ2389" s="149"/>
      <c r="BK2389" s="712"/>
      <c r="BL2389" s="712"/>
      <c r="BM2389" s="712"/>
      <c r="BN2389" s="712"/>
    </row>
    <row r="2390" spans="52:66">
      <c r="AZ2390" s="149"/>
      <c r="BA2390" s="149"/>
      <c r="BB2390" s="149"/>
      <c r="BC2390" s="149"/>
      <c r="BE2390" s="149"/>
      <c r="BF2390" s="149"/>
      <c r="BG2390" s="149"/>
      <c r="BH2390" s="149"/>
      <c r="BI2390" s="149"/>
      <c r="BJ2390" s="149"/>
      <c r="BK2390" s="712"/>
      <c r="BL2390" s="712"/>
      <c r="BM2390" s="712"/>
      <c r="BN2390" s="712"/>
    </row>
    <row r="2391" spans="52:66">
      <c r="AZ2391" s="149"/>
      <c r="BA2391" s="149"/>
      <c r="BB2391" s="149"/>
      <c r="BC2391" s="149"/>
      <c r="BE2391" s="149"/>
      <c r="BF2391" s="149"/>
      <c r="BG2391" s="149"/>
      <c r="BH2391" s="149"/>
      <c r="BI2391" s="149"/>
      <c r="BJ2391" s="149"/>
      <c r="BK2391" s="712"/>
      <c r="BL2391" s="712"/>
      <c r="BM2391" s="712"/>
      <c r="BN2391" s="712"/>
    </row>
    <row r="2392" spans="52:66">
      <c r="AZ2392" s="149"/>
      <c r="BA2392" s="149"/>
      <c r="BB2392" s="149"/>
      <c r="BC2392" s="149"/>
      <c r="BE2392" s="149"/>
      <c r="BF2392" s="149"/>
      <c r="BG2392" s="149"/>
      <c r="BH2392" s="149"/>
      <c r="BI2392" s="149"/>
      <c r="BJ2392" s="149"/>
      <c r="BK2392" s="712"/>
      <c r="BL2392" s="712"/>
      <c r="BM2392" s="712"/>
      <c r="BN2392" s="712"/>
    </row>
    <row r="2393" spans="52:66">
      <c r="AZ2393" s="149"/>
      <c r="BA2393" s="149"/>
      <c r="BB2393" s="149"/>
      <c r="BC2393" s="149"/>
      <c r="BE2393" s="149"/>
      <c r="BF2393" s="149"/>
      <c r="BG2393" s="149"/>
      <c r="BH2393" s="149"/>
      <c r="BI2393" s="149"/>
      <c r="BJ2393" s="149"/>
      <c r="BK2393" s="712"/>
      <c r="BL2393" s="712"/>
      <c r="BM2393" s="712"/>
      <c r="BN2393" s="712"/>
    </row>
    <row r="2394" spans="52:66">
      <c r="AZ2394" s="149"/>
      <c r="BA2394" s="149"/>
      <c r="BB2394" s="149"/>
      <c r="BC2394" s="149"/>
      <c r="BE2394" s="149"/>
      <c r="BF2394" s="149"/>
      <c r="BG2394" s="149"/>
      <c r="BH2394" s="149"/>
      <c r="BI2394" s="149"/>
      <c r="BJ2394" s="149"/>
      <c r="BK2394" s="712"/>
      <c r="BL2394" s="712"/>
      <c r="BM2394" s="712"/>
      <c r="BN2394" s="712"/>
    </row>
    <row r="2395" spans="52:66">
      <c r="AZ2395" s="149"/>
      <c r="BA2395" s="149"/>
      <c r="BB2395" s="149"/>
      <c r="BC2395" s="149"/>
      <c r="BE2395" s="149"/>
      <c r="BF2395" s="149"/>
      <c r="BG2395" s="149"/>
      <c r="BH2395" s="149"/>
      <c r="BI2395" s="149"/>
      <c r="BJ2395" s="149"/>
      <c r="BK2395" s="712"/>
      <c r="BL2395" s="712"/>
      <c r="BM2395" s="712"/>
      <c r="BN2395" s="712"/>
    </row>
    <row r="2396" spans="52:66">
      <c r="AZ2396" s="149"/>
      <c r="BA2396" s="149"/>
      <c r="BB2396" s="149"/>
      <c r="BC2396" s="149"/>
      <c r="BE2396" s="149"/>
      <c r="BF2396" s="149"/>
      <c r="BG2396" s="149"/>
      <c r="BH2396" s="149"/>
      <c r="BI2396" s="149"/>
      <c r="BJ2396" s="149"/>
      <c r="BK2396" s="712"/>
      <c r="BL2396" s="712"/>
      <c r="BM2396" s="712"/>
      <c r="BN2396" s="712"/>
    </row>
    <row r="2397" spans="52:66">
      <c r="AZ2397" s="149"/>
      <c r="BA2397" s="149"/>
      <c r="BB2397" s="149"/>
      <c r="BC2397" s="149"/>
      <c r="BE2397" s="149"/>
      <c r="BF2397" s="149"/>
      <c r="BG2397" s="149"/>
      <c r="BH2397" s="149"/>
      <c r="BI2397" s="149"/>
      <c r="BJ2397" s="149"/>
      <c r="BK2397" s="712"/>
      <c r="BL2397" s="712"/>
      <c r="BM2397" s="712"/>
      <c r="BN2397" s="712"/>
    </row>
    <row r="2398" spans="52:66">
      <c r="AZ2398" s="149"/>
      <c r="BA2398" s="149"/>
      <c r="BB2398" s="149"/>
      <c r="BC2398" s="149"/>
      <c r="BE2398" s="149"/>
      <c r="BF2398" s="149"/>
      <c r="BG2398" s="149"/>
      <c r="BH2398" s="149"/>
      <c r="BI2398" s="149"/>
      <c r="BJ2398" s="149"/>
      <c r="BK2398" s="712"/>
      <c r="BL2398" s="712"/>
      <c r="BM2398" s="712"/>
      <c r="BN2398" s="712"/>
    </row>
    <row r="2399" spans="52:66">
      <c r="AZ2399" s="149"/>
      <c r="BA2399" s="149"/>
      <c r="BB2399" s="149"/>
      <c r="BC2399" s="149"/>
      <c r="BE2399" s="149"/>
      <c r="BF2399" s="149"/>
      <c r="BG2399" s="149"/>
      <c r="BH2399" s="149"/>
      <c r="BI2399" s="149"/>
      <c r="BJ2399" s="149"/>
      <c r="BK2399" s="712"/>
      <c r="BL2399" s="712"/>
      <c r="BM2399" s="712"/>
      <c r="BN2399" s="712"/>
    </row>
    <row r="2400" spans="52:66">
      <c r="AZ2400" s="149"/>
      <c r="BA2400" s="149"/>
      <c r="BB2400" s="149"/>
      <c r="BC2400" s="149"/>
      <c r="BE2400" s="149"/>
      <c r="BF2400" s="149"/>
      <c r="BG2400" s="149"/>
      <c r="BH2400" s="149"/>
      <c r="BI2400" s="149"/>
      <c r="BJ2400" s="149"/>
      <c r="BK2400" s="712"/>
      <c r="BL2400" s="712"/>
      <c r="BM2400" s="712"/>
      <c r="BN2400" s="712"/>
    </row>
    <row r="2401" spans="52:66">
      <c r="AZ2401" s="149"/>
      <c r="BA2401" s="149"/>
      <c r="BB2401" s="149"/>
      <c r="BC2401" s="149"/>
      <c r="BE2401" s="149"/>
      <c r="BF2401" s="149"/>
      <c r="BG2401" s="149"/>
      <c r="BH2401" s="149"/>
      <c r="BI2401" s="149"/>
      <c r="BJ2401" s="149"/>
      <c r="BK2401" s="712"/>
      <c r="BL2401" s="712"/>
      <c r="BM2401" s="712"/>
      <c r="BN2401" s="712"/>
    </row>
    <row r="2402" spans="52:66">
      <c r="AZ2402" s="149"/>
      <c r="BA2402" s="149"/>
      <c r="BB2402" s="149"/>
      <c r="BC2402" s="149"/>
      <c r="BE2402" s="149"/>
      <c r="BF2402" s="149"/>
      <c r="BG2402" s="149"/>
      <c r="BH2402" s="149"/>
      <c r="BI2402" s="149"/>
      <c r="BJ2402" s="149"/>
      <c r="BK2402" s="712"/>
      <c r="BL2402" s="712"/>
      <c r="BM2402" s="712"/>
      <c r="BN2402" s="712"/>
    </row>
    <row r="2403" spans="52:66">
      <c r="AZ2403" s="149"/>
      <c r="BA2403" s="149"/>
      <c r="BB2403" s="149"/>
      <c r="BC2403" s="149"/>
      <c r="BE2403" s="149"/>
      <c r="BF2403" s="149"/>
      <c r="BG2403" s="149"/>
      <c r="BH2403" s="149"/>
      <c r="BI2403" s="149"/>
      <c r="BJ2403" s="149"/>
      <c r="BK2403" s="712"/>
      <c r="BL2403" s="712"/>
      <c r="BM2403" s="712"/>
      <c r="BN2403" s="712"/>
    </row>
    <row r="2404" spans="52:66">
      <c r="AZ2404" s="149"/>
      <c r="BA2404" s="149"/>
      <c r="BB2404" s="149"/>
      <c r="BC2404" s="149"/>
      <c r="BE2404" s="149"/>
      <c r="BF2404" s="149"/>
      <c r="BG2404" s="149"/>
      <c r="BH2404" s="149"/>
      <c r="BI2404" s="149"/>
      <c r="BJ2404" s="149"/>
      <c r="BK2404" s="712"/>
      <c r="BL2404" s="712"/>
      <c r="BM2404" s="712"/>
      <c r="BN2404" s="712"/>
    </row>
    <row r="2405" spans="52:66">
      <c r="AZ2405" s="149"/>
      <c r="BA2405" s="149"/>
      <c r="BB2405" s="149"/>
      <c r="BC2405" s="149"/>
      <c r="BE2405" s="149"/>
      <c r="BF2405" s="149"/>
      <c r="BG2405" s="149"/>
      <c r="BH2405" s="149"/>
      <c r="BI2405" s="149"/>
      <c r="BJ2405" s="149"/>
      <c r="BK2405" s="712"/>
      <c r="BL2405" s="712"/>
      <c r="BM2405" s="712"/>
      <c r="BN2405" s="712"/>
    </row>
    <row r="2406" spans="52:66">
      <c r="AZ2406" s="149"/>
      <c r="BA2406" s="149"/>
      <c r="BB2406" s="149"/>
      <c r="BC2406" s="149"/>
      <c r="BE2406" s="149"/>
      <c r="BF2406" s="149"/>
      <c r="BG2406" s="149"/>
      <c r="BH2406" s="149"/>
      <c r="BI2406" s="149"/>
      <c r="BJ2406" s="149"/>
      <c r="BK2406" s="712"/>
      <c r="BL2406" s="712"/>
      <c r="BM2406" s="712"/>
      <c r="BN2406" s="712"/>
    </row>
    <row r="2407" spans="52:66">
      <c r="AZ2407" s="149"/>
      <c r="BA2407" s="149"/>
      <c r="BB2407" s="149"/>
      <c r="BC2407" s="149"/>
      <c r="BE2407" s="149"/>
      <c r="BF2407" s="149"/>
      <c r="BG2407" s="149"/>
      <c r="BH2407" s="149"/>
      <c r="BI2407" s="149"/>
      <c r="BJ2407" s="149"/>
      <c r="BK2407" s="712"/>
      <c r="BL2407" s="712"/>
      <c r="BM2407" s="712"/>
      <c r="BN2407" s="712"/>
    </row>
    <row r="2408" spans="52:66">
      <c r="AZ2408" s="149"/>
      <c r="BA2408" s="149"/>
      <c r="BB2408" s="149"/>
      <c r="BC2408" s="149"/>
      <c r="BE2408" s="149"/>
      <c r="BF2408" s="149"/>
      <c r="BG2408" s="149"/>
      <c r="BH2408" s="149"/>
      <c r="BI2408" s="149"/>
      <c r="BJ2408" s="149"/>
      <c r="BK2408" s="712"/>
      <c r="BL2408" s="712"/>
      <c r="BM2408" s="712"/>
      <c r="BN2408" s="712"/>
    </row>
    <row r="2409" spans="52:66">
      <c r="AZ2409" s="149"/>
      <c r="BA2409" s="149"/>
      <c r="BB2409" s="149"/>
      <c r="BC2409" s="149"/>
      <c r="BE2409" s="149"/>
      <c r="BF2409" s="149"/>
      <c r="BG2409" s="149"/>
      <c r="BH2409" s="149"/>
      <c r="BI2409" s="149"/>
      <c r="BJ2409" s="149"/>
      <c r="BK2409" s="712"/>
      <c r="BL2409" s="712"/>
      <c r="BM2409" s="712"/>
      <c r="BN2409" s="712"/>
    </row>
    <row r="2410" spans="52:66">
      <c r="AZ2410" s="149"/>
      <c r="BA2410" s="149"/>
      <c r="BB2410" s="149"/>
      <c r="BC2410" s="149"/>
      <c r="BE2410" s="149"/>
      <c r="BF2410" s="149"/>
      <c r="BG2410" s="149"/>
      <c r="BH2410" s="149"/>
      <c r="BI2410" s="149"/>
      <c r="BJ2410" s="149"/>
      <c r="BK2410" s="712"/>
      <c r="BL2410" s="712"/>
      <c r="BM2410" s="712"/>
      <c r="BN2410" s="712"/>
    </row>
    <row r="2411" spans="52:66">
      <c r="AZ2411" s="149"/>
      <c r="BA2411" s="149"/>
      <c r="BB2411" s="149"/>
      <c r="BC2411" s="149"/>
      <c r="BE2411" s="149"/>
      <c r="BF2411" s="149"/>
      <c r="BG2411" s="149"/>
      <c r="BH2411" s="149"/>
      <c r="BI2411" s="149"/>
      <c r="BJ2411" s="149"/>
      <c r="BK2411" s="712"/>
      <c r="BL2411" s="712"/>
      <c r="BM2411" s="712"/>
      <c r="BN2411" s="712"/>
    </row>
    <row r="2412" spans="52:66">
      <c r="AZ2412" s="149"/>
      <c r="BA2412" s="149"/>
      <c r="BB2412" s="149"/>
      <c r="BC2412" s="149"/>
      <c r="BE2412" s="149"/>
      <c r="BF2412" s="149"/>
      <c r="BG2412" s="149"/>
      <c r="BH2412" s="149"/>
      <c r="BI2412" s="149"/>
      <c r="BJ2412" s="149"/>
      <c r="BK2412" s="712"/>
      <c r="BL2412" s="712"/>
      <c r="BM2412" s="712"/>
      <c r="BN2412" s="712"/>
    </row>
    <row r="2413" spans="52:66">
      <c r="AZ2413" s="149"/>
      <c r="BA2413" s="149"/>
      <c r="BB2413" s="149"/>
      <c r="BC2413" s="149"/>
      <c r="BE2413" s="149"/>
      <c r="BF2413" s="149"/>
      <c r="BG2413" s="149"/>
      <c r="BH2413" s="149"/>
      <c r="BI2413" s="149"/>
      <c r="BJ2413" s="149"/>
      <c r="BK2413" s="712"/>
      <c r="BL2413" s="712"/>
      <c r="BM2413" s="712"/>
      <c r="BN2413" s="712"/>
    </row>
    <row r="2414" spans="52:66">
      <c r="AZ2414" s="149"/>
      <c r="BA2414" s="149"/>
      <c r="BB2414" s="149"/>
      <c r="BC2414" s="149"/>
      <c r="BE2414" s="149"/>
      <c r="BF2414" s="149"/>
      <c r="BG2414" s="149"/>
      <c r="BH2414" s="149"/>
      <c r="BI2414" s="149"/>
      <c r="BJ2414" s="149"/>
      <c r="BK2414" s="712"/>
      <c r="BL2414" s="712"/>
      <c r="BM2414" s="712"/>
      <c r="BN2414" s="712"/>
    </row>
    <row r="2415" spans="52:66">
      <c r="AZ2415" s="149"/>
      <c r="BA2415" s="149"/>
      <c r="BB2415" s="149"/>
      <c r="BC2415" s="149"/>
      <c r="BE2415" s="149"/>
      <c r="BF2415" s="149"/>
      <c r="BG2415" s="149"/>
      <c r="BH2415" s="149"/>
      <c r="BI2415" s="149"/>
      <c r="BJ2415" s="149"/>
      <c r="BK2415" s="712"/>
      <c r="BL2415" s="712"/>
      <c r="BM2415" s="712"/>
      <c r="BN2415" s="712"/>
    </row>
    <row r="2416" spans="52:66">
      <c r="AZ2416" s="149"/>
      <c r="BA2416" s="149"/>
      <c r="BB2416" s="149"/>
      <c r="BC2416" s="149"/>
      <c r="BE2416" s="149"/>
      <c r="BF2416" s="149"/>
      <c r="BG2416" s="149"/>
      <c r="BH2416" s="149"/>
      <c r="BI2416" s="149"/>
      <c r="BJ2416" s="149"/>
      <c r="BK2416" s="712"/>
      <c r="BL2416" s="712"/>
      <c r="BM2416" s="712"/>
      <c r="BN2416" s="712"/>
    </row>
    <row r="2417" spans="52:66">
      <c r="AZ2417" s="149"/>
      <c r="BA2417" s="149"/>
      <c r="BB2417" s="149"/>
      <c r="BC2417" s="149"/>
      <c r="BE2417" s="149"/>
      <c r="BF2417" s="149"/>
      <c r="BG2417" s="149"/>
      <c r="BH2417" s="149"/>
      <c r="BI2417" s="149"/>
      <c r="BJ2417" s="149"/>
      <c r="BK2417" s="712"/>
      <c r="BL2417" s="712"/>
      <c r="BM2417" s="712"/>
      <c r="BN2417" s="712"/>
    </row>
    <row r="2418" spans="52:66">
      <c r="AZ2418" s="149"/>
      <c r="BA2418" s="149"/>
      <c r="BB2418" s="149"/>
      <c r="BC2418" s="149"/>
      <c r="BE2418" s="149"/>
      <c r="BF2418" s="149"/>
      <c r="BG2418" s="149"/>
      <c r="BH2418" s="149"/>
      <c r="BI2418" s="149"/>
      <c r="BJ2418" s="149"/>
    </row>
    <row r="2419" spans="52:66">
      <c r="AZ2419" s="149"/>
      <c r="BA2419" s="149"/>
      <c r="BB2419" s="149"/>
      <c r="BC2419" s="149"/>
      <c r="BE2419" s="149"/>
      <c r="BF2419" s="149"/>
      <c r="BG2419" s="149"/>
      <c r="BH2419" s="149"/>
      <c r="BI2419" s="149"/>
      <c r="BJ2419" s="149"/>
    </row>
  </sheetData>
  <customSheetViews>
    <customSheetView guid="{02BAE5C0-B718-491D-AA2C-366929DD884D}" showGridLines="0" fitToPage="1" printArea="1" hiddenColumns="1">
      <pane xSplit="1" ySplit="1" topLeftCell="AW2" activePane="bottomRight" state="frozen"/>
      <selection pane="bottomRight" activeCell="BE78" sqref="BE78"/>
      <pageMargins left="0.75" right="0.75" top="1" bottom="1" header="0.5" footer="0.5"/>
      <pageSetup paperSize="9" scale="44" orientation="landscape" r:id="rId1"/>
      <headerFooter alignWithMargins="0"/>
    </customSheetView>
  </customSheetViews>
  <phoneticPr fontId="9" type="noConversion"/>
  <pageMargins left="0" right="0" top="0" bottom="0" header="0" footer="0"/>
  <pageSetup paperSize="5" scale="90" orientation="landscape" r:id="rId2"/>
  <headerFooter alignWithMargins="0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"/>
  <sheetViews>
    <sheetView workbookViewId="0"/>
  </sheetViews>
  <sheetFormatPr defaultRowHeight="12.75"/>
  <sheetData>
    <row r="1" spans="1:14">
      <c r="A1" t="s">
        <v>66</v>
      </c>
    </row>
    <row r="2" spans="1:14">
      <c r="A2" s="40" t="s">
        <v>60</v>
      </c>
      <c r="B2" s="40" t="s">
        <v>61</v>
      </c>
      <c r="C2" s="40" t="s">
        <v>65</v>
      </c>
      <c r="D2" s="40" t="s">
        <v>63</v>
      </c>
      <c r="E2" s="40" t="s">
        <v>62</v>
      </c>
      <c r="F2" s="40" t="s">
        <v>63</v>
      </c>
      <c r="G2" s="40" t="s">
        <v>490</v>
      </c>
      <c r="H2" s="40" t="s">
        <v>833</v>
      </c>
      <c r="I2" s="40" t="s">
        <v>495</v>
      </c>
      <c r="J2" s="40" t="s">
        <v>394</v>
      </c>
      <c r="K2" s="40" t="s">
        <v>489</v>
      </c>
      <c r="L2" s="40" t="s">
        <v>487</v>
      </c>
      <c r="M2" s="40" t="s">
        <v>64</v>
      </c>
      <c r="N2" s="40" t="s">
        <v>63</v>
      </c>
    </row>
  </sheetData>
  <customSheetViews>
    <customSheetView guid="{02BAE5C0-B718-491D-AA2C-366929DD884D}" state="veryHidden">
      <pageMargins left="0.75" right="0.75" top="1" bottom="1" header="0.5" footer="0.5"/>
      <pageSetup paperSize="9" orientation="portrait" r:id="rId1"/>
      <headerFooter alignWithMargins="0"/>
    </customSheetView>
    <customSheetView guid="{0F63984D-41C2-41FC-9021-7F5BFFA3B850}" state="veryHidden">
      <pageMargins left="0.75" right="0.75" top="1" bottom="1" header="0.5" footer="0.5"/>
      <pageSetup paperSize="9" orientation="portrait" r:id="rId2"/>
      <headerFooter alignWithMargins="0"/>
    </customSheetView>
  </customSheetViews>
  <phoneticPr fontId="9" type="noConversion"/>
  <pageMargins left="0.75" right="0.75" top="1" bottom="1" header="0.5" footer="0.5"/>
  <pageSetup paperSize="9" orientation="portrait" r:id="rId3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S45"/>
  <sheetViews>
    <sheetView workbookViewId="0"/>
  </sheetViews>
  <sheetFormatPr defaultColWidth="8.140625" defaultRowHeight="12.75"/>
  <cols>
    <col min="1" max="1" width="31.42578125" customWidth="1"/>
    <col min="2" max="3" width="8.140625" hidden="1" customWidth="1"/>
  </cols>
  <sheetData>
    <row r="1" spans="1:19" ht="13.5" thickBot="1">
      <c r="A1" s="25" t="s">
        <v>387</v>
      </c>
      <c r="B1" s="26"/>
      <c r="C1" s="26"/>
      <c r="D1" s="26"/>
      <c r="E1" s="26"/>
      <c r="F1" s="26"/>
      <c r="G1" s="26"/>
      <c r="H1" s="26"/>
      <c r="I1" s="26"/>
      <c r="J1" s="26"/>
      <c r="K1" s="9"/>
      <c r="L1" s="9"/>
      <c r="M1" s="9"/>
      <c r="N1" s="9"/>
    </row>
    <row r="2" spans="1:19">
      <c r="A2" s="27" t="s">
        <v>287</v>
      </c>
      <c r="B2" s="28">
        <v>2004</v>
      </c>
      <c r="C2" s="28">
        <f>B2+1</f>
        <v>2005</v>
      </c>
      <c r="D2" s="28">
        <f t="shared" ref="D2:K2" si="0">C2+1</f>
        <v>2006</v>
      </c>
      <c r="E2" s="28">
        <f t="shared" si="0"/>
        <v>2007</v>
      </c>
      <c r="F2" s="28">
        <f t="shared" si="0"/>
        <v>2008</v>
      </c>
      <c r="G2" s="28">
        <f t="shared" si="0"/>
        <v>2009</v>
      </c>
      <c r="H2" s="28">
        <f t="shared" si="0"/>
        <v>2010</v>
      </c>
      <c r="I2" s="28">
        <f t="shared" si="0"/>
        <v>2011</v>
      </c>
      <c r="J2" s="28">
        <f t="shared" si="0"/>
        <v>2012</v>
      </c>
      <c r="K2" s="28">
        <f t="shared" si="0"/>
        <v>2013</v>
      </c>
      <c r="L2" s="28">
        <f t="shared" ref="L2:S2" si="1">K2+1</f>
        <v>2014</v>
      </c>
      <c r="M2" s="28">
        <f t="shared" si="1"/>
        <v>2015</v>
      </c>
      <c r="N2" s="28">
        <f t="shared" si="1"/>
        <v>2016</v>
      </c>
      <c r="O2" s="2">
        <f t="shared" si="1"/>
        <v>2017</v>
      </c>
      <c r="P2" s="2">
        <f t="shared" si="1"/>
        <v>2018</v>
      </c>
      <c r="Q2" s="2">
        <f t="shared" si="1"/>
        <v>2019</v>
      </c>
      <c r="R2" s="2">
        <f t="shared" si="1"/>
        <v>2020</v>
      </c>
      <c r="S2" s="2">
        <f t="shared" si="1"/>
        <v>2021</v>
      </c>
    </row>
    <row r="3" spans="1:19">
      <c r="A3" s="15" t="s">
        <v>500</v>
      </c>
      <c r="B3" s="16">
        <v>4555.375</v>
      </c>
      <c r="C3" s="16">
        <v>4903.174</v>
      </c>
      <c r="D3" s="241">
        <v>5229.5860000000002</v>
      </c>
      <c r="E3" s="241">
        <v>6149.1379999999999</v>
      </c>
      <c r="F3" s="241">
        <v>6532.5249999999996</v>
      </c>
      <c r="G3" s="241">
        <v>5889.8259999999991</v>
      </c>
      <c r="H3" s="241">
        <v>6752.503999999999</v>
      </c>
      <c r="I3" s="241">
        <v>7537.262999999999</v>
      </c>
      <c r="J3" s="241">
        <v>7688.0239999999994</v>
      </c>
      <c r="K3" s="241">
        <v>7741.5439999999999</v>
      </c>
      <c r="L3" s="241">
        <v>8038.1989999999996</v>
      </c>
      <c r="M3" s="241">
        <v>8299.0740000000005</v>
      </c>
      <c r="N3" s="241">
        <v>8496.4009999999998</v>
      </c>
      <c r="O3" s="241">
        <v>8777.8449999999993</v>
      </c>
      <c r="P3" s="241">
        <v>9458.5093143859831</v>
      </c>
      <c r="Q3" s="241">
        <v>10202.266108319394</v>
      </c>
      <c r="R3" s="241">
        <v>10737.296310095651</v>
      </c>
      <c r="S3" s="241">
        <v>11699.756467944801</v>
      </c>
    </row>
    <row r="4" spans="1:19">
      <c r="A4" s="10" t="s">
        <v>658</v>
      </c>
      <c r="B4" s="12">
        <v>0.20377253188149091</v>
      </c>
      <c r="C4" s="12">
        <v>7.6349147984523746E-2</v>
      </c>
      <c r="D4" s="12">
        <v>6.657157180226525E-2</v>
      </c>
      <c r="E4" s="12">
        <v>0.17583648112871653</v>
      </c>
      <c r="F4" s="12">
        <v>6.2348088463781481E-2</v>
      </c>
      <c r="G4" s="12">
        <v>-9.8384468486534815E-2</v>
      </c>
      <c r="H4" s="12">
        <v>0.14646918262101472</v>
      </c>
      <c r="I4" s="12">
        <v>0.11621748021178524</v>
      </c>
      <c r="J4" s="12">
        <v>2.0002088291200648E-2</v>
      </c>
      <c r="K4" s="12">
        <v>6.9614767071486394E-3</v>
      </c>
      <c r="L4" s="12">
        <v>3.8319875208356446E-2</v>
      </c>
      <c r="M4" s="12">
        <v>3.2454409252619998E-2</v>
      </c>
      <c r="N4" s="12">
        <v>2.3776990059372727E-2</v>
      </c>
      <c r="O4" s="12">
        <v>3.3125084373960112E-2</v>
      </c>
      <c r="P4" s="12">
        <v>7.7543441970777893E-2</v>
      </c>
      <c r="Q4" s="12">
        <v>7.8633616483539281E-2</v>
      </c>
      <c r="R4" s="12">
        <v>5.2442290378994283E-2</v>
      </c>
      <c r="S4" s="12">
        <v>8.9637105101048942E-2</v>
      </c>
    </row>
    <row r="5" spans="1:19">
      <c r="A5" s="10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</row>
    <row r="6" spans="1:19">
      <c r="A6" s="15" t="s">
        <v>567</v>
      </c>
      <c r="B6" s="16"/>
      <c r="C6" s="16"/>
      <c r="D6" s="241">
        <v>3980.4390000000003</v>
      </c>
      <c r="E6" s="241">
        <v>4619.4800000000005</v>
      </c>
      <c r="F6" s="241">
        <v>4881.8240000000005</v>
      </c>
      <c r="G6" s="241">
        <v>4403.1869999999999</v>
      </c>
      <c r="H6" s="241">
        <v>5096.4179999999997</v>
      </c>
      <c r="I6" s="241">
        <v>5702.0489999999991</v>
      </c>
      <c r="J6" s="241">
        <v>5869.3159999999989</v>
      </c>
      <c r="K6" s="241">
        <v>5858.3339999999998</v>
      </c>
      <c r="L6" s="241">
        <v>6082.6639999999998</v>
      </c>
      <c r="M6" s="241">
        <v>6345.1920000000009</v>
      </c>
      <c r="N6" s="241">
        <v>6653.1660000000002</v>
      </c>
      <c r="O6" s="241">
        <v>6919.1229999999996</v>
      </c>
      <c r="P6" s="241">
        <v>7485.666597815798</v>
      </c>
      <c r="Q6" s="241">
        <v>8074.2916341920854</v>
      </c>
      <c r="R6" s="241">
        <v>8497.7259806770708</v>
      </c>
      <c r="S6" s="241">
        <v>9259.4375375269356</v>
      </c>
    </row>
    <row r="7" spans="1:19">
      <c r="A7" s="6" t="s">
        <v>658</v>
      </c>
      <c r="B7" s="12">
        <v>3432.4849999999997</v>
      </c>
      <c r="C7" s="12">
        <v>3735.9569999999999</v>
      </c>
      <c r="D7" s="12"/>
      <c r="E7" s="12">
        <f t="shared" ref="E7:O7" si="2">E6/D6-1</f>
        <v>0.16054535693173544</v>
      </c>
      <c r="F7" s="12">
        <f t="shared" si="2"/>
        <v>5.6790807623368966E-2</v>
      </c>
      <c r="G7" s="12">
        <f t="shared" si="2"/>
        <v>-9.8044706240946078E-2</v>
      </c>
      <c r="H7" s="12">
        <f t="shared" si="2"/>
        <v>0.15743846445767562</v>
      </c>
      <c r="I7" s="12">
        <f t="shared" si="2"/>
        <v>0.11883464032973734</v>
      </c>
      <c r="J7" s="12">
        <f t="shared" si="2"/>
        <v>2.9334542723150836E-2</v>
      </c>
      <c r="K7" s="12">
        <f t="shared" si="2"/>
        <v>-1.8710868523690305E-3</v>
      </c>
      <c r="L7" s="12">
        <f t="shared" si="2"/>
        <v>3.8292456524329221E-2</v>
      </c>
      <c r="M7" s="12">
        <f t="shared" si="2"/>
        <v>4.3160036457710271E-2</v>
      </c>
      <c r="N7" s="12">
        <f t="shared" si="2"/>
        <v>4.8536592746129648E-2</v>
      </c>
      <c r="O7" s="12">
        <f t="shared" si="2"/>
        <v>3.9974502364738651E-2</v>
      </c>
      <c r="P7" s="12">
        <f>P6/O6-1</f>
        <v>8.1880839206905032E-2</v>
      </c>
      <c r="Q7" s="12">
        <f>Q6/P6-1</f>
        <v>7.8633616483539281E-2</v>
      </c>
      <c r="R7" s="12">
        <f>R6/Q6-1</f>
        <v>5.2442290378994283E-2</v>
      </c>
      <c r="S7" s="12">
        <f>S6/R6-1</f>
        <v>8.9637105101048942E-2</v>
      </c>
    </row>
    <row r="8" spans="1:19">
      <c r="A8" s="10"/>
      <c r="B8" s="11"/>
      <c r="C8" s="11"/>
      <c r="E8" s="241"/>
    </row>
    <row r="9" spans="1:19">
      <c r="A9" s="15" t="s">
        <v>592</v>
      </c>
      <c r="B9" s="16"/>
      <c r="C9" s="16"/>
      <c r="D9" s="16">
        <v>177.75786136755389</v>
      </c>
      <c r="E9" s="16">
        <v>183.63501429831069</v>
      </c>
      <c r="F9" s="16">
        <v>184.47290521707205</v>
      </c>
      <c r="G9" s="16">
        <v>158.26719198263888</v>
      </c>
      <c r="H9" s="16">
        <v>164.87353367275429</v>
      </c>
      <c r="I9" s="16">
        <v>171.5649720172774</v>
      </c>
      <c r="J9" s="16">
        <v>174.13482584962773</v>
      </c>
      <c r="K9" s="16">
        <v>172.43147961321509</v>
      </c>
      <c r="L9" s="16">
        <v>174.92031023829213</v>
      </c>
      <c r="M9" s="16">
        <v>173.14526442656859</v>
      </c>
      <c r="N9" s="16">
        <v>175.80205008666485</v>
      </c>
      <c r="O9" s="16">
        <v>187.35302127032296</v>
      </c>
      <c r="P9" s="16">
        <v>195.42077652479253</v>
      </c>
      <c r="Q9" s="16">
        <v>197.37498429004043</v>
      </c>
      <c r="R9" s="16">
        <v>199.34873413294088</v>
      </c>
      <c r="S9" s="16">
        <v>201.34222147427027</v>
      </c>
    </row>
    <row r="10" spans="1:19">
      <c r="A10" s="6" t="s">
        <v>658</v>
      </c>
      <c r="B10" s="12">
        <v>9.2121399086470879E-2</v>
      </c>
      <c r="C10" s="12">
        <v>7.3666571602714281E-2</v>
      </c>
      <c r="D10" s="12"/>
      <c r="E10" s="12">
        <f t="shared" ref="E10:O10" si="3">E9/D9-1</f>
        <v>3.3062689242218557E-2</v>
      </c>
      <c r="F10" s="12">
        <f t="shared" si="3"/>
        <v>4.5628058568407681E-3</v>
      </c>
      <c r="G10" s="12">
        <f t="shared" si="3"/>
        <v>-0.14205724793891283</v>
      </c>
      <c r="H10" s="12">
        <f t="shared" si="3"/>
        <v>4.1741700268746129E-2</v>
      </c>
      <c r="I10" s="12">
        <f t="shared" si="3"/>
        <v>4.0585278882931286E-2</v>
      </c>
      <c r="J10" s="12">
        <f t="shared" si="3"/>
        <v>1.4978895762542521E-2</v>
      </c>
      <c r="K10" s="12">
        <f t="shared" si="3"/>
        <v>-9.7817666747692655E-3</v>
      </c>
      <c r="L10" s="12">
        <f t="shared" si="3"/>
        <v>1.4433736987351731E-2</v>
      </c>
      <c r="M10" s="12">
        <f t="shared" si="3"/>
        <v>-1.0147739901132269E-2</v>
      </c>
      <c r="N10" s="12">
        <f t="shared" si="3"/>
        <v>1.5344258296033253E-2</v>
      </c>
      <c r="O10" s="12">
        <f t="shared" si="3"/>
        <v>6.5704416859552195E-2</v>
      </c>
      <c r="P10" s="12">
        <f>P9/O9-1</f>
        <v>4.3061783577159396E-2</v>
      </c>
      <c r="Q10" s="12">
        <f>Q9/P9-1</f>
        <v>9.9999999999997868E-3</v>
      </c>
      <c r="R10" s="12">
        <f>R9/Q9-1</f>
        <v>1.0000000000000231E-2</v>
      </c>
      <c r="S10" s="12">
        <f>S9/R9-1</f>
        <v>1.0000000000000009E-2</v>
      </c>
    </row>
    <row r="11" spans="1:19">
      <c r="A11" s="10"/>
      <c r="B11" s="12"/>
      <c r="C11" s="12"/>
      <c r="D11" s="12"/>
      <c r="E11" s="24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15" t="s">
        <v>384</v>
      </c>
      <c r="B12" s="16">
        <v>2819.3830000000003</v>
      </c>
      <c r="C12" s="16">
        <v>2994.232</v>
      </c>
      <c r="D12" s="16">
        <v>3249.6310000000003</v>
      </c>
      <c r="E12" s="16">
        <v>3981.6979999999994</v>
      </c>
      <c r="F12" s="16">
        <v>4403.6660000000002</v>
      </c>
      <c r="G12" s="16">
        <v>4071.1019999999999</v>
      </c>
      <c r="H12" s="16">
        <v>4458.076</v>
      </c>
      <c r="I12" s="16">
        <v>4942.607</v>
      </c>
      <c r="J12" s="16">
        <v>5157.4340000000002</v>
      </c>
      <c r="K12" s="16">
        <v>5080.4059999999999</v>
      </c>
      <c r="L12" s="16">
        <v>5258.4269999999997</v>
      </c>
      <c r="M12" s="16">
        <v>5099.393</v>
      </c>
      <c r="N12" s="16">
        <v>5015.5389999999998</v>
      </c>
      <c r="O12" s="16">
        <v>4896.5790000000006</v>
      </c>
      <c r="P12" s="16">
        <v>5166.6424706125517</v>
      </c>
      <c r="Q12" s="16">
        <v>5526.4891266927416</v>
      </c>
      <c r="R12" s="16">
        <v>5874.4569849679983</v>
      </c>
      <c r="S12" s="16">
        <v>6519.2007338477652</v>
      </c>
    </row>
    <row r="13" spans="1:19">
      <c r="A13" s="10" t="s">
        <v>442</v>
      </c>
      <c r="B13" s="13">
        <v>0.38108651867299626</v>
      </c>
      <c r="C13" s="13">
        <v>0.38932781092410751</v>
      </c>
      <c r="D13" s="13">
        <v>0.37860645183003011</v>
      </c>
      <c r="E13" s="13">
        <v>0.35247867262045512</v>
      </c>
      <c r="F13" s="13">
        <v>0.32588608539576969</v>
      </c>
      <c r="G13" s="13">
        <v>0.30879078600963772</v>
      </c>
      <c r="H13" s="13">
        <v>0.33978921004711737</v>
      </c>
      <c r="I13" s="13">
        <v>0.34424379247480158</v>
      </c>
      <c r="J13" s="13">
        <v>0.32916000262226031</v>
      </c>
      <c r="K13" s="13">
        <v>0.34374770717572611</v>
      </c>
      <c r="L13" s="13">
        <v>0.34582025152649237</v>
      </c>
      <c r="M13" s="13">
        <v>0.38554674895054558</v>
      </c>
      <c r="N13" s="13">
        <v>0.40968664261491433</v>
      </c>
      <c r="O13" s="13">
        <v>0.44216615809461196</v>
      </c>
      <c r="P13" s="13">
        <v>0.45375721491817816</v>
      </c>
      <c r="Q13" s="13">
        <v>0.45830768693769031</v>
      </c>
      <c r="R13" s="13">
        <v>0.45289234688954327</v>
      </c>
      <c r="S13" s="13">
        <v>0.44279175795588682</v>
      </c>
    </row>
    <row r="14" spans="1:19">
      <c r="A14" s="10" t="s">
        <v>12</v>
      </c>
      <c r="B14" s="11">
        <v>588.26699999999994</v>
      </c>
      <c r="C14" s="11">
        <v>635.30799999999999</v>
      </c>
      <c r="D14" s="11">
        <v>699.86400000000003</v>
      </c>
      <c r="E14" s="11">
        <v>783.04</v>
      </c>
      <c r="F14" s="11">
        <v>776.57600000000002</v>
      </c>
      <c r="G14" s="11">
        <v>761.99900000000002</v>
      </c>
      <c r="H14" s="11">
        <v>848.07900000000006</v>
      </c>
      <c r="I14" s="11">
        <v>960.60200000000009</v>
      </c>
      <c r="J14" s="11">
        <v>1011.543</v>
      </c>
      <c r="K14" s="11">
        <v>1044.819</v>
      </c>
      <c r="L14" s="11">
        <v>1028.8870000000002</v>
      </c>
      <c r="M14" s="11">
        <v>1086.5039999999999</v>
      </c>
      <c r="N14" s="11">
        <v>1104.0120000000002</v>
      </c>
      <c r="O14" s="11">
        <v>1186.0159999999998</v>
      </c>
      <c r="P14" s="11">
        <v>1255.6735083931694</v>
      </c>
      <c r="Q14" s="11">
        <v>1354.4116574806983</v>
      </c>
      <c r="R14" s="11">
        <v>1425.440106914996</v>
      </c>
      <c r="S14" s="11">
        <v>1553.2124315937858</v>
      </c>
    </row>
    <row r="15" spans="1:19">
      <c r="A15" s="10" t="s">
        <v>501</v>
      </c>
      <c r="B15" s="14">
        <v>0.12913689871854675</v>
      </c>
      <c r="C15" s="14">
        <v>0.12957076375425389</v>
      </c>
      <c r="D15" s="14">
        <v>0.13382780204781028</v>
      </c>
      <c r="E15" s="14">
        <v>0.12734142574129903</v>
      </c>
      <c r="F15" s="14">
        <v>0.11887838163650351</v>
      </c>
      <c r="G15" s="14">
        <v>0.12937546881690565</v>
      </c>
      <c r="H15" s="14">
        <v>0.12559474233558399</v>
      </c>
      <c r="I15" s="14">
        <v>0.12744705870022052</v>
      </c>
      <c r="J15" s="14">
        <v>0.13157386085163106</v>
      </c>
      <c r="K15" s="14">
        <v>0.13496261210941898</v>
      </c>
      <c r="L15" s="14">
        <v>0.12799969246842485</v>
      </c>
      <c r="M15" s="14">
        <v>0.13091870249620619</v>
      </c>
      <c r="N15" s="14">
        <v>0.12993878231500611</v>
      </c>
      <c r="O15" s="14">
        <v>0.13511471209619216</v>
      </c>
      <c r="P15" s="14">
        <v>0.13275596255779379</v>
      </c>
      <c r="Q15" s="14">
        <v>0.13275596255779382</v>
      </c>
      <c r="R15" s="14">
        <v>0.13275596255779382</v>
      </c>
      <c r="S15" s="14">
        <v>0.13275596255779382</v>
      </c>
    </row>
    <row r="16" spans="1:19">
      <c r="A16" s="10" t="s">
        <v>636</v>
      </c>
      <c r="B16" s="11">
        <v>3407.65</v>
      </c>
      <c r="C16" s="11">
        <v>3629.54</v>
      </c>
      <c r="D16" s="11">
        <v>3949.4950000000003</v>
      </c>
      <c r="E16" s="11">
        <v>4764.7379999999994</v>
      </c>
      <c r="F16" s="11">
        <v>5180.2420000000002</v>
      </c>
      <c r="G16" s="11">
        <v>4833.1009999999997</v>
      </c>
      <c r="H16" s="11">
        <v>5306.1549999999997</v>
      </c>
      <c r="I16" s="11">
        <v>5903.2089999999998</v>
      </c>
      <c r="J16" s="11">
        <v>6168.9769999999999</v>
      </c>
      <c r="K16" s="11">
        <v>6125.2250000000004</v>
      </c>
      <c r="L16" s="11">
        <v>6287.3140000000003</v>
      </c>
      <c r="M16" s="11">
        <v>6185.8969999999999</v>
      </c>
      <c r="N16" s="11">
        <v>6119.5509999999995</v>
      </c>
      <c r="O16" s="11">
        <v>6082.5950000000003</v>
      </c>
      <c r="P16" s="11">
        <v>6422.3159790057216</v>
      </c>
      <c r="Q16" s="11">
        <v>6880.9007841734401</v>
      </c>
      <c r="R16" s="11">
        <v>7299.8970918829946</v>
      </c>
      <c r="S16" s="11">
        <v>8072.4131654415505</v>
      </c>
    </row>
    <row r="17" spans="1:19">
      <c r="A17" s="10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</row>
    <row r="18" spans="1:19">
      <c r="A18" s="1" t="s">
        <v>395</v>
      </c>
      <c r="B18" s="16">
        <v>1147.7249999999999</v>
      </c>
      <c r="C18" s="16">
        <v>1273.634</v>
      </c>
      <c r="D18" s="16">
        <v>1280.0909999999999</v>
      </c>
      <c r="E18" s="16">
        <v>1384.4000000000005</v>
      </c>
      <c r="F18" s="16">
        <v>1352.2829999999994</v>
      </c>
      <c r="G18" s="16">
        <v>1056.7249999999995</v>
      </c>
      <c r="H18" s="16">
        <v>1446.3489999999993</v>
      </c>
      <c r="I18" s="16">
        <v>1634.0540000000003</v>
      </c>
      <c r="J18" s="16">
        <v>1519.0470000000003</v>
      </c>
      <c r="K18" s="16">
        <v>1616.3189999999995</v>
      </c>
      <c r="L18" s="16">
        <v>1750.8849999999993</v>
      </c>
      <c r="M18" s="16">
        <v>2113.1770000000006</v>
      </c>
      <c r="N18" s="16">
        <v>2376.8500000000004</v>
      </c>
      <c r="O18" s="16">
        <v>2695.2499999999991</v>
      </c>
      <c r="P18" s="16">
        <v>3036.1933353802615</v>
      </c>
      <c r="Q18" s="16">
        <v>3321.3653241459542</v>
      </c>
      <c r="R18" s="16">
        <v>3437.3992182126567</v>
      </c>
      <c r="S18" s="16">
        <v>3627.34330250325</v>
      </c>
    </row>
    <row r="19" spans="1:19">
      <c r="A19" s="10" t="s">
        <v>603</v>
      </c>
      <c r="B19" s="12"/>
      <c r="C19" s="12">
        <f>C18/B18-1</f>
        <v>0.10970310832298691</v>
      </c>
      <c r="D19" s="12">
        <f t="shared" ref="D19:O19" si="4">D18/C18-1</f>
        <v>5.0697453114472157E-3</v>
      </c>
      <c r="E19" s="12">
        <f t="shared" si="4"/>
        <v>8.1485613132191936E-2</v>
      </c>
      <c r="F19" s="12">
        <f t="shared" si="4"/>
        <v>-2.3199219878648591E-2</v>
      </c>
      <c r="G19" s="12">
        <f t="shared" si="4"/>
        <v>-0.21856223882131187</v>
      </c>
      <c r="H19" s="12">
        <f t="shared" si="4"/>
        <v>0.36870898294258203</v>
      </c>
      <c r="I19" s="12">
        <f t="shared" si="4"/>
        <v>0.12977849744425529</v>
      </c>
      <c r="J19" s="12">
        <f t="shared" si="4"/>
        <v>-7.0381394984498691E-2</v>
      </c>
      <c r="K19" s="12">
        <f t="shared" si="4"/>
        <v>6.4034885029889965E-2</v>
      </c>
      <c r="L19" s="12">
        <f t="shared" si="4"/>
        <v>8.3254605062490716E-2</v>
      </c>
      <c r="M19" s="12">
        <f t="shared" si="4"/>
        <v>0.2069193579247075</v>
      </c>
      <c r="N19" s="12">
        <f t="shared" si="4"/>
        <v>0.12477563403349534</v>
      </c>
      <c r="O19" s="12">
        <f t="shared" si="4"/>
        <v>0.1339588110314065</v>
      </c>
      <c r="P19" s="12">
        <f>P18/O18-1</f>
        <v>0.12649785191735918</v>
      </c>
      <c r="Q19" s="12">
        <f>Q18/P18-1</f>
        <v>9.392418639571809E-2</v>
      </c>
      <c r="R19" s="12">
        <f>R18/Q18-1</f>
        <v>3.4935601098484703E-2</v>
      </c>
      <c r="S19" s="12">
        <f>S18/R18-1</f>
        <v>5.5258080959638578E-2</v>
      </c>
    </row>
    <row r="20" spans="1:19">
      <c r="A20" s="10" t="s">
        <v>602</v>
      </c>
      <c r="B20" s="12">
        <f>B18/B3</f>
        <v>0.25194961995444942</v>
      </c>
      <c r="C20" s="12">
        <f t="shared" ref="C20:K20" si="5">C18/C3</f>
        <v>0.25975704716985365</v>
      </c>
      <c r="D20" s="12">
        <f t="shared" si="5"/>
        <v>0.24477864978221983</v>
      </c>
      <c r="E20" s="12">
        <f t="shared" si="5"/>
        <v>0.22513724687915615</v>
      </c>
      <c r="F20" s="12">
        <f t="shared" si="5"/>
        <v>0.20700770375926605</v>
      </c>
      <c r="G20" s="12">
        <f t="shared" si="5"/>
        <v>0.17941531719273193</v>
      </c>
      <c r="H20" s="12">
        <f t="shared" si="5"/>
        <v>0.2141944677115333</v>
      </c>
      <c r="I20" s="12">
        <f t="shared" si="5"/>
        <v>0.21679673377458111</v>
      </c>
      <c r="J20" s="12">
        <f t="shared" si="5"/>
        <v>0.19758614177062928</v>
      </c>
      <c r="K20" s="12">
        <f t="shared" si="5"/>
        <v>0.20878509506630713</v>
      </c>
      <c r="L20" s="12">
        <f t="shared" ref="L20:Q20" si="6">L18/L3</f>
        <v>0.21782055905806755</v>
      </c>
      <c r="M20" s="12">
        <f t="shared" si="6"/>
        <v>0.2546280464543394</v>
      </c>
      <c r="N20" s="12">
        <f t="shared" si="6"/>
        <v>0.27974786029990822</v>
      </c>
      <c r="O20" s="12">
        <f t="shared" si="6"/>
        <v>0.30705144599841983</v>
      </c>
      <c r="P20" s="12">
        <f t="shared" si="6"/>
        <v>0.3210012523603844</v>
      </c>
      <c r="Q20" s="12">
        <f t="shared" si="6"/>
        <v>0.32555172437989643</v>
      </c>
      <c r="R20" s="12">
        <f t="shared" ref="R20:S20" si="7">R18/R3</f>
        <v>0.32013638433174946</v>
      </c>
      <c r="S20" s="12">
        <f t="shared" si="7"/>
        <v>0.31003579539809306</v>
      </c>
    </row>
    <row r="21" spans="1:19">
      <c r="A21" s="10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</row>
    <row r="22" spans="1:19">
      <c r="A22" s="10" t="s">
        <v>604</v>
      </c>
      <c r="B22" s="11">
        <v>394.13600000000002</v>
      </c>
      <c r="C22" s="11">
        <v>402.06900000000002</v>
      </c>
      <c r="D22" s="11">
        <v>421.64500000000004</v>
      </c>
      <c r="E22" s="11">
        <v>483.06599999999997</v>
      </c>
      <c r="F22" s="11">
        <v>520.35299999999995</v>
      </c>
      <c r="G22" s="11">
        <v>568.21400000000006</v>
      </c>
      <c r="H22" s="11">
        <v>643.71599999999989</v>
      </c>
      <c r="I22" s="11">
        <v>702.42600000000004</v>
      </c>
      <c r="J22" s="11">
        <v>730.49299999999994</v>
      </c>
      <c r="K22" s="11">
        <v>754.71100000000001</v>
      </c>
      <c r="L22" s="11">
        <v>772.44499999999994</v>
      </c>
      <c r="M22" s="11">
        <v>827.00800000000004</v>
      </c>
      <c r="N22" s="11">
        <v>894.91499999999996</v>
      </c>
      <c r="O22" s="11">
        <v>951.19399999999996</v>
      </c>
      <c r="P22" s="11">
        <v>1045.7897067283311</v>
      </c>
      <c r="Q22" s="11">
        <v>1161.5295948392329</v>
      </c>
      <c r="R22" s="11">
        <v>1246.6496565838167</v>
      </c>
      <c r="S22" s="11">
        <v>1385.2946480806568</v>
      </c>
    </row>
    <row r="23" spans="1:19">
      <c r="A23" s="10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</row>
    <row r="24" spans="1:19">
      <c r="A24" s="15" t="s">
        <v>552</v>
      </c>
      <c r="B24" s="16">
        <v>753.58899999999994</v>
      </c>
      <c r="C24" s="16">
        <v>871.56500000000005</v>
      </c>
      <c r="D24" s="16">
        <v>858.44599999999991</v>
      </c>
      <c r="E24" s="16">
        <v>901.33400000000051</v>
      </c>
      <c r="F24" s="16">
        <v>831.9299999999995</v>
      </c>
      <c r="G24" s="16">
        <v>488.5109999999994</v>
      </c>
      <c r="H24" s="16">
        <v>802.63299999999936</v>
      </c>
      <c r="I24" s="16">
        <v>931.62800000000027</v>
      </c>
      <c r="J24" s="16">
        <v>788.55399999999963</v>
      </c>
      <c r="K24" s="16">
        <v>861.60799999999949</v>
      </c>
      <c r="L24" s="16">
        <v>978.43999999999937</v>
      </c>
      <c r="M24" s="16">
        <v>1286.1690000000006</v>
      </c>
      <c r="N24" s="16">
        <v>1481.9350000000004</v>
      </c>
      <c r="O24" s="16">
        <v>1744.0559999999991</v>
      </c>
      <c r="P24" s="16">
        <v>1990.4036286519304</v>
      </c>
      <c r="Q24" s="16">
        <v>2159.8357293067211</v>
      </c>
      <c r="R24" s="16">
        <v>2190.7495616288397</v>
      </c>
      <c r="S24" s="16">
        <v>2242.0486544225932</v>
      </c>
    </row>
    <row r="25" spans="1:19">
      <c r="A25" s="10" t="s">
        <v>408</v>
      </c>
      <c r="B25" s="13">
        <v>0.43291026116387443</v>
      </c>
      <c r="C25" s="13">
        <v>0.15655217897288853</v>
      </c>
      <c r="D25" s="13">
        <v>-1.5052233625719391E-2</v>
      </c>
      <c r="E25" s="13">
        <v>4.9960044079651711E-2</v>
      </c>
      <c r="F25" s="13">
        <v>-7.7001422336227199E-2</v>
      </c>
      <c r="G25" s="13">
        <v>-0.41279795175074863</v>
      </c>
      <c r="H25" s="13">
        <v>0.64301929741602604</v>
      </c>
      <c r="I25" s="13">
        <v>0.16071479742298278</v>
      </c>
      <c r="J25" s="13">
        <v>-0.15357417338250956</v>
      </c>
      <c r="K25" s="13">
        <v>9.2642989573320067E-2</v>
      </c>
      <c r="L25" s="13">
        <v>0.13559762676298259</v>
      </c>
      <c r="M25" s="13">
        <v>0.31450983197743487</v>
      </c>
      <c r="N25" s="13">
        <v>0.15220861333152924</v>
      </c>
      <c r="O25" s="13">
        <v>0.17687752836662796</v>
      </c>
      <c r="P25" s="13">
        <v>0.14124983868174601</v>
      </c>
      <c r="Q25" s="13">
        <v>8.5124493452388039E-2</v>
      </c>
      <c r="R25" s="13">
        <v>1.4313047933530276E-2</v>
      </c>
      <c r="S25" s="13">
        <v>2.3416228715623877E-2</v>
      </c>
    </row>
    <row r="26" spans="1:19">
      <c r="A26" s="10" t="s">
        <v>563</v>
      </c>
      <c r="B26" s="13">
        <v>0.16542853222841147</v>
      </c>
      <c r="C26" s="13">
        <v>0.17775526628261612</v>
      </c>
      <c r="D26" s="13">
        <v>0.16415180857528683</v>
      </c>
      <c r="E26" s="13">
        <v>0.14657891886635177</v>
      </c>
      <c r="F26" s="13">
        <v>0.12735198104867559</v>
      </c>
      <c r="G26" s="13">
        <v>8.2941499460255613E-2</v>
      </c>
      <c r="H26" s="13">
        <v>0.11886449826612461</v>
      </c>
      <c r="I26" s="13">
        <v>0.12360295773147366</v>
      </c>
      <c r="J26" s="13">
        <v>0.10256913870196031</v>
      </c>
      <c r="K26" s="13">
        <v>0.11129666123450303</v>
      </c>
      <c r="L26" s="13">
        <v>0.12172378414617496</v>
      </c>
      <c r="M26" s="13">
        <v>0.15497741073281193</v>
      </c>
      <c r="N26" s="13">
        <v>0.17441914523572985</v>
      </c>
      <c r="O26" s="13">
        <v>0.19868840244957608</v>
      </c>
      <c r="P26" s="13">
        <v>0.21043523482337884</v>
      </c>
      <c r="Q26" s="13">
        <v>0.21170156770812831</v>
      </c>
      <c r="R26" s="13">
        <v>0.20403176911202553</v>
      </c>
      <c r="S26" s="13">
        <v>0.19163207888688946</v>
      </c>
    </row>
    <row r="27" spans="1:19">
      <c r="A27" s="10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</row>
    <row r="28" spans="1:19">
      <c r="A28" s="10" t="s">
        <v>564</v>
      </c>
      <c r="B28" s="11">
        <v>-309.97700000000003</v>
      </c>
      <c r="C28" s="11">
        <v>-269.75</v>
      </c>
      <c r="D28" s="11">
        <v>-267.863</v>
      </c>
      <c r="E28" s="11">
        <v>-333.78399999999999</v>
      </c>
      <c r="F28" s="11">
        <v>-327.31200000000001</v>
      </c>
      <c r="G28" s="11">
        <v>-309.94799999999998</v>
      </c>
      <c r="H28" s="11">
        <v>-371.20699999999999</v>
      </c>
      <c r="I28" s="11">
        <v>-382.416</v>
      </c>
      <c r="J28" s="11">
        <v>-355.78500000000003</v>
      </c>
      <c r="K28" s="11">
        <v>-336.62799999999999</v>
      </c>
      <c r="L28" s="11">
        <v>-258.29899999999998</v>
      </c>
      <c r="M28" s="11">
        <v>-277.72500000000002</v>
      </c>
      <c r="N28" s="11">
        <v>-307.37</v>
      </c>
      <c r="O28" s="11">
        <v>-299.98200000000003</v>
      </c>
      <c r="P28" s="11">
        <v>-318.14677211856485</v>
      </c>
      <c r="Q28" s="11">
        <v>-351.63802762506617</v>
      </c>
      <c r="R28" s="11">
        <v>-384.50958203406083</v>
      </c>
      <c r="S28" s="11">
        <v>-428.33214460469435</v>
      </c>
    </row>
    <row r="29" spans="1:19">
      <c r="A29" s="10" t="s">
        <v>10</v>
      </c>
      <c r="B29" s="11">
        <v>9.2080000000000002</v>
      </c>
      <c r="C29" s="11">
        <v>9.1289999999999996</v>
      </c>
      <c r="D29" s="11">
        <v>15.240000000000002</v>
      </c>
      <c r="E29" s="11">
        <v>20.025000000000002</v>
      </c>
      <c r="F29" s="11">
        <v>14.116</v>
      </c>
      <c r="G29" s="11">
        <v>7.0160000000000009</v>
      </c>
      <c r="H29" s="11">
        <v>9.2430000000000003</v>
      </c>
      <c r="I29" s="11">
        <v>25.318000000000001</v>
      </c>
      <c r="J29" s="11">
        <v>21.331000000000003</v>
      </c>
      <c r="K29" s="11">
        <v>13.898</v>
      </c>
      <c r="L29" s="11">
        <v>10.343999999999999</v>
      </c>
      <c r="M29" s="11">
        <v>12.025</v>
      </c>
      <c r="N29" s="11">
        <v>20.856000000000002</v>
      </c>
      <c r="O29" s="11">
        <v>30.100999999999999</v>
      </c>
      <c r="P29" s="11">
        <v>30.100999999999999</v>
      </c>
      <c r="Q29" s="11">
        <v>30.100999999999999</v>
      </c>
      <c r="R29" s="11">
        <v>30.100999999999999</v>
      </c>
      <c r="S29" s="11">
        <v>30.100999999999999</v>
      </c>
    </row>
    <row r="30" spans="1:19">
      <c r="A30" s="10" t="s">
        <v>315</v>
      </c>
      <c r="B30" s="11">
        <v>21.869</v>
      </c>
      <c r="C30" s="11">
        <v>8.3660000000000014</v>
      </c>
      <c r="D30" s="11">
        <v>-6.4359999999999999</v>
      </c>
      <c r="E30" s="11">
        <v>15.828999999999997</v>
      </c>
      <c r="F30" s="11">
        <v>54.933999999999997</v>
      </c>
      <c r="G30" s="11">
        <v>-33.094000000000001</v>
      </c>
      <c r="H30" s="11">
        <v>-11.015999999999998</v>
      </c>
      <c r="I30" s="11">
        <v>25.744</v>
      </c>
      <c r="J30" s="11">
        <v>-3.4906999999999968</v>
      </c>
      <c r="K30" s="11">
        <v>-1.726</v>
      </c>
      <c r="L30" s="11">
        <v>36.759</v>
      </c>
      <c r="M30" s="11">
        <v>44.581000000000003</v>
      </c>
      <c r="N30" s="11">
        <v>117.51300000000001</v>
      </c>
      <c r="O30" s="11">
        <v>150.91800000000001</v>
      </c>
      <c r="P30" s="11">
        <v>190.52647058823533</v>
      </c>
      <c r="Q30" s="11">
        <v>204.49841176470591</v>
      </c>
      <c r="R30" s="11">
        <v>212.11947058823534</v>
      </c>
      <c r="S30" s="11">
        <v>220.02454402630624</v>
      </c>
    </row>
    <row r="31" spans="1:19">
      <c r="A31" s="10" t="s">
        <v>6</v>
      </c>
      <c r="B31" s="11">
        <v>474.68899999999996</v>
      </c>
      <c r="C31" s="11">
        <v>619.31000000000006</v>
      </c>
      <c r="D31" s="11">
        <v>599.38699999999994</v>
      </c>
      <c r="E31" s="11">
        <v>603.40400000000045</v>
      </c>
      <c r="F31" s="11">
        <v>573.66799999999944</v>
      </c>
      <c r="G31" s="11">
        <v>152.48499999999945</v>
      </c>
      <c r="H31" s="11">
        <v>429.65299999999934</v>
      </c>
      <c r="I31" s="11">
        <v>600.27400000000023</v>
      </c>
      <c r="J31" s="11">
        <v>450.60929999999962</v>
      </c>
      <c r="K31" s="11">
        <v>537.15199999999959</v>
      </c>
      <c r="L31" s="11">
        <v>767.24399999999946</v>
      </c>
      <c r="M31" s="11">
        <v>1065.0500000000006</v>
      </c>
      <c r="N31" s="11">
        <v>1312.9340000000004</v>
      </c>
      <c r="O31" s="11">
        <v>1625.0929999999992</v>
      </c>
      <c r="P31" s="11">
        <v>1892.8843271216008</v>
      </c>
      <c r="Q31" s="11">
        <v>2042.7971134463608</v>
      </c>
      <c r="R31" s="11">
        <v>2048.4604501830145</v>
      </c>
      <c r="S31" s="11">
        <v>2063.8420538442051</v>
      </c>
    </row>
    <row r="32" spans="1:19">
      <c r="A32" s="10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</row>
    <row r="33" spans="1:19">
      <c r="A33" s="10" t="s">
        <v>309</v>
      </c>
      <c r="B33" s="11">
        <v>0</v>
      </c>
      <c r="C33" s="11">
        <v>0</v>
      </c>
      <c r="D33" s="11">
        <v>0</v>
      </c>
      <c r="E33" s="11">
        <v>0</v>
      </c>
      <c r="F33" s="11">
        <v>0</v>
      </c>
      <c r="G33" s="11">
        <v>0</v>
      </c>
      <c r="H33" s="11">
        <v>0</v>
      </c>
      <c r="I33" s="11">
        <v>0</v>
      </c>
      <c r="J33" s="11">
        <v>0</v>
      </c>
      <c r="K33" s="11">
        <v>0</v>
      </c>
      <c r="L33" s="11">
        <v>-12.55</v>
      </c>
      <c r="M33" s="11">
        <v>0</v>
      </c>
      <c r="N33" s="11">
        <v>0</v>
      </c>
      <c r="O33" s="11">
        <v>0</v>
      </c>
      <c r="P33" s="11">
        <v>0</v>
      </c>
      <c r="Q33" s="11">
        <v>0</v>
      </c>
      <c r="R33" s="11">
        <v>0</v>
      </c>
      <c r="S33" s="11">
        <v>0</v>
      </c>
    </row>
    <row r="34" spans="1:19">
      <c r="A34" s="10" t="s">
        <v>310</v>
      </c>
      <c r="B34" s="11">
        <v>0</v>
      </c>
      <c r="C34" s="11">
        <v>0</v>
      </c>
      <c r="D34" s="11">
        <v>0</v>
      </c>
      <c r="E34" s="11">
        <v>0</v>
      </c>
      <c r="F34" s="11">
        <v>0</v>
      </c>
      <c r="G34" s="11">
        <v>0</v>
      </c>
      <c r="H34" s="11">
        <v>0</v>
      </c>
      <c r="I34" s="11">
        <v>0</v>
      </c>
      <c r="J34" s="11">
        <v>0</v>
      </c>
      <c r="K34" s="11">
        <v>0</v>
      </c>
      <c r="L34" s="11">
        <v>-1.6357247498840016E-2</v>
      </c>
      <c r="M34" s="11">
        <v>0</v>
      </c>
      <c r="N34" s="11">
        <v>0</v>
      </c>
      <c r="O34" s="11">
        <v>0</v>
      </c>
      <c r="P34" s="11">
        <v>0</v>
      </c>
      <c r="Q34" s="11">
        <v>0</v>
      </c>
      <c r="R34" s="11">
        <v>0</v>
      </c>
      <c r="S34" s="11">
        <v>0</v>
      </c>
    </row>
    <row r="35" spans="1:19">
      <c r="A35" s="10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</row>
    <row r="36" spans="1:19">
      <c r="A36" s="10" t="s">
        <v>11</v>
      </c>
      <c r="B36" s="11">
        <v>0</v>
      </c>
      <c r="C36" s="11">
        <v>96.646000000000001</v>
      </c>
      <c r="D36" s="11">
        <v>34.534999999999997</v>
      </c>
      <c r="E36" s="11">
        <v>0</v>
      </c>
      <c r="F36" s="11">
        <v>0</v>
      </c>
      <c r="G36" s="11">
        <v>0</v>
      </c>
      <c r="H36" s="11">
        <v>86</v>
      </c>
      <c r="I36" s="11">
        <v>7.147000000000002</v>
      </c>
      <c r="J36" s="11">
        <v>-432.31030000000004</v>
      </c>
      <c r="K36" s="11">
        <v>25.943999999999988</v>
      </c>
      <c r="L36" s="11">
        <v>-314.38599999999997</v>
      </c>
      <c r="M36" s="11">
        <v>-399.267</v>
      </c>
      <c r="N36" s="11">
        <v>-32.963000000000001</v>
      </c>
      <c r="O36" s="11">
        <v>0</v>
      </c>
      <c r="P36" s="11">
        <v>0</v>
      </c>
      <c r="Q36" s="11">
        <v>0</v>
      </c>
      <c r="R36" s="11">
        <v>0</v>
      </c>
      <c r="S36" s="11">
        <v>0</v>
      </c>
    </row>
    <row r="37" spans="1:19">
      <c r="A37" s="15" t="s">
        <v>424</v>
      </c>
      <c r="B37" s="16">
        <v>474.68899999999996</v>
      </c>
      <c r="C37" s="16">
        <v>715.95600000000002</v>
      </c>
      <c r="D37" s="16">
        <v>633.92199999999991</v>
      </c>
      <c r="E37" s="16">
        <v>603.40400000000045</v>
      </c>
      <c r="F37" s="16">
        <v>573.66799999999944</v>
      </c>
      <c r="G37" s="16">
        <v>152.48499999999945</v>
      </c>
      <c r="H37" s="16">
        <v>515.65299999999934</v>
      </c>
      <c r="I37" s="16">
        <v>607.42100000000028</v>
      </c>
      <c r="J37" s="16">
        <v>18.29899999999958</v>
      </c>
      <c r="K37" s="16">
        <v>563.09599999999955</v>
      </c>
      <c r="L37" s="16">
        <v>440.30799999999948</v>
      </c>
      <c r="M37" s="16">
        <v>665.78300000000058</v>
      </c>
      <c r="N37" s="16">
        <v>1279.9710000000005</v>
      </c>
      <c r="O37" s="16">
        <v>1625.0929999999992</v>
      </c>
      <c r="P37" s="16">
        <v>1892.8843271216008</v>
      </c>
      <c r="Q37" s="16">
        <v>2042.7971134463608</v>
      </c>
      <c r="R37" s="16">
        <v>2048.4604501830145</v>
      </c>
      <c r="S37" s="16">
        <v>2063.8420538442051</v>
      </c>
    </row>
    <row r="38" spans="1:19">
      <c r="A38" s="10" t="s">
        <v>481</v>
      </c>
      <c r="B38" s="11">
        <v>474.68899999999996</v>
      </c>
      <c r="C38" s="11">
        <v>715.95600000000002</v>
      </c>
      <c r="D38" s="11">
        <v>633.92199999999991</v>
      </c>
      <c r="E38" s="11">
        <v>603.40400000000045</v>
      </c>
      <c r="F38" s="11">
        <v>573.66799999999944</v>
      </c>
      <c r="G38" s="11">
        <v>152.48499999999945</v>
      </c>
      <c r="H38" s="11">
        <v>515.65299999999934</v>
      </c>
      <c r="I38" s="11">
        <v>607.42100000000028</v>
      </c>
      <c r="J38" s="11">
        <v>18.29899999999958</v>
      </c>
      <c r="K38" s="11">
        <v>563.09599999999955</v>
      </c>
      <c r="L38" s="11">
        <v>440.30799999999948</v>
      </c>
      <c r="M38" s="11">
        <v>665.78300000000058</v>
      </c>
      <c r="N38" s="11">
        <v>1279.9710000000005</v>
      </c>
      <c r="O38" s="11">
        <v>1625.0929999999992</v>
      </c>
      <c r="P38" s="11">
        <v>1892.8843271216008</v>
      </c>
      <c r="Q38" s="11">
        <v>2042.7971134463608</v>
      </c>
      <c r="R38" s="11">
        <v>2048.4604501830145</v>
      </c>
      <c r="S38" s="11">
        <v>2063.8420538442051</v>
      </c>
    </row>
    <row r="39" spans="1:19">
      <c r="A39" s="10" t="s">
        <v>569</v>
      </c>
      <c r="B39" s="11">
        <v>53.080925089256539</v>
      </c>
      <c r="C39" s="11">
        <v>39</v>
      </c>
      <c r="D39" s="11">
        <v>18.036000000000001</v>
      </c>
      <c r="E39" s="11">
        <v>0</v>
      </c>
      <c r="F39" s="11">
        <v>0</v>
      </c>
      <c r="G39" s="11">
        <v>0</v>
      </c>
      <c r="H39" s="11">
        <v>0</v>
      </c>
      <c r="I39" s="11">
        <v>0</v>
      </c>
      <c r="J39" s="11">
        <v>0</v>
      </c>
      <c r="K39" s="11">
        <v>0</v>
      </c>
      <c r="L39" s="11">
        <v>0</v>
      </c>
      <c r="M39" s="11">
        <v>0</v>
      </c>
      <c r="N39" s="11">
        <v>0</v>
      </c>
      <c r="O39" s="11">
        <v>0</v>
      </c>
      <c r="P39" s="11">
        <v>0</v>
      </c>
      <c r="Q39" s="11">
        <v>0</v>
      </c>
      <c r="R39" s="11">
        <v>0</v>
      </c>
      <c r="S39" s="11">
        <v>0</v>
      </c>
    </row>
    <row r="40" spans="1:19">
      <c r="A40" s="10" t="s">
        <v>623</v>
      </c>
      <c r="B40" s="11">
        <v>234.58</v>
      </c>
      <c r="C40" s="11">
        <v>234.714</v>
      </c>
      <c r="D40" s="11">
        <v>221.48500000000001</v>
      </c>
      <c r="E40" s="11">
        <v>214.255</v>
      </c>
      <c r="F40" s="11">
        <v>214.19499999999999</v>
      </c>
      <c r="G40" s="11">
        <v>215.29499999999999</v>
      </c>
      <c r="H40" s="11">
        <v>217.71100000000001</v>
      </c>
      <c r="I40" s="11">
        <v>219.22799999999998</v>
      </c>
      <c r="J40" s="11">
        <v>218.67950000000002</v>
      </c>
      <c r="K40" s="11">
        <v>220.941</v>
      </c>
      <c r="L40" s="11">
        <v>223.04400000000001</v>
      </c>
      <c r="M40" s="11">
        <v>220.68899999999999</v>
      </c>
      <c r="N40" s="11">
        <v>216.316</v>
      </c>
      <c r="O40" s="11">
        <v>215.69399999999999</v>
      </c>
      <c r="P40" s="11">
        <v>212.60525806451608</v>
      </c>
      <c r="Q40" s="11">
        <v>207.46412903225803</v>
      </c>
      <c r="R40" s="11">
        <v>199.39961290322577</v>
      </c>
      <c r="S40" s="11">
        <v>191.33509677419352</v>
      </c>
    </row>
    <row r="41" spans="1:19">
      <c r="A41" s="15" t="s">
        <v>488</v>
      </c>
      <c r="B41" s="23">
        <v>2.2498504778295527</v>
      </c>
      <c r="C41" s="23">
        <v>2.8047325681467661</v>
      </c>
      <c r="D41" s="23">
        <v>2.787651533963925</v>
      </c>
      <c r="E41" s="23">
        <v>2.8162890014235393</v>
      </c>
      <c r="F41" s="23">
        <v>2.6782511263101356</v>
      </c>
      <c r="G41" s="23">
        <v>0.70406013576086912</v>
      </c>
      <c r="H41" s="23">
        <v>1.9735015685932236</v>
      </c>
      <c r="I41" s="23">
        <v>2.738126516685826</v>
      </c>
      <c r="J41" s="23">
        <v>2.0605923280417211</v>
      </c>
      <c r="K41" s="23">
        <v>2.4312010898837229</v>
      </c>
      <c r="L41" s="23">
        <v>3.3836104087085932</v>
      </c>
      <c r="M41" s="23">
        <v>4.8260221397532304</v>
      </c>
      <c r="N41" s="23">
        <v>6.0695186671351191</v>
      </c>
      <c r="O41" s="23">
        <v>7.5342522276929316</v>
      </c>
      <c r="P41" s="23">
        <v>8.9032808706320701</v>
      </c>
      <c r="Q41" s="23">
        <v>9.8465075527766626</v>
      </c>
      <c r="R41" s="23">
        <v>10.273141559092142</v>
      </c>
      <c r="S41" s="23">
        <v>10.786531528399486</v>
      </c>
    </row>
    <row r="42" spans="1:19">
      <c r="A42" s="10" t="s">
        <v>423</v>
      </c>
      <c r="B42" s="12">
        <v>0.10420415443295007</v>
      </c>
      <c r="C42" s="12">
        <v>0.14601888491006029</v>
      </c>
      <c r="D42" s="12">
        <v>0.12121839090130651</v>
      </c>
      <c r="E42" s="12">
        <v>9.8128225452087825E-2</v>
      </c>
      <c r="F42" s="12">
        <v>8.7817191667846572E-2</v>
      </c>
      <c r="G42" s="12">
        <v>2.5889559385964791E-2</v>
      </c>
      <c r="H42" s="12">
        <v>7.636470855848429E-2</v>
      </c>
      <c r="I42" s="12">
        <v>8.0589067941506137E-2</v>
      </c>
      <c r="J42" s="12">
        <v>2.380195483260664E-3</v>
      </c>
      <c r="K42" s="12">
        <v>7.273691139648622E-2</v>
      </c>
      <c r="L42" s="12">
        <v>5.4776946925548811E-2</v>
      </c>
      <c r="M42" s="12">
        <v>8.0223769543445511E-2</v>
      </c>
      <c r="N42" s="12">
        <v>0.15064860992318987</v>
      </c>
      <c r="O42" s="12">
        <v>0.18513575940336144</v>
      </c>
      <c r="P42" s="12">
        <v>0.2001250159200674</v>
      </c>
      <c r="Q42" s="12">
        <v>0.20022974227074616</v>
      </c>
      <c r="R42" s="12">
        <v>0.19077991246799877</v>
      </c>
      <c r="S42" s="12">
        <v>0.17640042846180226</v>
      </c>
    </row>
    <row r="43" spans="1:19">
      <c r="A43" s="10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</row>
    <row r="44" spans="1:19">
      <c r="A44" s="24" t="s">
        <v>44</v>
      </c>
      <c r="B44" s="16">
        <v>0.52</v>
      </c>
      <c r="C44" s="16">
        <v>0.56000000000000005</v>
      </c>
      <c r="D44" s="16">
        <v>0.6</v>
      </c>
      <c r="E44" s="16">
        <v>0.6002541938457342</v>
      </c>
      <c r="F44" s="16">
        <v>0.6</v>
      </c>
      <c r="G44" s="16">
        <v>0</v>
      </c>
      <c r="H44" s="16">
        <v>0</v>
      </c>
      <c r="I44" s="16">
        <v>0.30000000000000004</v>
      </c>
      <c r="J44" s="16">
        <v>0.44</v>
      </c>
      <c r="K44" s="16">
        <v>0.74</v>
      </c>
      <c r="L44" s="16">
        <v>1.1000000000000001</v>
      </c>
      <c r="M44" s="16">
        <v>1.425</v>
      </c>
      <c r="N44" s="16">
        <v>1.8149999999999999</v>
      </c>
      <c r="O44" s="16">
        <v>2.2800000000000002</v>
      </c>
      <c r="P44" s="16">
        <v>2.6219999999999999</v>
      </c>
      <c r="Q44" s="16">
        <v>2.8842000000000003</v>
      </c>
      <c r="R44" s="16">
        <v>3.1726200000000007</v>
      </c>
      <c r="S44" s="16">
        <v>3.489882000000001</v>
      </c>
    </row>
    <row r="45" spans="1:19">
      <c r="A45" s="30" t="s">
        <v>480</v>
      </c>
      <c r="B45" s="31">
        <v>0.23112647045844925</v>
      </c>
      <c r="C45" s="31">
        <v>0.19966252981118318</v>
      </c>
      <c r="D45" s="31">
        <v>0.21523493617827649</v>
      </c>
      <c r="E45" s="31">
        <v>0.2131365756647581</v>
      </c>
      <c r="F45" s="31">
        <v>0.22402678901385489</v>
      </c>
      <c r="G45" s="31">
        <v>0</v>
      </c>
      <c r="H45" s="31">
        <v>0</v>
      </c>
      <c r="I45" s="31">
        <v>0.10956396578895634</v>
      </c>
      <c r="J45" s="31">
        <v>0.2135308348052295</v>
      </c>
      <c r="K45" s="31">
        <v>0.30437630316930797</v>
      </c>
      <c r="L45" s="31">
        <v>0.32509652918931409</v>
      </c>
      <c r="M45" s="31">
        <v>0.2952742359513636</v>
      </c>
      <c r="N45" s="31">
        <v>0.29903524472669596</v>
      </c>
      <c r="O45" s="31">
        <v>0.3026179547878185</v>
      </c>
      <c r="P45" s="31">
        <v>0.29449817860388994</v>
      </c>
      <c r="Q45" s="31">
        <v>0.29291603998076166</v>
      </c>
      <c r="R45" s="31">
        <v>0.30882666044761203</v>
      </c>
      <c r="S45" s="31">
        <v>0.32354070359054821</v>
      </c>
    </row>
  </sheetData>
  <customSheetViews>
    <customSheetView guid="{02BAE5C0-B718-491D-AA2C-366929DD884D}" hiddenColumns="1">
      <selection activeCell="M2" sqref="M2"/>
      <pageMargins left="0.75" right="0.75" top="1" bottom="1" header="0.5" footer="0.5"/>
      <pageSetup orientation="portrait" r:id="rId1"/>
      <headerFooter alignWithMargins="0"/>
    </customSheetView>
    <customSheetView guid="{0F63984D-41C2-41FC-9021-7F5BFFA3B850}" hiddenColumns="1">
      <selection activeCell="M2" sqref="M2"/>
      <pageMargins left="0.75" right="0.75" top="1" bottom="1" header="0.5" footer="0.5"/>
      <pageSetup orientation="portrait" r:id="rId2"/>
      <headerFooter alignWithMargins="0"/>
    </customSheetView>
  </customSheetViews>
  <phoneticPr fontId="10" type="noConversion"/>
  <pageMargins left="0.75" right="0.75" top="1" bottom="1" header="0.5" footer="0.5"/>
  <pageSetup orientation="portrait" r:id="rId3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S40"/>
  <sheetViews>
    <sheetView zoomScale="115" workbookViewId="0"/>
  </sheetViews>
  <sheetFormatPr defaultColWidth="8.140625" defaultRowHeight="12.75" outlineLevelCol="1"/>
  <cols>
    <col min="1" max="1" width="40.28515625" customWidth="1"/>
    <col min="2" max="3" width="8.140625" hidden="1" customWidth="1" outlineLevel="1"/>
    <col min="4" max="4" width="8.140625" hidden="1" customWidth="1" outlineLevel="1" collapsed="1"/>
    <col min="5" max="5" width="8.140625" hidden="1" customWidth="1" outlineLevel="1"/>
    <col min="6" max="6" width="8.140625" customWidth="1" collapsed="1"/>
  </cols>
  <sheetData>
    <row r="1" spans="1:19" ht="13.5" thickBot="1">
      <c r="A1" s="25" t="s">
        <v>379</v>
      </c>
      <c r="B1" s="18"/>
      <c r="C1" s="9"/>
      <c r="D1" s="9"/>
      <c r="E1" s="9"/>
      <c r="F1" s="9"/>
      <c r="G1" s="9"/>
      <c r="H1" s="9"/>
      <c r="I1" s="9"/>
      <c r="J1" s="9"/>
      <c r="K1" s="9"/>
    </row>
    <row r="2" spans="1:19">
      <c r="A2" s="32" t="s">
        <v>287</v>
      </c>
      <c r="B2" s="28">
        <v>2004</v>
      </c>
      <c r="C2" s="28">
        <v>2005</v>
      </c>
      <c r="D2" s="28">
        <v>2006</v>
      </c>
      <c r="E2" s="28">
        <v>2007</v>
      </c>
      <c r="F2" s="28">
        <v>2008</v>
      </c>
      <c r="G2" s="28">
        <v>2009</v>
      </c>
      <c r="H2" s="28">
        <v>2010</v>
      </c>
      <c r="I2" s="28">
        <v>2011</v>
      </c>
      <c r="J2" s="28">
        <v>2012</v>
      </c>
      <c r="K2" s="28">
        <v>2013</v>
      </c>
      <c r="L2" s="28">
        <v>2014</v>
      </c>
      <c r="M2" s="28">
        <v>2015</v>
      </c>
      <c r="N2" s="29">
        <v>2016</v>
      </c>
      <c r="O2" s="29">
        <v>2017</v>
      </c>
      <c r="P2" s="29" t="s">
        <v>316</v>
      </c>
      <c r="Q2" s="29" t="s">
        <v>317</v>
      </c>
      <c r="R2" s="29" t="s">
        <v>734</v>
      </c>
      <c r="S2" s="29" t="s">
        <v>825</v>
      </c>
    </row>
    <row r="3" spans="1:19">
      <c r="A3" s="17" t="s">
        <v>565</v>
      </c>
      <c r="B3" s="19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</row>
    <row r="4" spans="1:19">
      <c r="A4" s="9" t="s">
        <v>649</v>
      </c>
      <c r="B4" s="11">
        <v>474.68900000000002</v>
      </c>
      <c r="C4" s="20">
        <v>715.95600000000002</v>
      </c>
      <c r="D4" s="20">
        <v>633.92199999999991</v>
      </c>
      <c r="E4" s="20">
        <v>603.40400000000045</v>
      </c>
      <c r="F4" s="20">
        <v>573.66799999999944</v>
      </c>
      <c r="G4" s="20">
        <v>152.48499999999945</v>
      </c>
      <c r="H4" s="20">
        <v>515.65299999999934</v>
      </c>
      <c r="I4" s="20">
        <v>607.42100000000028</v>
      </c>
      <c r="J4" s="20">
        <v>450.60929999999962</v>
      </c>
      <c r="K4" s="20">
        <v>537.15199999999959</v>
      </c>
      <c r="L4" s="20">
        <v>754.69399999999951</v>
      </c>
      <c r="M4" s="20">
        <v>1065.0500000000006</v>
      </c>
      <c r="N4" s="20">
        <v>1312.9340000000004</v>
      </c>
      <c r="O4" s="20">
        <v>1625.0929999999992</v>
      </c>
      <c r="P4" s="20">
        <v>1892.8843271216008</v>
      </c>
      <c r="Q4" s="20">
        <v>2042.7971134463608</v>
      </c>
      <c r="R4" s="20">
        <v>2048.4604501830145</v>
      </c>
      <c r="S4" s="20">
        <v>2063.8420538442051</v>
      </c>
    </row>
    <row r="5" spans="1:19">
      <c r="A5" s="9" t="s">
        <v>650</v>
      </c>
      <c r="B5" s="11">
        <v>394.13600000000002</v>
      </c>
      <c r="C5" s="20">
        <v>402.06900000000002</v>
      </c>
      <c r="D5" s="20">
        <v>421.64500000000004</v>
      </c>
      <c r="E5" s="20">
        <v>483.06599999999997</v>
      </c>
      <c r="F5" s="20">
        <v>520.35299999999995</v>
      </c>
      <c r="G5" s="20">
        <v>568.21400000000006</v>
      </c>
      <c r="H5" s="20">
        <v>643.71599999999989</v>
      </c>
      <c r="I5" s="20">
        <v>702.42600000000004</v>
      </c>
      <c r="J5" s="20">
        <v>730.49299999999994</v>
      </c>
      <c r="K5" s="20">
        <v>754.71100000000001</v>
      </c>
      <c r="L5" s="20">
        <v>772.44499999999994</v>
      </c>
      <c r="M5" s="20">
        <v>827.00800000000004</v>
      </c>
      <c r="N5" s="20">
        <v>894.91499999999996</v>
      </c>
      <c r="O5" s="20">
        <v>951.19399999999996</v>
      </c>
      <c r="P5" s="20">
        <v>1045.7897067283311</v>
      </c>
      <c r="Q5" s="20">
        <v>1161.5295948392329</v>
      </c>
      <c r="R5" s="20">
        <v>1246.6496565838167</v>
      </c>
      <c r="S5" s="20">
        <v>1385.2946480806568</v>
      </c>
    </row>
    <row r="6" spans="1:19">
      <c r="A6" s="9" t="s">
        <v>651</v>
      </c>
      <c r="B6" s="11">
        <v>52.561999999999998</v>
      </c>
      <c r="C6" s="20">
        <v>45.718000000000004</v>
      </c>
      <c r="D6" s="20">
        <v>17.902000000000001</v>
      </c>
      <c r="E6" s="20">
        <v>1.81</v>
      </c>
      <c r="F6" s="20">
        <v>1.75</v>
      </c>
      <c r="G6" s="20">
        <v>0</v>
      </c>
      <c r="H6" s="20">
        <v>0</v>
      </c>
      <c r="I6" s="20">
        <v>0</v>
      </c>
      <c r="J6" s="20">
        <v>0</v>
      </c>
      <c r="K6" s="20">
        <v>0</v>
      </c>
      <c r="L6" s="20">
        <v>0</v>
      </c>
      <c r="M6" s="20">
        <v>0</v>
      </c>
      <c r="N6" s="20">
        <v>0</v>
      </c>
      <c r="O6" s="20">
        <v>0</v>
      </c>
      <c r="P6" s="20">
        <v>0</v>
      </c>
      <c r="Q6" s="20">
        <v>0</v>
      </c>
      <c r="R6" s="20">
        <v>0</v>
      </c>
      <c r="S6" s="20">
        <v>0</v>
      </c>
    </row>
    <row r="7" spans="1:19">
      <c r="A7" s="9" t="s">
        <v>482</v>
      </c>
      <c r="B7" s="11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</row>
    <row r="8" spans="1:19">
      <c r="A8" s="9" t="s">
        <v>655</v>
      </c>
      <c r="B8" s="11">
        <v>-3.2559999999999998</v>
      </c>
      <c r="C8" s="20">
        <v>-19.349</v>
      </c>
      <c r="D8" s="20">
        <v>-38.854999999999997</v>
      </c>
      <c r="E8" s="20">
        <v>-122.682</v>
      </c>
      <c r="F8" s="20">
        <v>28.15</v>
      </c>
      <c r="G8" s="20">
        <v>-3.633</v>
      </c>
      <c r="H8" s="20">
        <v>146.49799999999999</v>
      </c>
      <c r="I8" s="20">
        <v>85.793000000000006</v>
      </c>
      <c r="J8" s="20">
        <v>8.0259999999999998</v>
      </c>
      <c r="K8" s="20">
        <v>95.400999999999996</v>
      </c>
      <c r="L8" s="20">
        <v>100.095</v>
      </c>
      <c r="M8" s="20">
        <v>63.101999999999997</v>
      </c>
      <c r="N8" s="20">
        <v>4.7590000000000003</v>
      </c>
      <c r="O8" s="20">
        <v>-32.042999999999999</v>
      </c>
      <c r="P8" s="20">
        <v>0</v>
      </c>
      <c r="Q8" s="20">
        <v>0</v>
      </c>
      <c r="R8" s="20">
        <v>0</v>
      </c>
      <c r="S8" s="20">
        <v>0</v>
      </c>
    </row>
    <row r="9" spans="1:19">
      <c r="A9" s="9" t="s">
        <v>389</v>
      </c>
      <c r="B9" s="11">
        <v>-6.8130000000000006</v>
      </c>
      <c r="C9" s="20">
        <v>2.4569999999999999</v>
      </c>
      <c r="D9" s="20">
        <v>-7.4409999999999998</v>
      </c>
      <c r="E9" s="20">
        <v>-19.423999999999999</v>
      </c>
      <c r="F9" s="20">
        <v>-0.14000000000000001</v>
      </c>
      <c r="G9" s="20">
        <v>-11.295</v>
      </c>
      <c r="H9" s="20">
        <v>-20.274000000000001</v>
      </c>
      <c r="I9" s="20">
        <v>-18.422999999999998</v>
      </c>
      <c r="J9" s="20">
        <v>-1.645</v>
      </c>
      <c r="K9" s="20">
        <v>-4.3209999999999997</v>
      </c>
      <c r="L9" s="20">
        <v>26.254000000000001</v>
      </c>
      <c r="M9" s="20">
        <v>1.1970000000000001</v>
      </c>
      <c r="N9" s="20">
        <v>-1.679</v>
      </c>
      <c r="O9" s="20">
        <v>2.4239999999999999</v>
      </c>
      <c r="P9" s="20">
        <v>0</v>
      </c>
      <c r="Q9" s="20">
        <v>0</v>
      </c>
      <c r="R9" s="20">
        <v>0</v>
      </c>
      <c r="S9" s="20">
        <v>0</v>
      </c>
    </row>
    <row r="10" spans="1:19">
      <c r="A10" s="9" t="s">
        <v>388</v>
      </c>
      <c r="B10" s="11">
        <v>-17.195999999999998</v>
      </c>
      <c r="C10" s="20">
        <v>-5.0090000000000003</v>
      </c>
      <c r="D10" s="20">
        <v>0.70699999999999996</v>
      </c>
      <c r="E10" s="20">
        <v>-37.65</v>
      </c>
      <c r="F10" s="20">
        <v>12.884</v>
      </c>
      <c r="G10" s="20">
        <v>-3.085</v>
      </c>
      <c r="H10" s="20">
        <v>-10.954000000000001</v>
      </c>
      <c r="I10" s="20">
        <v>13.553000000000001</v>
      </c>
      <c r="J10" s="20">
        <v>-1.6140000000000001</v>
      </c>
      <c r="K10" s="20">
        <v>-22.657</v>
      </c>
      <c r="L10" s="20">
        <v>41.076999999999998</v>
      </c>
      <c r="M10" s="20">
        <v>14.904999999999999</v>
      </c>
      <c r="N10" s="20">
        <v>11.519</v>
      </c>
      <c r="O10" s="20">
        <v>20.859000000000002</v>
      </c>
      <c r="P10" s="20">
        <v>0</v>
      </c>
      <c r="Q10" s="20">
        <v>0</v>
      </c>
      <c r="R10" s="20">
        <v>0</v>
      </c>
      <c r="S10" s="20">
        <v>0</v>
      </c>
    </row>
    <row r="11" spans="1:19">
      <c r="A11" s="9" t="s">
        <v>390</v>
      </c>
      <c r="B11" s="11">
        <v>-25.986999999999998</v>
      </c>
      <c r="C11" s="20">
        <v>-3.7410000000000001</v>
      </c>
      <c r="D11" s="20">
        <v>-29.670999999999999</v>
      </c>
      <c r="E11" s="20">
        <v>23.398</v>
      </c>
      <c r="F11" s="20">
        <v>22.321999999999999</v>
      </c>
      <c r="G11" s="20">
        <v>16.423999999999999</v>
      </c>
      <c r="H11" s="20">
        <v>-15.507</v>
      </c>
      <c r="I11" s="20">
        <v>28.228999999999999</v>
      </c>
      <c r="J11" s="20">
        <v>36.601999999999997</v>
      </c>
      <c r="K11" s="20">
        <v>18.957000000000001</v>
      </c>
      <c r="L11" s="20">
        <v>-40.651000000000003</v>
      </c>
      <c r="M11" s="20">
        <v>-25.277999999999999</v>
      </c>
      <c r="N11" s="20">
        <v>29.564</v>
      </c>
      <c r="O11" s="20">
        <v>36.78</v>
      </c>
      <c r="P11" s="20">
        <v>0</v>
      </c>
      <c r="Q11" s="20">
        <v>0</v>
      </c>
      <c r="R11" s="20">
        <v>0</v>
      </c>
      <c r="S11" s="20">
        <v>0</v>
      </c>
    </row>
    <row r="12" spans="1:19">
      <c r="A12" s="9" t="s">
        <v>609</v>
      </c>
      <c r="B12" s="11">
        <v>53.850999999999999</v>
      </c>
      <c r="C12" s="20">
        <v>31.771999999999998</v>
      </c>
      <c r="D12" s="20">
        <v>21.815000000000001</v>
      </c>
      <c r="E12" s="20">
        <v>150.19499999999999</v>
      </c>
      <c r="F12" s="20">
        <v>36.195</v>
      </c>
      <c r="G12" s="20">
        <v>34.058999999999997</v>
      </c>
      <c r="H12" s="20">
        <v>85.327999999999989</v>
      </c>
      <c r="I12" s="20">
        <v>-3.2349999999999994</v>
      </c>
      <c r="J12" s="20">
        <v>17.274000000000001</v>
      </c>
      <c r="K12" s="20">
        <v>-10.055</v>
      </c>
      <c r="L12" s="20">
        <v>16.613999999999997</v>
      </c>
      <c r="M12" s="20">
        <v>31.004999999999995</v>
      </c>
      <c r="N12" s="20">
        <v>28.559000000000001</v>
      </c>
      <c r="O12" s="20">
        <v>35.518000000000001</v>
      </c>
      <c r="P12" s="20">
        <v>0</v>
      </c>
      <c r="Q12" s="20">
        <v>0</v>
      </c>
      <c r="R12" s="20">
        <v>0</v>
      </c>
      <c r="S12" s="20">
        <v>0</v>
      </c>
    </row>
    <row r="13" spans="1:19">
      <c r="A13" s="9" t="s">
        <v>638</v>
      </c>
      <c r="B13" s="11">
        <v>145.273</v>
      </c>
      <c r="C13" s="20">
        <v>9.9120000000000008</v>
      </c>
      <c r="D13" s="20">
        <v>9.7240000000000002</v>
      </c>
      <c r="E13" s="20">
        <v>184.71299999999999</v>
      </c>
      <c r="F13" s="20">
        <v>-118.541</v>
      </c>
      <c r="G13" s="20">
        <v>32.037999999999997</v>
      </c>
      <c r="H13" s="20">
        <v>135.97499999999999</v>
      </c>
      <c r="I13" s="20">
        <v>19.481999999999999</v>
      </c>
      <c r="J13" s="20">
        <v>103.733</v>
      </c>
      <c r="K13" s="20">
        <v>37.076999999999998</v>
      </c>
      <c r="L13" s="20">
        <v>14.885</v>
      </c>
      <c r="M13" s="20">
        <v>-92.849000000000004</v>
      </c>
      <c r="N13" s="20">
        <v>188.63200000000001</v>
      </c>
      <c r="O13" s="20">
        <v>274.70499999999998</v>
      </c>
      <c r="P13" s="20">
        <v>99.241768632685762</v>
      </c>
      <c r="Q13" s="20">
        <v>159.21121919455845</v>
      </c>
      <c r="R13" s="20">
        <v>105.14489081267766</v>
      </c>
      <c r="S13" s="20">
        <v>205.58041754762189</v>
      </c>
    </row>
    <row r="14" spans="1:19">
      <c r="A14" s="9" t="s">
        <v>648</v>
      </c>
      <c r="B14" s="11">
        <v>9.3699999999999992</v>
      </c>
      <c r="C14" s="20">
        <v>28.273</v>
      </c>
      <c r="D14" s="20">
        <v>-81.24199999999999</v>
      </c>
      <c r="E14" s="20">
        <v>1.863</v>
      </c>
      <c r="F14" s="20">
        <v>-5.4409999999999998</v>
      </c>
      <c r="G14" s="20">
        <v>49.738</v>
      </c>
      <c r="H14" s="20">
        <v>179.75799999999998</v>
      </c>
      <c r="I14" s="20">
        <v>39.412999999999997</v>
      </c>
      <c r="J14" s="20">
        <v>38.256</v>
      </c>
      <c r="K14" s="20">
        <v>12.256</v>
      </c>
      <c r="L14" s="20">
        <v>27.292999999999999</v>
      </c>
      <c r="M14" s="20">
        <v>1.0649999999999977</v>
      </c>
      <c r="N14" s="20">
        <v>71.650999999999996</v>
      </c>
      <c r="O14" s="20">
        <v>91.717000000000013</v>
      </c>
      <c r="P14" s="20">
        <v>0</v>
      </c>
      <c r="Q14" s="20">
        <v>0</v>
      </c>
      <c r="R14" s="20">
        <v>0</v>
      </c>
      <c r="S14" s="20">
        <v>0</v>
      </c>
    </row>
    <row r="15" spans="1:19">
      <c r="A15" s="17" t="s">
        <v>433</v>
      </c>
      <c r="B15" s="16">
        <v>1076.6289999999999</v>
      </c>
      <c r="C15" s="21">
        <v>1111.3600000000001</v>
      </c>
      <c r="D15" s="21">
        <v>948.50600000000009</v>
      </c>
      <c r="E15" s="21">
        <v>1268.6930000000004</v>
      </c>
      <c r="F15" s="21">
        <v>1071.1999999999991</v>
      </c>
      <c r="G15" s="21">
        <v>834.94499999999948</v>
      </c>
      <c r="H15" s="21">
        <v>1663.0189999999993</v>
      </c>
      <c r="I15" s="21">
        <v>1455.7390000000005</v>
      </c>
      <c r="J15" s="21">
        <v>1381.7342999999996</v>
      </c>
      <c r="K15" s="21">
        <v>1418.521</v>
      </c>
      <c r="L15" s="21">
        <v>1712.7059999999992</v>
      </c>
      <c r="M15" s="21">
        <v>1885.2050000000006</v>
      </c>
      <c r="N15" s="21">
        <v>2540.8539999999998</v>
      </c>
      <c r="O15" s="21">
        <v>3006.2469999999994</v>
      </c>
      <c r="P15" s="21">
        <v>3037.9158024826179</v>
      </c>
      <c r="Q15" s="21">
        <v>3363.5379274801521</v>
      </c>
      <c r="R15" s="21">
        <v>3400.2549975795091</v>
      </c>
      <c r="S15" s="21">
        <v>3654.7171194724838</v>
      </c>
    </row>
    <row r="16" spans="1:19">
      <c r="A16" s="9"/>
      <c r="B16" s="11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</row>
    <row r="17" spans="1:19">
      <c r="A17" s="17" t="s">
        <v>434</v>
      </c>
      <c r="B17" s="16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</row>
    <row r="18" spans="1:19">
      <c r="A18" s="9" t="s">
        <v>435</v>
      </c>
      <c r="B18" s="11">
        <v>-630.67000000000007</v>
      </c>
      <c r="C18" s="20">
        <v>-429.89800000000002</v>
      </c>
      <c r="D18" s="20">
        <v>-1180.579</v>
      </c>
      <c r="E18" s="20">
        <v>-1317.3810000000001</v>
      </c>
      <c r="F18" s="20">
        <v>-2223.5340000000001</v>
      </c>
      <c r="G18" s="20">
        <v>-2477.549</v>
      </c>
      <c r="H18" s="20">
        <v>-2187.1889999999999</v>
      </c>
      <c r="I18" s="20">
        <v>-1173.626</v>
      </c>
      <c r="J18" s="20">
        <v>-1291.499</v>
      </c>
      <c r="K18" s="20">
        <v>-763.77700000000004</v>
      </c>
      <c r="L18" s="20">
        <v>-1811.3979999999999</v>
      </c>
      <c r="M18" s="20">
        <v>-1613.34</v>
      </c>
      <c r="N18" s="20">
        <v>-2494.3629999999998</v>
      </c>
      <c r="O18" s="20">
        <v>-564.13800000000003</v>
      </c>
      <c r="P18" s="20">
        <v>-3380.2135379183351</v>
      </c>
      <c r="Q18" s="20">
        <v>-2132.4862388576757</v>
      </c>
      <c r="R18" s="20">
        <v>-2552.2876981299128</v>
      </c>
      <c r="S18" s="20">
        <v>-2567.345742631735</v>
      </c>
    </row>
    <row r="19" spans="1:19">
      <c r="A19" s="9" t="s">
        <v>118</v>
      </c>
      <c r="B19" s="11"/>
      <c r="C19" s="20"/>
      <c r="D19" s="20">
        <v>-386</v>
      </c>
      <c r="E19" s="20">
        <v>-300</v>
      </c>
      <c r="F19" s="20">
        <v>-300</v>
      </c>
      <c r="G19" s="20">
        <v>-345</v>
      </c>
      <c r="H19" s="20">
        <v>-353.28500000000003</v>
      </c>
      <c r="I19" s="20">
        <v>-414.34699999999987</v>
      </c>
      <c r="J19" s="20">
        <v>-501.7299999999999</v>
      </c>
      <c r="K19" s="20">
        <v>-620.25800000000004</v>
      </c>
      <c r="L19" s="20">
        <v>-350</v>
      </c>
      <c r="M19" s="20">
        <v>-350</v>
      </c>
      <c r="N19" s="20">
        <v>-544.35852899999998</v>
      </c>
      <c r="O19" s="20">
        <v>-532.84986000000004</v>
      </c>
      <c r="P19" s="20">
        <v>-580.21353791833508</v>
      </c>
      <c r="Q19" s="20">
        <v>-590.48623885767574</v>
      </c>
      <c r="R19" s="20">
        <v>-609.28769812991266</v>
      </c>
      <c r="S19" s="20">
        <v>-624.34574263173499</v>
      </c>
    </row>
    <row r="20" spans="1:19">
      <c r="A20" s="9" t="s">
        <v>385</v>
      </c>
      <c r="B20" s="11">
        <v>0</v>
      </c>
      <c r="C20" s="20">
        <v>0</v>
      </c>
      <c r="D20" s="20">
        <v>-553.31200000000001</v>
      </c>
      <c r="E20" s="20">
        <v>0</v>
      </c>
      <c r="F20" s="20">
        <v>0</v>
      </c>
      <c r="G20" s="20">
        <v>290.928</v>
      </c>
      <c r="H20" s="20">
        <v>0</v>
      </c>
      <c r="I20" s="20">
        <v>345</v>
      </c>
      <c r="J20" s="20">
        <v>9.8109999999999999</v>
      </c>
      <c r="K20" s="20">
        <v>0</v>
      </c>
      <c r="L20" s="20">
        <v>146.40106893558462</v>
      </c>
      <c r="M20" s="20">
        <v>146.40106893558462</v>
      </c>
      <c r="N20" s="20">
        <v>200</v>
      </c>
      <c r="O20" s="20">
        <v>0</v>
      </c>
      <c r="P20" s="20">
        <v>0</v>
      </c>
      <c r="Q20" s="20">
        <v>0</v>
      </c>
      <c r="R20" s="20">
        <v>0</v>
      </c>
      <c r="S20" s="20">
        <v>0</v>
      </c>
    </row>
    <row r="21" spans="1:19">
      <c r="A21" s="9" t="s">
        <v>652</v>
      </c>
      <c r="B21" s="11">
        <v>0</v>
      </c>
      <c r="C21" s="20">
        <v>0</v>
      </c>
      <c r="D21" s="20">
        <v>-100</v>
      </c>
      <c r="E21" s="20">
        <v>100</v>
      </c>
      <c r="F21" s="20">
        <v>0</v>
      </c>
      <c r="G21" s="20">
        <v>0</v>
      </c>
      <c r="H21" s="20">
        <v>0</v>
      </c>
      <c r="I21" s="20">
        <v>-110.66</v>
      </c>
      <c r="J21" s="20">
        <v>23.512</v>
      </c>
      <c r="K21" s="20">
        <v>-47.254000000000005</v>
      </c>
      <c r="L21" s="20">
        <v>-112.428</v>
      </c>
      <c r="M21" s="20">
        <v>68.09</v>
      </c>
      <c r="N21" s="20">
        <v>29.058</v>
      </c>
      <c r="O21" s="20">
        <v>51.906999999999996</v>
      </c>
      <c r="P21" s="20">
        <v>0</v>
      </c>
      <c r="Q21" s="20">
        <v>0</v>
      </c>
      <c r="R21" s="20">
        <v>0</v>
      </c>
      <c r="S21" s="20">
        <v>0</v>
      </c>
    </row>
    <row r="22" spans="1:19">
      <c r="A22" s="9" t="s">
        <v>615</v>
      </c>
      <c r="B22" s="11">
        <v>0</v>
      </c>
      <c r="C22" s="20">
        <v>348.07</v>
      </c>
      <c r="D22" s="20">
        <v>0</v>
      </c>
      <c r="E22" s="20">
        <v>0</v>
      </c>
      <c r="F22" s="20">
        <v>0</v>
      </c>
      <c r="G22" s="20">
        <v>0</v>
      </c>
      <c r="H22" s="20">
        <v>0</v>
      </c>
      <c r="I22" s="20">
        <v>0</v>
      </c>
      <c r="J22" s="20">
        <v>0</v>
      </c>
      <c r="K22" s="20">
        <v>0</v>
      </c>
      <c r="L22" s="20">
        <v>0</v>
      </c>
      <c r="M22" s="20">
        <v>0</v>
      </c>
      <c r="N22" s="20">
        <v>0</v>
      </c>
      <c r="O22" s="20">
        <v>0</v>
      </c>
      <c r="P22" s="20">
        <v>0</v>
      </c>
      <c r="Q22" s="20">
        <v>0</v>
      </c>
      <c r="R22" s="20">
        <v>0</v>
      </c>
      <c r="S22" s="20">
        <v>0</v>
      </c>
    </row>
    <row r="23" spans="1:19">
      <c r="A23" s="9" t="s">
        <v>659</v>
      </c>
      <c r="B23" s="11">
        <v>-1.8399999999999999</v>
      </c>
      <c r="C23" s="20">
        <v>-7.1980000000000004</v>
      </c>
      <c r="D23" s="20">
        <v>-15.186999999999999</v>
      </c>
      <c r="E23" s="20">
        <v>46.823</v>
      </c>
      <c r="F23" s="20">
        <v>246.285</v>
      </c>
      <c r="G23" s="20">
        <v>-87.835999999999999</v>
      </c>
      <c r="H23" s="20">
        <v>-100.729</v>
      </c>
      <c r="I23" s="20">
        <v>14.720999999999998</v>
      </c>
      <c r="J23" s="20">
        <v>-5.1469999999999994</v>
      </c>
      <c r="K23" s="20">
        <v>-13.507000000000001</v>
      </c>
      <c r="L23" s="20">
        <v>-66.551999999999992</v>
      </c>
      <c r="M23" s="20">
        <v>-197.72500000000002</v>
      </c>
      <c r="N23" s="20">
        <v>-459.58699999999999</v>
      </c>
      <c r="O23" s="20">
        <v>68.638999999999996</v>
      </c>
      <c r="P23" s="20">
        <v>400</v>
      </c>
      <c r="Q23" s="20">
        <v>500</v>
      </c>
      <c r="R23" s="20">
        <v>300</v>
      </c>
      <c r="S23" s="20">
        <v>300</v>
      </c>
    </row>
    <row r="24" spans="1:19">
      <c r="A24" s="17" t="s">
        <v>434</v>
      </c>
      <c r="B24" s="16">
        <v>-632.5100000000001</v>
      </c>
      <c r="C24" s="21">
        <v>-89.02600000000001</v>
      </c>
      <c r="D24" s="21">
        <v>-1849.078</v>
      </c>
      <c r="E24" s="21">
        <v>-1170.558</v>
      </c>
      <c r="F24" s="21">
        <v>-1977.249</v>
      </c>
      <c r="G24" s="21">
        <v>-2274.4569999999999</v>
      </c>
      <c r="H24" s="21">
        <v>-2287.9179999999997</v>
      </c>
      <c r="I24" s="21">
        <v>-924.56499999999994</v>
      </c>
      <c r="J24" s="21">
        <v>-1263.3230000000001</v>
      </c>
      <c r="K24" s="21">
        <v>-824.53800000000001</v>
      </c>
      <c r="L24" s="21">
        <v>-1843.9769310644153</v>
      </c>
      <c r="M24" s="21">
        <v>-1596.5739310644153</v>
      </c>
      <c r="N24" s="21">
        <v>-2724.8919999999998</v>
      </c>
      <c r="O24" s="21">
        <v>-443.59200000000004</v>
      </c>
      <c r="P24" s="21">
        <v>-2980.2135379183351</v>
      </c>
      <c r="Q24" s="21">
        <v>-1632.4862388576757</v>
      </c>
      <c r="R24" s="21">
        <v>-2252.2876981299128</v>
      </c>
      <c r="S24" s="21">
        <v>-2267.345742631735</v>
      </c>
    </row>
    <row r="25" spans="1:19">
      <c r="A25" s="9"/>
      <c r="B25" s="11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</row>
    <row r="26" spans="1:19">
      <c r="A26" s="9" t="s">
        <v>26</v>
      </c>
      <c r="B26" s="11">
        <v>444.1189999999998</v>
      </c>
      <c r="C26" s="20">
        <v>1022.3340000000001</v>
      </c>
      <c r="D26" s="20">
        <v>-900.57199999999989</v>
      </c>
      <c r="E26" s="20">
        <v>98.135000000000446</v>
      </c>
      <c r="F26" s="20">
        <v>-906.04900000000089</v>
      </c>
      <c r="G26" s="20">
        <v>-1439.5120000000004</v>
      </c>
      <c r="H26" s="20">
        <v>-624.89900000000034</v>
      </c>
      <c r="I26" s="20">
        <v>531.17400000000055</v>
      </c>
      <c r="J26" s="20">
        <v>118.41129999999953</v>
      </c>
      <c r="K26" s="20">
        <v>593.98299999999995</v>
      </c>
      <c r="L26" s="20">
        <v>-131.27093106441612</v>
      </c>
      <c r="M26" s="20">
        <v>288.63106893558529</v>
      </c>
      <c r="N26" s="20">
        <v>-184.03800000000001</v>
      </c>
      <c r="O26" s="20">
        <v>2562.6549999999993</v>
      </c>
      <c r="P26" s="20">
        <v>57.702264564282814</v>
      </c>
      <c r="Q26" s="20">
        <v>1731.0516886224764</v>
      </c>
      <c r="R26" s="20">
        <v>1147.9672994495963</v>
      </c>
      <c r="S26" s="20">
        <v>1387.3713768407488</v>
      </c>
    </row>
    <row r="27" spans="1:19">
      <c r="A27" s="9" t="s">
        <v>436</v>
      </c>
      <c r="B27" s="11">
        <v>-145.98900000000003</v>
      </c>
      <c r="C27" s="11">
        <v>-622.85599999999999</v>
      </c>
      <c r="D27" s="11">
        <v>-318.62899999999996</v>
      </c>
      <c r="E27" s="11">
        <v>-504.83699999999993</v>
      </c>
      <c r="F27" s="11">
        <v>-79.205000000000027</v>
      </c>
      <c r="G27" s="11">
        <v>-1525.5269999999998</v>
      </c>
      <c r="H27" s="11">
        <v>39.956999999999994</v>
      </c>
      <c r="I27" s="11">
        <v>397.96799999999985</v>
      </c>
      <c r="J27" s="11">
        <v>-118.143</v>
      </c>
      <c r="K27" s="11">
        <v>559.92500000000018</v>
      </c>
      <c r="L27" s="11">
        <v>879.70699999999999</v>
      </c>
      <c r="M27" s="11">
        <v>-105.42899999999996</v>
      </c>
      <c r="N27" s="11">
        <v>431.15600000000001</v>
      </c>
      <c r="O27" s="11">
        <v>2.7919999999998772</v>
      </c>
      <c r="P27" s="11">
        <v>-291.90599999999989</v>
      </c>
      <c r="Q27" s="11">
        <v>36.61100000000004</v>
      </c>
      <c r="R27" s="11">
        <v>38.981999999999999</v>
      </c>
      <c r="S27" s="11">
        <v>475.3119999999999</v>
      </c>
    </row>
    <row r="28" spans="1:19">
      <c r="A28" s="9"/>
      <c r="B28" s="11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</row>
    <row r="29" spans="1:19">
      <c r="A29" s="9" t="s">
        <v>305</v>
      </c>
      <c r="B29" s="11">
        <v>-361.38600000000002</v>
      </c>
      <c r="C29" s="20">
        <v>-1564.7149999999999</v>
      </c>
      <c r="D29" s="20">
        <v>1148.1420000000001</v>
      </c>
      <c r="E29" s="20">
        <v>129.18100000000004</v>
      </c>
      <c r="F29" s="20">
        <v>1235.855</v>
      </c>
      <c r="G29" s="20">
        <v>1368.6909999999998</v>
      </c>
      <c r="H29" s="20">
        <v>819.99700000000007</v>
      </c>
      <c r="I29" s="20">
        <v>-600.67799999999988</v>
      </c>
      <c r="J29" s="20">
        <v>-78.654999999999802</v>
      </c>
      <c r="K29" s="20">
        <v>-464.63900000000012</v>
      </c>
      <c r="L29" s="20">
        <v>356.76599999999962</v>
      </c>
      <c r="M29" s="20">
        <v>212.92799999999988</v>
      </c>
      <c r="N29" s="20">
        <v>884.74900000000071</v>
      </c>
      <c r="O29" s="20">
        <v>-1897.7110000000002</v>
      </c>
      <c r="P29" s="20">
        <v>772.1476980808784</v>
      </c>
      <c r="Q29" s="20">
        <v>-135.5447740676376</v>
      </c>
      <c r="R29" s="20">
        <v>481.50466139943603</v>
      </c>
      <c r="S29" s="20">
        <v>276.9035704157676</v>
      </c>
    </row>
    <row r="30" spans="1:19">
      <c r="A30" s="9" t="s">
        <v>653</v>
      </c>
      <c r="B30" s="11">
        <v>225</v>
      </c>
      <c r="C30" s="20">
        <v>390</v>
      </c>
      <c r="D30" s="20">
        <v>0</v>
      </c>
      <c r="E30" s="20">
        <v>0</v>
      </c>
      <c r="F30" s="20">
        <v>2.9999999999996696E-3</v>
      </c>
      <c r="G30" s="20">
        <v>4.0000000000000036E-3</v>
      </c>
      <c r="H30" s="20">
        <v>26.158000000000001</v>
      </c>
      <c r="I30" s="20">
        <v>19.463000000000001</v>
      </c>
      <c r="J30" s="20">
        <v>15.146000000000001</v>
      </c>
      <c r="K30" s="20">
        <v>30.125</v>
      </c>
      <c r="L30" s="20">
        <v>70.879000000000005</v>
      </c>
      <c r="M30" s="20">
        <v>11.252000000000001</v>
      </c>
      <c r="N30" s="20">
        <v>2.258</v>
      </c>
      <c r="O30" s="20">
        <v>2.5249999999999999</v>
      </c>
      <c r="P30" s="20">
        <v>-275</v>
      </c>
      <c r="Q30" s="20">
        <v>-1000</v>
      </c>
      <c r="R30" s="20">
        <v>-1000</v>
      </c>
      <c r="S30" s="20">
        <v>-1000</v>
      </c>
    </row>
    <row r="31" spans="1:19">
      <c r="A31" s="9" t="s">
        <v>306</v>
      </c>
      <c r="B31" s="11">
        <v>-104.521</v>
      </c>
      <c r="C31" s="20">
        <v>-118.764</v>
      </c>
      <c r="D31" s="20">
        <v>-124.46</v>
      </c>
      <c r="E31" s="20">
        <v>-98.298000000000002</v>
      </c>
      <c r="F31" s="20">
        <v>-128.04499999999999</v>
      </c>
      <c r="G31" s="20">
        <v>0</v>
      </c>
      <c r="H31" s="20">
        <v>0</v>
      </c>
      <c r="I31" s="20">
        <v>-21.707000000000001</v>
      </c>
      <c r="J31" s="20">
        <v>-117.70699999999999</v>
      </c>
      <c r="K31" s="20">
        <v>-143.62899999999999</v>
      </c>
      <c r="L31" s="20">
        <v>-198.952</v>
      </c>
      <c r="M31" s="20">
        <v>-280.21199999999999</v>
      </c>
      <c r="N31" s="20">
        <v>-346.48700000000002</v>
      </c>
      <c r="O31" s="20">
        <v>-437.45499999999998</v>
      </c>
      <c r="P31" s="20">
        <v>-554.84996264516121</v>
      </c>
      <c r="Q31" s="20">
        <v>-595.50691455483877</v>
      </c>
      <c r="R31" s="20">
        <v>-629.47196084903237</v>
      </c>
      <c r="S31" s="20">
        <v>-664.27494725651638</v>
      </c>
    </row>
    <row r="32" spans="1:19">
      <c r="A32" s="9" t="s">
        <v>33</v>
      </c>
      <c r="B32" s="11">
        <v>0</v>
      </c>
      <c r="C32" s="20">
        <v>-249.12200000000001</v>
      </c>
      <c r="D32" s="20">
        <v>-164.58199999999999</v>
      </c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-236.07499999999999</v>
      </c>
      <c r="M32" s="20">
        <v>-200</v>
      </c>
      <c r="N32" s="20">
        <v>-299.959</v>
      </c>
      <c r="O32" s="20">
        <v>-224.99799999999999</v>
      </c>
      <c r="P32" s="20">
        <v>0</v>
      </c>
      <c r="Q32" s="20">
        <v>0</v>
      </c>
      <c r="R32" s="20">
        <v>0</v>
      </c>
      <c r="S32" s="20">
        <v>0</v>
      </c>
    </row>
    <row r="33" spans="1:19">
      <c r="A33" s="9" t="s">
        <v>659</v>
      </c>
      <c r="B33" s="11">
        <v>94.918000000000006</v>
      </c>
      <c r="C33" s="20">
        <v>17.073999999999998</v>
      </c>
      <c r="D33" s="20">
        <v>20.606999999999999</v>
      </c>
      <c r="E33" s="20">
        <v>5.7280000000000006</v>
      </c>
      <c r="F33" s="20">
        <v>-24.423999999999999</v>
      </c>
      <c r="G33" s="20">
        <v>-46.146999999999991</v>
      </c>
      <c r="H33" s="20">
        <v>-89.194999999999993</v>
      </c>
      <c r="I33" s="20">
        <v>-73.593000000000004</v>
      </c>
      <c r="J33" s="20">
        <v>1.599</v>
      </c>
      <c r="K33" s="20">
        <v>1.5169999999999999</v>
      </c>
      <c r="L33" s="20">
        <v>24.862000000000002</v>
      </c>
      <c r="M33" s="20">
        <v>2.52</v>
      </c>
      <c r="N33" s="20">
        <v>3.2480000000000002</v>
      </c>
      <c r="O33" s="20">
        <v>3.843</v>
      </c>
      <c r="P33" s="20">
        <v>0</v>
      </c>
      <c r="Q33" s="20">
        <v>0</v>
      </c>
      <c r="R33" s="20">
        <v>0</v>
      </c>
      <c r="S33" s="20">
        <v>0</v>
      </c>
    </row>
    <row r="34" spans="1:19">
      <c r="A34" s="17" t="s">
        <v>0</v>
      </c>
      <c r="B34" s="16">
        <v>-145.98900000000003</v>
      </c>
      <c r="C34" s="21">
        <v>-1525.5269999999998</v>
      </c>
      <c r="D34" s="21">
        <v>879.70699999999999</v>
      </c>
      <c r="E34" s="21">
        <v>36.61100000000004</v>
      </c>
      <c r="F34" s="21">
        <v>1083.3889999999999</v>
      </c>
      <c r="G34" s="21">
        <v>1322.5479999999998</v>
      </c>
      <c r="H34" s="21">
        <v>756.96</v>
      </c>
      <c r="I34" s="21">
        <v>-676.51499999999987</v>
      </c>
      <c r="J34" s="21">
        <v>-179.61699999999979</v>
      </c>
      <c r="K34" s="21">
        <v>-576.62600000000009</v>
      </c>
      <c r="L34" s="21">
        <v>17.479999999999656</v>
      </c>
      <c r="M34" s="21">
        <v>-253.51200000000009</v>
      </c>
      <c r="N34" s="21">
        <v>243.80900000000065</v>
      </c>
      <c r="O34" s="21">
        <v>-2553.7960000000003</v>
      </c>
      <c r="P34" s="21">
        <v>-57.702264564282814</v>
      </c>
      <c r="Q34" s="21">
        <v>-1731.0516886224764</v>
      </c>
      <c r="R34" s="21">
        <v>-1147.9672994495963</v>
      </c>
      <c r="S34" s="21">
        <v>-1387.3713768407488</v>
      </c>
    </row>
    <row r="35" spans="1:19">
      <c r="A35" s="9"/>
      <c r="B35" s="11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</row>
    <row r="36" spans="1:19">
      <c r="A36" s="17" t="s">
        <v>1</v>
      </c>
      <c r="B36" s="16">
        <v>298.12999999999977</v>
      </c>
      <c r="C36" s="21">
        <v>-503.19299999999976</v>
      </c>
      <c r="D36" s="21">
        <v>-20.864999999999895</v>
      </c>
      <c r="E36" s="21">
        <v>126.26300000000049</v>
      </c>
      <c r="F36" s="21">
        <v>172.04199999999901</v>
      </c>
      <c r="G36" s="21">
        <v>-117.85300000000062</v>
      </c>
      <c r="H36" s="21">
        <v>135.30999999999969</v>
      </c>
      <c r="I36" s="21">
        <v>-157.74299999999931</v>
      </c>
      <c r="J36" s="21">
        <v>-67.330700000000263</v>
      </c>
      <c r="K36" s="21">
        <v>16.284999999999858</v>
      </c>
      <c r="L36" s="21">
        <v>-120.09793106441647</v>
      </c>
      <c r="M36" s="21">
        <v>17.564068935585205</v>
      </c>
      <c r="N36" s="21">
        <v>59.77100000000064</v>
      </c>
      <c r="O36" s="21">
        <v>8.8589999999990141</v>
      </c>
      <c r="P36" s="21">
        <v>0</v>
      </c>
      <c r="Q36" s="21">
        <v>0</v>
      </c>
      <c r="R36" s="21">
        <v>0</v>
      </c>
      <c r="S36" s="21">
        <v>0</v>
      </c>
    </row>
    <row r="37" spans="1:19">
      <c r="A37" s="9" t="s">
        <v>440</v>
      </c>
      <c r="B37" s="11">
        <v>330.09500000000082</v>
      </c>
      <c r="C37" s="20">
        <v>628.22500000000059</v>
      </c>
      <c r="D37" s="20">
        <v>125.03200000000083</v>
      </c>
      <c r="E37" s="20">
        <v>104.16700000000094</v>
      </c>
      <c r="F37" s="20">
        <v>230.43000000000143</v>
      </c>
      <c r="G37" s="20">
        <v>402.47200000000043</v>
      </c>
      <c r="H37" s="20">
        <v>284.61900000000003</v>
      </c>
      <c r="I37" s="20">
        <v>419.92899999999975</v>
      </c>
      <c r="J37" s="20">
        <v>262.18600000000043</v>
      </c>
      <c r="K37" s="20">
        <v>194.85530000000017</v>
      </c>
      <c r="L37" s="20">
        <v>211.14030000000002</v>
      </c>
      <c r="M37" s="20">
        <v>91.042368935583553</v>
      </c>
      <c r="N37" s="20">
        <v>108.60643787116877</v>
      </c>
      <c r="O37" s="20">
        <v>168.37743787116941</v>
      </c>
      <c r="P37" s="20">
        <v>177.23643787116842</v>
      </c>
      <c r="Q37" s="20">
        <v>177.23643787116842</v>
      </c>
      <c r="R37" s="20">
        <v>177.23643787116842</v>
      </c>
      <c r="S37" s="20">
        <v>177.23643787116842</v>
      </c>
    </row>
    <row r="38" spans="1:19">
      <c r="A38" s="9" t="s">
        <v>441</v>
      </c>
      <c r="B38" s="11">
        <v>628.22500000000059</v>
      </c>
      <c r="C38" s="20">
        <v>125.03200000000083</v>
      </c>
      <c r="D38" s="20">
        <v>104.16700000000094</v>
      </c>
      <c r="E38" s="20">
        <v>230.43000000000143</v>
      </c>
      <c r="F38" s="20">
        <v>402.47200000000043</v>
      </c>
      <c r="G38" s="20">
        <v>284.6189999999998</v>
      </c>
      <c r="H38" s="20">
        <v>419.92899999999975</v>
      </c>
      <c r="I38" s="20">
        <v>262.18600000000043</v>
      </c>
      <c r="J38" s="20">
        <v>194.85530000000017</v>
      </c>
      <c r="K38" s="20">
        <v>211.14030000000002</v>
      </c>
      <c r="L38" s="20">
        <v>91.042368935583553</v>
      </c>
      <c r="M38" s="20">
        <v>108.60643787116877</v>
      </c>
      <c r="N38" s="20">
        <v>168.37743787116941</v>
      </c>
      <c r="O38" s="20">
        <v>177.23643787116842</v>
      </c>
      <c r="P38" s="20">
        <v>177.23643787116842</v>
      </c>
      <c r="Q38" s="20">
        <v>177.23643787116842</v>
      </c>
      <c r="R38" s="20">
        <v>177.23643787116842</v>
      </c>
      <c r="S38" s="20">
        <v>177.23643787116842</v>
      </c>
    </row>
    <row r="39" spans="1:19">
      <c r="A39" s="9" t="s">
        <v>611</v>
      </c>
      <c r="B39" s="11">
        <v>5731.9440000000004</v>
      </c>
      <c r="C39" s="20">
        <v>4154.7749999999996</v>
      </c>
      <c r="D39" s="20">
        <v>5413.7440000000006</v>
      </c>
      <c r="E39" s="20">
        <v>5698.2719999999999</v>
      </c>
      <c r="F39" s="20">
        <v>7011.4030000000002</v>
      </c>
      <c r="G39" s="20">
        <v>8419.77</v>
      </c>
      <c r="H39" s="20">
        <v>9150.1160000000018</v>
      </c>
      <c r="I39" s="20">
        <v>8495.853000000001</v>
      </c>
      <c r="J39" s="20">
        <v>8489.9470000000001</v>
      </c>
      <c r="K39" s="20">
        <v>8074.8040000000001</v>
      </c>
      <c r="L39" s="20">
        <v>8443.9480000000003</v>
      </c>
      <c r="M39" s="20">
        <v>8667.0550000000003</v>
      </c>
      <c r="N39" s="20">
        <v>9551.8040000000001</v>
      </c>
      <c r="O39" s="20">
        <v>7654.0929999999998</v>
      </c>
      <c r="P39" s="20">
        <v>8426.2406980808773</v>
      </c>
      <c r="Q39" s="20">
        <v>8290.6959240132401</v>
      </c>
      <c r="R39" s="20">
        <v>8772.2005854126764</v>
      </c>
      <c r="S39" s="20">
        <v>9049.1041558284433</v>
      </c>
    </row>
    <row r="40" spans="1:19">
      <c r="A40" s="33" t="s">
        <v>612</v>
      </c>
      <c r="B40" s="34">
        <v>5103.7190000000001</v>
      </c>
      <c r="C40" s="35">
        <v>4029.7429999999986</v>
      </c>
      <c r="D40" s="35">
        <v>5309.5769999999993</v>
      </c>
      <c r="E40" s="35">
        <v>5467.8419999999987</v>
      </c>
      <c r="F40" s="35">
        <v>6608.9309999999996</v>
      </c>
      <c r="G40" s="35">
        <v>8135.1510000000007</v>
      </c>
      <c r="H40" s="35">
        <v>8730.1870000000017</v>
      </c>
      <c r="I40" s="35">
        <v>8233.6670000000013</v>
      </c>
      <c r="J40" s="35">
        <v>8295.0917000000009</v>
      </c>
      <c r="K40" s="35">
        <v>7863.6637000000001</v>
      </c>
      <c r="L40" s="35">
        <v>8352.9056310644173</v>
      </c>
      <c r="M40" s="35">
        <v>8558.4485621288313</v>
      </c>
      <c r="N40" s="35">
        <v>9383.4265621288305</v>
      </c>
      <c r="O40" s="35">
        <v>7476.8565621288317</v>
      </c>
      <c r="P40" s="35">
        <v>8249.0042602097092</v>
      </c>
      <c r="Q40" s="35">
        <v>8113.4594861420719</v>
      </c>
      <c r="R40" s="35">
        <v>8594.9641475415083</v>
      </c>
      <c r="S40" s="35">
        <v>8871.8677179572751</v>
      </c>
    </row>
  </sheetData>
  <customSheetViews>
    <customSheetView guid="{02BAE5C0-B718-491D-AA2C-366929DD884D}" scale="115" hiddenColumns="1">
      <selection activeCell="M2" sqref="M2"/>
      <pageMargins left="0.75" right="0.75" top="1" bottom="1" header="0.5" footer="0.5"/>
      <pageSetup orientation="portrait" r:id="rId1"/>
      <headerFooter alignWithMargins="0"/>
    </customSheetView>
    <customSheetView guid="{0F63984D-41C2-41FC-9021-7F5BFFA3B850}" scale="115" hiddenColumns="1">
      <selection activeCell="M2" sqref="M2"/>
      <pageMargins left="0.75" right="0.75" top="1" bottom="1" header="0.5" footer="0.5"/>
      <pageSetup orientation="portrait" r:id="rId2"/>
      <headerFooter alignWithMargins="0"/>
    </customSheetView>
  </customSheetViews>
  <phoneticPr fontId="10" type="noConversion"/>
  <pageMargins left="0.75" right="0.75" top="1" bottom="1" header="0.5" footer="0.5"/>
  <pageSetup orientation="portrait" r:id="rId3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S39"/>
  <sheetViews>
    <sheetView workbookViewId="0"/>
  </sheetViews>
  <sheetFormatPr defaultColWidth="8.140625" defaultRowHeight="12.75" outlineLevelCol="1"/>
  <cols>
    <col min="1" max="1" width="37.85546875" customWidth="1"/>
    <col min="2" max="3" width="8.28515625" hidden="1" customWidth="1" outlineLevel="1"/>
    <col min="4" max="4" width="8.28515625" hidden="1" customWidth="1" outlineLevel="1" collapsed="1"/>
    <col min="5" max="5" width="8.28515625" hidden="1" customWidth="1" outlineLevel="1"/>
    <col min="6" max="6" width="8.28515625" customWidth="1" collapsed="1"/>
    <col min="7" max="10" width="8.28515625" customWidth="1"/>
    <col min="11" max="13" width="8.140625" customWidth="1"/>
    <col min="14" max="19" width="9.28515625" bestFit="1" customWidth="1"/>
  </cols>
  <sheetData>
    <row r="1" spans="1:19" ht="13.5" thickBot="1">
      <c r="A1" s="36" t="s">
        <v>497</v>
      </c>
      <c r="B1" s="8"/>
      <c r="C1" s="8"/>
      <c r="D1" s="8"/>
      <c r="E1" s="8"/>
      <c r="F1" s="8"/>
      <c r="G1" s="8"/>
      <c r="H1" s="8"/>
      <c r="I1" s="8"/>
      <c r="J1" s="8"/>
      <c r="K1" s="8"/>
    </row>
    <row r="2" spans="1:19">
      <c r="A2" s="36" t="s">
        <v>287</v>
      </c>
      <c r="B2" s="28">
        <v>2004</v>
      </c>
      <c r="C2" s="28">
        <v>2005</v>
      </c>
      <c r="D2" s="28">
        <v>2006</v>
      </c>
      <c r="E2" s="28">
        <v>2007</v>
      </c>
      <c r="F2" s="28">
        <v>2008</v>
      </c>
      <c r="G2" s="28">
        <v>2009</v>
      </c>
      <c r="H2" s="28">
        <v>2010</v>
      </c>
      <c r="I2" s="28">
        <v>2011</v>
      </c>
      <c r="J2" s="28">
        <v>2012</v>
      </c>
      <c r="K2" s="28">
        <v>2013</v>
      </c>
      <c r="L2" s="28">
        <v>2014</v>
      </c>
      <c r="M2" s="28">
        <v>2015</v>
      </c>
      <c r="N2" s="29">
        <v>2016</v>
      </c>
      <c r="O2" s="29">
        <v>2017</v>
      </c>
      <c r="P2" s="29" t="s">
        <v>316</v>
      </c>
      <c r="Q2" s="29" t="s">
        <v>317</v>
      </c>
      <c r="R2" s="29" t="s">
        <v>734</v>
      </c>
      <c r="S2" s="29" t="s">
        <v>825</v>
      </c>
    </row>
    <row r="3" spans="1:19">
      <c r="A3" s="21" t="s">
        <v>622</v>
      </c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</row>
    <row r="4" spans="1:19">
      <c r="A4" s="37" t="s">
        <v>660</v>
      </c>
      <c r="B4" s="37">
        <v>628.22500000000059</v>
      </c>
      <c r="C4" s="37">
        <v>125.03200000000083</v>
      </c>
      <c r="D4" s="37">
        <v>104.16700000000094</v>
      </c>
      <c r="E4" s="37">
        <v>230.43000000000143</v>
      </c>
      <c r="F4" s="37">
        <v>402.47200000000043</v>
      </c>
      <c r="G4" s="37">
        <v>284.61900000000003</v>
      </c>
      <c r="H4" s="37">
        <v>419.92899999999975</v>
      </c>
      <c r="I4" s="37">
        <v>262.18600000000043</v>
      </c>
      <c r="J4" s="37">
        <v>194.85530000000017</v>
      </c>
      <c r="K4" s="37">
        <v>211.14030000000002</v>
      </c>
      <c r="L4" s="37">
        <v>91.042368935583553</v>
      </c>
      <c r="M4" s="37">
        <v>108.60643787116877</v>
      </c>
      <c r="N4" s="37">
        <v>168.37743787116941</v>
      </c>
      <c r="O4" s="37">
        <v>177.23643787116842</v>
      </c>
      <c r="P4" s="37">
        <v>177.23643787116842</v>
      </c>
      <c r="Q4" s="37">
        <v>177.23643787116842</v>
      </c>
      <c r="R4" s="37">
        <v>177.23643787116842</v>
      </c>
      <c r="S4" s="37">
        <v>177.23643787116842</v>
      </c>
    </row>
    <row r="5" spans="1:19">
      <c r="A5" s="37" t="s">
        <v>646</v>
      </c>
      <c r="B5" s="37">
        <v>84.899000000000001</v>
      </c>
      <c r="C5" s="37">
        <v>95.254000000000005</v>
      </c>
      <c r="D5" s="37">
        <v>185.886</v>
      </c>
      <c r="E5" s="37">
        <v>313.64</v>
      </c>
      <c r="F5" s="37">
        <v>271.28699999999998</v>
      </c>
      <c r="G5" s="37">
        <v>338.80399999999997</v>
      </c>
      <c r="H5" s="37">
        <v>266.70999999999998</v>
      </c>
      <c r="I5" s="37">
        <v>292.447</v>
      </c>
      <c r="J5" s="37">
        <v>281.42099999999999</v>
      </c>
      <c r="K5" s="37">
        <v>259.74599999999998</v>
      </c>
      <c r="L5" s="37">
        <v>261.392</v>
      </c>
      <c r="M5" s="37">
        <v>238.97200000000001</v>
      </c>
      <c r="N5" s="37">
        <v>291.899</v>
      </c>
      <c r="O5" s="37">
        <v>318.64100000000002</v>
      </c>
      <c r="P5" s="37">
        <v>318.64100000000002</v>
      </c>
      <c r="Q5" s="37">
        <v>318.64100000000002</v>
      </c>
      <c r="R5" s="37">
        <v>318.64100000000002</v>
      </c>
      <c r="S5" s="37">
        <v>318.64100000000002</v>
      </c>
    </row>
    <row r="6" spans="1:19">
      <c r="A6" s="37" t="s">
        <v>624</v>
      </c>
      <c r="B6" s="37">
        <v>60.26</v>
      </c>
      <c r="C6" s="37">
        <v>57.802999999999997</v>
      </c>
      <c r="D6" s="37">
        <v>76.968999999999994</v>
      </c>
      <c r="E6" s="37">
        <v>96.813000000000002</v>
      </c>
      <c r="F6" s="37">
        <v>96.076999999999998</v>
      </c>
      <c r="G6" s="37">
        <v>107.877</v>
      </c>
      <c r="H6" s="37">
        <v>126.797</v>
      </c>
      <c r="I6" s="37">
        <v>144.553</v>
      </c>
      <c r="J6" s="37">
        <v>146.29499999999999</v>
      </c>
      <c r="K6" s="37">
        <v>151.244</v>
      </c>
      <c r="L6" s="37">
        <v>123.49</v>
      </c>
      <c r="M6" s="37">
        <v>121.33199999999999</v>
      </c>
      <c r="N6" s="37">
        <v>114.087</v>
      </c>
      <c r="O6" s="37">
        <v>111.393</v>
      </c>
      <c r="P6" s="37">
        <v>111.393</v>
      </c>
      <c r="Q6" s="37">
        <v>111.393</v>
      </c>
      <c r="R6" s="37">
        <v>111.393</v>
      </c>
      <c r="S6" s="37">
        <v>111.393</v>
      </c>
    </row>
    <row r="7" spans="1:19">
      <c r="A7" s="37" t="s">
        <v>5</v>
      </c>
      <c r="B7" s="37">
        <v>86.869</v>
      </c>
      <c r="C7" s="37">
        <v>98.567999999999998</v>
      </c>
      <c r="D7" s="37">
        <v>134.529</v>
      </c>
      <c r="E7" s="37">
        <v>351.55399999999997</v>
      </c>
      <c r="F7" s="37">
        <v>207.095</v>
      </c>
      <c r="G7" s="37">
        <v>295.09100000000001</v>
      </c>
      <c r="H7" s="37">
        <v>145.14400000000001</v>
      </c>
      <c r="I7" s="37">
        <v>185.46</v>
      </c>
      <c r="J7" s="37">
        <v>207.66200000000001</v>
      </c>
      <c r="K7" s="37">
        <v>252.852</v>
      </c>
      <c r="L7" s="37">
        <v>226.96</v>
      </c>
      <c r="M7" s="37">
        <v>220.57900000000001</v>
      </c>
      <c r="N7" s="37">
        <v>209.71600000000001</v>
      </c>
      <c r="O7" s="37">
        <v>193.56200000000001</v>
      </c>
      <c r="P7" s="37">
        <v>193.56200000000001</v>
      </c>
      <c r="Q7" s="37">
        <v>193.56200000000001</v>
      </c>
      <c r="R7" s="37">
        <v>193.56200000000001</v>
      </c>
      <c r="S7" s="37">
        <v>193.56200000000001</v>
      </c>
    </row>
    <row r="8" spans="1:19">
      <c r="A8" s="21" t="s">
        <v>628</v>
      </c>
      <c r="B8" s="21">
        <v>860.25300000000061</v>
      </c>
      <c r="C8" s="21">
        <v>376.65700000000083</v>
      </c>
      <c r="D8" s="21">
        <v>501.5510000000009</v>
      </c>
      <c r="E8" s="21">
        <v>992.43700000000138</v>
      </c>
      <c r="F8" s="21">
        <v>976.93100000000049</v>
      </c>
      <c r="G8" s="21">
        <v>1026.3910000000001</v>
      </c>
      <c r="H8" s="21">
        <v>1015.0709999999997</v>
      </c>
      <c r="I8" s="21">
        <v>969.28800000000047</v>
      </c>
      <c r="J8" s="21">
        <v>888.06030000000021</v>
      </c>
      <c r="K8" s="21">
        <v>962.82730000000004</v>
      </c>
      <c r="L8" s="21">
        <v>702.88436893558355</v>
      </c>
      <c r="M8" s="21">
        <v>824.06343787116884</v>
      </c>
      <c r="N8" s="21">
        <v>784.07943787116938</v>
      </c>
      <c r="O8" s="21">
        <v>900.15243787116856</v>
      </c>
      <c r="P8" s="21">
        <v>900.15243787116856</v>
      </c>
      <c r="Q8" s="21">
        <v>900.15243787116856</v>
      </c>
      <c r="R8" s="21">
        <v>900.15243787116856</v>
      </c>
      <c r="S8" s="21">
        <v>900.15243787116856</v>
      </c>
    </row>
    <row r="9" spans="1:19">
      <c r="A9" s="37"/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</row>
    <row r="10" spans="1:19">
      <c r="A10" s="38" t="s">
        <v>4</v>
      </c>
      <c r="B10" s="37">
        <v>12628.039999999999</v>
      </c>
      <c r="C10" s="37">
        <v>13113.614000000001</v>
      </c>
      <c r="D10" s="37">
        <v>14687.417000000001</v>
      </c>
      <c r="E10" s="37">
        <v>15995.161</v>
      </c>
      <c r="F10" s="37">
        <v>18140.727999999999</v>
      </c>
      <c r="G10" s="37">
        <v>20097.996999999999</v>
      </c>
      <c r="H10" s="37">
        <v>22242.841</v>
      </c>
      <c r="I10" s="37">
        <v>23110.902999999998</v>
      </c>
      <c r="J10" s="37">
        <v>24357.612999999998</v>
      </c>
      <c r="K10" s="37">
        <v>25179.042000000001</v>
      </c>
      <c r="L10" s="37">
        <v>26627.362000000001</v>
      </c>
      <c r="M10" s="37">
        <v>28038.521000000001</v>
      </c>
      <c r="N10" s="37">
        <v>30317.084999999999</v>
      </c>
      <c r="O10" s="37">
        <v>30842.031999999999</v>
      </c>
      <c r="P10" s="37">
        <v>33642.031999999999</v>
      </c>
      <c r="Q10" s="37">
        <v>35184.031999999999</v>
      </c>
      <c r="R10" s="37">
        <v>37127.031999999999</v>
      </c>
      <c r="S10" s="37">
        <v>39070.031999999999</v>
      </c>
    </row>
    <row r="11" spans="1:19">
      <c r="A11" s="38" t="s">
        <v>3</v>
      </c>
      <c r="B11" s="37">
        <v>-2434.5970000000002</v>
      </c>
      <c r="C11" s="37">
        <v>-2836.6660000000002</v>
      </c>
      <c r="D11" s="37">
        <v>-3258.3110000000006</v>
      </c>
      <c r="E11" s="37">
        <v>-3741.3770000000004</v>
      </c>
      <c r="F11" s="37">
        <v>-4261.7299999999996</v>
      </c>
      <c r="G11" s="37">
        <v>-4829.9439999999995</v>
      </c>
      <c r="H11" s="37">
        <v>-5473.6599999999989</v>
      </c>
      <c r="I11" s="37">
        <v>-6176.0859999999993</v>
      </c>
      <c r="J11" s="37">
        <v>-6906.5789999999997</v>
      </c>
      <c r="K11" s="37">
        <v>-7661.29</v>
      </c>
      <c r="L11" s="37">
        <v>-8433.7350000000006</v>
      </c>
      <c r="M11" s="37">
        <v>-9260.7430000000004</v>
      </c>
      <c r="N11" s="37">
        <v>-10155.657999999999</v>
      </c>
      <c r="O11" s="37">
        <v>-11106.851999999999</v>
      </c>
      <c r="P11" s="37">
        <v>-12152.641706728329</v>
      </c>
      <c r="Q11" s="37">
        <v>-13314.171301567561</v>
      </c>
      <c r="R11" s="37">
        <v>-14560.820958151378</v>
      </c>
      <c r="S11" s="37">
        <v>-15946.115606232035</v>
      </c>
    </row>
    <row r="12" spans="1:19">
      <c r="A12" s="37" t="s">
        <v>2</v>
      </c>
      <c r="B12" s="37">
        <v>10193.442999999999</v>
      </c>
      <c r="C12" s="37">
        <v>10276.948</v>
      </c>
      <c r="D12" s="37">
        <v>11429.106</v>
      </c>
      <c r="E12" s="37">
        <v>12253.784</v>
      </c>
      <c r="F12" s="37">
        <v>13878.998</v>
      </c>
      <c r="G12" s="37">
        <v>15268.053</v>
      </c>
      <c r="H12" s="37">
        <v>16769.181</v>
      </c>
      <c r="I12" s="37">
        <v>16934.816999999999</v>
      </c>
      <c r="J12" s="37">
        <v>17451.034</v>
      </c>
      <c r="K12" s="37">
        <v>17517.752</v>
      </c>
      <c r="L12" s="37">
        <v>18193.627</v>
      </c>
      <c r="M12" s="37">
        <v>18777.777999999998</v>
      </c>
      <c r="N12" s="37">
        <v>20161.427</v>
      </c>
      <c r="O12" s="37">
        <v>19735.18</v>
      </c>
      <c r="P12" s="37">
        <v>21489.39029327167</v>
      </c>
      <c r="Q12" s="37">
        <v>21869.860698432436</v>
      </c>
      <c r="R12" s="37">
        <v>22566.211041848619</v>
      </c>
      <c r="S12" s="37">
        <v>23123.916393767962</v>
      </c>
    </row>
    <row r="13" spans="1:19">
      <c r="A13" s="37" t="s">
        <v>25</v>
      </c>
      <c r="B13" s="37">
        <v>278.56099999999998</v>
      </c>
      <c r="C13" s="37">
        <v>283.13299999999998</v>
      </c>
      <c r="D13" s="37">
        <v>721.51400000000001</v>
      </c>
      <c r="E13" s="37">
        <v>797.79100000000005</v>
      </c>
      <c r="F13" s="37">
        <v>779.24599999999998</v>
      </c>
      <c r="G13" s="37">
        <v>792.37300000000005</v>
      </c>
      <c r="H13" s="37">
        <v>759.32799999999997</v>
      </c>
      <c r="I13" s="37">
        <v>746.53700000000003</v>
      </c>
      <c r="J13" s="37">
        <v>432.97500000000002</v>
      </c>
      <c r="K13" s="37">
        <v>439.23099999999999</v>
      </c>
      <c r="L13" s="37">
        <v>420.54199999999997</v>
      </c>
      <c r="M13" s="37">
        <v>286.76400000000001</v>
      </c>
      <c r="N13" s="37">
        <v>288.38600000000002</v>
      </c>
      <c r="O13" s="37">
        <v>288.512</v>
      </c>
      <c r="P13" s="37">
        <v>288.512</v>
      </c>
      <c r="Q13" s="37">
        <v>288.512</v>
      </c>
      <c r="R13" s="37">
        <v>288.512</v>
      </c>
      <c r="S13" s="37">
        <v>288.512</v>
      </c>
    </row>
    <row r="14" spans="1:19">
      <c r="A14" s="37" t="s">
        <v>502</v>
      </c>
      <c r="B14" s="37">
        <v>631.47400000000005</v>
      </c>
      <c r="C14" s="37">
        <v>318.68</v>
      </c>
      <c r="D14" s="37">
        <v>740.56399999999996</v>
      </c>
      <c r="E14" s="37">
        <v>937.91499999999996</v>
      </c>
      <c r="F14" s="37">
        <v>827.72900000000004</v>
      </c>
      <c r="G14" s="37">
        <v>1146.6769999999999</v>
      </c>
      <c r="H14" s="37">
        <v>1151.3240000000001</v>
      </c>
      <c r="I14" s="37">
        <v>1153.7629999999999</v>
      </c>
      <c r="J14" s="37">
        <v>1055.8610000000001</v>
      </c>
      <c r="K14" s="37">
        <v>1159.5899999999999</v>
      </c>
      <c r="L14" s="37">
        <v>1297.9380000000001</v>
      </c>
      <c r="M14" s="37">
        <v>1020.2910000000001</v>
      </c>
      <c r="N14" s="37">
        <v>1116.2059999999999</v>
      </c>
      <c r="O14" s="37">
        <v>1487.597</v>
      </c>
      <c r="P14" s="37">
        <v>1667.3281000471604</v>
      </c>
      <c r="Q14" s="37">
        <v>1757.8143389048407</v>
      </c>
      <c r="R14" s="37">
        <v>2067.1020370347528</v>
      </c>
      <c r="S14" s="37">
        <v>2391.4477796664855</v>
      </c>
    </row>
    <row r="15" spans="1:19">
      <c r="A15" s="21" t="s">
        <v>627</v>
      </c>
      <c r="B15" s="21">
        <v>11963.731</v>
      </c>
      <c r="C15" s="21">
        <v>11255.418000000001</v>
      </c>
      <c r="D15" s="21">
        <v>13392.735000000001</v>
      </c>
      <c r="E15" s="21">
        <v>14981.927</v>
      </c>
      <c r="F15" s="21">
        <v>16462.903999999999</v>
      </c>
      <c r="G15" s="21">
        <v>18233.493999999999</v>
      </c>
      <c r="H15" s="21">
        <v>19694.904000000002</v>
      </c>
      <c r="I15" s="21">
        <v>19804.404999999999</v>
      </c>
      <c r="J15" s="21">
        <v>19827.9303</v>
      </c>
      <c r="K15" s="21">
        <v>20079.400300000001</v>
      </c>
      <c r="L15" s="21">
        <v>20614.991368935589</v>
      </c>
      <c r="M15" s="21">
        <v>20908.896437871168</v>
      </c>
      <c r="N15" s="21">
        <v>22350.098437871166</v>
      </c>
      <c r="O15" s="21">
        <v>22411.44143787117</v>
      </c>
      <c r="P15" s="21">
        <v>24345.38283119</v>
      </c>
      <c r="Q15" s="21">
        <v>24816.339475208446</v>
      </c>
      <c r="R15" s="21">
        <v>25821.977516754541</v>
      </c>
      <c r="S15" s="21">
        <v>26704.028611305617</v>
      </c>
    </row>
    <row r="16" spans="1:19">
      <c r="A16" s="37"/>
      <c r="B16" s="37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</row>
    <row r="17" spans="1:19">
      <c r="A17" s="21" t="s">
        <v>630</v>
      </c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</row>
    <row r="18" spans="1:19">
      <c r="A18" s="37" t="s">
        <v>551</v>
      </c>
      <c r="B18" s="37">
        <v>162.97300000000001</v>
      </c>
      <c r="C18" s="37">
        <v>159.91</v>
      </c>
      <c r="D18" s="37">
        <v>193.79400000000001</v>
      </c>
      <c r="E18" s="37">
        <v>222.89500000000001</v>
      </c>
      <c r="F18" s="37">
        <v>245.22499999999999</v>
      </c>
      <c r="G18" s="37">
        <v>264.55399999999997</v>
      </c>
      <c r="H18" s="37">
        <v>249.047</v>
      </c>
      <c r="I18" s="37">
        <v>304.62299999999999</v>
      </c>
      <c r="J18" s="37">
        <v>351.58699999999999</v>
      </c>
      <c r="K18" s="37">
        <v>372.226</v>
      </c>
      <c r="L18" s="37">
        <v>331.505</v>
      </c>
      <c r="M18" s="37">
        <v>302.072</v>
      </c>
      <c r="N18" s="37">
        <v>305.31299999999999</v>
      </c>
      <c r="O18" s="37">
        <v>360.113</v>
      </c>
      <c r="P18" s="37">
        <v>360.113</v>
      </c>
      <c r="Q18" s="37">
        <v>360.113</v>
      </c>
      <c r="R18" s="37">
        <v>360.113</v>
      </c>
      <c r="S18" s="37">
        <v>360.113</v>
      </c>
    </row>
    <row r="19" spans="1:19">
      <c r="A19" s="37" t="s">
        <v>616</v>
      </c>
      <c r="B19" s="37">
        <v>875.08199999999999</v>
      </c>
      <c r="C19" s="37">
        <v>884.99400000000003</v>
      </c>
      <c r="D19" s="37">
        <v>896.94299999999998</v>
      </c>
      <c r="E19" s="37">
        <v>1084.3589999999999</v>
      </c>
      <c r="F19" s="37">
        <v>968.52</v>
      </c>
      <c r="G19" s="37">
        <v>1059.5239999999999</v>
      </c>
      <c r="H19" s="37">
        <v>1283.0730000000001</v>
      </c>
      <c r="I19" s="37">
        <v>1436.0029999999999</v>
      </c>
      <c r="J19" s="37">
        <v>1546.9929999999999</v>
      </c>
      <c r="K19" s="37">
        <v>1664.6790000000001</v>
      </c>
      <c r="L19" s="37">
        <v>1766.914</v>
      </c>
      <c r="M19" s="37">
        <v>1742.2860000000001</v>
      </c>
      <c r="N19" s="37">
        <v>1965.473</v>
      </c>
      <c r="O19" s="37">
        <v>2243.6819999999998</v>
      </c>
      <c r="P19" s="37">
        <v>2342.9237686326856</v>
      </c>
      <c r="Q19" s="37">
        <v>2502.134987827244</v>
      </c>
      <c r="R19" s="37">
        <v>2607.2798786399217</v>
      </c>
      <c r="S19" s="37">
        <v>2812.8602961875436</v>
      </c>
    </row>
    <row r="20" spans="1:19">
      <c r="A20" s="37" t="s">
        <v>574</v>
      </c>
      <c r="B20" s="37">
        <v>330.07299999999998</v>
      </c>
      <c r="C20" s="37">
        <v>342.995</v>
      </c>
      <c r="D20" s="37">
        <v>408.209</v>
      </c>
      <c r="E20" s="37">
        <v>680.31600000000003</v>
      </c>
      <c r="F20" s="37">
        <v>988.58699999999999</v>
      </c>
      <c r="G20" s="37">
        <v>668.73700000000008</v>
      </c>
      <c r="H20" s="37">
        <v>713.44900000000007</v>
      </c>
      <c r="I20" s="37">
        <v>688.125</v>
      </c>
      <c r="J20" s="37">
        <v>648.08799999999997</v>
      </c>
      <c r="K20" s="37">
        <v>666.72699999999998</v>
      </c>
      <c r="L20" s="37">
        <v>684.21199999999999</v>
      </c>
      <c r="M20" s="37">
        <v>696.92600000000004</v>
      </c>
      <c r="N20" s="37">
        <v>738.48800000000006</v>
      </c>
      <c r="O20" s="37">
        <v>950.4910000000001</v>
      </c>
      <c r="P20" s="37">
        <v>950.4910000000001</v>
      </c>
      <c r="Q20" s="37">
        <v>950.4910000000001</v>
      </c>
      <c r="R20" s="37">
        <v>950.4910000000001</v>
      </c>
      <c r="S20" s="37">
        <v>950.4910000000001</v>
      </c>
    </row>
    <row r="21" spans="1:19">
      <c r="A21" s="37" t="s">
        <v>626</v>
      </c>
      <c r="B21" s="37">
        <v>1368.1280000000002</v>
      </c>
      <c r="C21" s="37">
        <v>1387.8989999999999</v>
      </c>
      <c r="D21" s="37">
        <v>1498.9460000000001</v>
      </c>
      <c r="E21" s="37">
        <v>1987.57</v>
      </c>
      <c r="F21" s="37">
        <v>2202.3319999999999</v>
      </c>
      <c r="G21" s="37">
        <v>1992.8150000000001</v>
      </c>
      <c r="H21" s="37">
        <v>2245.5690000000004</v>
      </c>
      <c r="I21" s="37">
        <v>2428.7510000000002</v>
      </c>
      <c r="J21" s="37">
        <v>2546.6679999999997</v>
      </c>
      <c r="K21" s="37">
        <v>2703.6320000000001</v>
      </c>
      <c r="L21" s="37">
        <v>2782.6309999999999</v>
      </c>
      <c r="M21" s="37">
        <v>2741.2840000000001</v>
      </c>
      <c r="N21" s="37">
        <v>3009.2740000000003</v>
      </c>
      <c r="O21" s="37">
        <v>3554.2859999999996</v>
      </c>
      <c r="P21" s="37">
        <v>3653.5277686326854</v>
      </c>
      <c r="Q21" s="37">
        <v>3812.7389878272438</v>
      </c>
      <c r="R21" s="37">
        <v>3917.8838786399215</v>
      </c>
      <c r="S21" s="37">
        <v>4123.4642961875434</v>
      </c>
    </row>
    <row r="22" spans="1:19">
      <c r="A22" s="37"/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</row>
    <row r="23" spans="1:19">
      <c r="A23" s="21" t="s">
        <v>377</v>
      </c>
      <c r="B23" s="21">
        <v>5731.9440000000004</v>
      </c>
      <c r="C23" s="21">
        <v>4154.7749999999996</v>
      </c>
      <c r="D23" s="21">
        <v>5413.7440000000006</v>
      </c>
      <c r="E23" s="21">
        <v>5698.2719999999999</v>
      </c>
      <c r="F23" s="21">
        <v>7011.4030000000002</v>
      </c>
      <c r="G23" s="21">
        <v>8419.77</v>
      </c>
      <c r="H23" s="21">
        <v>9150.1160000000018</v>
      </c>
      <c r="I23" s="21">
        <v>8495.853000000001</v>
      </c>
      <c r="J23" s="21">
        <v>8489.9470000000001</v>
      </c>
      <c r="K23" s="21">
        <v>8074.8040000000001</v>
      </c>
      <c r="L23" s="21">
        <v>8443.9480000000003</v>
      </c>
      <c r="M23" s="21">
        <v>8667.0550000000003</v>
      </c>
      <c r="N23" s="21">
        <v>9551.8040000000001</v>
      </c>
      <c r="O23" s="21">
        <v>7654.0929999999998</v>
      </c>
      <c r="P23" s="21">
        <v>8426.2406980808773</v>
      </c>
      <c r="Q23" s="21">
        <v>8290.6959240132401</v>
      </c>
      <c r="R23" s="21">
        <v>8772.2005854126764</v>
      </c>
      <c r="S23" s="21">
        <v>9049.1041558284433</v>
      </c>
    </row>
    <row r="24" spans="1:19">
      <c r="A24" s="37"/>
      <c r="B24" s="37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</row>
    <row r="25" spans="1:19">
      <c r="A25" s="37" t="s">
        <v>575</v>
      </c>
      <c r="B25" s="37">
        <v>59.491999999999997</v>
      </c>
      <c r="C25" s="37">
        <v>158.63200000000001</v>
      </c>
      <c r="D25" s="37">
        <v>388.82299999999998</v>
      </c>
      <c r="E25" s="37">
        <v>539.096</v>
      </c>
      <c r="F25" s="37">
        <v>443.72800000000001</v>
      </c>
      <c r="G25" s="37">
        <v>321.19200000000001</v>
      </c>
      <c r="H25" s="37">
        <v>356.71699999999998</v>
      </c>
      <c r="I25" s="37">
        <v>471.97800000000001</v>
      </c>
      <c r="J25" s="37">
        <v>482.56599999999997</v>
      </c>
      <c r="K25" s="37">
        <v>486.24599999999998</v>
      </c>
      <c r="L25" s="37">
        <v>935.26599999999996</v>
      </c>
      <c r="M25" s="37">
        <v>798.61099999999999</v>
      </c>
      <c r="N25" s="37">
        <v>667.33</v>
      </c>
      <c r="O25" s="37">
        <v>500.27699999999999</v>
      </c>
      <c r="P25" s="37">
        <v>500.27699999999999</v>
      </c>
      <c r="Q25" s="37">
        <v>500.27699999999999</v>
      </c>
      <c r="R25" s="37">
        <v>500.27699999999999</v>
      </c>
      <c r="S25" s="37">
        <v>500.27699999999999</v>
      </c>
    </row>
    <row r="26" spans="1:19">
      <c r="A26" s="37"/>
      <c r="B26" s="37"/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</row>
    <row r="27" spans="1:19">
      <c r="A27" s="21" t="s">
        <v>632</v>
      </c>
      <c r="B27" s="3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</row>
    <row r="28" spans="1:19">
      <c r="A28" s="37" t="s">
        <v>633</v>
      </c>
      <c r="B28" s="37">
        <v>2.012</v>
      </c>
      <c r="C28" s="37">
        <v>2.165</v>
      </c>
      <c r="D28" s="37">
        <v>2.2250000000000001</v>
      </c>
      <c r="E28" s="37">
        <v>2.2360000000000002</v>
      </c>
      <c r="F28" s="37">
        <v>2.2389999999999999</v>
      </c>
      <c r="G28" s="37">
        <v>2.2429999999999999</v>
      </c>
      <c r="H28" s="37">
        <v>2.262</v>
      </c>
      <c r="I28" s="37">
        <v>2.2759999999999998</v>
      </c>
      <c r="J28" s="37">
        <v>2.2909999999999999</v>
      </c>
      <c r="K28" s="37">
        <v>2.3079999999999998</v>
      </c>
      <c r="L28" s="37">
        <v>2.331</v>
      </c>
      <c r="M28" s="37">
        <v>2.339</v>
      </c>
      <c r="N28" s="37">
        <v>2.3460000000000001</v>
      </c>
      <c r="O28" s="37">
        <v>2.3519999999999999</v>
      </c>
      <c r="P28" s="37">
        <v>2.3519999999999999</v>
      </c>
      <c r="Q28" s="37">
        <v>2.3519999999999999</v>
      </c>
      <c r="R28" s="37">
        <v>2.3519999999999999</v>
      </c>
      <c r="S28" s="37">
        <v>2.3519999999999999</v>
      </c>
    </row>
    <row r="29" spans="1:19">
      <c r="A29" s="37" t="s">
        <v>647</v>
      </c>
      <c r="B29" s="37">
        <v>0</v>
      </c>
      <c r="C29" s="37">
        <v>0</v>
      </c>
      <c r="D29" s="37">
        <v>0</v>
      </c>
      <c r="E29" s="37">
        <v>0</v>
      </c>
      <c r="F29" s="37">
        <v>0</v>
      </c>
      <c r="G29" s="37">
        <v>0</v>
      </c>
      <c r="H29" s="37">
        <v>0</v>
      </c>
      <c r="I29" s="37">
        <v>0</v>
      </c>
      <c r="J29" s="37">
        <v>0</v>
      </c>
      <c r="K29" s="37">
        <v>0</v>
      </c>
      <c r="L29" s="37">
        <v>0</v>
      </c>
      <c r="M29" s="37">
        <v>0</v>
      </c>
      <c r="N29" s="37">
        <v>0</v>
      </c>
      <c r="O29" s="37">
        <v>0</v>
      </c>
      <c r="P29" s="37">
        <v>0</v>
      </c>
      <c r="Q29" s="37">
        <v>0</v>
      </c>
      <c r="R29" s="37">
        <v>0</v>
      </c>
      <c r="S29" s="37">
        <v>0</v>
      </c>
    </row>
    <row r="30" spans="1:19">
      <c r="A30" s="37" t="s">
        <v>637</v>
      </c>
      <c r="B30" s="37">
        <v>-8.2769999999999992</v>
      </c>
      <c r="C30" s="37">
        <v>-257.959</v>
      </c>
      <c r="D30" s="37">
        <v>-423.1</v>
      </c>
      <c r="E30" s="37">
        <v>-423.65899999999999</v>
      </c>
      <c r="F30" s="37">
        <v>-424.36</v>
      </c>
      <c r="G30" s="37">
        <v>-413.70400000000001</v>
      </c>
      <c r="H30" s="37">
        <v>-413.70400000000001</v>
      </c>
      <c r="I30" s="37">
        <v>-413.70400000000001</v>
      </c>
      <c r="J30" s="37">
        <v>-413.70400000000001</v>
      </c>
      <c r="K30" s="37">
        <v>-413.70400000000001</v>
      </c>
      <c r="L30" s="37">
        <v>-649.77800000000002</v>
      </c>
      <c r="M30" s="37">
        <v>-853.34799999999996</v>
      </c>
      <c r="N30" s="37">
        <v>-1153.308</v>
      </c>
      <c r="O30" s="37">
        <v>-1378.306</v>
      </c>
      <c r="P30" s="37">
        <v>-1378.306</v>
      </c>
      <c r="Q30" s="37">
        <v>-1378.306</v>
      </c>
      <c r="R30" s="37">
        <v>-1378.306</v>
      </c>
      <c r="S30" s="37">
        <v>-1378.306</v>
      </c>
    </row>
    <row r="31" spans="1:19">
      <c r="A31" s="37" t="s">
        <v>634</v>
      </c>
      <c r="B31" s="37">
        <v>2206.1570000000002</v>
      </c>
      <c r="C31" s="37">
        <v>2706.2359999999999</v>
      </c>
      <c r="D31" s="37">
        <v>2904.0410000000002</v>
      </c>
      <c r="E31" s="37">
        <v>2942.9340000000002</v>
      </c>
      <c r="F31" s="37">
        <v>2952.54</v>
      </c>
      <c r="G31" s="37">
        <v>2973.4949999999999</v>
      </c>
      <c r="H31" s="37">
        <v>3027.13</v>
      </c>
      <c r="I31" s="37">
        <v>3071.759</v>
      </c>
      <c r="J31" s="37">
        <v>3109.8870000000002</v>
      </c>
      <c r="K31" s="37">
        <v>3159.038</v>
      </c>
      <c r="L31" s="37">
        <v>3253.5520000000001</v>
      </c>
      <c r="M31" s="37">
        <v>3941.7294400000001</v>
      </c>
      <c r="N31" s="37">
        <v>3328.5169999999998</v>
      </c>
      <c r="O31" s="37">
        <v>3390.1170000000002</v>
      </c>
      <c r="P31" s="37">
        <v>3115.1170000000002</v>
      </c>
      <c r="Q31" s="37">
        <v>2115.1170000000002</v>
      </c>
      <c r="R31" s="37">
        <v>1115.1170000000002</v>
      </c>
      <c r="S31" s="37">
        <v>115.11700000000019</v>
      </c>
    </row>
    <row r="32" spans="1:19">
      <c r="A32" s="37" t="s">
        <v>307</v>
      </c>
      <c r="B32" s="37">
        <v>71.363</v>
      </c>
      <c r="C32" s="37">
        <v>-28.263000000000002</v>
      </c>
      <c r="D32" s="37">
        <v>-30.802</v>
      </c>
      <c r="E32" s="37">
        <v>120.955</v>
      </c>
      <c r="F32" s="37">
        <v>-317.101</v>
      </c>
      <c r="G32" s="37">
        <v>182.733</v>
      </c>
      <c r="H32" s="37">
        <v>25.065999999999999</v>
      </c>
      <c r="I32" s="37">
        <v>-75.938000000000002</v>
      </c>
      <c r="J32" s="37">
        <v>-134.51599999999999</v>
      </c>
      <c r="K32" s="37">
        <v>12.1243</v>
      </c>
      <c r="L32" s="37">
        <v>-728.20663000000002</v>
      </c>
      <c r="M32" s="37">
        <v>-1328.433</v>
      </c>
      <c r="N32" s="37">
        <v>-916.48400000000004</v>
      </c>
      <c r="O32" s="37">
        <v>-334.26499999999999</v>
      </c>
      <c r="P32" s="37">
        <v>-334.26499999999999</v>
      </c>
      <c r="Q32" s="37">
        <v>-334.26499999999999</v>
      </c>
      <c r="R32" s="37">
        <v>-334.26499999999999</v>
      </c>
      <c r="S32" s="37">
        <v>-334.26499999999999</v>
      </c>
    </row>
    <row r="33" spans="1:19">
      <c r="A33" s="37" t="s">
        <v>635</v>
      </c>
      <c r="B33" s="37">
        <v>2533.2649999999999</v>
      </c>
      <c r="C33" s="37">
        <v>3132.2860000000001</v>
      </c>
      <c r="D33" s="37">
        <v>3639.2109999999998</v>
      </c>
      <c r="E33" s="37">
        <v>4114.8926499999998</v>
      </c>
      <c r="F33" s="37">
        <v>4592.5290000000005</v>
      </c>
      <c r="G33" s="37">
        <v>4754.95</v>
      </c>
      <c r="H33" s="37">
        <v>5301.7479999999996</v>
      </c>
      <c r="I33" s="37">
        <v>5823.43</v>
      </c>
      <c r="J33" s="37">
        <v>5744.7910000000002</v>
      </c>
      <c r="K33" s="37">
        <v>6054.9520000000002</v>
      </c>
      <c r="L33" s="37">
        <v>6575.2479999999996</v>
      </c>
      <c r="M33" s="37">
        <v>6939.6589999999997</v>
      </c>
      <c r="N33" s="37">
        <v>7860.3410000000003</v>
      </c>
      <c r="O33" s="37">
        <v>9022.4050000000007</v>
      </c>
      <c r="P33" s="37">
        <v>10360.43936447644</v>
      </c>
      <c r="Q33" s="37">
        <v>11807.729563367962</v>
      </c>
      <c r="R33" s="37">
        <v>13226.718052701945</v>
      </c>
      <c r="S33" s="37">
        <v>14626.285159289633</v>
      </c>
    </row>
    <row r="34" spans="1:19">
      <c r="A34" s="37"/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</row>
    <row r="35" spans="1:19">
      <c r="A35" s="21" t="s">
        <v>631</v>
      </c>
      <c r="B35" s="21">
        <v>4804.5200000000004</v>
      </c>
      <c r="C35" s="21">
        <v>5554.4650000000001</v>
      </c>
      <c r="D35" s="21">
        <v>6091.5749999999998</v>
      </c>
      <c r="E35" s="21">
        <v>6757.3586500000001</v>
      </c>
      <c r="F35" s="21">
        <v>6805.8469999999998</v>
      </c>
      <c r="G35" s="21">
        <v>7499.7169999999996</v>
      </c>
      <c r="H35" s="21">
        <v>7942.5019999999995</v>
      </c>
      <c r="I35" s="21">
        <v>8407.8230000000003</v>
      </c>
      <c r="J35" s="21">
        <v>8308.7489999999998</v>
      </c>
      <c r="K35" s="21">
        <v>8814.7183000000005</v>
      </c>
      <c r="L35" s="21">
        <v>8453.1463699999986</v>
      </c>
      <c r="M35" s="21">
        <v>8701.9464399999997</v>
      </c>
      <c r="N35" s="21">
        <v>9121.4120000000003</v>
      </c>
      <c r="O35" s="21">
        <v>10702.303</v>
      </c>
      <c r="P35" s="21">
        <v>11765.33736447644</v>
      </c>
      <c r="Q35" s="21">
        <v>12212.627563367963</v>
      </c>
      <c r="R35" s="21">
        <v>12631.616052701946</v>
      </c>
      <c r="S35" s="21">
        <v>13031.183159289634</v>
      </c>
    </row>
    <row r="36" spans="1:19">
      <c r="A36" s="37"/>
      <c r="B36" s="37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</row>
    <row r="37" spans="1:19">
      <c r="A37" s="39" t="s">
        <v>625</v>
      </c>
      <c r="B37" s="39">
        <v>11964.084000000001</v>
      </c>
      <c r="C37" s="39">
        <v>11255.770999999999</v>
      </c>
      <c r="D37" s="39">
        <v>13393.088</v>
      </c>
      <c r="E37" s="39">
        <v>14982.296649999998</v>
      </c>
      <c r="F37" s="39">
        <v>16463.310000000001</v>
      </c>
      <c r="G37" s="39">
        <v>18233.493999999999</v>
      </c>
      <c r="H37" s="39">
        <v>19694.904000000002</v>
      </c>
      <c r="I37" s="39">
        <v>19804.404999999999</v>
      </c>
      <c r="J37" s="39">
        <v>19827.93</v>
      </c>
      <c r="K37" s="39">
        <v>20079.400300000001</v>
      </c>
      <c r="L37" s="39">
        <v>20614.99137</v>
      </c>
      <c r="M37" s="39">
        <v>20908.89644</v>
      </c>
      <c r="N37" s="39">
        <v>22349.820000000003</v>
      </c>
      <c r="O37" s="39">
        <v>22410.958999999999</v>
      </c>
      <c r="P37" s="39">
        <v>24345.38283119</v>
      </c>
      <c r="Q37" s="39">
        <v>24816.339475208446</v>
      </c>
      <c r="R37" s="39">
        <v>25821.977516754541</v>
      </c>
      <c r="S37" s="39">
        <v>26704.028611305617</v>
      </c>
    </row>
    <row r="39" spans="1:19">
      <c r="F39" s="205"/>
      <c r="G39" s="205"/>
      <c r="H39" s="205"/>
      <c r="I39" s="205"/>
      <c r="J39" s="205"/>
      <c r="K39" s="205"/>
      <c r="L39" s="205"/>
      <c r="M39" s="205"/>
      <c r="N39" s="205"/>
      <c r="O39" s="205"/>
      <c r="P39" s="205"/>
      <c r="Q39" s="205"/>
      <c r="R39" s="205"/>
      <c r="S39" s="205"/>
    </row>
  </sheetData>
  <customSheetViews>
    <customSheetView guid="{02BAE5C0-B718-491D-AA2C-366929DD884D}" hiddenColumns="1">
      <selection activeCell="A31" sqref="A31"/>
      <pageMargins left="0.75" right="0.75" top="1" bottom="1" header="0.5" footer="0.5"/>
      <pageSetup orientation="portrait" verticalDpi="300" r:id="rId1"/>
      <headerFooter alignWithMargins="0"/>
    </customSheetView>
    <customSheetView guid="{0F63984D-41C2-41FC-9021-7F5BFFA3B850}" hiddenColumns="1">
      <selection activeCell="M2" sqref="M2"/>
      <pageMargins left="0.75" right="0.75" top="1" bottom="1" header="0.5" footer="0.5"/>
      <pageSetup orientation="portrait" verticalDpi="300" r:id="rId2"/>
      <headerFooter alignWithMargins="0"/>
    </customSheetView>
  </customSheetViews>
  <phoneticPr fontId="10" type="noConversion"/>
  <pageMargins left="0.75" right="0.75" top="1" bottom="1" header="0.5" footer="0.5"/>
  <pageSetup orientation="portrait" verticalDpi="300" r:id="rId3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43"/>
  <sheetViews>
    <sheetView workbookViewId="0"/>
  </sheetViews>
  <sheetFormatPr defaultRowHeight="12.75"/>
  <cols>
    <col min="1" max="1" width="29.5703125" style="757" bestFit="1" customWidth="1"/>
    <col min="2" max="2" width="19.85546875" style="759" customWidth="1"/>
    <col min="3" max="3" width="12" style="757" bestFit="1" customWidth="1"/>
    <col min="4" max="256" width="9.140625" style="757"/>
    <col min="257" max="257" width="29.5703125" style="757" bestFit="1" customWidth="1"/>
    <col min="258" max="258" width="19.85546875" style="757" customWidth="1"/>
    <col min="259" max="259" width="12" style="757" bestFit="1" customWidth="1"/>
    <col min="260" max="512" width="9.140625" style="757"/>
    <col min="513" max="513" width="29.5703125" style="757" bestFit="1" customWidth="1"/>
    <col min="514" max="514" width="19.85546875" style="757" customWidth="1"/>
    <col min="515" max="515" width="12" style="757" bestFit="1" customWidth="1"/>
    <col min="516" max="768" width="9.140625" style="757"/>
    <col min="769" max="769" width="29.5703125" style="757" bestFit="1" customWidth="1"/>
    <col min="770" max="770" width="19.85546875" style="757" customWidth="1"/>
    <col min="771" max="771" width="12" style="757" bestFit="1" customWidth="1"/>
    <col min="772" max="1024" width="9.140625" style="757"/>
    <col min="1025" max="1025" width="29.5703125" style="757" bestFit="1" customWidth="1"/>
    <col min="1026" max="1026" width="19.85546875" style="757" customWidth="1"/>
    <col min="1027" max="1027" width="12" style="757" bestFit="1" customWidth="1"/>
    <col min="1028" max="1280" width="9.140625" style="757"/>
    <col min="1281" max="1281" width="29.5703125" style="757" bestFit="1" customWidth="1"/>
    <col min="1282" max="1282" width="19.85546875" style="757" customWidth="1"/>
    <col min="1283" max="1283" width="12" style="757" bestFit="1" customWidth="1"/>
    <col min="1284" max="1536" width="9.140625" style="757"/>
    <col min="1537" max="1537" width="29.5703125" style="757" bestFit="1" customWidth="1"/>
    <col min="1538" max="1538" width="19.85546875" style="757" customWidth="1"/>
    <col min="1539" max="1539" width="12" style="757" bestFit="1" customWidth="1"/>
    <col min="1540" max="1792" width="9.140625" style="757"/>
    <col min="1793" max="1793" width="29.5703125" style="757" bestFit="1" customWidth="1"/>
    <col min="1794" max="1794" width="19.85546875" style="757" customWidth="1"/>
    <col min="1795" max="1795" width="12" style="757" bestFit="1" customWidth="1"/>
    <col min="1796" max="2048" width="9.140625" style="757"/>
    <col min="2049" max="2049" width="29.5703125" style="757" bestFit="1" customWidth="1"/>
    <col min="2050" max="2050" width="19.85546875" style="757" customWidth="1"/>
    <col min="2051" max="2051" width="12" style="757" bestFit="1" customWidth="1"/>
    <col min="2052" max="2304" width="9.140625" style="757"/>
    <col min="2305" max="2305" width="29.5703125" style="757" bestFit="1" customWidth="1"/>
    <col min="2306" max="2306" width="19.85546875" style="757" customWidth="1"/>
    <col min="2307" max="2307" width="12" style="757" bestFit="1" customWidth="1"/>
    <col min="2308" max="2560" width="9.140625" style="757"/>
    <col min="2561" max="2561" width="29.5703125" style="757" bestFit="1" customWidth="1"/>
    <col min="2562" max="2562" width="19.85546875" style="757" customWidth="1"/>
    <col min="2563" max="2563" width="12" style="757" bestFit="1" customWidth="1"/>
    <col min="2564" max="2816" width="9.140625" style="757"/>
    <col min="2817" max="2817" width="29.5703125" style="757" bestFit="1" customWidth="1"/>
    <col min="2818" max="2818" width="19.85546875" style="757" customWidth="1"/>
    <col min="2819" max="2819" width="12" style="757" bestFit="1" customWidth="1"/>
    <col min="2820" max="3072" width="9.140625" style="757"/>
    <col min="3073" max="3073" width="29.5703125" style="757" bestFit="1" customWidth="1"/>
    <col min="3074" max="3074" width="19.85546875" style="757" customWidth="1"/>
    <col min="3075" max="3075" width="12" style="757" bestFit="1" customWidth="1"/>
    <col min="3076" max="3328" width="9.140625" style="757"/>
    <col min="3329" max="3329" width="29.5703125" style="757" bestFit="1" customWidth="1"/>
    <col min="3330" max="3330" width="19.85546875" style="757" customWidth="1"/>
    <col min="3331" max="3331" width="12" style="757" bestFit="1" customWidth="1"/>
    <col min="3332" max="3584" width="9.140625" style="757"/>
    <col min="3585" max="3585" width="29.5703125" style="757" bestFit="1" customWidth="1"/>
    <col min="3586" max="3586" width="19.85546875" style="757" customWidth="1"/>
    <col min="3587" max="3587" width="12" style="757" bestFit="1" customWidth="1"/>
    <col min="3588" max="3840" width="9.140625" style="757"/>
    <col min="3841" max="3841" width="29.5703125" style="757" bestFit="1" customWidth="1"/>
    <col min="3842" max="3842" width="19.85546875" style="757" customWidth="1"/>
    <col min="3843" max="3843" width="12" style="757" bestFit="1" customWidth="1"/>
    <col min="3844" max="4096" width="9.140625" style="757"/>
    <col min="4097" max="4097" width="29.5703125" style="757" bestFit="1" customWidth="1"/>
    <col min="4098" max="4098" width="19.85546875" style="757" customWidth="1"/>
    <col min="4099" max="4099" width="12" style="757" bestFit="1" customWidth="1"/>
    <col min="4100" max="4352" width="9.140625" style="757"/>
    <col min="4353" max="4353" width="29.5703125" style="757" bestFit="1" customWidth="1"/>
    <col min="4354" max="4354" width="19.85546875" style="757" customWidth="1"/>
    <col min="4355" max="4355" width="12" style="757" bestFit="1" customWidth="1"/>
    <col min="4356" max="4608" width="9.140625" style="757"/>
    <col min="4609" max="4609" width="29.5703125" style="757" bestFit="1" customWidth="1"/>
    <col min="4610" max="4610" width="19.85546875" style="757" customWidth="1"/>
    <col min="4611" max="4611" width="12" style="757" bestFit="1" customWidth="1"/>
    <col min="4612" max="4864" width="9.140625" style="757"/>
    <col min="4865" max="4865" width="29.5703125" style="757" bestFit="1" customWidth="1"/>
    <col min="4866" max="4866" width="19.85546875" style="757" customWidth="1"/>
    <col min="4867" max="4867" width="12" style="757" bestFit="1" customWidth="1"/>
    <col min="4868" max="5120" width="9.140625" style="757"/>
    <col min="5121" max="5121" width="29.5703125" style="757" bestFit="1" customWidth="1"/>
    <col min="5122" max="5122" width="19.85546875" style="757" customWidth="1"/>
    <col min="5123" max="5123" width="12" style="757" bestFit="1" customWidth="1"/>
    <col min="5124" max="5376" width="9.140625" style="757"/>
    <col min="5377" max="5377" width="29.5703125" style="757" bestFit="1" customWidth="1"/>
    <col min="5378" max="5378" width="19.85546875" style="757" customWidth="1"/>
    <col min="5379" max="5379" width="12" style="757" bestFit="1" customWidth="1"/>
    <col min="5380" max="5632" width="9.140625" style="757"/>
    <col min="5633" max="5633" width="29.5703125" style="757" bestFit="1" customWidth="1"/>
    <col min="5634" max="5634" width="19.85546875" style="757" customWidth="1"/>
    <col min="5635" max="5635" width="12" style="757" bestFit="1" customWidth="1"/>
    <col min="5636" max="5888" width="9.140625" style="757"/>
    <col min="5889" max="5889" width="29.5703125" style="757" bestFit="1" customWidth="1"/>
    <col min="5890" max="5890" width="19.85546875" style="757" customWidth="1"/>
    <col min="5891" max="5891" width="12" style="757" bestFit="1" customWidth="1"/>
    <col min="5892" max="6144" width="9.140625" style="757"/>
    <col min="6145" max="6145" width="29.5703125" style="757" bestFit="1" customWidth="1"/>
    <col min="6146" max="6146" width="19.85546875" style="757" customWidth="1"/>
    <col min="6147" max="6147" width="12" style="757" bestFit="1" customWidth="1"/>
    <col min="6148" max="6400" width="9.140625" style="757"/>
    <col min="6401" max="6401" width="29.5703125" style="757" bestFit="1" customWidth="1"/>
    <col min="6402" max="6402" width="19.85546875" style="757" customWidth="1"/>
    <col min="6403" max="6403" width="12" style="757" bestFit="1" customWidth="1"/>
    <col min="6404" max="6656" width="9.140625" style="757"/>
    <col min="6657" max="6657" width="29.5703125" style="757" bestFit="1" customWidth="1"/>
    <col min="6658" max="6658" width="19.85546875" style="757" customWidth="1"/>
    <col min="6659" max="6659" width="12" style="757" bestFit="1" customWidth="1"/>
    <col min="6660" max="6912" width="9.140625" style="757"/>
    <col min="6913" max="6913" width="29.5703125" style="757" bestFit="1" customWidth="1"/>
    <col min="6914" max="6914" width="19.85546875" style="757" customWidth="1"/>
    <col min="6915" max="6915" width="12" style="757" bestFit="1" customWidth="1"/>
    <col min="6916" max="7168" width="9.140625" style="757"/>
    <col min="7169" max="7169" width="29.5703125" style="757" bestFit="1" customWidth="1"/>
    <col min="7170" max="7170" width="19.85546875" style="757" customWidth="1"/>
    <col min="7171" max="7171" width="12" style="757" bestFit="1" customWidth="1"/>
    <col min="7172" max="7424" width="9.140625" style="757"/>
    <col min="7425" max="7425" width="29.5703125" style="757" bestFit="1" customWidth="1"/>
    <col min="7426" max="7426" width="19.85546875" style="757" customWidth="1"/>
    <col min="7427" max="7427" width="12" style="757" bestFit="1" customWidth="1"/>
    <col min="7428" max="7680" width="9.140625" style="757"/>
    <col min="7681" max="7681" width="29.5703125" style="757" bestFit="1" customWidth="1"/>
    <col min="7682" max="7682" width="19.85546875" style="757" customWidth="1"/>
    <col min="7683" max="7683" width="12" style="757" bestFit="1" customWidth="1"/>
    <col min="7684" max="7936" width="9.140625" style="757"/>
    <col min="7937" max="7937" width="29.5703125" style="757" bestFit="1" customWidth="1"/>
    <col min="7938" max="7938" width="19.85546875" style="757" customWidth="1"/>
    <col min="7939" max="7939" width="12" style="757" bestFit="1" customWidth="1"/>
    <col min="7940" max="8192" width="9.140625" style="757"/>
    <col min="8193" max="8193" width="29.5703125" style="757" bestFit="1" customWidth="1"/>
    <col min="8194" max="8194" width="19.85546875" style="757" customWidth="1"/>
    <col min="8195" max="8195" width="12" style="757" bestFit="1" customWidth="1"/>
    <col min="8196" max="8448" width="9.140625" style="757"/>
    <col min="8449" max="8449" width="29.5703125" style="757" bestFit="1" customWidth="1"/>
    <col min="8450" max="8450" width="19.85546875" style="757" customWidth="1"/>
    <col min="8451" max="8451" width="12" style="757" bestFit="1" customWidth="1"/>
    <col min="8452" max="8704" width="9.140625" style="757"/>
    <col min="8705" max="8705" width="29.5703125" style="757" bestFit="1" customWidth="1"/>
    <col min="8706" max="8706" width="19.85546875" style="757" customWidth="1"/>
    <col min="8707" max="8707" width="12" style="757" bestFit="1" customWidth="1"/>
    <col min="8708" max="8960" width="9.140625" style="757"/>
    <col min="8961" max="8961" width="29.5703125" style="757" bestFit="1" customWidth="1"/>
    <col min="8962" max="8962" width="19.85546875" style="757" customWidth="1"/>
    <col min="8963" max="8963" width="12" style="757" bestFit="1" customWidth="1"/>
    <col min="8964" max="9216" width="9.140625" style="757"/>
    <col min="9217" max="9217" width="29.5703125" style="757" bestFit="1" customWidth="1"/>
    <col min="9218" max="9218" width="19.85546875" style="757" customWidth="1"/>
    <col min="9219" max="9219" width="12" style="757" bestFit="1" customWidth="1"/>
    <col min="9220" max="9472" width="9.140625" style="757"/>
    <col min="9473" max="9473" width="29.5703125" style="757" bestFit="1" customWidth="1"/>
    <col min="9474" max="9474" width="19.85546875" style="757" customWidth="1"/>
    <col min="9475" max="9475" width="12" style="757" bestFit="1" customWidth="1"/>
    <col min="9476" max="9728" width="9.140625" style="757"/>
    <col min="9729" max="9729" width="29.5703125" style="757" bestFit="1" customWidth="1"/>
    <col min="9730" max="9730" width="19.85546875" style="757" customWidth="1"/>
    <col min="9731" max="9731" width="12" style="757" bestFit="1" customWidth="1"/>
    <col min="9732" max="9984" width="9.140625" style="757"/>
    <col min="9985" max="9985" width="29.5703125" style="757" bestFit="1" customWidth="1"/>
    <col min="9986" max="9986" width="19.85546875" style="757" customWidth="1"/>
    <col min="9987" max="9987" width="12" style="757" bestFit="1" customWidth="1"/>
    <col min="9988" max="10240" width="9.140625" style="757"/>
    <col min="10241" max="10241" width="29.5703125" style="757" bestFit="1" customWidth="1"/>
    <col min="10242" max="10242" width="19.85546875" style="757" customWidth="1"/>
    <col min="10243" max="10243" width="12" style="757" bestFit="1" customWidth="1"/>
    <col min="10244" max="10496" width="9.140625" style="757"/>
    <col min="10497" max="10497" width="29.5703125" style="757" bestFit="1" customWidth="1"/>
    <col min="10498" max="10498" width="19.85546875" style="757" customWidth="1"/>
    <col min="10499" max="10499" width="12" style="757" bestFit="1" customWidth="1"/>
    <col min="10500" max="10752" width="9.140625" style="757"/>
    <col min="10753" max="10753" width="29.5703125" style="757" bestFit="1" customWidth="1"/>
    <col min="10754" max="10754" width="19.85546875" style="757" customWidth="1"/>
    <col min="10755" max="10755" width="12" style="757" bestFit="1" customWidth="1"/>
    <col min="10756" max="11008" width="9.140625" style="757"/>
    <col min="11009" max="11009" width="29.5703125" style="757" bestFit="1" customWidth="1"/>
    <col min="11010" max="11010" width="19.85546875" style="757" customWidth="1"/>
    <col min="11011" max="11011" width="12" style="757" bestFit="1" customWidth="1"/>
    <col min="11012" max="11264" width="9.140625" style="757"/>
    <col min="11265" max="11265" width="29.5703125" style="757" bestFit="1" customWidth="1"/>
    <col min="11266" max="11266" width="19.85546875" style="757" customWidth="1"/>
    <col min="11267" max="11267" width="12" style="757" bestFit="1" customWidth="1"/>
    <col min="11268" max="11520" width="9.140625" style="757"/>
    <col min="11521" max="11521" width="29.5703125" style="757" bestFit="1" customWidth="1"/>
    <col min="11522" max="11522" width="19.85546875" style="757" customWidth="1"/>
    <col min="11523" max="11523" width="12" style="757" bestFit="1" customWidth="1"/>
    <col min="11524" max="11776" width="9.140625" style="757"/>
    <col min="11777" max="11777" width="29.5703125" style="757" bestFit="1" customWidth="1"/>
    <col min="11778" max="11778" width="19.85546875" style="757" customWidth="1"/>
    <col min="11779" max="11779" width="12" style="757" bestFit="1" customWidth="1"/>
    <col min="11780" max="12032" width="9.140625" style="757"/>
    <col min="12033" max="12033" width="29.5703125" style="757" bestFit="1" customWidth="1"/>
    <col min="12034" max="12034" width="19.85546875" style="757" customWidth="1"/>
    <col min="12035" max="12035" width="12" style="757" bestFit="1" customWidth="1"/>
    <col min="12036" max="12288" width="9.140625" style="757"/>
    <col min="12289" max="12289" width="29.5703125" style="757" bestFit="1" customWidth="1"/>
    <col min="12290" max="12290" width="19.85546875" style="757" customWidth="1"/>
    <col min="12291" max="12291" width="12" style="757" bestFit="1" customWidth="1"/>
    <col min="12292" max="12544" width="9.140625" style="757"/>
    <col min="12545" max="12545" width="29.5703125" style="757" bestFit="1" customWidth="1"/>
    <col min="12546" max="12546" width="19.85546875" style="757" customWidth="1"/>
    <col min="12547" max="12547" width="12" style="757" bestFit="1" customWidth="1"/>
    <col min="12548" max="12800" width="9.140625" style="757"/>
    <col min="12801" max="12801" width="29.5703125" style="757" bestFit="1" customWidth="1"/>
    <col min="12802" max="12802" width="19.85546875" style="757" customWidth="1"/>
    <col min="12803" max="12803" width="12" style="757" bestFit="1" customWidth="1"/>
    <col min="12804" max="13056" width="9.140625" style="757"/>
    <col min="13057" max="13057" width="29.5703125" style="757" bestFit="1" customWidth="1"/>
    <col min="13058" max="13058" width="19.85546875" style="757" customWidth="1"/>
    <col min="13059" max="13059" width="12" style="757" bestFit="1" customWidth="1"/>
    <col min="13060" max="13312" width="9.140625" style="757"/>
    <col min="13313" max="13313" width="29.5703125" style="757" bestFit="1" customWidth="1"/>
    <col min="13314" max="13314" width="19.85546875" style="757" customWidth="1"/>
    <col min="13315" max="13315" width="12" style="757" bestFit="1" customWidth="1"/>
    <col min="13316" max="13568" width="9.140625" style="757"/>
    <col min="13569" max="13569" width="29.5703125" style="757" bestFit="1" customWidth="1"/>
    <col min="13570" max="13570" width="19.85546875" style="757" customWidth="1"/>
    <col min="13571" max="13571" width="12" style="757" bestFit="1" customWidth="1"/>
    <col min="13572" max="13824" width="9.140625" style="757"/>
    <col min="13825" max="13825" width="29.5703125" style="757" bestFit="1" customWidth="1"/>
    <col min="13826" max="13826" width="19.85546875" style="757" customWidth="1"/>
    <col min="13827" max="13827" width="12" style="757" bestFit="1" customWidth="1"/>
    <col min="13828" max="14080" width="9.140625" style="757"/>
    <col min="14081" max="14081" width="29.5703125" style="757" bestFit="1" customWidth="1"/>
    <col min="14082" max="14082" width="19.85546875" style="757" customWidth="1"/>
    <col min="14083" max="14083" width="12" style="757" bestFit="1" customWidth="1"/>
    <col min="14084" max="14336" width="9.140625" style="757"/>
    <col min="14337" max="14337" width="29.5703125" style="757" bestFit="1" customWidth="1"/>
    <col min="14338" max="14338" width="19.85546875" style="757" customWidth="1"/>
    <col min="14339" max="14339" width="12" style="757" bestFit="1" customWidth="1"/>
    <col min="14340" max="14592" width="9.140625" style="757"/>
    <col min="14593" max="14593" width="29.5703125" style="757" bestFit="1" customWidth="1"/>
    <col min="14594" max="14594" width="19.85546875" style="757" customWidth="1"/>
    <col min="14595" max="14595" width="12" style="757" bestFit="1" customWidth="1"/>
    <col min="14596" max="14848" width="9.140625" style="757"/>
    <col min="14849" max="14849" width="29.5703125" style="757" bestFit="1" customWidth="1"/>
    <col min="14850" max="14850" width="19.85546875" style="757" customWidth="1"/>
    <col min="14851" max="14851" width="12" style="757" bestFit="1" customWidth="1"/>
    <col min="14852" max="15104" width="9.140625" style="757"/>
    <col min="15105" max="15105" width="29.5703125" style="757" bestFit="1" customWidth="1"/>
    <col min="15106" max="15106" width="19.85546875" style="757" customWidth="1"/>
    <col min="15107" max="15107" width="12" style="757" bestFit="1" customWidth="1"/>
    <col min="15108" max="15360" width="9.140625" style="757"/>
    <col min="15361" max="15361" width="29.5703125" style="757" bestFit="1" customWidth="1"/>
    <col min="15362" max="15362" width="19.85546875" style="757" customWidth="1"/>
    <col min="15363" max="15363" width="12" style="757" bestFit="1" customWidth="1"/>
    <col min="15364" max="15616" width="9.140625" style="757"/>
    <col min="15617" max="15617" width="29.5703125" style="757" bestFit="1" customWidth="1"/>
    <col min="15618" max="15618" width="19.85546875" style="757" customWidth="1"/>
    <col min="15619" max="15619" width="12" style="757" bestFit="1" customWidth="1"/>
    <col min="15620" max="15872" width="9.140625" style="757"/>
    <col min="15873" max="15873" width="29.5703125" style="757" bestFit="1" customWidth="1"/>
    <col min="15874" max="15874" width="19.85546875" style="757" customWidth="1"/>
    <col min="15875" max="15875" width="12" style="757" bestFit="1" customWidth="1"/>
    <col min="15876" max="16128" width="9.140625" style="757"/>
    <col min="16129" max="16129" width="29.5703125" style="757" bestFit="1" customWidth="1"/>
    <col min="16130" max="16130" width="19.85546875" style="757" customWidth="1"/>
    <col min="16131" max="16131" width="12" style="757" bestFit="1" customWidth="1"/>
    <col min="16132" max="16384" width="9.140625" style="757"/>
  </cols>
  <sheetData>
    <row r="1" spans="1:2">
      <c r="A1" s="757" t="s">
        <v>877</v>
      </c>
      <c r="B1" s="758">
        <v>6.1</v>
      </c>
    </row>
    <row r="2" spans="1:2">
      <c r="A2" s="757" t="s">
        <v>878</v>
      </c>
      <c r="B2" s="762">
        <v>43216.719664351855</v>
      </c>
    </row>
    <row r="3" spans="1:2">
      <c r="A3" s="757" t="s">
        <v>879</v>
      </c>
      <c r="B3" s="759" t="s">
        <v>846</v>
      </c>
    </row>
    <row r="4" spans="1:2">
      <c r="A4" s="757" t="s">
        <v>880</v>
      </c>
      <c r="B4" s="759" t="s">
        <v>881</v>
      </c>
    </row>
    <row r="5" spans="1:2">
      <c r="A5" s="757" t="s">
        <v>882</v>
      </c>
      <c r="B5" s="759" t="s">
        <v>883</v>
      </c>
    </row>
    <row r="6" spans="1:2">
      <c r="A6" s="757" t="s">
        <v>884</v>
      </c>
    </row>
    <row r="7" spans="1:2">
      <c r="A7" s="757" t="s">
        <v>885</v>
      </c>
      <c r="B7" s="759" t="s">
        <v>474</v>
      </c>
    </row>
    <row r="8" spans="1:2">
      <c r="A8" s="757" t="s">
        <v>886</v>
      </c>
      <c r="B8" s="759" t="s">
        <v>887</v>
      </c>
    </row>
    <row r="9" spans="1:2">
      <c r="A9" s="757" t="s">
        <v>888</v>
      </c>
      <c r="B9" s="759" t="s">
        <v>925</v>
      </c>
    </row>
    <row r="10" spans="1:2">
      <c r="A10" s="757" t="s">
        <v>889</v>
      </c>
    </row>
    <row r="11" spans="1:2">
      <c r="A11" s="757" t="s">
        <v>890</v>
      </c>
    </row>
    <row r="12" spans="1:2">
      <c r="A12" s="757" t="s">
        <v>891</v>
      </c>
    </row>
    <row r="13" spans="1:2">
      <c r="A13" s="757" t="s">
        <v>892</v>
      </c>
    </row>
    <row r="14" spans="1:2">
      <c r="A14" s="757" t="s">
        <v>893</v>
      </c>
    </row>
    <row r="15" spans="1:2">
      <c r="A15" s="757" t="s">
        <v>894</v>
      </c>
    </row>
    <row r="16" spans="1:2">
      <c r="A16" s="757" t="s">
        <v>895</v>
      </c>
    </row>
    <row r="17" spans="1:4">
      <c r="A17" s="757" t="s">
        <v>896</v>
      </c>
      <c r="B17" s="759" t="s">
        <v>926</v>
      </c>
    </row>
    <row r="18" spans="1:4">
      <c r="A18" s="757" t="s">
        <v>897</v>
      </c>
      <c r="B18" s="759" t="s">
        <v>928</v>
      </c>
    </row>
    <row r="19" spans="1:4">
      <c r="A19" s="757" t="s">
        <v>898</v>
      </c>
      <c r="B19" s="759" t="s">
        <v>662</v>
      </c>
    </row>
    <row r="20" spans="1:4">
      <c r="A20" s="757" t="s">
        <v>899</v>
      </c>
      <c r="B20" s="760" t="s">
        <v>929</v>
      </c>
    </row>
    <row r="21" spans="1:4">
      <c r="A21" s="757" t="s">
        <v>900</v>
      </c>
      <c r="B21" s="759" t="s">
        <v>662</v>
      </c>
    </row>
    <row r="22" spans="1:4">
      <c r="A22" s="757" t="s">
        <v>901</v>
      </c>
      <c r="B22" s="760">
        <v>2754907</v>
      </c>
    </row>
    <row r="23" spans="1:4">
      <c r="A23" s="757" t="s">
        <v>231</v>
      </c>
      <c r="B23" s="758">
        <v>114.45</v>
      </c>
    </row>
    <row r="24" spans="1:4">
      <c r="A24" s="757" t="s">
        <v>230</v>
      </c>
      <c r="B24" s="759" t="s">
        <v>394</v>
      </c>
      <c r="D24" s="757" t="s">
        <v>629</v>
      </c>
    </row>
    <row r="25" spans="1:4">
      <c r="A25" s="757" t="s">
        <v>902</v>
      </c>
      <c r="B25" s="759" t="s">
        <v>930</v>
      </c>
    </row>
    <row r="26" spans="1:4">
      <c r="A26" s="757" t="s">
        <v>903</v>
      </c>
      <c r="B26" s="759">
        <v>0</v>
      </c>
    </row>
    <row r="27" spans="1:4">
      <c r="A27" s="757" t="s">
        <v>904</v>
      </c>
      <c r="B27" s="759" t="s">
        <v>905</v>
      </c>
    </row>
    <row r="28" spans="1:4">
      <c r="A28" s="757" t="s">
        <v>906</v>
      </c>
      <c r="B28" s="759" t="s">
        <v>907</v>
      </c>
    </row>
    <row r="29" spans="1:4">
      <c r="A29" s="757" t="s">
        <v>908</v>
      </c>
    </row>
    <row r="30" spans="1:4">
      <c r="A30" s="757" t="s">
        <v>909</v>
      </c>
    </row>
    <row r="31" spans="1:4">
      <c r="A31" s="757" t="s">
        <v>910</v>
      </c>
    </row>
    <row r="32" spans="1:4">
      <c r="A32" s="757" t="s">
        <v>911</v>
      </c>
      <c r="B32" s="758"/>
    </row>
    <row r="33" spans="1:2">
      <c r="A33" s="757" t="s">
        <v>912</v>
      </c>
      <c r="B33" s="758"/>
    </row>
    <row r="34" spans="1:2">
      <c r="A34" s="757" t="s">
        <v>913</v>
      </c>
      <c r="B34" s="758"/>
    </row>
    <row r="35" spans="1:2">
      <c r="A35" s="757" t="s">
        <v>914</v>
      </c>
      <c r="B35" s="759">
        <v>1000000</v>
      </c>
    </row>
    <row r="36" spans="1:2">
      <c r="A36" s="757" t="s">
        <v>915</v>
      </c>
      <c r="B36" s="759" t="s">
        <v>259</v>
      </c>
    </row>
    <row r="37" spans="1:2">
      <c r="A37" s="757" t="s">
        <v>916</v>
      </c>
      <c r="B37" s="759" t="s">
        <v>917</v>
      </c>
    </row>
    <row r="38" spans="1:2">
      <c r="A38" s="757" t="s">
        <v>918</v>
      </c>
      <c r="B38" s="759" t="s">
        <v>919</v>
      </c>
    </row>
    <row r="39" spans="1:2">
      <c r="A39" s="757" t="s">
        <v>920</v>
      </c>
      <c r="B39" s="759" t="s">
        <v>927</v>
      </c>
    </row>
    <row r="40" spans="1:2">
      <c r="A40" s="757" t="s">
        <v>921</v>
      </c>
      <c r="B40" s="759">
        <v>1500001285</v>
      </c>
    </row>
    <row r="41" spans="1:2">
      <c r="A41" s="757" t="s">
        <v>922</v>
      </c>
      <c r="B41" s="759">
        <v>4</v>
      </c>
    </row>
    <row r="42" spans="1:2">
      <c r="A42" s="761" t="s">
        <v>923</v>
      </c>
    </row>
    <row r="43" spans="1:2">
      <c r="A43" s="757" t="s">
        <v>924</v>
      </c>
    </row>
  </sheetData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3"/>
  <sheetViews>
    <sheetView workbookViewId="0"/>
  </sheetViews>
  <sheetFormatPr defaultRowHeight="12.75"/>
  <cols>
    <col min="1" max="1" width="28.5703125" style="757" bestFit="1" customWidth="1"/>
    <col min="2" max="256" width="9.140625" style="757"/>
    <col min="257" max="257" width="28.5703125" style="757" bestFit="1" customWidth="1"/>
    <col min="258" max="512" width="9.140625" style="757"/>
    <col min="513" max="513" width="28.5703125" style="757" bestFit="1" customWidth="1"/>
    <col min="514" max="768" width="9.140625" style="757"/>
    <col min="769" max="769" width="28.5703125" style="757" bestFit="1" customWidth="1"/>
    <col min="770" max="1024" width="9.140625" style="757"/>
    <col min="1025" max="1025" width="28.5703125" style="757" bestFit="1" customWidth="1"/>
    <col min="1026" max="1280" width="9.140625" style="757"/>
    <col min="1281" max="1281" width="28.5703125" style="757" bestFit="1" customWidth="1"/>
    <col min="1282" max="1536" width="9.140625" style="757"/>
    <col min="1537" max="1537" width="28.5703125" style="757" bestFit="1" customWidth="1"/>
    <col min="1538" max="1792" width="9.140625" style="757"/>
    <col min="1793" max="1793" width="28.5703125" style="757" bestFit="1" customWidth="1"/>
    <col min="1794" max="2048" width="9.140625" style="757"/>
    <col min="2049" max="2049" width="28.5703125" style="757" bestFit="1" customWidth="1"/>
    <col min="2050" max="2304" width="9.140625" style="757"/>
    <col min="2305" max="2305" width="28.5703125" style="757" bestFit="1" customWidth="1"/>
    <col min="2306" max="2560" width="9.140625" style="757"/>
    <col min="2561" max="2561" width="28.5703125" style="757" bestFit="1" customWidth="1"/>
    <col min="2562" max="2816" width="9.140625" style="757"/>
    <col min="2817" max="2817" width="28.5703125" style="757" bestFit="1" customWidth="1"/>
    <col min="2818" max="3072" width="9.140625" style="757"/>
    <col min="3073" max="3073" width="28.5703125" style="757" bestFit="1" customWidth="1"/>
    <col min="3074" max="3328" width="9.140625" style="757"/>
    <col min="3329" max="3329" width="28.5703125" style="757" bestFit="1" customWidth="1"/>
    <col min="3330" max="3584" width="9.140625" style="757"/>
    <col min="3585" max="3585" width="28.5703125" style="757" bestFit="1" customWidth="1"/>
    <col min="3586" max="3840" width="9.140625" style="757"/>
    <col min="3841" max="3841" width="28.5703125" style="757" bestFit="1" customWidth="1"/>
    <col min="3842" max="4096" width="9.140625" style="757"/>
    <col min="4097" max="4097" width="28.5703125" style="757" bestFit="1" customWidth="1"/>
    <col min="4098" max="4352" width="9.140625" style="757"/>
    <col min="4353" max="4353" width="28.5703125" style="757" bestFit="1" customWidth="1"/>
    <col min="4354" max="4608" width="9.140625" style="757"/>
    <col min="4609" max="4609" width="28.5703125" style="757" bestFit="1" customWidth="1"/>
    <col min="4610" max="4864" width="9.140625" style="757"/>
    <col min="4865" max="4865" width="28.5703125" style="757" bestFit="1" customWidth="1"/>
    <col min="4866" max="5120" width="9.140625" style="757"/>
    <col min="5121" max="5121" width="28.5703125" style="757" bestFit="1" customWidth="1"/>
    <col min="5122" max="5376" width="9.140625" style="757"/>
    <col min="5377" max="5377" width="28.5703125" style="757" bestFit="1" customWidth="1"/>
    <col min="5378" max="5632" width="9.140625" style="757"/>
    <col min="5633" max="5633" width="28.5703125" style="757" bestFit="1" customWidth="1"/>
    <col min="5634" max="5888" width="9.140625" style="757"/>
    <col min="5889" max="5889" width="28.5703125" style="757" bestFit="1" customWidth="1"/>
    <col min="5890" max="6144" width="9.140625" style="757"/>
    <col min="6145" max="6145" width="28.5703125" style="757" bestFit="1" customWidth="1"/>
    <col min="6146" max="6400" width="9.140625" style="757"/>
    <col min="6401" max="6401" width="28.5703125" style="757" bestFit="1" customWidth="1"/>
    <col min="6402" max="6656" width="9.140625" style="757"/>
    <col min="6657" max="6657" width="28.5703125" style="757" bestFit="1" customWidth="1"/>
    <col min="6658" max="6912" width="9.140625" style="757"/>
    <col min="6913" max="6913" width="28.5703125" style="757" bestFit="1" customWidth="1"/>
    <col min="6914" max="7168" width="9.140625" style="757"/>
    <col min="7169" max="7169" width="28.5703125" style="757" bestFit="1" customWidth="1"/>
    <col min="7170" max="7424" width="9.140625" style="757"/>
    <col min="7425" max="7425" width="28.5703125" style="757" bestFit="1" customWidth="1"/>
    <col min="7426" max="7680" width="9.140625" style="757"/>
    <col min="7681" max="7681" width="28.5703125" style="757" bestFit="1" customWidth="1"/>
    <col min="7682" max="7936" width="9.140625" style="757"/>
    <col min="7937" max="7937" width="28.5703125" style="757" bestFit="1" customWidth="1"/>
    <col min="7938" max="8192" width="9.140625" style="757"/>
    <col min="8193" max="8193" width="28.5703125" style="757" bestFit="1" customWidth="1"/>
    <col min="8194" max="8448" width="9.140625" style="757"/>
    <col min="8449" max="8449" width="28.5703125" style="757" bestFit="1" customWidth="1"/>
    <col min="8450" max="8704" width="9.140625" style="757"/>
    <col min="8705" max="8705" width="28.5703125" style="757" bestFit="1" customWidth="1"/>
    <col min="8706" max="8960" width="9.140625" style="757"/>
    <col min="8961" max="8961" width="28.5703125" style="757" bestFit="1" customWidth="1"/>
    <col min="8962" max="9216" width="9.140625" style="757"/>
    <col min="9217" max="9217" width="28.5703125" style="757" bestFit="1" customWidth="1"/>
    <col min="9218" max="9472" width="9.140625" style="757"/>
    <col min="9473" max="9473" width="28.5703125" style="757" bestFit="1" customWidth="1"/>
    <col min="9474" max="9728" width="9.140625" style="757"/>
    <col min="9729" max="9729" width="28.5703125" style="757" bestFit="1" customWidth="1"/>
    <col min="9730" max="9984" width="9.140625" style="757"/>
    <col min="9985" max="9985" width="28.5703125" style="757" bestFit="1" customWidth="1"/>
    <col min="9986" max="10240" width="9.140625" style="757"/>
    <col min="10241" max="10241" width="28.5703125" style="757" bestFit="1" customWidth="1"/>
    <col min="10242" max="10496" width="9.140625" style="757"/>
    <col min="10497" max="10497" width="28.5703125" style="757" bestFit="1" customWidth="1"/>
    <col min="10498" max="10752" width="9.140625" style="757"/>
    <col min="10753" max="10753" width="28.5703125" style="757" bestFit="1" customWidth="1"/>
    <col min="10754" max="11008" width="9.140625" style="757"/>
    <col min="11009" max="11009" width="28.5703125" style="757" bestFit="1" customWidth="1"/>
    <col min="11010" max="11264" width="9.140625" style="757"/>
    <col min="11265" max="11265" width="28.5703125" style="757" bestFit="1" customWidth="1"/>
    <col min="11266" max="11520" width="9.140625" style="757"/>
    <col min="11521" max="11521" width="28.5703125" style="757" bestFit="1" customWidth="1"/>
    <col min="11522" max="11776" width="9.140625" style="757"/>
    <col min="11777" max="11777" width="28.5703125" style="757" bestFit="1" customWidth="1"/>
    <col min="11778" max="12032" width="9.140625" style="757"/>
    <col min="12033" max="12033" width="28.5703125" style="757" bestFit="1" customWidth="1"/>
    <col min="12034" max="12288" width="9.140625" style="757"/>
    <col min="12289" max="12289" width="28.5703125" style="757" bestFit="1" customWidth="1"/>
    <col min="12290" max="12544" width="9.140625" style="757"/>
    <col min="12545" max="12545" width="28.5703125" style="757" bestFit="1" customWidth="1"/>
    <col min="12546" max="12800" width="9.140625" style="757"/>
    <col min="12801" max="12801" width="28.5703125" style="757" bestFit="1" customWidth="1"/>
    <col min="12802" max="13056" width="9.140625" style="757"/>
    <col min="13057" max="13057" width="28.5703125" style="757" bestFit="1" customWidth="1"/>
    <col min="13058" max="13312" width="9.140625" style="757"/>
    <col min="13313" max="13313" width="28.5703125" style="757" bestFit="1" customWidth="1"/>
    <col min="13314" max="13568" width="9.140625" style="757"/>
    <col min="13569" max="13569" width="28.5703125" style="757" bestFit="1" customWidth="1"/>
    <col min="13570" max="13824" width="9.140625" style="757"/>
    <col min="13825" max="13825" width="28.5703125" style="757" bestFit="1" customWidth="1"/>
    <col min="13826" max="14080" width="9.140625" style="757"/>
    <col min="14081" max="14081" width="28.5703125" style="757" bestFit="1" customWidth="1"/>
    <col min="14082" max="14336" width="9.140625" style="757"/>
    <col min="14337" max="14337" width="28.5703125" style="757" bestFit="1" customWidth="1"/>
    <col min="14338" max="14592" width="9.140625" style="757"/>
    <col min="14593" max="14593" width="28.5703125" style="757" bestFit="1" customWidth="1"/>
    <col min="14594" max="14848" width="9.140625" style="757"/>
    <col min="14849" max="14849" width="28.5703125" style="757" bestFit="1" customWidth="1"/>
    <col min="14850" max="15104" width="9.140625" style="757"/>
    <col min="15105" max="15105" width="28.5703125" style="757" bestFit="1" customWidth="1"/>
    <col min="15106" max="15360" width="9.140625" style="757"/>
    <col min="15361" max="15361" width="28.5703125" style="757" bestFit="1" customWidth="1"/>
    <col min="15362" max="15616" width="9.140625" style="757"/>
    <col min="15617" max="15617" width="28.5703125" style="757" bestFit="1" customWidth="1"/>
    <col min="15618" max="15872" width="9.140625" style="757"/>
    <col min="15873" max="15873" width="28.5703125" style="757" bestFit="1" customWidth="1"/>
    <col min="15874" max="16128" width="9.140625" style="757"/>
    <col min="16129" max="16129" width="28.5703125" style="757" bestFit="1" customWidth="1"/>
    <col min="16130" max="16384" width="9.140625" style="757"/>
  </cols>
  <sheetData>
    <row r="1" spans="1:1">
      <c r="A1" s="763" t="s">
        <v>931</v>
      </c>
    </row>
    <row r="2" spans="1:1">
      <c r="A2" s="763" t="s">
        <v>936</v>
      </c>
    </row>
    <row r="3" spans="1:1">
      <c r="A3" s="763" t="s">
        <v>937</v>
      </c>
    </row>
    <row r="4" spans="1:1">
      <c r="A4" s="763" t="s">
        <v>938</v>
      </c>
    </row>
    <row r="5" spans="1:1">
      <c r="A5" s="763" t="s">
        <v>939</v>
      </c>
    </row>
    <row r="6" spans="1:1">
      <c r="A6" s="763" t="s">
        <v>932</v>
      </c>
    </row>
    <row r="7" spans="1:1">
      <c r="A7" s="763" t="s">
        <v>940</v>
      </c>
    </row>
    <row r="8" spans="1:1">
      <c r="A8" s="763" t="s">
        <v>941</v>
      </c>
    </row>
    <row r="9" spans="1:1">
      <c r="A9" s="763" t="s">
        <v>942</v>
      </c>
    </row>
    <row r="10" spans="1:1">
      <c r="A10" s="763" t="s">
        <v>933</v>
      </c>
    </row>
    <row r="11" spans="1:1">
      <c r="A11" s="763" t="s">
        <v>943</v>
      </c>
    </row>
    <row r="12" spans="1:1">
      <c r="A12" s="763" t="s">
        <v>934</v>
      </c>
    </row>
    <row r="13" spans="1:1">
      <c r="A13" s="763" t="s">
        <v>935</v>
      </c>
    </row>
  </sheetData>
  <pageMargins left="0.75" right="0.75" top="1" bottom="1" header="0.5" footer="0.5"/>
  <headerFooter alignWithMargins="0"/>
</worksheet>
</file>

<file path=customXml/_rels/item1.xml.rels><?xml version="1.0" encoding="UTF-8" standalone="yes"?>
<Relationships xmlns="http://schemas.openxmlformats.org/package/2006/relationships">
<Relationship Id="rId1" Target="itemProps1.xml" Type="http://schemas.openxmlformats.org/officeDocument/2006/relationships/customXmlProps"/>
</Relationships>

</file>

<file path=customXml/_rels/item2.xml.rels><?xml version="1.0" encoding="UTF-8" standalone="yes"?>
<Relationships xmlns="http://schemas.openxmlformats.org/package/2006/relationships">
<Relationship Id="rId1" Target="itemProps2.xml" Type="http://schemas.openxmlformats.org/officeDocument/2006/relationships/customXmlProps"/>
</Relationships>

</file>

<file path=customXml/item1.xml><?xml version="1.0" encoding="utf-8"?>
<lkmtd:Metadata xmlns:lkmtd="thomsonreuters.linking.metadatachange">
  <MetadataChanged>0</MetadataChanged>
</lkmtd:Metadata>
</file>

<file path=customXml/item2.xml><?xml version="1.0" encoding="utf-8"?>
<lk:Links xmlns:lk="thomsonreuters.linking.metadata">
  <Link>
    <GUID>353a25bf-347d-48aa-ba0a-ec51c5ccf479</GUID>
    <SOURCE_ALTADDRESS>$B$4:$D$9</SOURCE_ALTADDRESS>
    <SOURCETYPE>Table</SOURCETYPE>
    <SOURCE_OBJECTNAME>Linking_Range_30</SOURCE_OBJECTNAME>
    <OBJECTTYPE>Native</OBJECTTYPE>
    <SOURCE_SHEETCODE>Sheet3</SOURCE_SHEETCODE>
    <SOURCE_SHEETNAME>Valuation</SOURCE_SHEETNAME>
    <SOURCEAPPLICATION>EXCEL_SOURCE</SOURCEAPPLICATION>
    <UPDATEDAT>4/21/2015 7:32:53 PM</UPDATEDAT>
    <SOURCE_ISOUTOFDATE>False</SOURCE_ISOUTOFDATE>
    <SOURCE_WORKBOOKNAME>AC_RCL_new.xls</SOURCE_WORKBOOKNAME>
    <SOURCE_WORKBOOKPATH>\\MSAD\ROOT\EU\LN\LIB\EQR\leisure\Company\Royal Caribbean\Models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HtmlTable</TARGETTYPE>
    <TARGETAPPLICATION>METHODE_TARGET</TARGETAPPLICATION>
    <EXTRACTSOURCEMODE>CopyToClipboard</EXTRACTSOURCEMODE>
    <TARGET_BINARYFULLNAME/>
    <TARGET_STORYFULLNAME>/MSResearch/Content/ExternalAssets/2015-04/Sections/20150421_100250_Linking_Range_30.xml</TARGET_STORYFULLNAME>
    <TARGET_UUID>1901871a-e82f-11e4-b44c-544b7b2f2e67</TARGET_UUID>
  </Link>
  <Link>
    <GUID>24a831ae-968f-447a-8642-534105ffb76f</GUID>
    <SOURCE_ALTADDRESS>$B$4:$D$8</SOURCE_ALTADDRESS>
    <SOURCETYPE>Table</SOURCETYPE>
    <SOURCE_OBJECTNAME>Linking_Range_78</SOURCE_OBJECTNAME>
    <OBJECTTYPE>Native</OBJECTTYPE>
    <SOURCE_SHEETCODE>Sheet3</SOURCE_SHEETCODE>
    <SOURCE_SHEETNAME>Valuation</SOURCE_SHEETNAME>
    <SOURCEAPPLICATION>EXCEL_SOURCE</SOURCEAPPLICATION>
    <UPDATEDAT>4/21/2015 7:33:27 PM</UPDATEDAT>
    <SOURCE_ISOUTOFDATE>False</SOURCE_ISOUTOFDATE>
    <SOURCE_WORKBOOKNAME>AC_RCL_new.xls</SOURCE_WORKBOOKNAME>
    <SOURCE_WORKBOOKPATH>\\MSAD\ROOT\EU\LN\LIB\EQR\leisure\Company\Royal Caribbean\Models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/MSResearch/Content/ExternalAssets/2015-04/Images/VEH7uoapkUqWGt9TM37QLQ--.png</TARGET_BINARYFULLNAME>
    <TARGET_STORYFULLNAME>/MSResearch/Content/ExternalAssets/2015-04/Sections/20150421_100320_Linking_Range_78.xml</TARGET_STORYFULLNAME>
    <TARGET_UUID>2aead2d8-e82f-11e4-b44c-544b7b2f2e67</TARGET_UUID>
  </Link>
  <Link>
    <GUID>56fd9487-9770-41d5-96bc-7524a1cdf6b7</GUID>
    <SOURCE_ALTADDRESS>$B$4:$D$8</SOURCE_ALTADDRESS>
    <SOURCETYPE>Table</SOURCETYPE>
    <SOURCE_OBJECTNAME>Linking_Range_78</SOURCE_OBJECTNAME>
    <OBJECTTYPE>Native</OBJECTTYPE>
    <SOURCE_SHEETCODE>Sheet3</SOURCE_SHEETCODE>
    <SOURCE_SHEETNAME>Valuation</SOURCE_SHEETNAME>
    <SOURCEAPPLICATION>EXCEL_SOURCE</SOURCEAPPLICATION>
    <UPDATEDAT>4/21/2015 9:08:41 PM</UPDATEDAT>
    <SOURCE_ISOUTOFDATE>False</SOURCE_ISOUTOFDATE>
    <SOURCE_WORKBOOKNAME>AC_RCL_new.xls</SOURCE_WORKBOOKNAME>
    <SOURCE_WORKBOOKPATH>\\MSAD\ROOT\EU\LN\LIB\EQR\leisure\Company\Royal Caribbean\Models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HtmlTable</TARGETTYPE>
    <TARGETAPPLICATION>METHODE_TARGET</TARGETAPPLICATION>
    <EXTRACTSOURCEMODE>CopyToClipboard</EXTRACTSOURCEMODE>
    <TARGET_BINARYFULLNAME/>
    <TARGET_STORYFULLNAME>/MSResearch/Content/ExternalAssets/2015-04/Sections/20150421_100349_Linking_Range_78.xml</TARGET_STORYFULLNAME>
    <TARGET_UUID>3bc95192-e82f-11e4-b44c-544b7b2f2e67</TARGET_UUID>
    <TRANSPARENTBACKGROUND>False</TRANSPARENTBACKGROUND>
    <TRANSPARENTPLOTAREA>False</TRANSPARENTPLOTAREA>
  </Link>
  <Link>
    <GUID>a550442b-9ac9-43d2-934d-ea94594c7d59</GUID>
    <SOURCETYPE>Chart</SOURCETYPE>
    <SOURCE_OBJECTNAME>Chart 9</SOURCE_OBJECTNAME>
    <SOURCE_SHEETCODE>Sheet2</SOURCE_SHEETCODE>
    <SOURCE_SHEETNAME>Exhibits</SOURCE_SHEETNAME>
    <OBJECTTYPE>Native</OBJECTTYPE>
    <SOURCEAPPLICATION>EXCEL_SOURCE</SOURCEAPPLICATION>
    <UPDATEDAT>4/21/2015 9:21:22 PM</UPDATEDAT>
    <SOURCE_ISOUTOFDATE>False</SOURCE_ISOUTOFDATE>
    <SOURCE_WORKBOOKNAME>AC_RCL_new.xls</SOURCE_WORKBOOKNAME>
    <SOURCE_WORKBOOKPATH>\\MSAD\ROOT\EU\LN\LIB\EQR\LEISURE\COMPANY\ROYAL CARIBBEAN\MODELS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EXTRACTSOURCEMODE>CopyToClipboard</EXTRACTSOURCEMODE>
    <TARGET_BINARYFULLNAME>/MSResearch/Content/ExternalAssets/2015-04/Images/mZ6zjOakOUKUtGWe7Lf8BQ--.png</TARGET_BINARYFULLNAME>
    <TARGET_STORYFULLNAME>/MSResearch/Content/ExternalAssets/2015-04/Sections/20150421_115119_Chart9.xml</TARGET_STORYFULLNAME>
    <TARGET_UUID>40a00d50-e83e-11e4-b44c-544b7b2f2e67</TARGET_UUID>
  </Link>
  <Link>
    <GUID>1405c624-cd08-446c-bdae-693aeec7a4ed</GUID>
    <SOURCE_ALTADDRESS>$B$224:$G$237</SOURCE_ALTADDRESS>
    <SOURCETYPE>Table</SOURCETYPE>
    <SOURCE_OBJECTNAME>Linking_Range_63</SOURCE_OBJECTNAME>
    <OBJECTTYPE>Native</OBJECTTYPE>
    <SOURCE_SHEETCODE>Sheet2</SOURCE_SHEETCODE>
    <SOURCE_SHEETNAME>Exhibits</SOURCE_SHEETNAME>
    <SOURCEAPPLICATION>EXCEL_SOURCE</SOURCEAPPLICATION>
    <UPDATEDAT>4/22/2015 12:02:00 AM</UPDATEDAT>
    <SOURCE_ISOUTOFDATE>False</SOURCE_ISOUTOFDATE>
    <SOURCE_WORKBOOKNAME>AC_RCL_new.xls</SOURCE_WORKBOOKNAME>
    <SOURCE_WORKBOOKPATH>\\MSAD\ROOT\EU\LN\LIB\EQR\leisure\Company\Royal Caribbean\Models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HtmlTable</TARGETTYPE>
    <TARGETAPPLICATION>METHODE_TARGET</TARGETAPPLICATION>
    <EXTRACTSOURCEMODE>CopyToClipboard</EXTRACTSOURCEMODE>
    <TARGET_BINARYFULLNAME/>
    <TARGET_STORYFULLNAME>/MSResearch/Content/ExternalAssets/2015-04/Sections/20150421_023157_Linking_Range_63.xml</TARGET_STORYFULLNAME>
    <TARGET_UUID>b1654184-e854-11e4-b44c-544b7b2f2e67</TARGET_UUID>
  </Link>
  <Link>
    <GUID>23977e03-8d1d-44fa-9bef-7b6e0ac195e1</GUID>
    <SOURCE_ALTADDRESS>$P$9:$S$24</SOURCE_ALTADDRESS>
    <SOURCETYPE>Table</SOURCETYPE>
    <SOURCE_OBJECTNAME>Linking_Range_61</SOURCE_OBJECTNAME>
    <OBJECTTYPE>Native</OBJECTTYPE>
    <SOURCE_SHEETCODE>Sheet8</SOURCE_SHEETCODE>
    <SOURCE_SHEETNAME>Ships</SOURCE_SHEETNAME>
    <SOURCEAPPLICATION>EXCEL_SOURCE</SOURCEAPPLICATION>
    <UPDATEDAT>4/22/2015 12:07:11 AM</UPDATEDAT>
    <SOURCE_ISOUTOFDATE>False</SOURCE_ISOUTOFDATE>
    <SOURCE_WORKBOOKNAME>AC_RCL_new.xls</SOURCE_WORKBOOKNAME>
    <SOURCE_WORKBOOKPATH>\\MSAD\ROOT\EU\LN\LIB\EQR\leisure\Company\Royal Caribbean\Models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HtmlTable</TARGETTYPE>
    <TARGETAPPLICATION>METHODE_TARGET</TARGETAPPLICATION>
    <EXTRACTSOURCEMODE>CopyToClipboard</EXTRACTSOURCEMODE>
    <TARGET_BINARYFULLNAME/>
    <TARGET_STORYFULLNAME>/MSResearch/Content/ExternalAssets/2015-04/Sections/20150421_023708_Linking_Range_61.xml</TARGET_STORYFULLNAME>
    <TARGET_UUID>6ab25168-e855-11e4-b44c-544b7b2f2e67</TARGET_UUID>
  </Link>
  <Link>
    <GUID>2e3c8420-c841-43f2-91fa-3249763a2974</GUID>
    <SOURCETYPE>Chart</SOURCETYPE>
    <SOURCE_OBJECTNAME>Chart 1</SOURCE_OBJECTNAME>
    <SOURCE_SHEETCODE>Sheet9</SOURCE_SHEETCODE>
    <SOURCE_SHEETNAME>double-double bridge</SOURCE_SHEETNAME>
    <OBJECTTYPE>Native</OBJECTTYPE>
    <SOURCEAPPLICATION>EXCEL_SOURCE</SOURCEAPPLICATION>
    <UPDATEDAT>4/22/2015 12:23:00 AM</UPDATEDAT>
    <SOURCE_ISOUTOFDATE>False</SOURCE_ISOUTOFDATE>
    <SOURCE_WORKBOOKNAME>AC_RCL_new.xls</SOURCE_WORKBOOKNAME>
    <SOURCE_WORKBOOKPATH>\\MSAD\ROOT\EU\LN\LIB\EQR\leisure\Company\Royal Caribbean\Models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EXTRACTSOURCEMODE>CopyToClipboard</EXTRACTSOURCEMODE>
    <TARGET_BINARYFULLNAME>/MSResearch/Content/ExternalAssets/2015-04/Images/nwacqUkTX06FZE9DTEjwVA--.png</TARGET_BINARYFULLNAME>
    <TARGET_STORYFULLNAME>/MSResearch/Content/ExternalAssets/2015-04/Sections/20150421_025256_Chart1.xml</TARGET_STORYFULLNAME>
    <TARGET_UUID>9f61dd82-e857-11e4-b44c-544b7b2f2e67</TARGET_UUID>
  </Link>
  <Link>
    <GUID>e9ee06f0-3a87-4ccb-9a65-8b3b9117676b</GUID>
    <SOURCE_ALTADDRESS>$B$14:$F$37</SOURCE_ALTADDRESS>
    <SOURCETYPE>Table</SOURCETYPE>
    <SOURCE_OBJECTNAME>Linking_Range_69</SOURCE_OBJECTNAME>
    <OBJECTTYPE>Native</OBJECTTYPE>
    <SOURCE_SHEETCODE>Sheet3</SOURCE_SHEETCODE>
    <SOURCE_SHEETNAME>Valuation</SOURCE_SHEETNAME>
    <SOURCEAPPLICATION>EXCEL_SOURCE</SOURCEAPPLICATION>
    <UPDATEDAT>4/22/2015 12:44:42 AM</UPDATEDAT>
    <SOURCE_ISOUTOFDATE>False</SOURCE_ISOUTOFDATE>
    <SOURCE_WORKBOOKNAME>AC_RCL_new.xls</SOURCE_WORKBOOKNAME>
    <SOURCE_WORKBOOKPATH>\\MSAD\ROOT\EU\LN\LIB\EQR\leisure\Company\Royal Caribbean\Models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HtmlTable</TARGETTYPE>
    <TARGETAPPLICATION>METHODE_TARGET</TARGETAPPLICATION>
    <EXTRACTSOURCEMODE>CopyToClipboard</EXTRACTSOURCEMODE>
    <TARGET_BINARYFULLNAME/>
    <TARGET_STORYFULLNAME>/MSResearch/Content/ExternalAssets/2015-04/Sections/20150421_031440_Linking_Range_69.xml</TARGET_STORYFULLNAME>
    <TARGET_UUID>a8981300-e85a-11e4-b44c-544b7b2f2e67</TARGET_UUID>
  </Link>
  <Link>
    <GUID>15432ea2-b2da-4764-936b-c2477b357a62</GUID>
    <SOURCE_ALTADDRESS>$B$3:$H$8</SOURCE_ALTADDRESS>
    <SOURCETYPE>Table</SOURCETYPE>
    <SOURCE_OBJECTNAME>Linking_Range_76</SOURCE_OBJECTNAME>
    <OBJECTTYPE>Native</OBJECTTYPE>
    <SOURCE_SHEETCODE>Sheet2</SOURCE_SHEETCODE>
    <SOURCE_SHEETNAME>Exhibits</SOURCE_SHEETNAME>
    <SOURCEAPPLICATION>EXCEL_SOURCE</SOURCEAPPLICATION>
    <UPDATEDAT>4/22/2015 4:28:46 PM</UPDATEDAT>
    <SOURCE_ISOUTOFDATE>False</SOURCE_ISOUTOFDATE>
    <SOURCE_WORKBOOKNAME>AC_RCL_new.xls</SOURCE_WORKBOOKNAME>
    <SOURCE_WORKBOOKPATH>\\MSAD\ROOT\EU\LN\LIB\EQR\leisure\Company\Royal Caribbean\Models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HtmlTable</TARGETTYPE>
    <TARGETAPPLICATION>METHODE_TARGET</TARGETAPPLICATION>
    <EXTRACTSOURCEMODE>CopyToClipboard</EXTRACTSOURCEMODE>
    <TARGET_BINARYFULLNAME/>
    <TARGET_STORYFULLNAME>/MSResearch/Content/ExternalAssets/2015-04/Sections/20150422_065844_Linking_Range_76.xml</TARGET_STORYFULLNAME>
    <TARGET_UUID>8b46772c-e8de-11e4-b44c-544b7b2f2e67</TARGET_UUID>
  </Link>
  <Link>
    <GUID>2ab2abcd-f1f5-40e0-a928-859c50881100</GUID>
    <SOURCE_ALTADDRESS>$H$16:$L$18</SOURCE_ALTADDRESS>
    <SOURCETYPE>Table</SOURCETYPE>
    <SOURCE_OBJECTNAME>Linking_Range_84</SOURCE_OBJECTNAME>
    <OBJECTTYPE>Native</OBJECTTYPE>
    <SOURCE_SHEETCODE>Sheet2</SOURCE_SHEETCODE>
    <SOURCE_SHEETNAME>Exhibits</SOURCE_SHEETNAME>
    <SOURCEAPPLICATION>EXCEL_SOURCE</SOURCEAPPLICATION>
    <UPDATEDAT>4/22/2015 6:01:20 PM</UPDATEDAT>
    <SOURCE_ISOUTOFDATE>False</SOURCE_ISOUTOFDATE>
    <SOURCE_WORKBOOKNAME>AC_RCL_new.xls</SOURCE_WORKBOOKNAME>
    <SOURCE_WORKBOOKPATH>\\MSAD\ROOT\EU\LN\LIB\EQR\leisure\Company\Royal Caribbean\Models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HtmlTable</TARGETTYPE>
    <TARGETAPPLICATION>METHODE_TARGET</TARGETAPPLICATION>
    <EXTRACTSOURCEMODE>CopyToClipboard</EXTRACTSOURCEMODE>
    <TARGET_BINARYFULLNAME/>
    <TARGET_STORYFULLNAME>/MSResearch/Content/ExternalAssets/2015-04/Sections/20150422_083116_Linking_Range_84.xml</TARGET_STORYFULLNAME>
    <TARGET_UUID>786b1740-e8eb-11e4-b44c-544b7b2f2e67</TARGET_UUID>
  </Link>
  <Link>
    <GUID>5a356434-fa0f-4e16-840f-5d003dc875c3</GUID>
    <SOURCE_ALTADDRESS>$I$22:$N$27</SOURCE_ALTADDRESS>
    <SOURCETYPE>Table</SOURCETYPE>
    <SOURCE_OBJECTNAME>Linking_Range_85</SOURCE_OBJECTNAME>
    <OBJECTTYPE>Native</OBJECTTYPE>
    <SOURCE_SHEETCODE>Sheet2</SOURCE_SHEETCODE>
    <SOURCE_SHEETNAME>Exhibits</SOURCE_SHEETNAME>
    <SOURCEAPPLICATION>EXCEL_SOURCE</SOURCEAPPLICATION>
    <UPDATEDAT>4/22/2015 6:44:16 PM</UPDATEDAT>
    <SOURCE_ISOUTOFDATE>False</SOURCE_ISOUTOFDATE>
    <SOURCE_WORKBOOKNAME>AC_RCL_new.xls</SOURCE_WORKBOOKNAME>
    <SOURCE_WORKBOOKPATH>\\MSAD\ROOT\EU\LN\LIB\EQR\LEISURE\COMPANY\ROYAL CARIBBEAN\MODELS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HtmlTable</TARGETTYPE>
    <TARGETAPPLICATION>METHODE_TARGET</TARGETAPPLICATION>
    <EXTRACTSOURCEMODE>CopyToClipboard</EXTRACTSOURCEMODE>
    <TARGET_BINARYFULLNAME/>
    <TARGET_STORYFULLNAME>/MSResearch/Content/ExternalAssets/2015-04/Sections/20150422_091413_Linking_Range_85.xml</TARGET_STORYFULLNAME>
    <TARGET_UUID>78798fea-e8f1-11e4-b44c-544b7b2f2e67</TARGET_UUID>
  </Link>
  <Link>
    <GUID>03f53d08-55f5-486d-93d6-c1c359487718</GUID>
    <SOURCETYPE>Chart</SOURCETYPE>
    <SOURCE_OBJECTNAME>Chart 1</SOURCE_OBJECTNAME>
    <SOURCE_SHEETCODE>Sheet2</SOURCE_SHEETCODE>
    <SOURCE_SHEETNAME>Exhibits</SOURCE_SHEETNAME>
    <OBJECTTYPE>Native</OBJECTTYPE>
    <SOURCEAPPLICATION>EXCEL_SOURCE</SOURCEAPPLICATION>
    <UPDATEDAT>4/22/2015 8:47:08 PM</UPDATEDAT>
    <SOURCE_ISOUTOFDATE>False</SOURCE_ISOUTOFDATE>
    <SOURCE_WORKBOOKNAME>AC_RCL_new.xls</SOURCE_WORKBOOKNAME>
    <SOURCE_WORKBOOKPATH>\\MSAD\ROOT\EU\LN\LIB\EQR\LEISURE\COMPANY\ROYAL CARIBBEAN\MODELS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EXTRACTSOURCEMODE>CopyToClipboard</EXTRACTSOURCEMODE>
    <TARGET_BINARYFULLNAME>/MSResearch/Content/ExternalAssets/2015-04/Images/Bl-As62mik2vk8aHaRav1g--.png</TARGET_BINARYFULLNAME>
    <TARGET_STORYFULLNAME>/MSResearch/Content/ExternalAssets/2015-04/Sections/20150422_111436_Chart1.xml</TARGET_STORYFULLNAME>
    <TARGET_UUID>49a054d6-e902-11e4-b44c-544b7b2f2e67</TARGET_UUID>
    <HIDEGRIDLINES>False</HIDEGRIDLINES>
  </Link>
  <Link>
    <GUID>4ddd6212-7f4d-4145-8a85-766a29cc7e53</GUID>
    <SOURCE_ALTADDRESS>$A$24:$L$31</SOURCE_ALTADDRESS>
    <SOURCETYPE>Table</SOURCETYPE>
    <SOURCE_OBJECTNAME>Linking_Range_68</SOURCE_OBJECTNAME>
    <OBJECTTYPE>Native</OBJECTTYPE>
    <SOURCE_SHEETCODE>Sheet23</SOURCE_SHEETCODE>
    <SOURCE_SHEETNAME>Mix</SOURCE_SHEETNAME>
    <SOURCEAPPLICATION>EXCEL_SOURCE</SOURCEAPPLICATION>
    <UPDATEDAT>4/22/2015 5:27:37 PM</UPDATEDAT>
    <SOURCE_ISOUTOFDATE>False</SOURCE_ISOUTOFDATE>
    <SOURCE_WORKBOOKNAME>AC_RCL_new.xls</SOURCE_WORKBOOKNAME>
    <SOURCE_WORKBOOKPATH>\\MSAD\ROOT\EU\LN\LIB\EQR\leisure\Company\Royal Caribbean\Models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HtmlTable</TARGETTYPE>
    <TARGETAPPLICATION>METHODE_TARGET</TARGETAPPLICATION>
    <EXTRACTSOURCEMODE>CopyToClipboard</EXTRACTSOURCEMODE>
    <TARGET_BINARYFULLNAME/>
    <TARGET_STORYFULLNAME>/MSResearch/Content/ExternalAssets/2015-04/Sections/20150421_024301_Linking_Range_68.xml</TARGET_STORYFULLNAME>
    <TARGET_UUID>3d26478a-e856-11e4-b44c-544b7b2f2e67</TARGET_UUID>
    <TRANSPARENTBACKGROUND>False</TRANSPARENTBACKGROUND>
    <TRANSPARENTPLOTAREA>False</TRANSPARENTPLOTAREA>
    <LINKSTATUS>Unknown</LINKSTATUS>
  </Link>
</lk:Links>
</file>

<file path=customXml/itemProps1.xml><?xml version="1.0" encoding="utf-8"?>
<ds:datastoreItem xmlns:ds="http://schemas.openxmlformats.org/officeDocument/2006/customXml" ds:itemID="{6A90C3E0-4B68-499F-9C56-5C06292AE6A9}">
  <ds:schemaRefs>
    <ds:schemaRef ds:uri="thomsonreuters.linking.metadatachange"/>
  </ds:schemaRefs>
</ds:datastoreItem>
</file>

<file path=customXml/itemProps2.xml><?xml version="1.0" encoding="utf-8"?>
<ds:datastoreItem xmlns:ds="http://schemas.openxmlformats.org/officeDocument/2006/customXml" ds:itemID="{8DA79406-6D78-44F1-AC79-7D5504562C2E}">
  <ds:schemaRefs>
    <ds:schemaRef ds:uri="thomsonreuters.linking.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98</vt:i4>
      </vt:variant>
    </vt:vector>
  </HeadingPairs>
  <TitlesOfParts>
    <vt:vector size="107" baseType="lpstr">
      <vt:lpstr>ImportantDisclosures</vt:lpstr>
      <vt:lpstr>Team details</vt:lpstr>
      <vt:lpstr>Sum&amp;Val</vt:lpstr>
      <vt:lpstr>Assumptions</vt:lpstr>
      <vt:lpstr>Income Statement</vt:lpstr>
      <vt:lpstr>Cashflow</vt:lpstr>
      <vt:lpstr>Balance Sheet</vt:lpstr>
      <vt:lpstr>IndexInformation</vt:lpstr>
      <vt:lpstr>ModPubIndex</vt:lpstr>
      <vt:lpstr>AdditionalInstructions</vt:lpstr>
      <vt:lpstr>ImportantDisclosures!Address</vt:lpstr>
      <vt:lpstr>ModPubIndex!ANA</vt:lpstr>
      <vt:lpstr>ImportantDisclosures!Authors</vt:lpstr>
      <vt:lpstr>IndexInformation!Authors</vt:lpstr>
      <vt:lpstr>ModPubIndex!BRO</vt:lpstr>
      <vt:lpstr>CopyrightStamp</vt:lpstr>
      <vt:lpstr>ModPubIndex!COU</vt:lpstr>
      <vt:lpstr>IndexInformation!CQEnd</vt:lpstr>
      <vt:lpstr>IndexInformation!Currency</vt:lpstr>
      <vt:lpstr>IndexInformation!CurrentStockPrice</vt:lpstr>
      <vt:lpstr>IndexInformation!CurrQtrEPS</vt:lpstr>
      <vt:lpstr>IndexInformation!CurrYearEPS</vt:lpstr>
      <vt:lpstr>IndexInformation!CurrYearTotalRevenue</vt:lpstr>
      <vt:lpstr>IndexInformation!CurrYearTotalRevenueActual</vt:lpstr>
      <vt:lpstr>IndexInformation!CUSIP</vt:lpstr>
      <vt:lpstr>IndexInformation!CYEnd</vt:lpstr>
      <vt:lpstr>ImportantDisclosures!Date</vt:lpstr>
      <vt:lpstr>IndexInformation!Deleted</vt:lpstr>
      <vt:lpstr>IndexInformation!Description</vt:lpstr>
      <vt:lpstr>IndexInformation!Discipline</vt:lpstr>
      <vt:lpstr>ModPubIndex!DISCIPLINE</vt:lpstr>
      <vt:lpstr>DisclosuresText</vt:lpstr>
      <vt:lpstr>IndexInformation!Distribution</vt:lpstr>
      <vt:lpstr>ModPubIndex!DOCDAT</vt:lpstr>
      <vt:lpstr>ModPubIndex!DOCTIME</vt:lpstr>
      <vt:lpstr>IndexInformation!DocType</vt:lpstr>
      <vt:lpstr>ModPubIndex!EMAIL_ALERT</vt:lpstr>
      <vt:lpstr>IndexInformation!EmailAlert</vt:lpstr>
      <vt:lpstr>IndexInformation!FiveYearGrowthRate</vt:lpstr>
      <vt:lpstr>IndexInformation!FollowingYearEPS</vt:lpstr>
      <vt:lpstr>IndexInformation!FollowingYearTotalRevenue</vt:lpstr>
      <vt:lpstr>IndexInformation!FollowingYearTotalRevenueActual</vt:lpstr>
      <vt:lpstr>ModPubIndex!HL</vt:lpstr>
      <vt:lpstr>ModPubIndex!IND</vt:lpstr>
      <vt:lpstr>ImportantDisclosures!Industry</vt:lpstr>
      <vt:lpstr>IndustryId</vt:lpstr>
      <vt:lpstr>ImportantDisclosures!IndustryRating</vt:lpstr>
      <vt:lpstr>IndexInformation!KeepVersions</vt:lpstr>
      <vt:lpstr>LanguageCode</vt:lpstr>
      <vt:lpstr>ImportantDisclosures!LastCell</vt:lpstr>
      <vt:lpstr>Linking_1</vt:lpstr>
      <vt:lpstr>Linking_10</vt:lpstr>
      <vt:lpstr>Linking_11</vt:lpstr>
      <vt:lpstr>Linking_12</vt:lpstr>
      <vt:lpstr>Linking_18</vt:lpstr>
      <vt:lpstr>Linking_28</vt:lpstr>
      <vt:lpstr>Linking_3</vt:lpstr>
      <vt:lpstr>Linking_5</vt:lpstr>
      <vt:lpstr>Linking_Range_15</vt:lpstr>
      <vt:lpstr>Linking_Range_17</vt:lpstr>
      <vt:lpstr>Linking_Range_18</vt:lpstr>
      <vt:lpstr>Linking_Range_19</vt:lpstr>
      <vt:lpstr>Linking_Range_35</vt:lpstr>
      <vt:lpstr>Linking_Range_42</vt:lpstr>
      <vt:lpstr>Linking_Range_52</vt:lpstr>
      <vt:lpstr>Linking_Range_57</vt:lpstr>
      <vt:lpstr>Linking_Range_71</vt:lpstr>
      <vt:lpstr>Linking_Range_73</vt:lpstr>
      <vt:lpstr>Linking_Range_74</vt:lpstr>
      <vt:lpstr>Linking_Range_79</vt:lpstr>
      <vt:lpstr>Linking_Range_80</vt:lpstr>
      <vt:lpstr>Linking_Range_81</vt:lpstr>
      <vt:lpstr>Linking_Range_82</vt:lpstr>
      <vt:lpstr>Linking_Range_83</vt:lpstr>
      <vt:lpstr>Linking_Range_87</vt:lpstr>
      <vt:lpstr>Linking_Range_93</vt:lpstr>
      <vt:lpstr>Linking_Range_95</vt:lpstr>
      <vt:lpstr>IndexInformation!MacroVersion</vt:lpstr>
      <vt:lpstr>ImportantDisclosures!ModelPrice</vt:lpstr>
      <vt:lpstr>IndexInformation!Multiplier</vt:lpstr>
      <vt:lpstr>IndexInformation!NextYearEPS</vt:lpstr>
      <vt:lpstr>IndexInformation!NextYearTotalRevenue</vt:lpstr>
      <vt:lpstr>IndexInformation!NextYearTotalRevenueActual</vt:lpstr>
      <vt:lpstr>ObjectType</vt:lpstr>
      <vt:lpstr>ModPubIndex!PANA</vt:lpstr>
      <vt:lpstr>IndexInformation!PathName</vt:lpstr>
      <vt:lpstr>Assumptions!Print_Area</vt:lpstr>
      <vt:lpstr>'Sum&amp;Val'!Print_Area</vt:lpstr>
      <vt:lpstr>ModPubIndex!PRODUCT</vt:lpstr>
      <vt:lpstr>ModPubIndex!PSYM</vt:lpstr>
      <vt:lpstr>IndexInformation!PublishDate</vt:lpstr>
      <vt:lpstr>IndexInformation!Rating</vt:lpstr>
      <vt:lpstr>ImportantDisclosures!RatingsDefined</vt:lpstr>
      <vt:lpstr>IndexInformation!ResearchTopic</vt:lpstr>
      <vt:lpstr>IndexInformation!RIC</vt:lpstr>
      <vt:lpstr>IndexInformation!SEDOL</vt:lpstr>
      <vt:lpstr>ImportantDisclosures!SourceDefined</vt:lpstr>
      <vt:lpstr>ImportantDisclosures!StockRating</vt:lpstr>
      <vt:lpstr>IndexInformation!SubjectCode</vt:lpstr>
      <vt:lpstr>SubmitterUserId</vt:lpstr>
      <vt:lpstr>ModPubIndex!SUPPRESSED</vt:lpstr>
      <vt:lpstr>ImportantDisclosures!TargetPrice</vt:lpstr>
      <vt:lpstr>TemplateRegion</vt:lpstr>
      <vt:lpstr>ImportantDisclosures!Ticker</vt:lpstr>
      <vt:lpstr>TickerRegion</vt:lpstr>
      <vt:lpstr>IndexInformation!Tickers</vt:lpstr>
      <vt:lpstr>IndexInformation!UpdateReason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1997-05-23T23:47:02Z</dcterms:created>
  <dc:creator>TODD SCOTT</dc:creator>
  <cp:lastModifiedBy>de Baecque, Karim (Research)</cp:lastModifiedBy>
  <cp:lastPrinted>2018-04-25T10:00:32Z</cp:lastPrinted>
  <dcterms:modified xsi:type="dcterms:W3CDTF">2018-04-26T17:07:41Z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ModelwareExpressVersionNumber" pid="2">
    <vt:lpwstr>3.00</vt:lpwstr>
  </property>
  <property fmtid="{D5CDD505-2E9C-101B-9397-08002B2CF9AE}" name="comments" pid="3">
    <vt:lpwstr/>
  </property>
  <property fmtid="{D5CDD505-2E9C-101B-9397-08002B2CF9AE}" name="thumb" pid="4">
    <vt:lpwstr>, </vt:lpwstr>
  </property>
  <property fmtid="{D5CDD505-2E9C-101B-9397-08002B2CF9AE}" name="region" pid="5">
    <vt:lpwstr/>
  </property>
  <property fmtid="{D5CDD505-2E9C-101B-9397-08002B2CF9AE}" name="Content" pid="6">
    <vt:lpwstr/>
  </property>
  <property fmtid="{D5CDD505-2E9C-101B-9397-08002B2CF9AE}" name="Relevant Region" pid="7">
    <vt:lpwstr/>
  </property>
  <property fmtid="{D5CDD505-2E9C-101B-9397-08002B2CF9AE}" name="LinkingAutoNameNumberLinking_Range_" pid="8">
    <vt:lpwstr>99</vt:lpwstr>
  </property>
  <property fmtid="{D5CDD505-2E9C-101B-9397-08002B2CF9AE}" name="ERModPubTicket" pid="9">
    <vt:lpwstr>NA</vt:lpwstr>
  </property>
  <property fmtid="{D5CDD505-2E9C-101B-9397-08002B2CF9AE}" name="ERCompanyUploadState" pid="10">
    <vt:lpwstr>P</vt:lpwstr>
  </property>
  <property fmtid="{D5CDD505-2E9C-101B-9397-08002B2CF9AE}" name="ModelId" pid="11">
    <vt:lpwstr>764368</vt:lpwstr>
  </property>
  <property fmtid="{D5CDD505-2E9C-101B-9397-08002B2CF9AE}" name="ERModPubCompanyName" pid="12">
    <vt:lpwstr>Royal Caribbean Cruises</vt:lpwstr>
  </property>
  <property fmtid="{D5CDD505-2E9C-101B-9397-08002B2CF9AE}" name="ERModPubMaxIterations" pid="13">
    <vt:i4>100</vt:i4>
  </property>
  <property fmtid="{D5CDD505-2E9C-101B-9397-08002B2CF9AE}" name="ERModPubMaxChange" pid="14">
    <vt:r8>9.99999999999945E-04</vt:r8>
  </property>
  <property fmtid="{D5CDD505-2E9C-101B-9397-08002B2CF9AE}" name="MSDH34TAG" pid="15">
    <vt:lpwstr>.TEZUF76X5TAHATHESADREYAK-00-INB160+*94600-06=2df7faf8/-496d/-11e8/-adef/-6a0a1ce82510,MD=20180426130812/-0400,ZZ=000Z-b37d.</vt:lpwstr>
  </property>
</Properties>
</file>